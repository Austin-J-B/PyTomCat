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fitLoss" sheetId="1" r:id="rId4"/>
    <sheet state="visible" name="Membership Application List" sheetId="2" r:id="rId5"/>
    <sheet state="visible" name="MasterPasswordList 3.0" sheetId="3" r:id="rId6"/>
    <sheet state="visible" name="Financial Account Balances" sheetId="4" r:id="rId7"/>
    <sheet state="visible" name="Income" sheetId="5" r:id="rId8"/>
    <sheet state="visible" name="Expenses" sheetId="6" r:id="rId9"/>
    <sheet state="visible" name="Data Analysis" sheetId="7" r:id="rId10"/>
    <sheet state="visible" name="IncomeCalcs" sheetId="8" r:id="rId11"/>
  </sheets>
  <definedNames>
    <definedName hidden="1" localSheetId="1" name="Z_55F65A57_4B58_4894_A374_793BDFE31570_.wvu.FilterData">'Membership Application List'!$A$3:$Q$1003</definedName>
  </definedNames>
  <calcPr/>
  <customWorkbookViews>
    <customWorkbookView activeSheetId="0" maximized="1" windowHeight="0" windowWidth="0" guid="{55F65A57-4B58-4894-A374-793BDFE31570}"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This is the range that the months look out of
	-CampusCats</t>
      </text>
    </comment>
  </commentList>
</comments>
</file>

<file path=xl/sharedStrings.xml><?xml version="1.0" encoding="utf-8"?>
<sst xmlns="http://schemas.openxmlformats.org/spreadsheetml/2006/main" count="2660" uniqueCount="810">
  <si>
    <t>Fall</t>
  </si>
  <si>
    <t>.</t>
  </si>
  <si>
    <t>asdasd</t>
  </si>
  <si>
    <t>Income</t>
  </si>
  <si>
    <t>Expenses</t>
  </si>
  <si>
    <t>asdad</t>
  </si>
  <si>
    <t xml:space="preserve">  Semester Totals:</t>
  </si>
  <si>
    <t>Total Montly Income</t>
  </si>
  <si>
    <t>Monthly Profit</t>
  </si>
  <si>
    <t>Member dues</t>
  </si>
  <si>
    <t>Monthly totals:</t>
  </si>
  <si>
    <t>Paypal</t>
  </si>
  <si>
    <t>Vet Bills</t>
  </si>
  <si>
    <t>Cashapp</t>
  </si>
  <si>
    <t>Food</t>
  </si>
  <si>
    <t>Venmo</t>
  </si>
  <si>
    <t>Storage Unit Fee</t>
  </si>
  <si>
    <t>Cash</t>
  </si>
  <si>
    <t>Website Fee</t>
  </si>
  <si>
    <t>Zelle</t>
  </si>
  <si>
    <t>Supplies</t>
  </si>
  <si>
    <t>Food/goods Fundraisers</t>
  </si>
  <si>
    <t>Misc/Reimbursement</t>
  </si>
  <si>
    <t>GoFundMe</t>
  </si>
  <si>
    <t>Other Fundraisers</t>
  </si>
  <si>
    <t>Donations</t>
  </si>
  <si>
    <t>Cash$</t>
  </si>
  <si>
    <t>Adoption fees</t>
  </si>
  <si>
    <t>Membership Application List</t>
  </si>
  <si>
    <r>
      <rPr>
        <rFont val="Courier New"/>
        <sz val="10.0"/>
      </rPr>
      <t xml:space="preserve">Original form linked here: </t>
    </r>
    <r>
      <rPr>
        <rFont val="Courier New"/>
        <color rgb="FF1155CC"/>
        <sz val="10.0"/>
        <u/>
      </rPr>
      <t>https://docs.google.com/spreadsheets/d/18RaQw448NnENcNftounuam8eQyPVXS6StgZUz-RLzHA/edit?usp=sharing</t>
    </r>
    <r>
      <rPr>
        <rFont val="Courier New"/>
        <sz val="10.0"/>
      </rPr>
      <t xml:space="preserve"> </t>
    </r>
  </si>
  <si>
    <t>Date</t>
  </si>
  <si>
    <t>Mavorgs Invite</t>
  </si>
  <si>
    <t>Semester</t>
  </si>
  <si>
    <t>Email</t>
  </si>
  <si>
    <t>Full Name</t>
  </si>
  <si>
    <t>Discord Username</t>
  </si>
  <si>
    <t>Payment Username</t>
  </si>
  <si>
    <t>Phone Number</t>
  </si>
  <si>
    <t>Membership Type</t>
  </si>
  <si>
    <t>Dues Or Donation</t>
  </si>
  <si>
    <t>Discount (Social Media)</t>
  </si>
  <si>
    <t>Paid Where?</t>
  </si>
  <si>
    <t>Donation?</t>
  </si>
  <si>
    <t>Verified?</t>
  </si>
  <si>
    <t>Committee Interests</t>
  </si>
  <si>
    <t>Images (Proof of payment)</t>
  </si>
  <si>
    <t>Officer Notes</t>
  </si>
  <si>
    <t>Highlighted by previous officers</t>
  </si>
  <si>
    <t>Logged by previous officers</t>
  </si>
  <si>
    <t>Spring 2024</t>
  </si>
  <si>
    <t>Start of Spring 2024, when this new spreadsheet was created</t>
  </si>
  <si>
    <t>Duplicate</t>
  </si>
  <si>
    <t>Dues and 5 Dollar Donation</t>
  </si>
  <si>
    <t>Duplicate? Also filled the form out Jan 9th</t>
  </si>
  <si>
    <t>Thats me</t>
  </si>
  <si>
    <t>Discounted to 10$ cuz of instagram post</t>
  </si>
  <si>
    <t>Discounted, presumably</t>
  </si>
  <si>
    <t>20$ bill given in cash at activity fair. This includes a 5$ donation</t>
  </si>
  <si>
    <t>Awaiting Verification</t>
  </si>
  <si>
    <t>dues and 10$ donation Searchable as Josiah Sims</t>
  </si>
  <si>
    <t>Ignore, this is just for the other sheet https://docs.google.com/spreadsheets/d/18RaQw448NnENcNftounuam8eQyPVXS6StgZUz-RLzHA/edit?usp=sharing</t>
  </si>
  <si>
    <t>Sent a message on discord, no verification atm</t>
  </si>
  <si>
    <t>Replicated from her previous dues. She didn't fill out this form but she DID submit her dues which I really like and just wanted to keep her in our system without reaching out to tell her to fill out this form for no reason</t>
  </si>
  <si>
    <t>CashApp</t>
  </si>
  <si>
    <t>test</t>
  </si>
  <si>
    <t>Added by me, they didnt fill out the form and didnt check their DMs when I contacted them so I just figured I'd add it here for them</t>
  </si>
  <si>
    <t>Copied from last semester cuz she didnt fill out the form</t>
  </si>
  <si>
    <t>This man is a liar</t>
  </si>
  <si>
    <t xml:space="preserve">This guy dumped puddles on campus. Or 'lost her' and didnt let us bring her back to him when we found her. Animal abuse, neglect, overall just bad to work with. Blacklisted beyond belief. </t>
  </si>
  <si>
    <t>We don't have any of these next couple food/litter donations confirmed. I think these people just filled out the form and nothing else.</t>
  </si>
  <si>
    <t>money given to cel</t>
  </si>
  <si>
    <t>DUPLICATE</t>
  </si>
  <si>
    <t>Kaz picked up 9/4/2024</t>
  </si>
  <si>
    <t>hi (test)</t>
  </si>
  <si>
    <t>She says she couldnt get her receipt, but i confirmed she paid.</t>
  </si>
  <si>
    <t>dunno why she didnt send an image</t>
  </si>
  <si>
    <t>huh??</t>
  </si>
  <si>
    <t>PAID FOR NEXT SEM AS WELL. 100 total</t>
  </si>
  <si>
    <t>Paid to me</t>
  </si>
  <si>
    <t>Paid to Jacob</t>
  </si>
  <si>
    <t>Originally zelled to megan, then megan venmo'd us.</t>
  </si>
  <si>
    <t>Megan brother and brother GF, paid through her account</t>
  </si>
  <si>
    <t>She paid but didnt fill out the form till november. the date has been updated to reflect her payment date, not the date she submit the form</t>
  </si>
  <si>
    <t>Donated last semester, asked us to count that towards his dues this sem</t>
  </si>
  <si>
    <t>I filled this out for him. Delete this or un-verify it if he fills out the form this sem so theres no duplicates.</t>
  </si>
  <si>
    <t xml:space="preserve">Ayup there it is. </t>
  </si>
  <si>
    <t>Not invited to mavorgs cuz bro is not a student no more</t>
  </si>
  <si>
    <t>mods ban this guy</t>
  </si>
  <si>
    <t>Megan Digiovanni paid for them on 2/7/25</t>
  </si>
  <si>
    <t>duplicate</t>
  </si>
  <si>
    <t>not paid or reported</t>
  </si>
  <si>
    <t>$50 Donation, Discord Verification</t>
  </si>
  <si>
    <t>box of canned food</t>
  </si>
  <si>
    <t>Website</t>
  </si>
  <si>
    <t>Link</t>
  </si>
  <si>
    <t xml:space="preserve">Username </t>
  </si>
  <si>
    <t>Password</t>
  </si>
  <si>
    <t>Notes/Payments!!</t>
  </si>
  <si>
    <t>Amazon</t>
  </si>
  <si>
    <t>utacampuscats@gmail.com</t>
  </si>
  <si>
    <t>https://www.amazon.com/hz/wishlist/ls/2EZFTAMOWMRFW?ref_=wl_share</t>
  </si>
  <si>
    <t>k!ttYcat5</t>
  </si>
  <si>
    <t>Bonefire</t>
  </si>
  <si>
    <t>Payouts linked to PAYPAL account</t>
  </si>
  <si>
    <t>Buffer</t>
  </si>
  <si>
    <t>k!ttYcat6</t>
  </si>
  <si>
    <t>none payments yet</t>
  </si>
  <si>
    <t>Canva</t>
  </si>
  <si>
    <t>Ch0Nk_MaStEr3000@</t>
  </si>
  <si>
    <t>cash.app/$utacampuscats</t>
  </si>
  <si>
    <t>$utacampuscats</t>
  </si>
  <si>
    <t>cash pin: 2019</t>
  </si>
  <si>
    <t>To log in you will need to confirm your identity, CashApp will send us an email with a Sign-In Code 8178186106 Isabel's #</t>
  </si>
  <si>
    <t>CCC Email (Gmail)</t>
  </si>
  <si>
    <t>b!GpaP@4000</t>
  </si>
  <si>
    <t>Domain</t>
  </si>
  <si>
    <t>Domain.com</t>
  </si>
  <si>
    <t>catsofuta.org</t>
  </si>
  <si>
    <r>
      <rPr>
        <rFont val="Helvetica Neue"/>
        <color theme="1"/>
      </rPr>
      <t>Upcoming payments (</t>
    </r>
    <r>
      <rPr>
        <rFont val="Helvetica Neue"/>
        <b/>
        <color rgb="FFCC0000"/>
      </rPr>
      <t>AUTO PAYMENTS</t>
    </r>
    <r>
      <rPr>
        <rFont val="Helvetica Neue"/>
        <color theme="1"/>
      </rPr>
      <t xml:space="preserve"> FROM PAYPAL): $9.58 on </t>
    </r>
    <r>
      <rPr>
        <rFont val="Helvetica Neue"/>
        <b/>
        <color theme="1"/>
      </rPr>
      <t>Feburary 1st</t>
    </r>
    <r>
      <rPr>
        <rFont val="Helvetica Neue"/>
        <color theme="1"/>
      </rPr>
      <t xml:space="preserve">  $14.99 on </t>
    </r>
    <r>
      <rPr>
        <rFont val="Helvetica Neue"/>
        <b/>
        <color theme="1"/>
      </rPr>
      <t>Feburary 3rd</t>
    </r>
  </si>
  <si>
    <t xml:space="preserve">Facebook </t>
  </si>
  <si>
    <t>https://www.facebook.com/catsofuta</t>
  </si>
  <si>
    <t>catsofuta</t>
  </si>
  <si>
    <t>cAmpu%cat$</t>
  </si>
  <si>
    <t>admins= ang, Caroline, Brandon, Madison utacampuscats@gmail.com</t>
  </si>
  <si>
    <t>C4mpUsC4t5C!uB</t>
  </si>
  <si>
    <t xml:space="preserve">GroupRaise </t>
  </si>
  <si>
    <t>c@mPu$CaT$!</t>
  </si>
  <si>
    <t>This is for the IHOP sign up event</t>
  </si>
  <si>
    <t>Instagram</t>
  </si>
  <si>
    <t>https://www.instagram.com/catsofuta/</t>
  </si>
  <si>
    <t>m!CR0w@veCH0NK</t>
  </si>
  <si>
    <t>JotForm</t>
  </si>
  <si>
    <t>https://www.jotform.com/</t>
  </si>
  <si>
    <t>website utilized for our foster and adoption applications, applications can be modified through JotForm &amp; when one is filled out we are notified by email</t>
  </si>
  <si>
    <t>Kahoot</t>
  </si>
  <si>
    <t>https://create.kahoot.it/auth/login</t>
  </si>
  <si>
    <t>C@tsR0ck</t>
  </si>
  <si>
    <t>Linktree</t>
  </si>
  <si>
    <t>linktr.ee/utacampuscats</t>
  </si>
  <si>
    <t>utacampuscats</t>
  </si>
  <si>
    <t>cAmpu%cat</t>
  </si>
  <si>
    <t>@catsofutadonations for donations and dues</t>
  </si>
  <si>
    <t>Mailchimp</t>
  </si>
  <si>
    <t>cAmpu5cat$</t>
  </si>
  <si>
    <t>Nodecraft</t>
  </si>
  <si>
    <t>williamcleland04@gmail.com</t>
  </si>
  <si>
    <t>https://nodecraft.com/</t>
  </si>
  <si>
    <t>kcreepertux04</t>
  </si>
  <si>
    <t>C@t2ofut@</t>
  </si>
  <si>
    <t>Only use in emergencies or to restart the server in the event of a crash.</t>
  </si>
  <si>
    <t>Notion</t>
  </si>
  <si>
    <t>Notion.so</t>
  </si>
  <si>
    <t>use the google login function to access the notion</t>
  </si>
  <si>
    <t>https://paypal.me/utacampuscats</t>
  </si>
  <si>
    <t>@utacampuscats</t>
  </si>
  <si>
    <t>cAmpu%c8t$</t>
  </si>
  <si>
    <t>Pet Supplies Plus</t>
  </si>
  <si>
    <t>petsuppliesplus.com</t>
  </si>
  <si>
    <t>Petfinder</t>
  </si>
  <si>
    <t>https://www.petfinder.com/</t>
  </si>
  <si>
    <t>St!nkyK1tty</t>
  </si>
  <si>
    <t>external promotions for foster kibbies</t>
  </si>
  <si>
    <t>Picsart</t>
  </si>
  <si>
    <t>https://picsart.com/create</t>
  </si>
  <si>
    <t>Planoly</t>
  </si>
  <si>
    <t>b@byTh!CCum$</t>
  </si>
  <si>
    <t>Used to plan content for Instagram. Use the Instagram login to log in.</t>
  </si>
  <si>
    <t>RedBubble</t>
  </si>
  <si>
    <t>current password changed 7/31</t>
  </si>
  <si>
    <t>Reddit</t>
  </si>
  <si>
    <t>Rpal</t>
  </si>
  <si>
    <t>https://r-pal.ecwid.com/</t>
  </si>
  <si>
    <r>
      <rPr>
        <rFont val="Helvetica Neue"/>
        <color theme="1"/>
      </rPr>
      <t>Low cost bulk cat/dog food bank, there are order deadlines that you need to pay attention to when ordering &amp; there is an arlington pick up location. Yearly membership fee: $25 (</t>
    </r>
    <r>
      <rPr>
        <rFont val="Helvetica Neue"/>
        <b/>
        <color rgb="FFCC0000"/>
      </rPr>
      <t>AUTO PAYMENT</t>
    </r>
    <r>
      <rPr>
        <rFont val="Helvetica Neue"/>
        <color theme="1"/>
      </rPr>
      <t xml:space="preserve"> date- </t>
    </r>
    <r>
      <rPr>
        <rFont val="Helvetica Neue"/>
        <b/>
        <color theme="1"/>
      </rPr>
      <t>October 26th</t>
    </r>
    <r>
      <rPr>
        <rFont val="Helvetica Neue"/>
        <color theme="1"/>
      </rPr>
      <t xml:space="preserve"> through Paypal) [email Help@R-PAL.org prior to your anniversary date to opt out]</t>
    </r>
  </si>
  <si>
    <t>Snapfish</t>
  </si>
  <si>
    <t>snapfish.com</t>
  </si>
  <si>
    <t>Sticker Mule</t>
  </si>
  <si>
    <t>stickermule.com</t>
  </si>
  <si>
    <t>Payment: PAYPAL card</t>
  </si>
  <si>
    <t>Store Here</t>
  </si>
  <si>
    <t>Koolcat5andKitten$</t>
  </si>
  <si>
    <t>TikTok</t>
  </si>
  <si>
    <t>tiktok.com/@catsofutarlington</t>
  </si>
  <si>
    <t>catsofutarlington</t>
  </si>
  <si>
    <t>Twitter</t>
  </si>
  <si>
    <t>https://twitter.com/utacampuscats</t>
  </si>
  <si>
    <t>www.venmo.com/utacampuscats</t>
  </si>
  <si>
    <t>m1cR0w4ve</t>
  </si>
  <si>
    <t>Vistaprint</t>
  </si>
  <si>
    <t>Use for buisness cards and calenders for fundraisers (any paper product orders)</t>
  </si>
  <si>
    <t>Wix</t>
  </si>
  <si>
    <r>
      <rPr>
        <rFont val="Helvetica Neue"/>
        <color theme="1"/>
      </rPr>
      <t xml:space="preserve">RENEWEL DATE: </t>
    </r>
    <r>
      <rPr>
        <rFont val="Helvetica Neue"/>
        <b/>
        <color theme="1"/>
      </rPr>
      <t xml:space="preserve">April 29-ish </t>
    </r>
    <r>
      <rPr>
        <rFont val="Helvetica Neue"/>
        <color theme="1"/>
      </rPr>
      <t>(yearly), $168.87 (</t>
    </r>
    <r>
      <rPr>
        <rFont val="Helvetica Neue"/>
        <b/>
        <color rgb="FFCC0000"/>
      </rPr>
      <t>AUTO PAYMENT</t>
    </r>
    <r>
      <rPr>
        <rFont val="Helvetica Neue"/>
        <color rgb="FFCC0000"/>
      </rPr>
      <t xml:space="preserve"> </t>
    </r>
    <r>
      <rPr>
        <rFont val="Helvetica Neue"/>
        <color theme="1"/>
      </rPr>
      <t>from VENMO)</t>
    </r>
  </si>
  <si>
    <t>Texas Registered Agent</t>
  </si>
  <si>
    <t>www.texasregisteredagent.net</t>
  </si>
  <si>
    <t>23o1N^He@&amp;3)</t>
  </si>
  <si>
    <t>$35/year for nonprofit</t>
  </si>
  <si>
    <t>Tomohawk Live Trap</t>
  </si>
  <si>
    <t>www.livetrap.com</t>
  </si>
  <si>
    <t>TNR Equipment Website</t>
  </si>
  <si>
    <t>Listserv</t>
  </si>
  <si>
    <t>https://listserv.uta.edu/scripts/wa.exe?A0=UTA-SITE-OWNERS</t>
  </si>
  <si>
    <t>F4tc@t15</t>
  </si>
  <si>
    <t>Digital Accounts</t>
  </si>
  <si>
    <t>Percent of total</t>
  </si>
  <si>
    <t>Target $</t>
  </si>
  <si>
    <t>Paypal (hold 25% of total funds)</t>
  </si>
  <si>
    <t>Log in to your PayPal account</t>
  </si>
  <si>
    <t>Current Card holder - n/a</t>
  </si>
  <si>
    <t>Cashapp (hold 25%)</t>
  </si>
  <si>
    <t>Cash App Login: Sign in to your account</t>
  </si>
  <si>
    <t>Current Card holder - Cel</t>
  </si>
  <si>
    <t>Venmo (hold 50%)</t>
  </si>
  <si>
    <t>Current Card holder - Megan</t>
  </si>
  <si>
    <t>Total digital CCC Funds</t>
  </si>
  <si>
    <t xml:space="preserve"> </t>
  </si>
  <si>
    <r>
      <rPr>
        <rFont val="Lato, Arial"/>
        <b/>
        <i val="0"/>
        <color rgb="FF000000"/>
        <sz val="11.0"/>
      </rPr>
      <t xml:space="preserve">Note: </t>
    </r>
    <r>
      <rPr>
        <rFont val="Lato, Arial"/>
        <b val="0"/>
        <i val="0"/>
        <color rgb="FF000000"/>
        <sz val="10.0"/>
      </rPr>
      <t xml:space="preserve">money is </t>
    </r>
    <r>
      <rPr>
        <rFont val="Lato, Arial"/>
        <b/>
        <color rgb="FF000000"/>
        <sz val="10.0"/>
      </rPr>
      <t>not</t>
    </r>
    <r>
      <rPr>
        <rFont val="Lato, Arial"/>
        <b/>
        <i val="0"/>
        <color rgb="FF000000"/>
        <sz val="10.0"/>
      </rPr>
      <t xml:space="preserve"> </t>
    </r>
    <r>
      <rPr>
        <rFont val="Lato, Arial"/>
        <b val="0"/>
        <i val="0"/>
        <color rgb="FF000000"/>
        <sz val="10.0"/>
      </rPr>
      <t xml:space="preserve">automatically divided into accounts as 25%-25%-50% split. </t>
    </r>
  </si>
  <si>
    <r>
      <rPr>
        <rFont val="Lato, Arial"/>
        <color rgb="FF000000"/>
        <sz val="10.0"/>
      </rPr>
      <t xml:space="preserve">This, and updating the Total CCC Funds amount will need to be </t>
    </r>
    <r>
      <rPr>
        <rFont val="Lato, Arial"/>
        <i/>
        <color rgb="FF000000"/>
        <sz val="10.0"/>
      </rPr>
      <t>manually</t>
    </r>
    <r>
      <rPr>
        <rFont val="Lato, Arial"/>
        <color rgb="FF000000"/>
        <sz val="10.0"/>
      </rPr>
      <t xml:space="preserve"> done regularly by the Records Director.</t>
    </r>
  </si>
  <si>
    <t>Additonal Acconts</t>
  </si>
  <si>
    <t>UC MavOrgs CCC Bank Account (920476)</t>
  </si>
  <si>
    <t>bel, McKayla, Megan, cel and Kaci(advisor))</t>
  </si>
  <si>
    <t>Not withdrawn from Zelle</t>
  </si>
  <si>
    <t>(Bel's personal bank account)</t>
  </si>
  <si>
    <t xml:space="preserve">Not withdrawn from GoFundMe </t>
  </si>
  <si>
    <t>(Imp's personal bank account) This number is taken from emails sent to us by GoFundMe</t>
  </si>
  <si>
    <t>other</t>
  </si>
  <si>
    <t xml:space="preserve">Cash (held by Officers) </t>
  </si>
  <si>
    <t xml:space="preserve"> $1282 in money box (nick and then bake sale from megan?), $15 in money bag located in storage unit</t>
  </si>
  <si>
    <t>Total additional CCC Funds</t>
  </si>
  <si>
    <r>
      <rPr>
        <rFont val="Lato, Arial"/>
        <b/>
        <i val="0"/>
        <color rgb="FF000000"/>
        <sz val="11.0"/>
      </rPr>
      <t xml:space="preserve">Note: </t>
    </r>
    <r>
      <rPr>
        <rFont val="Lato, Arial"/>
        <b val="0"/>
        <i val="0"/>
        <color rgb="FF000000"/>
        <sz val="10.0"/>
      </rPr>
      <t xml:space="preserve">Transfer cash to </t>
    </r>
    <r>
      <rPr>
        <rFont val="Lato, Arial"/>
        <b val="0"/>
        <color rgb="FF000000"/>
        <sz val="10.0"/>
      </rPr>
      <t>digital</t>
    </r>
    <r>
      <rPr>
        <rFont val="Lato, Arial"/>
        <b val="0"/>
        <i val="0"/>
        <color rgb="FF000000"/>
        <sz val="10.0"/>
      </rPr>
      <t xml:space="preserve"> </t>
    </r>
    <r>
      <rPr>
        <rFont val="Lato, Arial"/>
        <b val="0"/>
        <color rgb="FF000000"/>
        <sz val="10.0"/>
      </rPr>
      <t xml:space="preserve">accounts </t>
    </r>
    <r>
      <rPr>
        <rFont val="Lato, Arial"/>
        <b val="0"/>
        <i val="0"/>
        <color rgb="FF000000"/>
        <sz val="10.0"/>
      </rPr>
      <t>via Caroline [Treasuer]. One may also use the UC bank account, but our digital accounts are prefered.</t>
    </r>
    <r>
      <rPr>
        <rFont val="Lato, Arial"/>
        <b val="0"/>
        <i val="0"/>
        <color rgb="FF000000"/>
        <sz val="11.0"/>
      </rPr>
      <t xml:space="preserve"> </t>
    </r>
  </si>
  <si>
    <t>Complete Total</t>
  </si>
  <si>
    <t xml:space="preserve">Digital + Additional </t>
  </si>
  <si>
    <t>AUTOMATICALLY GENERATED. CREATED BY AUSTIN BROWN RECORDS DIRECTOR SPRING 2024</t>
  </si>
  <si>
    <t xml:space="preserve">Non-Dues Income </t>
  </si>
  <si>
    <r>
      <rPr>
        <rFont val="Courier New"/>
        <color rgb="FF000000"/>
        <sz val="10.0"/>
      </rPr>
      <t xml:space="preserve">Form linked here: </t>
    </r>
    <r>
      <rPr>
        <rFont val="Courier New"/>
        <color rgb="FF4A86E8"/>
        <sz val="10.0"/>
        <u/>
      </rPr>
      <t>https://forms.gle/PUULraJSDojTqopZA</t>
    </r>
    <r>
      <rPr>
        <rFont val="Courier New"/>
        <color rgb="FF4A86E8"/>
        <sz val="10.0"/>
      </rPr>
      <t xml:space="preserve"> </t>
    </r>
  </si>
  <si>
    <t>Timestamp</t>
  </si>
  <si>
    <t>Month</t>
  </si>
  <si>
    <t>Year</t>
  </si>
  <si>
    <t>Email Address</t>
  </si>
  <si>
    <t>Name (Either who donated, or which officer is reporting this income)</t>
  </si>
  <si>
    <t>Income type</t>
  </si>
  <si>
    <t>Amount</t>
  </si>
  <si>
    <t>Payment Type</t>
  </si>
  <si>
    <t/>
  </si>
  <si>
    <t xml:space="preserve">Austin Brown (Redbubble Sale) </t>
  </si>
  <si>
    <t>Bud Davis</t>
  </si>
  <si>
    <t>Diana Phim</t>
  </si>
  <si>
    <t>Foods/Goods fundraisers</t>
  </si>
  <si>
    <t>Karla Montesinos</t>
  </si>
  <si>
    <t xml:space="preserve">Venessa Tran-Le </t>
  </si>
  <si>
    <t>Josiah Sims</t>
  </si>
  <si>
    <t xml:space="preserve">Danyelle Schofield </t>
  </si>
  <si>
    <t>Elizabeth Bittner</t>
  </si>
  <si>
    <t>Celeste Smith</t>
  </si>
  <si>
    <t>Jacob Sandoval</t>
  </si>
  <si>
    <t>Peyton Bullard</t>
  </si>
  <si>
    <t>Zach (VP, but also actually input by Austin (records))</t>
  </si>
  <si>
    <t>Megan Digiovanni</t>
  </si>
  <si>
    <t>Nicole Rodriguez</t>
  </si>
  <si>
    <t>Zarin Safa</t>
  </si>
  <si>
    <t>Joshua Matney</t>
  </si>
  <si>
    <t>Zachary Markines</t>
  </si>
  <si>
    <t>James Russ</t>
  </si>
  <si>
    <t>S Johnson</t>
  </si>
  <si>
    <t>Isabel Silva (Treasurer, approved by feeding head)</t>
  </si>
  <si>
    <t>Cel [Foster head]'s mom</t>
  </si>
  <si>
    <t>Perla</t>
  </si>
  <si>
    <t>Brandon Isom</t>
  </si>
  <si>
    <t xml:space="preserve">Zaynab Shaikh </t>
  </si>
  <si>
    <t>Jenny Thomas</t>
  </si>
  <si>
    <t>Melanie Skiles</t>
  </si>
  <si>
    <t>Joshua Gomez</t>
  </si>
  <si>
    <t>Hannah Erdman</t>
  </si>
  <si>
    <t>Jacob Sandoval (Austin B)</t>
  </si>
  <si>
    <t>Isadora Paul</t>
  </si>
  <si>
    <t xml:space="preserve">Morgan </t>
  </si>
  <si>
    <t>Isabel Silva</t>
  </si>
  <si>
    <t>Alexander Salas</t>
  </si>
  <si>
    <t>Kayla Lozada</t>
  </si>
  <si>
    <t>Rosalia Zamarripa</t>
  </si>
  <si>
    <t>Isabel silva</t>
  </si>
  <si>
    <t>Austin B, Records</t>
  </si>
  <si>
    <t>Amy Nelson (Austin B, Records)</t>
  </si>
  <si>
    <t>Stephanie H -SD3</t>
  </si>
  <si>
    <t>Sims</t>
  </si>
  <si>
    <t>Austin Brown (not officer)</t>
  </si>
  <si>
    <t>Cesar Jaquez</t>
  </si>
  <si>
    <t>Nep Gainer</t>
  </si>
  <si>
    <t xml:space="preserve">Marco </t>
  </si>
  <si>
    <t>Grace Backus</t>
  </si>
  <si>
    <t>Johnny Ford</t>
  </si>
  <si>
    <t>Kristen Spaeth</t>
  </si>
  <si>
    <t>Isabel Silva (cash transfer into venmo) [Recorded by Austin B records]</t>
  </si>
  <si>
    <t xml:space="preserve">Joel </t>
  </si>
  <si>
    <t>Kenna Ownbey</t>
  </si>
  <si>
    <t xml:space="preserve">Brandon Isom </t>
  </si>
  <si>
    <t>Raven Parker</t>
  </si>
  <si>
    <t>Danyelle Schofield</t>
  </si>
  <si>
    <t xml:space="preserve">Kayla Olson </t>
  </si>
  <si>
    <t>Jordan Booth</t>
  </si>
  <si>
    <t>Lizzy Akindolie</t>
  </si>
  <si>
    <t>McKayla Mellen</t>
  </si>
  <si>
    <t>William Cleland</t>
  </si>
  <si>
    <t>Troy Broome</t>
  </si>
  <si>
    <t>Kaci ODonnell</t>
  </si>
  <si>
    <t>Shana Pau</t>
  </si>
  <si>
    <t>Morgan Conklin</t>
  </si>
  <si>
    <t>Emily Polansky</t>
  </si>
  <si>
    <t>Debbie Cooke</t>
  </si>
  <si>
    <t>Zachary Meier</t>
  </si>
  <si>
    <t>Austin B</t>
  </si>
  <si>
    <t>Imp transfer</t>
  </si>
  <si>
    <t>Nura Ganema Ayyad (tnr night friend) [Austin B]</t>
  </si>
  <si>
    <t>Austin Brown (Not officer)</t>
  </si>
  <si>
    <t>Trinity Greene</t>
  </si>
  <si>
    <t>Rhavanna Chrisco</t>
  </si>
  <si>
    <t>Kallie Collier</t>
  </si>
  <si>
    <t>Isadora Paul (Donation from Neuri)</t>
  </si>
  <si>
    <t>brandon isom transfer</t>
  </si>
  <si>
    <t>Bud davis (input by austin)</t>
  </si>
  <si>
    <t>Avery Park</t>
  </si>
  <si>
    <t>casey adoption</t>
  </si>
  <si>
    <t>Adoption Fees</t>
  </si>
  <si>
    <t>Deb Myers</t>
  </si>
  <si>
    <t>Alyssa White</t>
  </si>
  <si>
    <t>Calendar Sales (late in year, sold by @s3j, reported by Austin [Records head])</t>
  </si>
  <si>
    <t>Brandon Isom GoFundMe transfer (reported by austin b)</t>
  </si>
  <si>
    <t>Ducky Adoption</t>
  </si>
  <si>
    <t>Erica Gott</t>
  </si>
  <si>
    <t>Bud Davis (reported by Austin B)</t>
  </si>
  <si>
    <t>Cel "Secret cat cult things" [Reported by austin B, head of records]</t>
  </si>
  <si>
    <t>Victora Ochoa [Reported by austin B, head of records]</t>
  </si>
  <si>
    <t>Katheryn Espinoza [Reported by austin B, head of records]</t>
  </si>
  <si>
    <t>Cori Stanely [Reported by austin B, head of records]</t>
  </si>
  <si>
    <t>Rianneth Summerlin [Reported by austin B, head of records]</t>
  </si>
  <si>
    <t>Rosalinda Youngblood</t>
  </si>
  <si>
    <t>Shandra Wilkinson [Reported by austin B, head of records]</t>
  </si>
  <si>
    <t>Marco Paessler [Reported by austin B, head of records]</t>
  </si>
  <si>
    <t>Amy Skipper [Reported by austin B, head of records]</t>
  </si>
  <si>
    <t>Andrew Mares [Reported by austin B, head of records]</t>
  </si>
  <si>
    <t>Joyce Hong [Reported by austin B, head of records]</t>
  </si>
  <si>
    <t>Carly Restandah [Reported by austin B, head of records]</t>
  </si>
  <si>
    <t>Katelyn B [Reported by austin B, head of records]</t>
  </si>
  <si>
    <t>Kathy Hunter [Reported by austin B, head of records]</t>
  </si>
  <si>
    <t>Joselyn Clark [Reported by austin B, head of records]</t>
  </si>
  <si>
    <t>Leslee Soto [Reported by austin B, head of records]</t>
  </si>
  <si>
    <t>Alexander Rios [Reported by austin B, head of records]</t>
  </si>
  <si>
    <t>Carol Vila Young [Reported by austin B, head of records]</t>
  </si>
  <si>
    <t>Sarah James [Reported by austin B, head of records]</t>
  </si>
  <si>
    <t>Alicia Soueid [Reported by austin B, head of records]</t>
  </si>
  <si>
    <t>Angela Garcia [Reported by austin B, head of records]</t>
  </si>
  <si>
    <t>Michelle Mulkey [Reported by austin B, head of records]</t>
  </si>
  <si>
    <t>Juliet Garrison [Reported by austin B, head of records]</t>
  </si>
  <si>
    <t>Katherine Carter [Reported by austin B, head of records]</t>
  </si>
  <si>
    <t>Avery Park [Reported by austin B, head of records]</t>
  </si>
  <si>
    <t>Natalie Ramirez [Reported by austin B head of records]</t>
  </si>
  <si>
    <t>Erica Gott [Reported by austin B, head of records]</t>
  </si>
  <si>
    <t>Alyson L donation (part of dues, delete if she fills out membership form)</t>
  </si>
  <si>
    <t>Brandon Isom (imp gofundme transfer) [reported by austin b]</t>
  </si>
  <si>
    <t>" G B" (unknown) [reported by austin ]</t>
  </si>
  <si>
    <t>Amy Tu [reported by austin b]</t>
  </si>
  <si>
    <t>Shelby B (Shelby nicole) [Reported by Austin B]</t>
  </si>
  <si>
    <t>Deborah Lewis [Reported by austin b]</t>
  </si>
  <si>
    <t>ShinyAura (sodasale) [Austin b]</t>
  </si>
  <si>
    <t>Nasheed Hossain (sodasale)[austinb]</t>
  </si>
  <si>
    <t>Austen Nash (sodasale)[austinb]</t>
  </si>
  <si>
    <t>Jacob Sandoval (sodasale)[austinb]</t>
  </si>
  <si>
    <t>Kenna Ownbey (sodasale)[austinb]</t>
  </si>
  <si>
    <t>Leslie Loignon [austinb]</t>
  </si>
  <si>
    <t>Ibrahim Ali (sodasale)[austinb]</t>
  </si>
  <si>
    <t>Christelle Matildo(sodasale)[austinb]</t>
  </si>
  <si>
    <t>Troy Boome (sodasale)[austinb]</t>
  </si>
  <si>
    <t>Brennan Baker</t>
  </si>
  <si>
    <t>Kaz Schofield (sodasale)[austin b]</t>
  </si>
  <si>
    <t>Bud Davis [reported by austinb]</t>
  </si>
  <si>
    <t>Gofundme-ish transfer. (never actually hit our accounts, but was in Brandon Isom's/Imp's account and went straight to the IRS for our nonprofit stuff)[reported by austin b]</t>
  </si>
  <si>
    <t>Amanda Sosa</t>
  </si>
  <si>
    <t>Zach Markines</t>
  </si>
  <si>
    <t xml:space="preserve">Faiz </t>
  </si>
  <si>
    <t>Bake Sale Cash</t>
  </si>
  <si>
    <t>Jordan Booth (Bake sale)[Reported by austin b]</t>
  </si>
  <si>
    <t>Celeste Smith (Bake sale)[Reported by austin b]</t>
  </si>
  <si>
    <t>Raven Parker (Bake sale)[Reported by austin b]</t>
  </si>
  <si>
    <t>Cynthia White (Bake sale)[Reported by austin b]</t>
  </si>
  <si>
    <t>Alice Tran (Bake sale)[Reported by austin b]</t>
  </si>
  <si>
    <t xml:space="preserve">Nelda Hernandez(Bake sale)[Reported by austin b] </t>
  </si>
  <si>
    <t>Breck Matheny (Bake sale)[Reported by austin b]</t>
  </si>
  <si>
    <t>Ryan' (Bake sale)[Reported by austin b]</t>
  </si>
  <si>
    <t>Izzy' (Bake sale)[Reported by austin b]</t>
  </si>
  <si>
    <t>Cassandra Nelson (Bake sale)[Reported by austin b]</t>
  </si>
  <si>
    <t>Elizabeth Saucedo (Bake sale)[Reported by austin b]</t>
  </si>
  <si>
    <t>Sol Monsivais (Bake sale)[Reported by austin b]</t>
  </si>
  <si>
    <t>John Ethan Cross (Bake sale)[Reported by austin b]</t>
  </si>
  <si>
    <t>Julissa C (Bake sale)[Reported by austin b]</t>
  </si>
  <si>
    <t>Rachael' (Bake sale)[Reported by austin b]</t>
  </si>
  <si>
    <t>Jacob Sandoval (Bake sale)[Reported by austin b]</t>
  </si>
  <si>
    <t>ShinyAura (Bake sale)[Reported by austin b]</t>
  </si>
  <si>
    <t>Caitlin Mosley (Bake sale)[Reported by austin b]</t>
  </si>
  <si>
    <t>Tarian Cranford (Bake sale)[Reported by austin b]</t>
  </si>
  <si>
    <t>Jacob Sandoval(Bake sale)[Reported by austin b]</t>
  </si>
  <si>
    <t>Mary Abby Goss (Bake sale)[Reported by austin b]</t>
  </si>
  <si>
    <t>Megan Digiovanni (Bake sale)[Reported by austin b]</t>
  </si>
  <si>
    <t>Damaris Cardona (Bake sale)[Reported by austin b]</t>
  </si>
  <si>
    <t>Leah Michnevitz (Bake sale)[Reported by austin b]</t>
  </si>
  <si>
    <t>Emmy Piercy (Bake sale)[Reported by austin b]</t>
  </si>
  <si>
    <t>Landri Berry (Bake sale)[Reported by austin b]</t>
  </si>
  <si>
    <t>Marcos Jimenez</t>
  </si>
  <si>
    <t>Leah Ray (Bake sale)[Reported by austin b]</t>
  </si>
  <si>
    <t>Karma D (Bake sale)[Reported by austin b]</t>
  </si>
  <si>
    <t>Emily Spaulding (Bake sale)[Reported by austin b]</t>
  </si>
  <si>
    <t>Derek Fuentez (Bake sale)[Reported by austin b]</t>
  </si>
  <si>
    <t>Brenda Whitfield [reported by austin b]</t>
  </si>
  <si>
    <t>Carlos (bake sale) [reported by austin b]</t>
  </si>
  <si>
    <t>Megan Digiovanni (bake sale) [reported by austin b]</t>
  </si>
  <si>
    <t>Raven Parker (bake sale) [reported by austin b]</t>
  </si>
  <si>
    <t>Jacob Sandoval (bake sale) [reported by austin b]</t>
  </si>
  <si>
    <t>Victor Trevino (bake sale) [reported by austin b]</t>
  </si>
  <si>
    <t>Jason Shoghi (bake sale) [reported by austin b]</t>
  </si>
  <si>
    <t>Ben Tucker (bake sale) [reported by austin b]</t>
  </si>
  <si>
    <t>Cassandra Nelson(bake sale) [reported by austin b]</t>
  </si>
  <si>
    <t>Victor Martinez</t>
  </si>
  <si>
    <t>Kaylee Fierro (bake sale) [reported by austin b]</t>
  </si>
  <si>
    <t>Brayden Wilder (bake sale) [reported by austin b]</t>
  </si>
  <si>
    <t>James Wilhelm (bake sale) [reported by austin b]</t>
  </si>
  <si>
    <t>Emily Cox (bake sale) [reported by austin b]</t>
  </si>
  <si>
    <t>Diana Phim (bake sale) [reported by austin b]</t>
  </si>
  <si>
    <t>Megan Digiovanni Zelle transfer (bake sale) [reported by austin b]</t>
  </si>
  <si>
    <t>Mary West (bake sale) [reported by austin b]</t>
  </si>
  <si>
    <t>Lillian Durand</t>
  </si>
  <si>
    <t>Effua Jordan (bake sale) [reported by austin b]</t>
  </si>
  <si>
    <t>Kaz Schofield (bake sale) [reported by austin b]</t>
  </si>
  <si>
    <t>Daulat Bandial</t>
  </si>
  <si>
    <t>Megan Digiovanni Zelle Transfer (bake sale) [reported by austin b]</t>
  </si>
  <si>
    <t xml:space="preserve">Annalyse Bustamante </t>
  </si>
  <si>
    <t>Rishon Hanspal (bake sale) [reported by austin b]</t>
  </si>
  <si>
    <t>Gray Caston (bake sale) [reported by austin b]</t>
  </si>
  <si>
    <t>Cash Bake Sale [reported by ab]</t>
  </si>
  <si>
    <t>Eggs vet donation (Sarah James)</t>
  </si>
  <si>
    <t>Linda Letherwood (Eggs vet donation, recorded by austin b)</t>
  </si>
  <si>
    <t>Kaci O'Donnel (eggs vet donation, recorded by austin b)</t>
  </si>
  <si>
    <t>Becky Wagley (Eggs vet donation, recorded by austin b)</t>
  </si>
  <si>
    <t>Haley Madden (eggs vet donation, recorded by austin b)</t>
  </si>
  <si>
    <t>Bud davis (recorded by ab)</t>
  </si>
  <si>
    <t>Empenada Adoption (Lauren Adams)[Recorded by AB]</t>
  </si>
  <si>
    <t>Amanda Sosa (reported by ab)</t>
  </si>
  <si>
    <t>Peter La Corte (Stickers @ activity fair) [Reported by austin b]</t>
  </si>
  <si>
    <t>Peter La Corte (donation @ activity fair) [ab]</t>
  </si>
  <si>
    <t>Sydney Rankin (sticker @ activity fair)</t>
  </si>
  <si>
    <t>Jane Wang (sticker @ activity fair) [ab]</t>
  </si>
  <si>
    <t>Kitadan (donation @ activity fair) [ab]</t>
  </si>
  <si>
    <t>Mateo Rodriguez (Activity fair) [ab]</t>
  </si>
  <si>
    <t>Michael (activity fair) [ab]</t>
  </si>
  <si>
    <t>"N/A" (activity fair) [ab]</t>
  </si>
  <si>
    <t>Adreliz Cristobal</t>
  </si>
  <si>
    <t>Nick Hatcher (Bake sale/activity fair thing)[reported by ab]</t>
  </si>
  <si>
    <t>Lily Gonzales  (Bake sale/activity fair thing)[reported by ab]</t>
  </si>
  <si>
    <t>Karma D  (Bake sale/activity fair thing)[reported by ab]</t>
  </si>
  <si>
    <t>Briana Rodgers  (Bake sale/activity fair thing)[reported by ab]</t>
  </si>
  <si>
    <t>Laura Sanchez (Bake sale/activity fair thing)[reported by ab]</t>
  </si>
  <si>
    <t>Caleb Moran  (Bake sale/activity fair thing)[reported by ab]</t>
  </si>
  <si>
    <t>Daniel Ayele  (Bake sale/activity fair thing)[reported by ab]</t>
  </si>
  <si>
    <t>Megan Zelle Transfer  (Bake sale/activity fair thing)[reported by ab]</t>
  </si>
  <si>
    <t>Nelda Hernandez (Bake sale/activity fair thing)[reported by ab]</t>
  </si>
  <si>
    <t>Llyween  (Bake sale/activity fair thing)[reported by ab]</t>
  </si>
  <si>
    <t>Katherine Umanzor Melgar  (Bake sale/activity fair thing)[reported by ab]</t>
  </si>
  <si>
    <t>Martin Martinez  (Bake sale/activity fair thing)[reported by ab]</t>
  </si>
  <si>
    <t>Ben Tucker  (Bake sale/activity fair thing)[reported by ab]</t>
  </si>
  <si>
    <t>Menji  (Bake sale/activity fair thing)[reported by ab]</t>
  </si>
  <si>
    <t>Robbie  (Bake sale/activity fair thing)[reported by ab]</t>
  </si>
  <si>
    <t>Cynthia White  (Bake sale/activity fair thing)[reported by ab]</t>
  </si>
  <si>
    <t>Cynthia Lopez  (Bake sale/activity fair thing)[reported by ab]</t>
  </si>
  <si>
    <t>Claudio Rodriguez  (Bake sale/activity fair thing)[reported by ab]</t>
  </si>
  <si>
    <t>Ryan (Bake sale/activity fair thing)[reported by ab]</t>
  </si>
  <si>
    <t>Valentin Martinez</t>
  </si>
  <si>
    <t>Leslie Noignon  (Bake sale/activity fair thing)[reported by ab]</t>
  </si>
  <si>
    <t>Jacob Sandoval  (Bake sale/activity fair thing)[reported by ab]</t>
  </si>
  <si>
    <t>Shelby C  (Bake sale/activity fair thing)[reported by ab]</t>
  </si>
  <si>
    <t>Liberty  (Bake sale/activity fair thing)[reported by ab]</t>
  </si>
  <si>
    <t>Brooke Barclay (Bake sale) [Recorded by AB]</t>
  </si>
  <si>
    <t>Kashika Anand(Bake sale) [Recorded by AB]</t>
  </si>
  <si>
    <t>Briana Rogers (Bake sale) [Recorded by AB]</t>
  </si>
  <si>
    <t>Mia Reyes (Bake sale) [Recorded by AB]</t>
  </si>
  <si>
    <t>Kaz (Bake sale) [Recorded by AB]</t>
  </si>
  <si>
    <t>Lauren Puls (Bake sale) [Recorded by AB]</t>
  </si>
  <si>
    <t>Megan Digiovanni Zelle Transfer (Bake sale) [Recorded by AB]</t>
  </si>
  <si>
    <t>Bake Sale cash (megan reported number, recorded by AB)</t>
  </si>
  <si>
    <t>Steph 200 (Bake sale) [Recorded by AB]</t>
  </si>
  <si>
    <t>Nayeli Sanchez (Bake sale) [Recorded by AB]</t>
  </si>
  <si>
    <t>Kiara Taylor (Bake sale) [Recorded by AB]</t>
  </si>
  <si>
    <t>Bre H. (Bake sale) [Recorded by AB]</t>
  </si>
  <si>
    <t>Miranda Lee (Bake sale) [Recorded by AB]</t>
  </si>
  <si>
    <t>Lesly Landaverde (Bake sale) [Recorded by AB]</t>
  </si>
  <si>
    <t>Celeste Hinton (Bake sale) [Recorded by AB]</t>
  </si>
  <si>
    <t>Stella Fitzpatrick</t>
  </si>
  <si>
    <t>Joshua Thomson</t>
  </si>
  <si>
    <t>Ramez Sefeen (Bake sale) [Recorded by AB]</t>
  </si>
  <si>
    <t>Junior Segovia (Bake sale) [Recorded by AB]</t>
  </si>
  <si>
    <t>Ben Tucker (Bake sale) [Recorded by AB]</t>
  </si>
  <si>
    <t>Diana Villegas</t>
  </si>
  <si>
    <t>Soraya Moreno (Bake sale) [Recorded by AB]</t>
  </si>
  <si>
    <t>Maria Reyes Avila (Bake sale) [Recorded by AB]</t>
  </si>
  <si>
    <t>Alberto (Bake sale) [Recorded by AB]</t>
  </si>
  <si>
    <t>Jayden Clark (Bake sale) [Recorded by AB]</t>
  </si>
  <si>
    <t>Megan transfer (crochet event, someone paid in cash) [ab]</t>
  </si>
  <si>
    <t>Leah Michnevitz [ab]</t>
  </si>
  <si>
    <t>Ford adoption fee (zelle payment to megan, transferred to us via venmo)</t>
  </si>
  <si>
    <t>Kaci ODonnell crochet cat purchase</t>
  </si>
  <si>
    <t>Shelby C (Bake Sale) [AB]</t>
  </si>
  <si>
    <t>Alexis Cuellar  (Bake Sale) [AB]</t>
  </si>
  <si>
    <t>Debbie Cooke  (Bake Sale) [AB]</t>
  </si>
  <si>
    <t>Peyton  (Bake Sale) [AB]</t>
  </si>
  <si>
    <t>Iftekhar Uddin  (Bake Sale) [AB]</t>
  </si>
  <si>
    <t>Ethan Dong</t>
  </si>
  <si>
    <t>Casandra Kegarise  (Bake Sale) [AB]</t>
  </si>
  <si>
    <t>Travis Hill</t>
  </si>
  <si>
    <t>Beth McPherson  (Bake Sale) [AB]</t>
  </si>
  <si>
    <t>Sadie Denker  (Bake Sale) [AB]</t>
  </si>
  <si>
    <t>Ryan  (Bake Sale) [AB]</t>
  </si>
  <si>
    <t>Cindy Bui  (Bake Sale) [AB]</t>
  </si>
  <si>
    <t>Emmy Piercy  (Bake Sale) [AB]</t>
  </si>
  <si>
    <t>Cash,reported by megan  (Bake Sale) [AB]</t>
  </si>
  <si>
    <t>zelle, transfer from megan. She did originally get 61 total through zelle but did spend $50 of her own supplies and stuff on some of our crocheted cats and all that, so this includes a $50 reimbursement.  (Bake Sale) [AB]</t>
  </si>
  <si>
    <t>Shelby C (Bake sale) [recorded by ab]</t>
  </si>
  <si>
    <t>Cynthia Griffith (Bake sale) [recorded by ab]</t>
  </si>
  <si>
    <t>Caleb Moran (Bake sale) [recorded by ab]</t>
  </si>
  <si>
    <t>Alberto (Bake sale) [recorded by ab]</t>
  </si>
  <si>
    <t>Tay (Bake sale) [recorded by ab]</t>
  </si>
  <si>
    <t>Jacob Sandoval (Bake sale) [recorded by ab]</t>
  </si>
  <si>
    <t>Maria Olds (Bake sale) [recorded by ab]</t>
  </si>
  <si>
    <t>Mario Rodriguez (Bake sale) [recorded by ab]</t>
  </si>
  <si>
    <t>Elisha Taylor (Bake sale) [recorded by ab]</t>
  </si>
  <si>
    <t>Nelda Hernandez (bake sale) [ab]</t>
  </si>
  <si>
    <t>Thermal Camera Refund</t>
  </si>
  <si>
    <t>Megan DiGiovanni Zelle Transfer from Bake Sale [recorded by I.S]</t>
  </si>
  <si>
    <t>Sophia Herrera (Bake Sale) [recorded by I.S.]</t>
  </si>
  <si>
    <t>Jordin Baylee (Bake sale) [recorded by I.S]</t>
  </si>
  <si>
    <t>Kathleen Cantu (Bake Sale) [recorded by I.S.]</t>
  </si>
  <si>
    <t>Troy Broome (Bake Sale/Sticker) [recorded by I.S]</t>
  </si>
  <si>
    <t>Div Bits (Bake Sale) [recoded by I.S]</t>
  </si>
  <si>
    <t>Aubrey Cunningham (Bake Sale) [recorded by I.S]</t>
  </si>
  <si>
    <t>Maxwell Preston (Donation) [recorded by I.S.]</t>
  </si>
  <si>
    <t>Austin Brown (Bake Sale) [recorded by I.S]</t>
  </si>
  <si>
    <t>Sophia Herrera (Bake Sale, second purchase) [recorded by I.S]</t>
  </si>
  <si>
    <t>M. Padron (Bake Sale) [recorded by I.S.]</t>
  </si>
  <si>
    <t>Addison Loera (Bake sale) [recorded by I.S.]</t>
  </si>
  <si>
    <t>Amber Thomas (bake sale) [recorded by I.S.]</t>
  </si>
  <si>
    <t>Amber Thomas (Bake sale, 2nd purchase) [recorded by I.S.]</t>
  </si>
  <si>
    <t>Rob Jimenez (Bake sale) [recorded by I.S.]</t>
  </si>
  <si>
    <t>Daniel Brantley (Bake Sale) [recorded by I.S.]</t>
  </si>
  <si>
    <t>Nelda Hernandez (Bake Sale) [recorded by I.S.]</t>
  </si>
  <si>
    <t>Jacob Sandoval (Bake Sale) [recorded by I.S]</t>
  </si>
  <si>
    <t>Miguel V (bake sale) [recorded by I.S.]</t>
  </si>
  <si>
    <t>Nelda Hernandez (Bake sale, 2nd purchase) [recorded by I.S]</t>
  </si>
  <si>
    <t>Pedro Savala (Bake Sale) [recorded by I.S.]</t>
  </si>
  <si>
    <t>Jonathan Mcgeever (Donation) [recorded by I.S]</t>
  </si>
  <si>
    <t>Isabella Klein (bake sale) [recorded by I.S.]</t>
  </si>
  <si>
    <t>Axel Torres (Donation) [recorded by I.S.]</t>
  </si>
  <si>
    <t>Jesse Jarrell (Donation) [recorded by I.S.]</t>
  </si>
  <si>
    <t>September</t>
  </si>
  <si>
    <t>Jesse Jarrell (Message: none) [Recorded by the TomCat bot]</t>
  </si>
  <si>
    <t>Jessica Ortiz (Message: dirt 🪱) [Recorded by the TomCat bot]</t>
  </si>
  <si>
    <t>Bud Davis (Message: microwave food) [Recorded by the TomCat bot]</t>
  </si>
  <si>
    <t>June</t>
  </si>
  <si>
    <t>Austin Brown (Message: Thermal camera) [Recorded by the TomCat bot]</t>
  </si>
  <si>
    <t>Wonbin Park (Message: Bakesale) [Recorded by the TomCat bot]</t>
  </si>
  <si>
    <t>Jordin Baylee (Message: Cakes (2)) [Recorded by the TomCat bot]</t>
  </si>
  <si>
    <t>tay (Message: thank you!!) [Recorded by the TomCat bot]</t>
  </si>
  <si>
    <t>layah r (Message: bake sale) [Recorded by the TomCat bot]</t>
  </si>
  <si>
    <t>Rain Castillo (Message: Cake :&gt;&gt;&gt;&gt;) [Recorded by the TomCat bot]</t>
  </si>
  <si>
    <t>Danyelle Schofield (Message: none) [Recorded by the TomCat bot]</t>
  </si>
  <si>
    <t>Natalie Pegues (Message: sorry) [Recorded by the TomCat bot]</t>
  </si>
  <si>
    <t>Maria Olds (Message: 🥰) [Recorded by the TomCat bot]</t>
  </si>
  <si>
    <t xml:space="preserve"> Ray V (Message: kittysss) [Recorded by the TomCat bot]</t>
  </si>
  <si>
    <t>Emily Garcia (Message: Cats) [Recorded by the TomCat bot]</t>
  </si>
  <si>
    <t>Valentin Martinez (Message: brownie) [Recorded by the TomCat bot]</t>
  </si>
  <si>
    <t>Charlotte Clopton (Message: matcha cake) [Recorded by the TomCat bot]</t>
  </si>
  <si>
    <t>Ava Wood (Message: diet coke) [Recorded by the TomCat bot]</t>
  </si>
  <si>
    <t>Jacob Sandoval (Message: 7up) [Recorded by the TomCat bot]</t>
  </si>
  <si>
    <t>Celeste Smith (Message: matcha cook) [Recorded by the TomCat bot]</t>
  </si>
  <si>
    <t>Jayda Green (Message: baked goods) [Recorded by the TomCat bot]</t>
  </si>
  <si>
    <t>Michael Amaka (Message: bake sale) [Recorded by the TomCat bot]</t>
  </si>
  <si>
    <t>Daylen Griffin (Message: cats) [Recorded by the TomCat bot]</t>
  </si>
  <si>
    <t>Leslie Mancera Orozco (Message: Rice Krispies) [Recorded by the TomCat bot]</t>
  </si>
  <si>
    <t>October</t>
  </si>
  <si>
    <t>Kris Mason (Message: none) [Recorded by the TomCat bot]</t>
  </si>
  <si>
    <t>Emily Robinson (Message: Button!) [Recorded by the TomCat bot]</t>
  </si>
  <si>
    <t>Megan Digiovanni (Message: Cash from Rocktober) [Recorded by the TomCat bot]</t>
  </si>
  <si>
    <t>April</t>
  </si>
  <si>
    <t>August</t>
  </si>
  <si>
    <t>Austin Brown (Message: Doos and dookies) [Recorded by the TomCat bot]</t>
  </si>
  <si>
    <t>Bonfire (Message: none) [Recorded by the TomCat bot]</t>
  </si>
  <si>
    <t xml:space="preserve">Expenses </t>
  </si>
  <si>
    <r>
      <rPr>
        <rFont val="Courier New"/>
        <color rgb="FF000000"/>
        <sz val="10.0"/>
      </rPr>
      <t xml:space="preserve">Form linked here: </t>
    </r>
    <r>
      <rPr>
        <rFont val="Courier New"/>
        <color rgb="FF1155CC"/>
        <sz val="10.0"/>
        <u/>
      </rPr>
      <t>https://forms.gle/voFMynmpscVyGskj8</t>
    </r>
    <r>
      <rPr>
        <rFont val="Courier New"/>
        <color rgb="FF000000"/>
        <sz val="10.0"/>
      </rPr>
      <t xml:space="preserve">                                                         </t>
    </r>
  </si>
  <si>
    <t>Name (Either who money was transferred to, or which officer is reporting the expense)</t>
  </si>
  <si>
    <t>Expense Type</t>
  </si>
  <si>
    <t xml:space="preserve">Amount </t>
  </si>
  <si>
    <t>Austin (records director) [Transferring old data. This is all stuff from like 2021 to 2023 that I am reporting for this new sheet. Everything from now until 2024 is that.]</t>
  </si>
  <si>
    <t>Austin (see above)</t>
  </si>
  <si>
    <t>Austin (See above)</t>
  </si>
  <si>
    <t>Walmart (Austin(Records))</t>
  </si>
  <si>
    <t>Austin (Records)</t>
  </si>
  <si>
    <t>Walmart (Austin (Records))</t>
  </si>
  <si>
    <t>Domain.com (Austin (Records))</t>
  </si>
  <si>
    <t>Domain.com (Austin(Records))</t>
  </si>
  <si>
    <t>Nick (Press Secretary)</t>
  </si>
  <si>
    <t>Megan Digiovanni (Feeding Director)</t>
  </si>
  <si>
    <t>Pescato cat (Austin B [Records])</t>
  </si>
  <si>
    <t>Celeste Smith (Pescado Vet Bill)</t>
  </si>
  <si>
    <t>Pescato bills continued (Reimbursement to Cel)</t>
  </si>
  <si>
    <t>Austin B [Records]</t>
  </si>
  <si>
    <t>Py Store Pantego [Austin B]</t>
  </si>
  <si>
    <t>Corporate Fillings (Nonprofit gov stuff) [Austin B, records]</t>
  </si>
  <si>
    <t>Texas Secretary of State (Nonprofit stuff) [Austin B, records]</t>
  </si>
  <si>
    <t xml:space="preserve">Nick (PR) </t>
  </si>
  <si>
    <t>Walmart (austin B)</t>
  </si>
  <si>
    <t>Megan(recorded by austin)</t>
  </si>
  <si>
    <t>Pencil (Reimbursed Cel, logged by Austin B)</t>
  </si>
  <si>
    <t>Walgreens</t>
  </si>
  <si>
    <t>PennyPaws [austin b]</t>
  </si>
  <si>
    <t>Mr Burns Vet Visit [Transfered to Isabel Silva]</t>
  </si>
  <si>
    <t>animalHealthCareCenter</t>
  </si>
  <si>
    <t>Westlake Hardware (buying a new trap)</t>
  </si>
  <si>
    <t xml:space="preserve">Megan reimbursement </t>
  </si>
  <si>
    <t>Warbler vet visit, Nick reimbursement</t>
  </si>
  <si>
    <t>Refunding nura 🙄</t>
  </si>
  <si>
    <t>Diffuser for eevee</t>
  </si>
  <si>
    <t>Reimbursement for Megan</t>
  </si>
  <si>
    <t>Panera Kitties Vet Bill Reimbursement To Bel [Input by austin]</t>
  </si>
  <si>
    <t>Py Store Pantego [reported by austin]</t>
  </si>
  <si>
    <t>Panera cat vet bill reimbursement</t>
  </si>
  <si>
    <t>Wix [Reported by Austin B, records head]</t>
  </si>
  <si>
    <t>Storage Unit [Reported by Austin B</t>
  </si>
  <si>
    <t>Reimbursement for megan (Recorded by austin B)</t>
  </si>
  <si>
    <t>TCAP reimbursement to nick</t>
  </si>
  <si>
    <t>Pescado (Was 733.24, foster paid 600$ to assist) [Paid by nick, in cash, logged by Austin B]</t>
  </si>
  <si>
    <t>Rent assist for pescado's fosters</t>
  </si>
  <si>
    <t>Storage unit fee (reported by austin)</t>
  </si>
  <si>
    <t>Website (reported by Austin B)</t>
  </si>
  <si>
    <t>Reimbursement for Megan (Reported by Austin)</t>
  </si>
  <si>
    <t>cat pictures? (unsure) [Reported by austin B, head of records]</t>
  </si>
  <si>
    <t>Microwave vet visit [Reported by Austin B head of records]</t>
  </si>
  <si>
    <t>Sedative for microwave (reimbursement for nick) [Reported by austin B]</t>
  </si>
  <si>
    <t>Storage unit fee [reported by austin b]</t>
  </si>
  <si>
    <t>Nessie TCAP Reimbursement to Nick [Reported by Austin B]</t>
  </si>
  <si>
    <t>Wix [Reported by Austin B]</t>
  </si>
  <si>
    <t>Dewormer reimbursement 4 derek [reported by austin b]</t>
  </si>
  <si>
    <t>Walmart [Reported by austin b]</t>
  </si>
  <si>
    <t>Soda Sale Reimbursement 2 derek [Reported by austin b]</t>
  </si>
  <si>
    <t>IRS nonprofit registration fees (paid by brandon isom/imp, straight from his account to the IRS. Money was in his account from GoFundMe originally, just never transferred to our account) [Reported by austin b]</t>
  </si>
  <si>
    <t>Canva [reported by austin b]</t>
  </si>
  <si>
    <t>Delilah TCAP [reported by austin b]</t>
  </si>
  <si>
    <t>Wix [reported by austin b]</t>
  </si>
  <si>
    <t xml:space="preserve">Reimbursement for kaz for movie night </t>
  </si>
  <si>
    <t>Reimbursement for kaz (movie night? food?) [Reported by austin b]</t>
  </si>
  <si>
    <t>food [reported by austin b]</t>
  </si>
  <si>
    <t>Pescado foster rent(?) reimbursement [reported by austin b]</t>
  </si>
  <si>
    <t>Storage unit fee [ab]</t>
  </si>
  <si>
    <t>Wix website fee [ab]</t>
  </si>
  <si>
    <t>Feeding Station Bowls Reimbursement (to Austin B, recorded by AB)</t>
  </si>
  <si>
    <t>Cricket's Reimbursement (To Sarah Wolf, recorded by AB)</t>
  </si>
  <si>
    <t>Feeding Station Cleanup Reimbursement (Megan Digiovanni, recorded by AB)</t>
  </si>
  <si>
    <t>Mikey Vet Bill (taken into vet by nick, reported by AB)</t>
  </si>
  <si>
    <t>Thermal camera reimbursement (paid to and recorded by austin b)</t>
  </si>
  <si>
    <t>Supplies reimbursement to nick (recorded by austin b)</t>
  </si>
  <si>
    <t>Cat food (bought by megan) (recorded by AB)</t>
  </si>
  <si>
    <t>Storage unit (reported by austin b</t>
  </si>
  <si>
    <t>Empanada Vet Bill (Brought in by nick, recorded by AB)</t>
  </si>
  <si>
    <t>Wix fee (recorded by austin b)</t>
  </si>
  <si>
    <t>TCAP reimbursement to nick (recorded by AB)</t>
  </si>
  <si>
    <t>Food reimbursement to nick (recorded by AB)</t>
  </si>
  <si>
    <t>Empenada vet bill</t>
  </si>
  <si>
    <t>Feeding Station Rennovation Plywood (Reimbursement to AB)</t>
  </si>
  <si>
    <t>Feeding Station Rennovation (Paint&amp;Supplies)[To Home Depot, recorded by AB]</t>
  </si>
  <si>
    <t>Feeding Station Rennovation (Screws &amp; other materials at walmart)[Recorded by AB]</t>
  </si>
  <si>
    <t>Storage Unit [recorded by AB]</t>
  </si>
  <si>
    <t>Cat litter for eevee</t>
  </si>
  <si>
    <t>Walmart order of wet food for foster cats. (Bought by Cel) [Recorded by Austin B]</t>
  </si>
  <si>
    <t>pine litter and food for warbler (bought by Cel, reported by AB)</t>
  </si>
  <si>
    <t>Kroger cat food (bought by megan, recorded by AB)</t>
  </si>
  <si>
    <t>Litter &amp; Wet Food reimbursement to nick (recorded by AB)</t>
  </si>
  <si>
    <t>December Wix Fee (Recorded by Bel)</t>
  </si>
  <si>
    <t>Storage Unit Fee [recorded by ab]</t>
  </si>
  <si>
    <t>Kaz reimbursement [logged by ab]</t>
  </si>
  <si>
    <t>domain.com (Endurance International Group) [recorded by ab]</t>
  </si>
  <si>
    <t>Kaz reimbursement. "Reimbursement for cat food approved by Treasurer" [recorded by AB[</t>
  </si>
  <si>
    <t>Bake Sale Bracelet Reimbursment to Kaz [recorded by ab]</t>
  </si>
  <si>
    <t>Ford F-150 goes to the vet [ab]</t>
  </si>
  <si>
    <t>Reimbursement to Megan Digiovanni for cat food [ab]</t>
  </si>
  <si>
    <t>Reimbursement for Megan Digiovanni (Craft event) [ab[</t>
  </si>
  <si>
    <t>Storage Unit</t>
  </si>
  <si>
    <t>Nonprofit stuff (corporate fillings) [ab]</t>
  </si>
  <si>
    <t>Wix [ab]</t>
  </si>
  <si>
    <t>Kaz Schofield Beads/bracelet event (spent at michaels) [ab]</t>
  </si>
  <si>
    <t>Nick reimbursement for clipboards [ab]</t>
  </si>
  <si>
    <t>Jacob Reimbursement (food for eevee) [ab]</t>
  </si>
  <si>
    <t>Py Store Here Pantego</t>
  </si>
  <si>
    <t>Kaz Reimbursement for beads for member event [ab]</t>
  </si>
  <si>
    <t>Mr Sir/Fountain Pen Euthanasia reimbursement to Austin B [recorded by ab]</t>
  </si>
  <si>
    <t>Feeding Station Painting 2 (home depot) [ab]</t>
  </si>
  <si>
    <t>Jacob Sandoval cat litter reimbursement (approved by Treasurer bel) [recorded by ab]</t>
  </si>
  <si>
    <t>Graduation Chords - [Bel]</t>
  </si>
  <si>
    <t>Wix (for April) - [Bel]</t>
  </si>
  <si>
    <t>Wix (for March) - [Bel]</t>
  </si>
  <si>
    <t>Megan bought food [ab]</t>
  </si>
  <si>
    <t>TNR Traps (Tomahawk live trap) [ab]</t>
  </si>
  <si>
    <t>Storage unit (may) [ab]</t>
  </si>
  <si>
    <t>Cat food reimbursement to derek [ab]</t>
  </si>
  <si>
    <t>Website fee (may)</t>
  </si>
  <si>
    <t>Storage for month of June [Bel]</t>
  </si>
  <si>
    <t>Wix for month of June [Bel]</t>
  </si>
  <si>
    <t xml:space="preserve">Storage Unit [Bel] </t>
  </si>
  <si>
    <t xml:space="preserve">Cel Cat food Reimbursement [Bel] </t>
  </si>
  <si>
    <t>Megan Digiovanni Cat Food Reimbursement [recorded by I.S.]</t>
  </si>
  <si>
    <t>Petsmart Purchase [recorded by I.S.]</t>
  </si>
  <si>
    <t>Redbubble (Merchandise) [recorded by I.S.]</t>
  </si>
  <si>
    <t>Bonfire (Merchandise) [recorded by I.S.]</t>
  </si>
  <si>
    <t>August storage unit fee [Ab]</t>
  </si>
  <si>
    <t>Megan Digiovanni Button Maker Reimbursement [recorded by I.S.]</t>
  </si>
  <si>
    <t>Wix [recorded by I.S]</t>
  </si>
  <si>
    <t>Derek Fuentes Business Cards Reimbursement [recorded by I.S]</t>
  </si>
  <si>
    <t>Kaz Cat food and collar reimbursement [recorded by I.S.]</t>
  </si>
  <si>
    <t>Avocado vaccines reimbursement to derek [ab]</t>
  </si>
  <si>
    <t>Dominos for membership event [Recorded by AB]</t>
  </si>
  <si>
    <t>Nametag holder reimbursement to megan [recorded by ab]</t>
  </si>
  <si>
    <t>Gregory and Rubber's TCAP visit reimbursement to derek [ab]</t>
  </si>
  <si>
    <t>Avocado's vet visit (tests and exams) reimbursement to derek [AB]</t>
  </si>
  <si>
    <t>Food tub replacement reimbursement to derek [recorded by AB]</t>
  </si>
  <si>
    <t>Megan DiGiovanni (Message: Halloween Party Craft Supplies approved by: President) [I.S.]</t>
  </si>
  <si>
    <t>Megan DiGiovanni (Cat food reimbursement approved by :Bel) [I.S]</t>
  </si>
  <si>
    <t>Megan Digiovanni (Message: Reimbursement for nametag holders, approved by President) [Recorded by the TomCat bot]</t>
  </si>
  <si>
    <t>Derek Fuentes (Message: Avocado’s vet visit (tests and exams) payment, approved by President) [Recorded by the TomCat bot]</t>
  </si>
  <si>
    <t>Derek Fuentes (Message: Food Tub Replacements Reimbursement, Approved by President) [Recorded by the TomCat bot]</t>
  </si>
  <si>
    <t>Megan Digiovanni (Message: Halloween Party craft supplies reimbursement, approved by president) [Recorded by the TomCat bot]</t>
  </si>
  <si>
    <t>May</t>
  </si>
  <si>
    <t>KROGER # (Message: none) [Recorded by the TomCat bot]</t>
  </si>
  <si>
    <t>Py Store Here Pantego (Message: none) [Recorded by the TomCat bot]</t>
  </si>
  <si>
    <t>Wix (Message: none) [Recorded by the TomCat bot]</t>
  </si>
  <si>
    <t>AMAZON MKTPLACE PMTS (Message: none) [Recorded by the TomCat bot]</t>
  </si>
  <si>
    <t>July</t>
  </si>
  <si>
    <t>These numbers are automatically generated, unless you understand each of these formulas and are aware of the changes you are planning on making, try not to touch them. I also do not fully understand or know them and can not easily repair them if they break. save us both the torture of relearning ancient spells and formulas.</t>
  </si>
  <si>
    <t>Average Semesterly Income:</t>
  </si>
  <si>
    <t>Average Semesterly Expenses:</t>
  </si>
  <si>
    <t>To do: make a histogram of new member dues vs date.</t>
  </si>
  <si>
    <t>Average Semesterly Profit:</t>
  </si>
  <si>
    <t>Income Type</t>
  </si>
  <si>
    <t>Average Amount</t>
  </si>
  <si>
    <t>Data Points</t>
  </si>
  <si>
    <t>Standard Deviation</t>
  </si>
  <si>
    <t>Minimum</t>
  </si>
  <si>
    <t>Maximum</t>
  </si>
  <si>
    <r>
      <rPr>
        <rFont val="Helvetica Neue"/>
        <color rgb="FFFFFFFF"/>
        <sz val="11.0"/>
      </rPr>
      <t xml:space="preserve">Expected Range per Income
 </t>
    </r>
    <r>
      <rPr>
        <rFont val="Helvetica Neue"/>
        <color rgb="FFFFFFFF"/>
        <sz val="7.0"/>
      </rPr>
      <t>(95% Confidence Interval)</t>
    </r>
  </si>
  <si>
    <t>Average Instances per semester</t>
  </si>
  <si>
    <t>Average income per Semester</t>
  </si>
  <si>
    <t>Percentage of Total</t>
  </si>
  <si>
    <t>Donations (Not from dues)</t>
  </si>
  <si>
    <t>Expenses Type</t>
  </si>
  <si>
    <t>Average Cost</t>
  </si>
  <si>
    <r>
      <rPr>
        <rFont val="Helvetica Neue"/>
        <color rgb="FFFFFFFF"/>
        <sz val="11.0"/>
      </rPr>
      <t xml:space="preserve">Expected Range per Expense
 </t>
    </r>
    <r>
      <rPr>
        <rFont val="Helvetica Neue"/>
        <color rgb="FFFFFFFF"/>
        <sz val="7.0"/>
      </rPr>
      <t>(95% Confidence Interval)</t>
    </r>
  </si>
  <si>
    <t>Average instances per semester</t>
  </si>
  <si>
    <t>Average Cost Per Semester</t>
  </si>
  <si>
    <t>Member Dues Calculations</t>
  </si>
  <si>
    <r>
      <rPr>
        <rFont val="Helvetica Neue"/>
        <color rgb="FFFFFFFF"/>
        <sz val="18.0"/>
      </rPr>
      <t xml:space="preserve">Donations included in Dues </t>
    </r>
    <r>
      <rPr>
        <rFont val="Helvetica Neue"/>
        <color rgb="FFFFFFFF"/>
        <sz val="9.0"/>
      </rPr>
      <t>(Counted as general donations)</t>
    </r>
  </si>
  <si>
    <t>Foods/goods Fundraisers</t>
  </si>
  <si>
    <t>Name</t>
  </si>
  <si>
    <t>Dues paid</t>
  </si>
  <si>
    <t>Discounts</t>
  </si>
  <si>
    <t>Dues</t>
  </si>
  <si>
    <t>Payment Location</t>
  </si>
  <si>
    <t>$ Amount</t>
  </si>
  <si>
    <t>Spring 2020</t>
  </si>
  <si>
    <t>January</t>
  </si>
  <si>
    <t>Fall 2020</t>
  </si>
  <si>
    <t>Spring 2021</t>
  </si>
  <si>
    <t>Fall 2021</t>
  </si>
  <si>
    <t>Blank Space, Ignore</t>
  </si>
  <si>
    <t>Spring 2022</t>
  </si>
  <si>
    <t>Fall 2022</t>
  </si>
  <si>
    <t>Spring 2023</t>
  </si>
  <si>
    <t>Fall 2023</t>
  </si>
  <si>
    <t>Fall 2024</t>
  </si>
  <si>
    <t>Spring 2025</t>
  </si>
  <si>
    <t>Fall 2025</t>
  </si>
  <si>
    <t>Spring 2026</t>
  </si>
  <si>
    <t>Fall 2026</t>
  </si>
  <si>
    <t>Spring 2027</t>
  </si>
  <si>
    <t>Fall 2027</t>
  </si>
  <si>
    <t>Spring 2028</t>
  </si>
  <si>
    <t>Fall 2028</t>
  </si>
  <si>
    <t>Spring 2029</t>
  </si>
  <si>
    <t>Fall 2029</t>
  </si>
  <si>
    <t>Spring 2030</t>
  </si>
  <si>
    <t>Fall 2030</t>
  </si>
  <si>
    <t>Spring 2031</t>
  </si>
  <si>
    <t>Fall 2031</t>
  </si>
  <si>
    <t>Spring 2032</t>
  </si>
  <si>
    <t>Fall 2032</t>
  </si>
  <si>
    <t>Spring 2033</t>
  </si>
  <si>
    <t>Fall 2033</t>
  </si>
  <si>
    <t>Spring 2034</t>
  </si>
  <si>
    <t>Fall 2034</t>
  </si>
  <si>
    <t>Spring 2035</t>
  </si>
  <si>
    <t>Fall 2035</t>
  </si>
  <si>
    <t>Spring 2036</t>
  </si>
  <si>
    <t>Fall 2036</t>
  </si>
  <si>
    <t>Spring 2037</t>
  </si>
  <si>
    <t>Fall 2037</t>
  </si>
  <si>
    <t>Spring 2038</t>
  </si>
  <si>
    <t>Fall 2038</t>
  </si>
  <si>
    <t>Spring 2039</t>
  </si>
  <si>
    <t>Fall 2039</t>
  </si>
  <si>
    <t>Spring 2040</t>
  </si>
  <si>
    <t>Fall 2040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</si>
</sst>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quot;$&quot;#,##0"/>
    <numFmt numFmtId="166" formatCode="M/d/yyyy"/>
    <numFmt numFmtId="167" formatCode="m/d/yyyy"/>
  </numFmts>
  <fonts count="76">
    <font>
      <sz val="10.0"/>
      <color rgb="FF000000"/>
      <name val="Arial"/>
      <scheme val="minor"/>
    </font>
    <font>
      <color theme="1"/>
      <name val="Arial"/>
      <scheme val="minor"/>
    </font>
    <font/>
    <font>
      <sz val="9.0"/>
      <color rgb="FFFFFFFF"/>
      <name val="Helvetica Neue"/>
    </font>
    <font>
      <b/>
      <sz val="9.0"/>
      <color rgb="FF000000"/>
      <name val="Helvetica Neue"/>
    </font>
    <font>
      <sz val="9.0"/>
      <color theme="1"/>
      <name val="Helvetica Neue"/>
    </font>
    <font>
      <b/>
      <sz val="9.0"/>
      <color rgb="FFE06666"/>
      <name val="Helvetica Neue"/>
    </font>
    <font>
      <b/>
      <sz val="16.0"/>
      <color rgb="FFFFFFFF"/>
      <name val="Helvetica Neue"/>
    </font>
    <font>
      <sz val="9.0"/>
      <color rgb="FF000000"/>
      <name val="&quot;Courier New&quot;"/>
    </font>
    <font>
      <b/>
      <sz val="14.0"/>
      <color rgb="FF34A853"/>
      <name val="Helvetica Neue"/>
    </font>
    <font>
      <b/>
      <sz val="14.0"/>
      <color rgb="FFFF6D01"/>
      <name val="Helvetica Neue"/>
    </font>
    <font>
      <b/>
      <sz val="15.0"/>
      <color rgb="FFFFFFFF"/>
      <name val="Helvetica Neue"/>
    </font>
    <font>
      <color rgb="FF000000"/>
      <name val="Arial"/>
      <scheme val="minor"/>
    </font>
    <font>
      <b/>
      <color rgb="FF000000"/>
      <name val="Arial"/>
      <scheme val="minor"/>
    </font>
    <font>
      <sz val="11.0"/>
      <color theme="1"/>
      <name val="Helvetica Neue"/>
    </font>
    <font>
      <b/>
      <sz val="11.0"/>
      <color theme="7"/>
      <name val="Helvetica Neue"/>
    </font>
    <font>
      <b/>
      <sz val="11.0"/>
      <color theme="1"/>
      <name val="Helvetica Neue"/>
    </font>
    <font>
      <sz val="11.0"/>
      <color rgb="FFFFFFFF"/>
      <name val="Helvetica Neue"/>
    </font>
    <font>
      <i/>
      <sz val="11.0"/>
      <color rgb="FFFFFFFF"/>
      <name val="Helvetica Neue"/>
    </font>
    <font>
      <b/>
      <sz val="11.0"/>
      <color theme="8"/>
      <name val="Arial"/>
      <scheme val="minor"/>
    </font>
    <font>
      <sz val="9.0"/>
      <color rgb="FF000000"/>
      <name val="IBM Plex Mono"/>
    </font>
    <font>
      <sz val="9.0"/>
      <color theme="1"/>
      <name val="IBM Plex Mono"/>
    </font>
    <font>
      <b/>
      <sz val="11.0"/>
      <color rgb="FF000000"/>
      <name val="Arial"/>
      <scheme val="minor"/>
    </font>
    <font>
      <sz val="11.0"/>
      <color theme="1"/>
      <name val="Arial"/>
      <scheme val="minor"/>
    </font>
    <font>
      <b/>
      <sz val="12.0"/>
      <color rgb="FFFFFFFF"/>
      <name val="Helvetica Neue"/>
    </font>
    <font>
      <u/>
      <sz val="10.0"/>
      <color rgb="FF0000FF"/>
      <name val="Courier New"/>
    </font>
    <font>
      <b/>
      <sz val="11.0"/>
      <color rgb="FFFFFFFF"/>
      <name val="Helvetica Neue"/>
    </font>
    <font>
      <b/>
      <sz val="8.0"/>
      <color rgb="FFFFFFFF"/>
      <name val="Helvetica Neue"/>
    </font>
    <font>
      <u/>
      <sz val="9.0"/>
      <color rgb="FF0000FF"/>
      <name val="IBM Plex Mono"/>
    </font>
    <font>
      <sz val="9.0"/>
      <color theme="1"/>
      <name val="Arial"/>
      <scheme val="minor"/>
    </font>
    <font>
      <sz val="9.0"/>
      <color rgb="FF999999"/>
      <name val="IBM Plex Mono"/>
    </font>
    <font>
      <u/>
      <sz val="9.0"/>
      <color rgb="FF999999"/>
      <name val="IBM Plex Mono"/>
    </font>
    <font>
      <u/>
      <sz val="9.0"/>
      <color rgb="FF0000FF"/>
      <name val="IBM Plex Mono"/>
    </font>
    <font>
      <u/>
      <sz val="9.0"/>
      <color rgb="FF0000FF"/>
      <name val="IBM Plex Mono"/>
    </font>
    <font>
      <u/>
      <sz val="9.0"/>
      <color rgb="FF0000FF"/>
      <name val="IBM Plex Mono"/>
    </font>
    <font>
      <u/>
      <sz val="9.0"/>
      <color rgb="FF0000FF"/>
      <name val="IBM Plex Mono"/>
    </font>
    <font>
      <u/>
      <sz val="9.0"/>
      <color rgb="FF0000FF"/>
      <name val="IBM Plex Mono"/>
    </font>
    <font>
      <u/>
      <sz val="9.0"/>
      <color rgb="FF0000FF"/>
      <name val="IBM Plex Mono"/>
    </font>
    <font>
      <u/>
      <sz val="9.0"/>
      <color rgb="FF0000FF"/>
      <name val="IBM Plex Mono"/>
    </font>
    <font>
      <b/>
      <color rgb="FFFFFFFF"/>
      <name val="Helvetica Neue"/>
    </font>
    <font>
      <color theme="1"/>
      <name val="Helvetica Neue"/>
    </font>
    <font>
      <u/>
      <sz val="9.0"/>
      <color rgb="FF1155CC"/>
      <name val="Helvetica Neue"/>
    </font>
    <font>
      <u/>
      <sz val="9.0"/>
      <color rgb="FF1155CC"/>
      <name val="Helvetica Neue"/>
    </font>
    <font>
      <u/>
      <color rgb="FF1155CC"/>
      <name val="Helvetica Neue"/>
    </font>
    <font>
      <u/>
      <sz val="9.0"/>
      <color rgb="FF0000FF"/>
      <name val="Helvetica Neue"/>
    </font>
    <font>
      <sz val="9.0"/>
      <color rgb="FF1F1F1F"/>
      <name val="&quot;Google Sans&quot;"/>
    </font>
    <font>
      <u/>
      <sz val="9.0"/>
      <color rgb="FF0000FF"/>
      <name val="&quot;Google Sans&quot;"/>
    </font>
    <font>
      <u/>
      <sz val="9.0"/>
      <color rgb="FF0000FF"/>
      <name val="Helvetica Neue"/>
    </font>
    <font>
      <sz val="12.0"/>
      <color rgb="FFFFFFFF"/>
      <name val="Helvetica Neue"/>
    </font>
    <font>
      <sz val="12.0"/>
      <color theme="1"/>
      <name val="Helvetica Neue"/>
    </font>
    <font>
      <color theme="1"/>
      <name val="Arial"/>
    </font>
    <font>
      <color rgb="FF000000"/>
      <name val="Lato"/>
    </font>
    <font>
      <color rgb="FF000000"/>
      <name val="IBM Plex Mono"/>
    </font>
    <font>
      <u/>
      <color rgb="FF0000FF"/>
      <name val="Lato"/>
    </font>
    <font>
      <u/>
      <color rgb="FF0000FF"/>
      <name val="Lato"/>
    </font>
    <font>
      <color rgb="FF000000"/>
      <name val="Arial"/>
    </font>
    <font>
      <b/>
      <i/>
      <sz val="11.0"/>
      <color rgb="FF000000"/>
      <name val="Lato"/>
    </font>
    <font>
      <b/>
      <sz val="11.0"/>
      <color rgb="FF000000"/>
      <name val="Lato"/>
    </font>
    <font>
      <b/>
      <i/>
      <color rgb="FFFFFFFF"/>
      <name val="Lato"/>
    </font>
    <font>
      <color rgb="FFFFFFFF"/>
      <name val="Arial"/>
    </font>
    <font>
      <sz val="15.0"/>
      <color rgb="FF000000"/>
      <name val="IBM Plex Mono"/>
    </font>
    <font>
      <sz val="6.0"/>
      <color rgb="FF000000"/>
      <name val="Courier New"/>
    </font>
    <font>
      <b/>
      <sz val="18.0"/>
      <color rgb="FFFFFFFF"/>
      <name val="Helvetica Neue"/>
    </font>
    <font>
      <u/>
      <sz val="10.0"/>
      <color rgb="FF000000"/>
      <name val="Courier New"/>
    </font>
    <font>
      <sz val="12.0"/>
      <color rgb="FF000000"/>
      <name val="Helvetica Neue"/>
    </font>
    <font>
      <sz val="9.0"/>
      <color rgb="FFFFFFFF"/>
      <name val="IBM Plex Mono"/>
    </font>
    <font>
      <sz val="6.0"/>
      <color rgb="FF000000"/>
      <name val="IBM Plex Mono"/>
    </font>
    <font>
      <b/>
      <i/>
      <sz val="9.0"/>
      <color rgb="FFFFFFFF"/>
      <name val="Helvetica Neue"/>
    </font>
    <font>
      <sz val="16.0"/>
      <color theme="1"/>
      <name val="IBM Plex Mono"/>
    </font>
    <font>
      <sz val="8.0"/>
      <color theme="1"/>
      <name val="IBM Plex Mono"/>
    </font>
    <font>
      <sz val="11.0"/>
      <color rgb="FF000000"/>
      <name val="Helvetica Neue"/>
    </font>
    <font>
      <b/>
      <sz val="9.0"/>
      <color theme="1"/>
      <name val="IBM Plex Mono"/>
    </font>
    <font>
      <sz val="6.0"/>
      <color rgb="FF000000"/>
      <name val="Helvetica Neue"/>
    </font>
    <font>
      <sz val="20.0"/>
      <color rgb="FFFFFFFF"/>
      <name val="Helvetica Neue"/>
    </font>
    <font>
      <sz val="18.0"/>
      <color rgb="FFFFFFFF"/>
      <name val="Helvetica Neue"/>
    </font>
    <font>
      <sz val="9.0"/>
      <color rgb="FFEFEFEF"/>
      <name val="IBM Plex Mono"/>
    </font>
  </fonts>
  <fills count="26">
    <fill>
      <patternFill patternType="none"/>
    </fill>
    <fill>
      <patternFill patternType="lightGray"/>
    </fill>
    <fill>
      <patternFill patternType="solid">
        <fgColor rgb="FF434343"/>
        <bgColor rgb="FF434343"/>
      </patternFill>
    </fill>
    <fill>
      <patternFill patternType="solid">
        <fgColor rgb="FF000000"/>
        <bgColor rgb="FF000000"/>
      </patternFill>
    </fill>
    <fill>
      <patternFill patternType="solid">
        <fgColor rgb="FFFFFFFF"/>
        <bgColor rgb="FFFFFFFF"/>
      </patternFill>
    </fill>
    <fill>
      <patternFill patternType="solid">
        <fgColor rgb="FF4A86E8"/>
        <bgColor rgb="FF4A86E8"/>
      </patternFill>
    </fill>
    <fill>
      <patternFill patternType="solid">
        <fgColor rgb="FF783F04"/>
        <bgColor rgb="FF783F04"/>
      </patternFill>
    </fill>
    <fill>
      <patternFill patternType="solid">
        <fgColor rgb="FFF3F3F3"/>
        <bgColor rgb="FFF3F3F3"/>
      </patternFill>
    </fill>
    <fill>
      <patternFill patternType="solid">
        <fgColor rgb="FF34A853"/>
        <bgColor rgb="FF34A853"/>
      </patternFill>
    </fill>
    <fill>
      <patternFill patternType="solid">
        <fgColor theme="1"/>
        <bgColor theme="1"/>
      </patternFill>
    </fill>
    <fill>
      <patternFill patternType="solid">
        <fgColor rgb="FFEFEFEF"/>
        <bgColor rgb="FFEFEFEF"/>
      </patternFill>
    </fill>
    <fill>
      <patternFill patternType="solid">
        <fgColor rgb="FFCCCCCC"/>
        <bgColor rgb="FFCCCCCC"/>
      </patternFill>
    </fill>
    <fill>
      <patternFill patternType="solid">
        <fgColor rgb="FF00FF00"/>
        <bgColor rgb="FF00FF00"/>
      </patternFill>
    </fill>
    <fill>
      <patternFill patternType="solid">
        <fgColor rgb="FFB7B7B7"/>
        <bgColor rgb="FFB7B7B7"/>
      </patternFill>
    </fill>
    <fill>
      <patternFill patternType="solid">
        <fgColor rgb="FFFF9900"/>
        <bgColor rgb="FFFF9900"/>
      </patternFill>
    </fill>
    <fill>
      <patternFill patternType="solid">
        <fgColor rgb="FFF4CCCC"/>
        <bgColor rgb="FFF4CCCC"/>
      </patternFill>
    </fill>
    <fill>
      <patternFill patternType="solid">
        <fgColor rgb="FFFFF2CC"/>
        <bgColor rgb="FFFFF2CC"/>
      </patternFill>
    </fill>
    <fill>
      <patternFill patternType="solid">
        <fgColor theme="7"/>
        <bgColor theme="7"/>
      </patternFill>
    </fill>
    <fill>
      <patternFill patternType="solid">
        <fgColor theme="8"/>
        <bgColor theme="8"/>
      </patternFill>
    </fill>
    <fill>
      <patternFill patternType="solid">
        <fgColor rgb="FFFFFF00"/>
        <bgColor rgb="FFFFFF00"/>
      </patternFill>
    </fill>
    <fill>
      <patternFill patternType="solid">
        <fgColor theme="4"/>
        <bgColor theme="4"/>
      </patternFill>
    </fill>
    <fill>
      <patternFill patternType="solid">
        <fgColor rgb="FF5B0F00"/>
        <bgColor rgb="FF5B0F00"/>
      </patternFill>
    </fill>
    <fill>
      <patternFill patternType="solid">
        <fgColor theme="5"/>
        <bgColor theme="5"/>
      </patternFill>
    </fill>
    <fill>
      <patternFill patternType="solid">
        <fgColor rgb="FF999999"/>
        <bgColor rgb="FF999999"/>
      </patternFill>
    </fill>
    <fill>
      <patternFill patternType="solid">
        <fgColor rgb="FFD9EAD3"/>
        <bgColor rgb="FFD9EAD3"/>
      </patternFill>
    </fill>
    <fill>
      <patternFill patternType="solid">
        <fgColor rgb="FFFCE5CD"/>
        <bgColor rgb="FFFCE5CD"/>
      </patternFill>
    </fill>
  </fills>
  <borders count="117">
    <border/>
    <border>
      <right style="thin">
        <color rgb="FF000000"/>
      </right>
    </border>
    <border>
      <left style="thin">
        <color rgb="FF000000"/>
      </left>
    </border>
    <border>
      <left style="double">
        <color rgb="FF000000"/>
      </left>
    </border>
    <border>
      <left style="double">
        <color rgb="FF000000"/>
      </left>
      <right style="double">
        <color rgb="FF000000"/>
      </right>
    </border>
    <border>
      <top style="thin">
        <color rgb="FF000000"/>
      </top>
      <bottom style="thin">
        <color rgb="FF000000"/>
      </bottom>
    </border>
    <border>
      <right style="thin">
        <color rgb="FFFFFFFF"/>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double">
        <color rgb="FF000000"/>
      </right>
      <top style="thin">
        <color rgb="FF000000"/>
      </top>
      <bottom style="thin">
        <color rgb="FF000000"/>
      </bottom>
    </border>
    <border>
      <left style="double">
        <color rgb="FF000000"/>
      </left>
      <right style="double">
        <color rgb="FF000000"/>
      </right>
      <top style="thin">
        <color rgb="FF000000"/>
      </top>
      <bottom style="thin">
        <color rgb="FF6C7687"/>
      </bottom>
    </border>
    <border>
      <top style="medium">
        <color rgb="FF000000"/>
      </top>
      <bottom style="hair">
        <color rgb="FF000000"/>
      </bottom>
    </border>
    <border>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thin">
        <color rgb="FF000000"/>
      </left>
      <right style="thin">
        <color rgb="FF000000"/>
      </right>
    </border>
    <border>
      <right style="thin">
        <color rgb="FFF3F3F3"/>
      </right>
      <bottom style="dotted">
        <color rgb="FF000000"/>
      </bottom>
    </border>
    <border>
      <left style="thin">
        <color rgb="FFF3F3F3"/>
      </left>
      <right style="thin">
        <color rgb="FFF3F3F3"/>
      </right>
      <bottom style="dotted">
        <color rgb="FF000000"/>
      </bottom>
    </border>
    <border>
      <left style="thin">
        <color rgb="FFF3F3F3"/>
      </left>
      <bottom style="dotted">
        <color rgb="FF000000"/>
      </bottom>
    </border>
    <border>
      <right style="thin">
        <color rgb="FFF3F3F3"/>
      </right>
      <top style="thin">
        <color rgb="FF000000"/>
      </top>
      <bottom style="thin">
        <color rgb="FF000000"/>
      </bottom>
    </border>
    <border>
      <left style="thin">
        <color rgb="FFF3F3F3"/>
      </left>
      <right style="thin">
        <color rgb="FFF3F3F3"/>
      </right>
      <top style="thin">
        <color rgb="FF000000"/>
      </top>
      <bottom style="thin">
        <color rgb="FF000000"/>
      </bottom>
    </border>
    <border>
      <left style="thin">
        <color rgb="FFF3F3F3"/>
      </left>
      <top style="thin">
        <color rgb="FF000000"/>
      </top>
      <bottom style="thin">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right style="thin">
        <color rgb="FF000000"/>
      </right>
      <top style="dotted">
        <color rgb="FF000000"/>
      </top>
      <bottom style="dotted">
        <color rgb="FF000000"/>
      </bottom>
    </border>
    <border>
      <right style="thin">
        <color rgb="FF000000"/>
      </right>
      <bottom style="dotted">
        <color rgb="FF000000"/>
      </bottom>
    </border>
    <border>
      <left style="double">
        <color rgb="FF000000"/>
      </left>
      <top style="dotted">
        <color rgb="FF000000"/>
      </top>
      <bottom style="dotted">
        <color rgb="FF000000"/>
      </bottom>
    </border>
    <border>
      <left style="double">
        <color rgb="FF000000"/>
      </left>
      <bottom style="dotted">
        <color rgb="FF000000"/>
      </bottom>
    </border>
    <border>
      <top style="hair">
        <color rgb="FF000000"/>
      </top>
      <bottom style="medium">
        <color rgb="FF000000"/>
      </bottom>
    </border>
    <border>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style="thin">
        <color rgb="FF000000"/>
      </left>
      <right style="thin">
        <color rgb="FF000000"/>
      </right>
      <bottom style="medium">
        <color rgb="FFFFFFFF"/>
      </bottom>
    </border>
    <border>
      <right style="thin">
        <color rgb="FF000000"/>
      </right>
      <top style="dotted">
        <color rgb="FF000000"/>
      </top>
    </border>
    <border>
      <left style="double">
        <color rgb="FF000000"/>
      </left>
      <top style="dotted">
        <color rgb="FF000000"/>
      </top>
    </border>
    <border>
      <left style="thin">
        <color rgb="FF000000"/>
      </left>
      <right style="thin">
        <color rgb="FF000000"/>
      </right>
      <top style="medium">
        <color rgb="FFFFFFFF"/>
      </top>
    </border>
    <border>
      <right style="thin">
        <color rgb="FFF3F3F3"/>
      </right>
      <top style="dotted">
        <color rgb="FF000000"/>
      </top>
      <bottom style="dotted">
        <color rgb="FF000000"/>
      </bottom>
    </border>
    <border>
      <left style="thin">
        <color rgb="FFF3F3F3"/>
      </left>
      <right style="thin">
        <color rgb="FFF3F3F3"/>
      </right>
      <top style="dotted">
        <color rgb="FF000000"/>
      </top>
      <bottom style="dotted">
        <color rgb="FF000000"/>
      </bottom>
    </border>
    <border>
      <right style="thin">
        <color rgb="FF000000"/>
      </right>
      <top style="dotted">
        <color rgb="FF000000"/>
      </top>
      <bottom style="medium">
        <color rgb="FF000000"/>
      </bottom>
    </border>
    <border>
      <right style="thin">
        <color rgb="FF000000"/>
      </right>
      <bottom style="medium">
        <color rgb="FF000000"/>
      </bottom>
    </border>
    <border>
      <left style="double">
        <color rgb="FF000000"/>
      </left>
      <bottom style="medium">
        <color rgb="FF000000"/>
      </bottom>
    </border>
    <border>
      <right style="thin">
        <color rgb="FFF3F3F3"/>
      </right>
      <top style="dotted">
        <color rgb="FF000000"/>
      </top>
      <bottom style="thin">
        <color rgb="FFF3F3F3"/>
      </bottom>
    </border>
    <border>
      <left style="thin">
        <color rgb="FFF3F3F3"/>
      </left>
      <right style="thin">
        <color rgb="FFF3F3F3"/>
      </right>
      <top style="dotted">
        <color rgb="FF000000"/>
      </top>
      <bottom style="thin">
        <color rgb="FFF3F3F3"/>
      </bottom>
    </border>
    <border>
      <left style="thin">
        <color rgb="FFF3F3F3"/>
      </left>
      <bottom style="thin">
        <color rgb="FFF3F3F3"/>
      </bottom>
    </border>
    <border>
      <left style="double">
        <color rgb="FF000000"/>
      </left>
      <right style="double">
        <color rgb="FF000000"/>
      </right>
      <bottom style="double">
        <color rgb="FF000000"/>
      </bottom>
    </border>
    <border>
      <left style="thin">
        <color rgb="FF000000"/>
      </left>
      <right style="thin">
        <color rgb="FF000000"/>
      </right>
      <bottom style="thin">
        <color rgb="FF000000"/>
      </bottom>
    </border>
    <border>
      <right style="thin">
        <color rgb="FFFFFFFF"/>
      </right>
      <bottom style="hair">
        <color rgb="FF000000"/>
      </bottom>
    </border>
    <border>
      <left style="thin">
        <color rgb="FFFFFFFF"/>
      </left>
      <right style="thin">
        <color rgb="FFFFFFFF"/>
      </right>
      <bottom style="hair">
        <color rgb="FF000000"/>
      </bottom>
    </border>
    <border>
      <left style="thin">
        <color rgb="FFFFFFFF"/>
      </left>
      <bottom style="hair">
        <color rgb="FF000000"/>
      </bottom>
    </border>
    <border>
      <right style="double">
        <color rgb="FF000000"/>
      </right>
      <top style="hair">
        <color rgb="FF000000"/>
      </top>
      <bottom style="hair">
        <color rgb="FF000000"/>
      </bottom>
    </border>
    <border>
      <left style="double">
        <color rgb="FF000000"/>
      </left>
      <right style="double">
        <color rgb="FF000000"/>
      </right>
      <top style="hair">
        <color rgb="FF000000"/>
      </top>
      <bottom style="hair">
        <color rgb="FF000000"/>
      </bottom>
    </border>
    <border>
      <left style="medium">
        <color rgb="FF000000"/>
      </left>
      <top style="hair">
        <color rgb="FF000000"/>
      </top>
      <bottom style="hair">
        <color rgb="FF000000"/>
      </bottom>
    </border>
    <border>
      <left style="medium">
        <color rgb="FF000000"/>
      </left>
      <top style="hair">
        <color rgb="FF000000"/>
      </top>
    </border>
    <border>
      <left style="medium">
        <color rgb="FF000000"/>
      </left>
      <bottom style="hair">
        <color rgb="FF000000"/>
      </bottom>
    </border>
    <border>
      <left style="double">
        <color rgb="FF000000"/>
      </left>
      <top style="hair">
        <color rgb="FF000000"/>
      </top>
      <bottom style="hair">
        <color rgb="FF000000"/>
      </bottom>
    </border>
    <border>
      <right style="double">
        <color rgb="FF000000"/>
      </right>
      <top style="hair">
        <color rgb="FF000000"/>
      </top>
    </border>
    <border>
      <left style="double">
        <color rgb="FF000000"/>
      </left>
      <right style="double">
        <color rgb="FF000000"/>
      </right>
      <top style="hair">
        <color rgb="FF000000"/>
      </top>
    </border>
    <border>
      <left style="double">
        <color rgb="FF000000"/>
      </left>
      <top style="hair">
        <color rgb="FF000000"/>
      </top>
    </border>
    <border>
      <right style="thin">
        <color rgb="FF000000"/>
      </right>
      <bottom style="thin">
        <color rgb="FF000000"/>
      </bottom>
    </border>
    <border>
      <bottom style="thin">
        <color rgb="FF000000"/>
      </bottom>
    </border>
    <border>
      <left style="thin">
        <color rgb="FFFFFFFF"/>
      </left>
      <right style="thin">
        <color rgb="FF000000"/>
      </right>
      <bottom style="thin">
        <color rgb="FF000000"/>
      </bottom>
    </border>
    <border>
      <left style="thin">
        <color rgb="FF000000"/>
      </left>
      <right style="thin">
        <color rgb="FF000000"/>
      </right>
      <bottom style="dotted">
        <color rgb="FF000000"/>
      </bottom>
    </border>
    <border>
      <left style="thin">
        <color rgb="FF000000"/>
      </left>
      <bottom style="dotted">
        <color rgb="FF000000"/>
      </bottom>
    </border>
    <border>
      <left style="thin">
        <color rgb="FF000000"/>
      </left>
      <right style="thin">
        <color rgb="FF000000"/>
      </right>
      <top style="dotted">
        <color rgb="FF000000"/>
      </top>
      <bottom style="dotted">
        <color rgb="FF000000"/>
      </bottom>
    </border>
    <border>
      <left style="thin">
        <color rgb="FF000000"/>
      </left>
      <top style="dotted">
        <color rgb="FF000000"/>
      </top>
      <bottom style="dotted">
        <color rgb="FF000000"/>
      </bottom>
    </border>
    <border>
      <left style="thin">
        <color rgb="FF000000"/>
      </left>
      <right style="thin">
        <color rgb="FF000000"/>
      </right>
      <top style="dotted">
        <color rgb="FF000000"/>
      </top>
    </border>
    <border>
      <left style="thin">
        <color rgb="FF000000"/>
      </left>
      <top style="dotted">
        <color rgb="FF000000"/>
      </top>
    </border>
    <border>
      <bottom style="thin">
        <color rgb="FFFFFFFF"/>
      </bottom>
    </border>
    <border>
      <bottom style="dotted">
        <color rgb="FF000000"/>
      </bottom>
    </border>
    <border>
      <right style="medium">
        <color rgb="FF000000"/>
      </right>
      <bottom style="dotted">
        <color rgb="FF000000"/>
      </bottom>
    </border>
    <border>
      <top style="thin">
        <color rgb="FFFFFFFF"/>
      </top>
      <bottom style="thin">
        <color rgb="FFFFFFFF"/>
      </bottom>
    </border>
    <border>
      <top style="dotted">
        <color rgb="FF000000"/>
      </top>
      <bottom style="dotted">
        <color rgb="FF000000"/>
      </bottom>
    </border>
    <border>
      <right style="medium">
        <color rgb="FF000000"/>
      </right>
      <top style="dotted">
        <color rgb="FF000000"/>
      </top>
      <bottom style="dotted">
        <color rgb="FF000000"/>
      </bottom>
    </border>
    <border>
      <bottom style="medium">
        <color rgb="FF000000"/>
      </bottom>
    </border>
    <border>
      <top style="thin">
        <color rgb="FFFFFFFF"/>
      </top>
      <bottom style="medium">
        <color rgb="FF000000"/>
      </bottom>
    </border>
    <border>
      <top style="dotted">
        <color rgb="FF000000"/>
      </top>
      <bottom style="medium">
        <color rgb="FF000000"/>
      </bottom>
    </border>
    <border>
      <right style="medium">
        <color rgb="FF000000"/>
      </right>
      <top style="dotted">
        <color rgb="FF000000"/>
      </top>
      <bottom style="medium">
        <color rgb="FF000000"/>
      </bottom>
    </border>
    <border>
      <right style="thin">
        <color rgb="FFFFFFFF"/>
      </right>
    </border>
    <border>
      <left style="thin">
        <color rgb="FFFFFFFF"/>
      </left>
      <right style="thin">
        <color rgb="FFFFFFFF"/>
      </right>
    </border>
    <border>
      <left style="thin">
        <color rgb="FFFFFFFF"/>
      </left>
      <right style="medium">
        <color rgb="FF000000"/>
      </right>
    </border>
    <border>
      <left style="medium">
        <color rgb="FF000000"/>
      </left>
      <right style="dotted">
        <color rgb="FF000000"/>
      </right>
      <top style="medium">
        <color rgb="FF000000"/>
      </top>
      <bottom style="dotted">
        <color rgb="FF000000"/>
      </bottom>
    </border>
    <border>
      <left style="dotted">
        <color rgb="FF000000"/>
      </left>
      <right style="dotted">
        <color rgb="FF000000"/>
      </right>
      <top style="medium">
        <color rgb="FF000000"/>
      </top>
      <bottom style="dotted">
        <color rgb="FF000000"/>
      </bottom>
    </border>
    <border>
      <left style="dotted">
        <color rgb="FF000000"/>
      </left>
      <top style="medium">
        <color rgb="FF000000"/>
      </top>
      <bottom style="dotted">
        <color rgb="FF000000"/>
      </bottom>
    </border>
    <border>
      <left style="dotted">
        <color rgb="FF000000"/>
      </left>
      <right style="dotted">
        <color rgb="FF000000"/>
      </right>
      <bottom style="dotted">
        <color rgb="FF000000"/>
      </bottom>
    </border>
    <border>
      <left style="dotted">
        <color rgb="FF000000"/>
      </left>
      <bottom style="dotted">
        <color rgb="FF000000"/>
      </bottom>
    </border>
    <border>
      <left style="dotted">
        <color rgb="FF000000"/>
      </left>
      <right style="medium">
        <color rgb="FF000000"/>
      </right>
      <bottom style="dotted">
        <color rgb="FF000000"/>
      </bottom>
    </border>
    <border>
      <left style="medium">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right style="dotted">
        <color rgb="FF000000"/>
      </right>
      <bottom style="dotted">
        <color rgb="FF000000"/>
      </bottom>
    </border>
    <border>
      <left style="medium">
        <color rgb="FF000000"/>
      </left>
      <right style="dotted">
        <color rgb="FF000000"/>
      </right>
      <top style="dotted">
        <color rgb="FF000000"/>
      </top>
      <bottom style="medium">
        <color rgb="FF000000"/>
      </bottom>
    </border>
    <border>
      <left style="dotted">
        <color rgb="FF000000"/>
      </left>
      <right style="dotted">
        <color rgb="FF000000"/>
      </right>
      <top style="dotted">
        <color rgb="FF000000"/>
      </top>
      <bottom style="medium">
        <color rgb="FF000000"/>
      </bottom>
    </border>
    <border>
      <left style="dotted">
        <color rgb="FF000000"/>
      </left>
      <top style="dotted">
        <color rgb="FF000000"/>
      </top>
      <bottom style="medium">
        <color rgb="FF000000"/>
      </bottom>
    </border>
    <border>
      <right style="dotted">
        <color rgb="FF000000"/>
      </right>
      <bottom style="medium">
        <color rgb="FF000000"/>
      </bottom>
    </border>
    <border>
      <left style="dotted">
        <color rgb="FF000000"/>
      </left>
      <bottom style="medium">
        <color rgb="FF000000"/>
      </bottom>
    </border>
    <border>
      <left style="dotted">
        <color rgb="FF000000"/>
      </left>
      <right style="medium">
        <color rgb="FF000000"/>
      </right>
      <bottom style="medium">
        <color rgb="FF000000"/>
      </bottom>
    </border>
    <border>
      <left style="dotted">
        <color rgb="FF000000"/>
      </left>
      <right style="dotted">
        <color rgb="FF000000"/>
      </right>
      <bottom style="medium">
        <color rgb="FF000000"/>
      </bottom>
    </border>
    <border>
      <left style="thin">
        <color rgb="FFFFFFFF"/>
      </left>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medium">
        <color rgb="FF000000"/>
      </left>
    </border>
    <border>
      <left style="thin">
        <color rgb="FF000000"/>
      </left>
      <right style="medium">
        <color rgb="FF000000"/>
      </right>
    </border>
    <border>
      <left style="medium">
        <color rgb="FF000000"/>
      </left>
      <bottom style="thin">
        <color rgb="FF000000"/>
      </bottom>
    </border>
    <border>
      <left style="thin">
        <color rgb="FF000000"/>
      </left>
      <right style="medium">
        <color rgb="FF000000"/>
      </right>
      <top style="thin">
        <color rgb="FF000000"/>
      </top>
      <bottom style="thin">
        <color rgb="FF000000"/>
      </bottom>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medium">
        <color rgb="FF000000"/>
      </right>
      <top style="thin">
        <color rgb="FF000000"/>
      </top>
      <bottom style="dotted">
        <color rgb="FF000000"/>
      </bottom>
    </border>
    <border>
      <left style="thin">
        <color rgb="FF000000"/>
      </left>
      <right style="dotted">
        <color rgb="FF000000"/>
      </right>
      <bottom style="dotted">
        <color rgb="FF000000"/>
      </bottom>
    </border>
    <border>
      <left style="thin">
        <color rgb="FF000000"/>
      </left>
      <right style="dotted">
        <color rgb="FF000000"/>
      </right>
      <top style="dotted">
        <color rgb="FF000000"/>
      </top>
      <bottom style="dotted">
        <color rgb="FF000000"/>
      </bottom>
    </border>
    <border>
      <left style="dotted">
        <color rgb="FF000000"/>
      </left>
      <right style="medium">
        <color rgb="FF000000"/>
      </right>
      <top style="dotted">
        <color rgb="FF000000"/>
      </top>
      <bottom style="dotted">
        <color rgb="FF000000"/>
      </bottom>
    </border>
    <border>
      <right style="thick">
        <color rgb="FF000000"/>
      </right>
      <bottom style="dotted">
        <color rgb="FF000000"/>
      </bottom>
    </border>
    <border>
      <right style="dotted">
        <color rgb="FF000000"/>
      </right>
      <top style="dotted">
        <color rgb="FF000000"/>
      </top>
      <bottom style="dotted">
        <color rgb="FF000000"/>
      </bottom>
    </border>
    <border>
      <right style="thick">
        <color rgb="FF000000"/>
      </right>
      <top style="dotted">
        <color rgb="FF000000"/>
      </top>
      <bottom style="dotted">
        <color rgb="FF000000"/>
      </bottom>
    </border>
    <border>
      <left style="medium">
        <color rgb="FF000000"/>
      </left>
      <bottom style="medium">
        <color rgb="FF000000"/>
      </bottom>
    </border>
    <border>
      <right style="medium">
        <color rgb="FF000000"/>
      </right>
      <bottom style="medium">
        <color rgb="FF000000"/>
      </bottom>
    </border>
    <border>
      <right style="dotted">
        <color rgb="FF000000"/>
      </right>
      <top style="dotted">
        <color rgb="FF000000"/>
      </top>
      <bottom style="medium">
        <color rgb="FF000000"/>
      </bottom>
    </border>
    <border>
      <right style="thick">
        <color rgb="FF000000"/>
      </right>
      <top style="dotted">
        <color rgb="FF000000"/>
      </top>
      <bottom style="medium">
        <color rgb="FF000000"/>
      </bottom>
    </border>
  </borders>
  <cellStyleXfs count="1">
    <xf borderId="0" fillId="0" fontId="0" numFmtId="0" applyAlignment="1" applyFont="1"/>
  </cellStyleXfs>
  <cellXfs count="490">
    <xf borderId="0" fillId="0" fontId="0" numFmtId="0" xfId="0" applyAlignment="1" applyFont="1">
      <alignment readingOrder="0" shrinkToFit="0" vertical="bottom" wrapText="0"/>
    </xf>
    <xf borderId="0" fillId="0" fontId="1" numFmtId="164" xfId="0" applyAlignment="1" applyFont="1" applyNumberFormat="1">
      <alignment horizontal="center" readingOrder="0" textRotation="0" vertical="center"/>
    </xf>
    <xf borderId="1" fillId="0" fontId="2" numFmtId="0" xfId="0" applyBorder="1" applyFont="1"/>
    <xf borderId="1" fillId="2" fontId="3" numFmtId="0" xfId="0" applyAlignment="1" applyBorder="1" applyFill="1" applyFont="1">
      <alignment horizontal="center" readingOrder="0" shrinkToFit="0" textRotation="0" vertical="center" wrapText="0"/>
    </xf>
    <xf borderId="1" fillId="3" fontId="4" numFmtId="165" xfId="0" applyAlignment="1" applyBorder="1" applyFill="1" applyFont="1" applyNumberFormat="1">
      <alignment horizontal="right" readingOrder="0" textRotation="0" vertical="bottom"/>
    </xf>
    <xf borderId="0" fillId="3" fontId="4" numFmtId="165" xfId="0" applyAlignment="1" applyFont="1" applyNumberFormat="1">
      <alignment horizontal="right" readingOrder="0" textRotation="150" vertical="bottom"/>
    </xf>
    <xf borderId="2" fillId="3" fontId="4" numFmtId="165" xfId="0" applyAlignment="1" applyBorder="1" applyFont="1" applyNumberFormat="1">
      <alignment horizontal="right" readingOrder="0" textRotation="150" vertical="bottom"/>
    </xf>
    <xf borderId="3" fillId="3" fontId="4" numFmtId="165" xfId="0" applyAlignment="1" applyBorder="1" applyFont="1" applyNumberFormat="1">
      <alignment horizontal="right" readingOrder="0" textRotation="150" vertical="bottom"/>
    </xf>
    <xf borderId="4" fillId="3" fontId="5" numFmtId="0" xfId="0" applyAlignment="1" applyBorder="1" applyFont="1">
      <alignment horizontal="right" textRotation="150" vertical="bottom"/>
    </xf>
    <xf borderId="0" fillId="3" fontId="6" numFmtId="0" xfId="0" applyAlignment="1" applyFont="1">
      <alignment horizontal="right" textRotation="150" vertical="bottom"/>
    </xf>
    <xf borderId="0" fillId="3" fontId="4" numFmtId="0" xfId="0" applyAlignment="1" applyFont="1">
      <alignment horizontal="right" readingOrder="0" textRotation="150" vertical="bottom"/>
    </xf>
    <xf borderId="0" fillId="3" fontId="4" numFmtId="0" xfId="0" applyAlignment="1" applyFont="1">
      <alignment horizontal="right" readingOrder="0" textRotation="0" vertical="bottom"/>
    </xf>
    <xf borderId="3" fillId="0" fontId="7" numFmtId="0" xfId="0" applyAlignment="1" applyBorder="1" applyFont="1">
      <alignment horizontal="center" readingOrder="0" textRotation="0" vertical="center"/>
    </xf>
    <xf borderId="5" fillId="4" fontId="8" numFmtId="0" xfId="0" applyAlignment="1" applyBorder="1" applyFill="1" applyFont="1">
      <alignment horizontal="center" readingOrder="0" shrinkToFit="0" textRotation="0" vertical="center" wrapText="1"/>
    </xf>
    <xf borderId="6" fillId="0" fontId="9" numFmtId="0" xfId="0" applyAlignment="1" applyBorder="1" applyFont="1">
      <alignment horizontal="right" readingOrder="0" shrinkToFit="0" textRotation="150" vertical="bottom" wrapText="0"/>
    </xf>
    <xf borderId="7" fillId="0" fontId="4" numFmtId="165" xfId="0" applyAlignment="1" applyBorder="1" applyFont="1" applyNumberFormat="1">
      <alignment horizontal="right" readingOrder="0" textRotation="150" vertical="bottom"/>
    </xf>
    <xf borderId="8" fillId="0" fontId="4" numFmtId="165" xfId="0" applyAlignment="1" applyBorder="1" applyFont="1" applyNumberFormat="1">
      <alignment horizontal="right" readingOrder="0" textRotation="150" vertical="bottom"/>
    </xf>
    <xf borderId="9" fillId="0" fontId="4" numFmtId="165" xfId="0" applyAlignment="1" applyBorder="1" applyFont="1" applyNumberFormat="1">
      <alignment horizontal="right" readingOrder="0" textRotation="150" vertical="bottom"/>
    </xf>
    <xf borderId="5" fillId="0" fontId="4" numFmtId="165" xfId="0" applyAlignment="1" applyBorder="1" applyFont="1" applyNumberFormat="1">
      <alignment horizontal="right" readingOrder="0" textRotation="150" vertical="bottom"/>
    </xf>
    <xf borderId="10" fillId="5" fontId="5" numFmtId="0" xfId="0" applyAlignment="1" applyBorder="1" applyFill="1" applyFont="1">
      <alignment horizontal="right" textRotation="150" vertical="bottom"/>
    </xf>
    <xf borderId="6" fillId="0" fontId="10" numFmtId="0" xfId="0" applyAlignment="1" applyBorder="1" applyFont="1">
      <alignment horizontal="right" readingOrder="0" textRotation="150" vertical="top"/>
    </xf>
    <xf borderId="5" fillId="0" fontId="4" numFmtId="0" xfId="0" applyAlignment="1" applyBorder="1" applyFont="1">
      <alignment horizontal="right" readingOrder="0" textRotation="150" vertical="bottom"/>
    </xf>
    <xf borderId="4" fillId="3" fontId="11" numFmtId="0" xfId="0" applyAlignment="1" applyBorder="1" applyFont="1">
      <alignment horizontal="center" readingOrder="0" textRotation="0" vertical="bottom"/>
    </xf>
    <xf borderId="0" fillId="3" fontId="12" numFmtId="0" xfId="0" applyAlignment="1" applyFont="1">
      <alignment readingOrder="0" textRotation="150"/>
    </xf>
    <xf borderId="0" fillId="3" fontId="11" numFmtId="0" xfId="0" applyAlignment="1" applyFont="1">
      <alignment horizontal="left" readingOrder="0" shrinkToFit="0" textRotation="0" vertical="bottom" wrapText="0"/>
    </xf>
    <xf borderId="0" fillId="6" fontId="13" numFmtId="0" xfId="0" applyAlignment="1" applyFill="1" applyFont="1">
      <alignment horizontal="right" readingOrder="0" vertical="center"/>
    </xf>
    <xf borderId="0" fillId="6" fontId="12" numFmtId="165" xfId="0" applyAlignment="1" applyFont="1" applyNumberFormat="1">
      <alignment vertical="center"/>
    </xf>
    <xf borderId="4" fillId="5" fontId="14" numFmtId="0" xfId="0" applyAlignment="1" applyBorder="1" applyFont="1">
      <alignment vertical="bottom"/>
    </xf>
    <xf borderId="0" fillId="0" fontId="1" numFmtId="0" xfId="0" applyAlignment="1" applyFont="1">
      <alignment horizontal="right" readingOrder="0"/>
    </xf>
    <xf borderId="0" fillId="0" fontId="1" numFmtId="165" xfId="0" applyFont="1" applyNumberFormat="1"/>
    <xf borderId="4" fillId="0" fontId="11" numFmtId="0" xfId="0" applyAlignment="1" applyBorder="1" applyFont="1">
      <alignment horizontal="center" readingOrder="0" textRotation="0" vertical="bottom"/>
    </xf>
    <xf borderId="11" fillId="0" fontId="15" numFmtId="0" xfId="0" applyAlignment="1" applyBorder="1" applyFont="1">
      <alignment horizontal="right" vertical="bottom"/>
    </xf>
    <xf borderId="12" fillId="0" fontId="2" numFmtId="0" xfId="0" applyBorder="1" applyFont="1"/>
    <xf borderId="13" fillId="0" fontId="16" numFmtId="164" xfId="0" applyAlignment="1" applyBorder="1" applyFont="1" applyNumberFormat="1">
      <alignment horizontal="center" vertical="bottom"/>
    </xf>
    <xf borderId="14" fillId="3" fontId="17" numFmtId="0" xfId="0" applyAlignment="1" applyBorder="1" applyFont="1">
      <alignment horizontal="center" readingOrder="0" textRotation="90" vertical="center"/>
    </xf>
    <xf borderId="15" fillId="3" fontId="18" numFmtId="0" xfId="0" applyBorder="1" applyFont="1"/>
    <xf borderId="16" fillId="3" fontId="17" numFmtId="165" xfId="0" applyAlignment="1" applyBorder="1" applyFont="1" applyNumberFormat="1">
      <alignment horizontal="right"/>
    </xf>
    <xf borderId="17" fillId="3" fontId="17" numFmtId="165" xfId="0" applyAlignment="1" applyBorder="1" applyFont="1" applyNumberFormat="1">
      <alignment horizontal="center"/>
    </xf>
    <xf borderId="4" fillId="0" fontId="2" numFmtId="0" xfId="0" applyBorder="1" applyFont="1"/>
    <xf borderId="18" fillId="3" fontId="18" numFmtId="0" xfId="0" applyBorder="1" applyFont="1"/>
    <xf borderId="19" fillId="3" fontId="17" numFmtId="165" xfId="0" applyAlignment="1" applyBorder="1" applyFont="1" applyNumberFormat="1">
      <alignment horizontal="right"/>
    </xf>
    <xf borderId="20" fillId="3" fontId="17" numFmtId="165" xfId="0" applyAlignment="1" applyBorder="1" applyFont="1" applyNumberFormat="1">
      <alignment horizontal="center"/>
    </xf>
    <xf borderId="21" fillId="0" fontId="19" numFmtId="0" xfId="0" applyAlignment="1" applyBorder="1" applyFont="1">
      <alignment horizontal="right" vertical="bottom"/>
    </xf>
    <xf borderId="22" fillId="0" fontId="2" numFmtId="0" xfId="0" applyBorder="1" applyFont="1"/>
    <xf borderId="23" fillId="0" fontId="16" numFmtId="164" xfId="0" applyAlignment="1" applyBorder="1" applyFont="1" applyNumberFormat="1">
      <alignment horizontal="center" vertical="bottom"/>
    </xf>
    <xf borderId="14" fillId="0" fontId="2" numFmtId="0" xfId="0" applyBorder="1" applyFont="1"/>
    <xf borderId="24" fillId="0" fontId="20" numFmtId="0" xfId="0" applyBorder="1" applyFont="1"/>
    <xf borderId="25" fillId="0" fontId="21" numFmtId="164" xfId="0" applyBorder="1" applyFont="1" applyNumberFormat="1"/>
    <xf borderId="26" fillId="0" fontId="21" numFmtId="165" xfId="0" applyAlignment="1" applyBorder="1" applyFont="1" applyNumberFormat="1">
      <alignment horizontal="center"/>
    </xf>
    <xf borderId="25" fillId="0" fontId="20" numFmtId="0" xfId="0" applyBorder="1" applyFont="1"/>
    <xf borderId="25" fillId="0" fontId="21" numFmtId="164" xfId="0" applyBorder="1" applyFont="1" applyNumberFormat="1"/>
    <xf borderId="27" fillId="0" fontId="21" numFmtId="165" xfId="0" applyAlignment="1" applyBorder="1" applyFont="1" applyNumberFormat="1">
      <alignment horizontal="center"/>
    </xf>
    <xf borderId="28" fillId="0" fontId="22" numFmtId="0" xfId="0" applyAlignment="1" applyBorder="1" applyFont="1">
      <alignment horizontal="right" vertical="bottom"/>
    </xf>
    <xf borderId="29" fillId="0" fontId="2" numFmtId="0" xfId="0" applyBorder="1" applyFont="1"/>
    <xf borderId="30" fillId="0" fontId="16" numFmtId="164" xfId="0" applyAlignment="1" applyBorder="1" applyFont="1" applyNumberFormat="1">
      <alignment horizontal="center" vertical="bottom"/>
    </xf>
    <xf borderId="0" fillId="7" fontId="23" numFmtId="0" xfId="0" applyFill="1" applyFont="1"/>
    <xf borderId="24" fillId="0" fontId="20" numFmtId="0" xfId="0" applyBorder="1" applyFont="1"/>
    <xf borderId="24" fillId="0" fontId="20" numFmtId="0" xfId="0" applyAlignment="1" applyBorder="1" applyFont="1">
      <alignment readingOrder="0"/>
    </xf>
    <xf borderId="31" fillId="0" fontId="2" numFmtId="0" xfId="0" applyBorder="1" applyFont="1"/>
    <xf borderId="32" fillId="0" fontId="20" numFmtId="0" xfId="0" applyBorder="1" applyFont="1"/>
    <xf borderId="33" fillId="0" fontId="20" numFmtId="165" xfId="0" applyAlignment="1" applyBorder="1" applyFont="1" applyNumberFormat="1">
      <alignment horizontal="center"/>
    </xf>
    <xf borderId="34" fillId="3" fontId="17" numFmtId="0" xfId="0" applyAlignment="1" applyBorder="1" applyFont="1">
      <alignment horizontal="center" readingOrder="0" textRotation="90" vertical="center"/>
    </xf>
    <xf borderId="35" fillId="3" fontId="18" numFmtId="0" xfId="0" applyBorder="1" applyFont="1"/>
    <xf borderId="36" fillId="3" fontId="17" numFmtId="165" xfId="0" applyAlignment="1" applyBorder="1" applyFont="1" applyNumberFormat="1">
      <alignment horizontal="right"/>
    </xf>
    <xf borderId="37" fillId="0" fontId="21" numFmtId="0" xfId="0" applyAlignment="1" applyBorder="1" applyFont="1">
      <alignment vertical="bottom"/>
    </xf>
    <xf borderId="38" fillId="0" fontId="21" numFmtId="164" xfId="0" applyBorder="1" applyFont="1" applyNumberFormat="1"/>
    <xf borderId="39" fillId="0" fontId="21" numFmtId="165" xfId="0" applyAlignment="1" applyBorder="1" applyFont="1" applyNumberFormat="1">
      <alignment horizontal="center"/>
    </xf>
    <xf borderId="0" fillId="7" fontId="1" numFmtId="0" xfId="0" applyFont="1"/>
    <xf borderId="24" fillId="0" fontId="20" numFmtId="0" xfId="0" applyAlignment="1" applyBorder="1" applyFont="1">
      <alignment horizontal="left" readingOrder="0"/>
    </xf>
    <xf borderId="24" fillId="0" fontId="21" numFmtId="164" xfId="0" applyBorder="1" applyFont="1" applyNumberFormat="1"/>
    <xf borderId="34" fillId="3" fontId="17" numFmtId="0" xfId="0" applyAlignment="1" applyBorder="1" applyFont="1">
      <alignment horizontal="center" textRotation="90" vertical="center"/>
    </xf>
    <xf borderId="40" fillId="3" fontId="18" numFmtId="0" xfId="0" applyBorder="1" applyFont="1"/>
    <xf borderId="41" fillId="3" fontId="17" numFmtId="165" xfId="0" applyAlignment="1" applyBorder="1" applyFont="1" applyNumberFormat="1">
      <alignment horizontal="right"/>
    </xf>
    <xf borderId="42" fillId="3" fontId="17" numFmtId="165" xfId="0" applyAlignment="1" applyBorder="1" applyFont="1" applyNumberFormat="1">
      <alignment horizontal="center"/>
    </xf>
    <xf borderId="43" fillId="0" fontId="2" numFmtId="0" xfId="0" applyBorder="1" applyFont="1"/>
    <xf borderId="44" fillId="0" fontId="2" numFmtId="0" xfId="0" applyBorder="1" applyFont="1"/>
    <xf borderId="0" fillId="0" fontId="11" numFmtId="0" xfId="0" applyAlignment="1" applyFont="1">
      <alignment horizontal="center" readingOrder="0" textRotation="0" vertical="bottom"/>
    </xf>
    <xf borderId="0" fillId="8" fontId="24" numFmtId="0" xfId="0" applyAlignment="1" applyFill="1" applyFont="1">
      <alignment horizontal="center" readingOrder="0" shrinkToFit="0" vertical="center" wrapText="1"/>
    </xf>
    <xf borderId="0" fillId="0" fontId="25" numFmtId="0" xfId="0" applyAlignment="1" applyFont="1">
      <alignment horizontal="center" readingOrder="0" shrinkToFit="0" vertical="center" wrapText="1"/>
    </xf>
    <xf borderId="45" fillId="9" fontId="26" numFmtId="166" xfId="0" applyAlignment="1" applyBorder="1" applyFill="1" applyFont="1" applyNumberFormat="1">
      <alignment horizontal="center" readingOrder="0" shrinkToFit="0" vertical="center" wrapText="1"/>
    </xf>
    <xf borderId="46" fillId="9" fontId="26" numFmtId="0" xfId="0" applyAlignment="1" applyBorder="1" applyFont="1">
      <alignment horizontal="center" readingOrder="0" shrinkToFit="0" vertical="center" wrapText="1"/>
    </xf>
    <xf borderId="46" fillId="9" fontId="26" numFmtId="0" xfId="0" applyAlignment="1" applyBorder="1" applyFont="1">
      <alignment horizontal="left" readingOrder="0" shrinkToFit="0" vertical="center" wrapText="1"/>
    </xf>
    <xf borderId="46" fillId="9" fontId="26" numFmtId="0" xfId="0" applyAlignment="1" applyBorder="1" applyFont="1">
      <alignment horizontal="left" readingOrder="0" shrinkToFit="0" vertical="center" wrapText="0"/>
    </xf>
    <xf borderId="46" fillId="9" fontId="27" numFmtId="164" xfId="0" applyAlignment="1" applyBorder="1" applyFont="1" applyNumberFormat="1">
      <alignment horizontal="center" readingOrder="0" shrinkToFit="0" vertical="center" wrapText="1"/>
    </xf>
    <xf borderId="46" fillId="9" fontId="26" numFmtId="164" xfId="0" applyAlignment="1" applyBorder="1" applyFont="1" applyNumberFormat="1">
      <alignment horizontal="left" readingOrder="0" shrinkToFit="0" vertical="center" wrapText="0"/>
    </xf>
    <xf borderId="46" fillId="9" fontId="26" numFmtId="164" xfId="0" applyAlignment="1" applyBorder="1" applyFont="1" applyNumberFormat="1">
      <alignment horizontal="center" readingOrder="0" shrinkToFit="0" vertical="center" wrapText="1"/>
    </xf>
    <xf borderId="46" fillId="9" fontId="26" numFmtId="0" xfId="0" applyAlignment="1" applyBorder="1" applyFont="1">
      <alignment horizontal="left" readingOrder="0" shrinkToFit="0" textRotation="0" vertical="center" wrapText="0"/>
    </xf>
    <xf borderId="47" fillId="3" fontId="26" numFmtId="0" xfId="0" applyAlignment="1" applyBorder="1" applyFont="1">
      <alignment horizontal="left" readingOrder="0" shrinkToFit="0" vertical="center" wrapText="1"/>
    </xf>
    <xf borderId="48" fillId="0" fontId="21" numFmtId="166" xfId="0" applyAlignment="1" applyBorder="1" applyFont="1" applyNumberFormat="1">
      <alignment horizontal="center" vertical="center"/>
    </xf>
    <xf borderId="48" fillId="0" fontId="21" numFmtId="0" xfId="0" applyAlignment="1" applyBorder="1" applyFont="1">
      <alignment horizontal="center" readingOrder="0" vertical="center"/>
    </xf>
    <xf borderId="48" fillId="0" fontId="21" numFmtId="166" xfId="0" applyAlignment="1" applyBorder="1" applyFont="1" applyNumberFormat="1">
      <alignment horizontal="center" vertical="center"/>
    </xf>
    <xf borderId="49" fillId="0" fontId="28" numFmtId="0" xfId="0" applyAlignment="1" applyBorder="1" applyFont="1">
      <alignment horizontal="left" vertical="center"/>
    </xf>
    <xf borderId="49" fillId="0" fontId="21" numFmtId="0" xfId="0" applyAlignment="1" applyBorder="1" applyFont="1">
      <alignment horizontal="left" vertical="center"/>
    </xf>
    <xf borderId="49" fillId="0" fontId="21" numFmtId="0" xfId="0" applyAlignment="1" applyBorder="1" applyFont="1">
      <alignment horizontal="left" shrinkToFit="0" vertical="center" wrapText="0"/>
    </xf>
    <xf borderId="49" fillId="0" fontId="21" numFmtId="0" xfId="0" applyAlignment="1" applyBorder="1" applyFont="1">
      <alignment horizontal="center" vertical="center"/>
    </xf>
    <xf borderId="49" fillId="0" fontId="21" numFmtId="164" xfId="0" applyAlignment="1" applyBorder="1" applyFont="1" applyNumberFormat="1">
      <alignment horizontal="center" readingOrder="0" vertical="center"/>
    </xf>
    <xf borderId="49" fillId="0" fontId="21" numFmtId="164" xfId="0" applyAlignment="1" applyBorder="1" applyFont="1" applyNumberFormat="1">
      <alignment horizontal="left" readingOrder="0" shrinkToFit="0" vertical="center" wrapText="0"/>
    </xf>
    <xf borderId="49" fillId="0" fontId="21" numFmtId="0" xfId="0" applyAlignment="1" applyBorder="1" applyFont="1">
      <alignment horizontal="center" readingOrder="0" vertical="center"/>
    </xf>
    <xf borderId="0" fillId="0" fontId="29" numFmtId="0" xfId="0" applyFont="1"/>
    <xf borderId="50" fillId="10" fontId="21" numFmtId="0" xfId="0" applyAlignment="1" applyBorder="1" applyFill="1" applyFont="1">
      <alignment horizontal="left" vertical="center"/>
    </xf>
    <xf borderId="49" fillId="0" fontId="21" numFmtId="164" xfId="0" applyAlignment="1" applyBorder="1" applyFont="1" applyNumberFormat="1">
      <alignment horizontal="center" vertical="center"/>
    </xf>
    <xf borderId="49" fillId="0" fontId="21" numFmtId="164" xfId="0" applyAlignment="1" applyBorder="1" applyFont="1" applyNumberFormat="1">
      <alignment horizontal="left" shrinkToFit="0" vertical="center" wrapText="0"/>
    </xf>
    <xf borderId="50" fillId="10" fontId="21" numFmtId="0" xfId="0" applyAlignment="1" applyBorder="1" applyFont="1">
      <alignment horizontal="left" readingOrder="0" vertical="center"/>
    </xf>
    <xf borderId="48" fillId="0" fontId="30" numFmtId="166" xfId="0" applyAlignment="1" applyBorder="1" applyFont="1" applyNumberFormat="1">
      <alignment horizontal="center" vertical="center"/>
    </xf>
    <xf borderId="49" fillId="0" fontId="31" numFmtId="0" xfId="0" applyAlignment="1" applyBorder="1" applyFont="1">
      <alignment horizontal="left" vertical="center"/>
    </xf>
    <xf borderId="49" fillId="0" fontId="30" numFmtId="0" xfId="0" applyAlignment="1" applyBorder="1" applyFont="1">
      <alignment horizontal="left" vertical="center"/>
    </xf>
    <xf borderId="49" fillId="0" fontId="30" numFmtId="0" xfId="0" applyAlignment="1" applyBorder="1" applyFont="1">
      <alignment horizontal="left" shrinkToFit="0" vertical="center" wrapText="0"/>
    </xf>
    <xf borderId="49" fillId="0" fontId="30" numFmtId="0" xfId="0" applyAlignment="1" applyBorder="1" applyFont="1">
      <alignment horizontal="center" vertical="center"/>
    </xf>
    <xf borderId="49" fillId="0" fontId="30" numFmtId="164" xfId="0" applyAlignment="1" applyBorder="1" applyFont="1" applyNumberFormat="1">
      <alignment horizontal="center" vertical="center"/>
    </xf>
    <xf borderId="49" fillId="0" fontId="30" numFmtId="164" xfId="0" applyAlignment="1" applyBorder="1" applyFont="1" applyNumberFormat="1">
      <alignment horizontal="left" shrinkToFit="0" vertical="center" wrapText="0"/>
    </xf>
    <xf borderId="50" fillId="10" fontId="30" numFmtId="0" xfId="0" applyAlignment="1" applyBorder="1" applyFont="1">
      <alignment horizontal="left" vertical="center"/>
    </xf>
    <xf borderId="48" fillId="0" fontId="21" numFmtId="0" xfId="0" applyAlignment="1" applyBorder="1" applyFont="1">
      <alignment horizontal="center" readingOrder="0" vertical="center"/>
    </xf>
    <xf borderId="49" fillId="11" fontId="32" numFmtId="0" xfId="0" applyAlignment="1" applyBorder="1" applyFill="1" applyFont="1">
      <alignment horizontal="left" vertical="center"/>
    </xf>
    <xf borderId="49" fillId="11" fontId="21" numFmtId="0" xfId="0" applyAlignment="1" applyBorder="1" applyFont="1">
      <alignment horizontal="left" vertical="center"/>
    </xf>
    <xf borderId="49" fillId="11" fontId="21" numFmtId="0" xfId="0" applyAlignment="1" applyBorder="1" applyFont="1">
      <alignment horizontal="left" shrinkToFit="0" vertical="center" wrapText="0"/>
    </xf>
    <xf borderId="49" fillId="11" fontId="21" numFmtId="0" xfId="0" applyAlignment="1" applyBorder="1" applyFont="1">
      <alignment horizontal="center" vertical="center"/>
    </xf>
    <xf borderId="49" fillId="11" fontId="21" numFmtId="0" xfId="0" applyAlignment="1" applyBorder="1" applyFont="1">
      <alignment horizontal="center" readingOrder="0" vertical="center"/>
    </xf>
    <xf borderId="49" fillId="11" fontId="21" numFmtId="164" xfId="0" applyAlignment="1" applyBorder="1" applyFont="1" applyNumberFormat="1">
      <alignment horizontal="left" readingOrder="0" shrinkToFit="0" vertical="center" wrapText="0"/>
    </xf>
    <xf borderId="49" fillId="11" fontId="21" numFmtId="164" xfId="0" applyAlignment="1" applyBorder="1" applyFont="1" applyNumberFormat="1">
      <alignment horizontal="center" readingOrder="0" vertical="center"/>
    </xf>
    <xf borderId="48" fillId="12" fontId="21" numFmtId="166" xfId="0" applyAlignment="1" applyBorder="1" applyFill="1" applyFont="1" applyNumberFormat="1">
      <alignment horizontal="center" vertical="center"/>
    </xf>
    <xf borderId="48" fillId="12" fontId="21" numFmtId="0" xfId="0" applyAlignment="1" applyBorder="1" applyFont="1">
      <alignment horizontal="center" readingOrder="0" vertical="center"/>
    </xf>
    <xf borderId="49" fillId="12" fontId="33" numFmtId="0" xfId="0" applyAlignment="1" applyBorder="1" applyFont="1">
      <alignment horizontal="left" readingOrder="0" vertical="center"/>
    </xf>
    <xf borderId="49" fillId="12" fontId="21" numFmtId="0" xfId="0" applyAlignment="1" applyBorder="1" applyFont="1">
      <alignment horizontal="left" vertical="center"/>
    </xf>
    <xf borderId="49" fillId="12" fontId="21" numFmtId="0" xfId="0" applyAlignment="1" applyBorder="1" applyFont="1">
      <alignment horizontal="left" shrinkToFit="0" vertical="center" wrapText="0"/>
    </xf>
    <xf borderId="49" fillId="12" fontId="21" numFmtId="0" xfId="0" applyAlignment="1" applyBorder="1" applyFont="1">
      <alignment horizontal="center" vertical="center"/>
    </xf>
    <xf borderId="49" fillId="12" fontId="21" numFmtId="164" xfId="0" applyAlignment="1" applyBorder="1" applyFont="1" applyNumberFormat="1">
      <alignment horizontal="center" vertical="center"/>
    </xf>
    <xf borderId="49" fillId="12" fontId="21" numFmtId="164" xfId="0" applyAlignment="1" applyBorder="1" applyFont="1" applyNumberFormat="1">
      <alignment horizontal="left" shrinkToFit="0" vertical="center" wrapText="0"/>
    </xf>
    <xf borderId="50" fillId="12" fontId="21" numFmtId="0" xfId="0" applyAlignment="1" applyBorder="1" applyFont="1">
      <alignment horizontal="left" readingOrder="0" vertical="center"/>
    </xf>
    <xf borderId="48" fillId="13" fontId="21" numFmtId="166" xfId="0" applyAlignment="1" applyBorder="1" applyFill="1" applyFont="1" applyNumberFormat="1">
      <alignment horizontal="center" vertical="center"/>
    </xf>
    <xf borderId="48" fillId="13" fontId="21" numFmtId="0" xfId="0" applyAlignment="1" applyBorder="1" applyFont="1">
      <alignment horizontal="center" readingOrder="0" vertical="center"/>
    </xf>
    <xf borderId="49" fillId="13" fontId="34" numFmtId="0" xfId="0" applyAlignment="1" applyBorder="1" applyFont="1">
      <alignment horizontal="left" vertical="center"/>
    </xf>
    <xf borderId="49" fillId="13" fontId="21" numFmtId="0" xfId="0" applyAlignment="1" applyBorder="1" applyFont="1">
      <alignment horizontal="left" vertical="center"/>
    </xf>
    <xf borderId="49" fillId="13" fontId="21" numFmtId="0" xfId="0" applyAlignment="1" applyBorder="1" applyFont="1">
      <alignment horizontal="left" shrinkToFit="0" vertical="center" wrapText="0"/>
    </xf>
    <xf borderId="49" fillId="13" fontId="21" numFmtId="0" xfId="0" applyAlignment="1" applyBorder="1" applyFont="1">
      <alignment horizontal="center" vertical="center"/>
    </xf>
    <xf borderId="49" fillId="13" fontId="21" numFmtId="164" xfId="0" applyAlignment="1" applyBorder="1" applyFont="1" applyNumberFormat="1">
      <alignment horizontal="center" vertical="center"/>
    </xf>
    <xf borderId="49" fillId="13" fontId="21" numFmtId="164" xfId="0" applyAlignment="1" applyBorder="1" applyFont="1" applyNumberFormat="1">
      <alignment horizontal="left" shrinkToFit="0" vertical="center" wrapText="0"/>
    </xf>
    <xf borderId="49" fillId="13" fontId="21" numFmtId="164" xfId="0" applyAlignment="1" applyBorder="1" applyFont="1" applyNumberFormat="1">
      <alignment horizontal="center" readingOrder="0" vertical="center"/>
    </xf>
    <xf borderId="50" fillId="13" fontId="21" numFmtId="0" xfId="0" applyAlignment="1" applyBorder="1" applyFont="1">
      <alignment horizontal="left" readingOrder="0" vertical="center"/>
    </xf>
    <xf borderId="50" fillId="13" fontId="21" numFmtId="0" xfId="0" applyAlignment="1" applyBorder="1" applyFont="1">
      <alignment horizontal="left" vertical="center"/>
    </xf>
    <xf borderId="48" fillId="14" fontId="21" numFmtId="166" xfId="0" applyAlignment="1" applyBorder="1" applyFill="1" applyFont="1" applyNumberFormat="1">
      <alignment horizontal="center" vertical="center"/>
    </xf>
    <xf borderId="48" fillId="14" fontId="21" numFmtId="0" xfId="0" applyAlignment="1" applyBorder="1" applyFont="1">
      <alignment horizontal="center" readingOrder="0" vertical="center"/>
    </xf>
    <xf borderId="49" fillId="14" fontId="35" numFmtId="0" xfId="0" applyAlignment="1" applyBorder="1" applyFont="1">
      <alignment horizontal="left" vertical="center"/>
    </xf>
    <xf borderId="49" fillId="14" fontId="21" numFmtId="0" xfId="0" applyAlignment="1" applyBorder="1" applyFont="1">
      <alignment horizontal="left" vertical="center"/>
    </xf>
    <xf borderId="49" fillId="14" fontId="21" numFmtId="0" xfId="0" applyAlignment="1" applyBorder="1" applyFont="1">
      <alignment horizontal="left" shrinkToFit="0" vertical="center" wrapText="0"/>
    </xf>
    <xf borderId="49" fillId="14" fontId="21" numFmtId="0" xfId="0" applyAlignment="1" applyBorder="1" applyFont="1">
      <alignment horizontal="center" vertical="center"/>
    </xf>
    <xf borderId="49" fillId="14" fontId="21" numFmtId="164" xfId="0" applyAlignment="1" applyBorder="1" applyFont="1" applyNumberFormat="1">
      <alignment horizontal="center" vertical="center"/>
    </xf>
    <xf borderId="49" fillId="14" fontId="21" numFmtId="164" xfId="0" applyAlignment="1" applyBorder="1" applyFont="1" applyNumberFormat="1">
      <alignment horizontal="left" shrinkToFit="0" vertical="center" wrapText="0"/>
    </xf>
    <xf borderId="0" fillId="14" fontId="29" numFmtId="0" xfId="0" applyFont="1"/>
    <xf borderId="50" fillId="14" fontId="21" numFmtId="0" xfId="0" applyAlignment="1" applyBorder="1" applyFont="1">
      <alignment horizontal="left" readingOrder="0" vertical="center"/>
    </xf>
    <xf borderId="48" fillId="15" fontId="21" numFmtId="166" xfId="0" applyAlignment="1" applyBorder="1" applyFill="1" applyFont="1" applyNumberFormat="1">
      <alignment horizontal="center" vertical="center"/>
    </xf>
    <xf borderId="48" fillId="15" fontId="21" numFmtId="0" xfId="0" applyAlignment="1" applyBorder="1" applyFont="1">
      <alignment horizontal="center" readingOrder="0" vertical="center"/>
    </xf>
    <xf borderId="49" fillId="15" fontId="36" numFmtId="0" xfId="0" applyAlignment="1" applyBorder="1" applyFont="1">
      <alignment horizontal="left" vertical="center"/>
    </xf>
    <xf borderId="49" fillId="15" fontId="21" numFmtId="0" xfId="0" applyAlignment="1" applyBorder="1" applyFont="1">
      <alignment horizontal="left" vertical="center"/>
    </xf>
    <xf borderId="49" fillId="15" fontId="21" numFmtId="0" xfId="0" applyAlignment="1" applyBorder="1" applyFont="1">
      <alignment horizontal="left" shrinkToFit="0" vertical="center" wrapText="0"/>
    </xf>
    <xf borderId="49" fillId="15" fontId="21" numFmtId="0" xfId="0" applyAlignment="1" applyBorder="1" applyFont="1">
      <alignment horizontal="center" vertical="center"/>
    </xf>
    <xf borderId="49" fillId="15" fontId="21" numFmtId="164" xfId="0" applyAlignment="1" applyBorder="1" applyFont="1" applyNumberFormat="1">
      <alignment horizontal="center" vertical="center"/>
    </xf>
    <xf borderId="49" fillId="15" fontId="21" numFmtId="164" xfId="0" applyAlignment="1" applyBorder="1" applyFont="1" applyNumberFormat="1">
      <alignment horizontal="left" shrinkToFit="0" vertical="center" wrapText="0"/>
    </xf>
    <xf borderId="0" fillId="15" fontId="29" numFmtId="0" xfId="0" applyFont="1"/>
    <xf borderId="50" fillId="15" fontId="21" numFmtId="0" xfId="0" applyAlignment="1" applyBorder="1" applyFont="1">
      <alignment horizontal="left" readingOrder="0" vertical="center"/>
    </xf>
    <xf borderId="50" fillId="15" fontId="20" numFmtId="0" xfId="0" applyAlignment="1" applyBorder="1" applyFont="1">
      <alignment horizontal="left" readingOrder="0" vertical="center"/>
    </xf>
    <xf borderId="48" fillId="11" fontId="21" numFmtId="166" xfId="0" applyAlignment="1" applyBorder="1" applyFont="1" applyNumberFormat="1">
      <alignment horizontal="center" vertical="center"/>
    </xf>
    <xf borderId="48" fillId="11" fontId="21" numFmtId="0" xfId="0" applyAlignment="1" applyBorder="1" applyFont="1">
      <alignment horizontal="center" readingOrder="0" vertical="center"/>
    </xf>
    <xf borderId="49" fillId="11" fontId="37" numFmtId="0" xfId="0" applyAlignment="1" applyBorder="1" applyFont="1">
      <alignment horizontal="left" vertical="center"/>
    </xf>
    <xf borderId="49" fillId="11" fontId="21" numFmtId="0" xfId="0" applyAlignment="1" applyBorder="1" applyFont="1">
      <alignment horizontal="left" vertical="center"/>
    </xf>
    <xf borderId="49" fillId="11" fontId="21" numFmtId="0" xfId="0" applyAlignment="1" applyBorder="1" applyFont="1">
      <alignment horizontal="left" shrinkToFit="0" vertical="center" wrapText="0"/>
    </xf>
    <xf borderId="49" fillId="11" fontId="21" numFmtId="0" xfId="0" applyAlignment="1" applyBorder="1" applyFont="1">
      <alignment horizontal="center" vertical="center"/>
    </xf>
    <xf borderId="49" fillId="11" fontId="21" numFmtId="164" xfId="0" applyAlignment="1" applyBorder="1" applyFont="1" applyNumberFormat="1">
      <alignment horizontal="center" vertical="center"/>
    </xf>
    <xf borderId="49" fillId="11" fontId="21" numFmtId="164" xfId="0" applyAlignment="1" applyBorder="1" applyFont="1" applyNumberFormat="1">
      <alignment horizontal="left" shrinkToFit="0" vertical="center" wrapText="0"/>
    </xf>
    <xf borderId="49" fillId="11" fontId="21" numFmtId="0" xfId="0" applyAlignment="1" applyBorder="1" applyFont="1">
      <alignment horizontal="center" readingOrder="0" vertical="center"/>
    </xf>
    <xf borderId="0" fillId="11" fontId="29" numFmtId="0" xfId="0" applyFont="1"/>
    <xf borderId="50" fillId="11" fontId="21" numFmtId="0" xfId="0" applyAlignment="1" applyBorder="1" applyFont="1">
      <alignment horizontal="left" readingOrder="0" vertical="center"/>
    </xf>
    <xf borderId="49" fillId="15" fontId="21" numFmtId="0" xfId="0" applyAlignment="1" applyBorder="1" applyFont="1">
      <alignment horizontal="center" readingOrder="0" vertical="center"/>
    </xf>
    <xf borderId="51" fillId="10" fontId="21" numFmtId="0" xfId="0" applyAlignment="1" applyBorder="1" applyFont="1">
      <alignment horizontal="left" readingOrder="0" vertical="center"/>
    </xf>
    <xf borderId="52" fillId="0" fontId="2" numFmtId="0" xfId="0" applyBorder="1" applyFont="1"/>
    <xf borderId="49" fillId="15" fontId="21" numFmtId="164" xfId="0" applyAlignment="1" applyBorder="1" applyFont="1" applyNumberFormat="1">
      <alignment horizontal="center" readingOrder="0" vertical="center"/>
    </xf>
    <xf borderId="49" fillId="4" fontId="21" numFmtId="164" xfId="0" applyAlignment="1" applyBorder="1" applyFont="1" applyNumberFormat="1">
      <alignment horizontal="center"/>
    </xf>
    <xf borderId="49" fillId="0" fontId="38" numFmtId="0" xfId="0" applyAlignment="1" applyBorder="1" applyFont="1">
      <alignment horizontal="left" vertical="center"/>
    </xf>
    <xf borderId="49" fillId="0" fontId="21" numFmtId="0" xfId="0" applyAlignment="1" applyBorder="1" applyFont="1">
      <alignment horizontal="left" vertical="center"/>
    </xf>
    <xf borderId="49" fillId="0" fontId="21" numFmtId="0" xfId="0" applyAlignment="1" applyBorder="1" applyFont="1">
      <alignment horizontal="left" shrinkToFit="0" vertical="center" wrapText="0"/>
    </xf>
    <xf borderId="49" fillId="0" fontId="21" numFmtId="0" xfId="0" applyAlignment="1" applyBorder="1" applyFont="1">
      <alignment horizontal="left" readingOrder="0" shrinkToFit="0" vertical="center" wrapText="0"/>
    </xf>
    <xf borderId="53" fillId="0" fontId="21" numFmtId="0" xfId="0" applyAlignment="1" applyBorder="1" applyFont="1">
      <alignment horizontal="left" shrinkToFit="0" textRotation="0" vertical="center" wrapText="0"/>
    </xf>
    <xf borderId="54" fillId="0" fontId="21" numFmtId="166" xfId="0" applyAlignment="1" applyBorder="1" applyFont="1" applyNumberFormat="1">
      <alignment horizontal="center" vertical="center"/>
    </xf>
    <xf borderId="54" fillId="0" fontId="21" numFmtId="166" xfId="0" applyAlignment="1" applyBorder="1" applyFont="1" applyNumberFormat="1">
      <alignment horizontal="center" vertical="center"/>
    </xf>
    <xf borderId="55" fillId="0" fontId="21" numFmtId="0" xfId="0" applyAlignment="1" applyBorder="1" applyFont="1">
      <alignment horizontal="left" vertical="center"/>
    </xf>
    <xf borderId="55" fillId="0" fontId="21" numFmtId="0" xfId="0" applyAlignment="1" applyBorder="1" applyFont="1">
      <alignment horizontal="left" shrinkToFit="0" vertical="center" wrapText="0"/>
    </xf>
    <xf borderId="55" fillId="0" fontId="21" numFmtId="0" xfId="0" applyAlignment="1" applyBorder="1" applyFont="1">
      <alignment horizontal="center" vertical="center"/>
    </xf>
    <xf borderId="55" fillId="0" fontId="21" numFmtId="164" xfId="0" applyAlignment="1" applyBorder="1" applyFont="1" applyNumberFormat="1">
      <alignment horizontal="center" vertical="center"/>
    </xf>
    <xf borderId="55" fillId="0" fontId="21" numFmtId="164" xfId="0" applyAlignment="1" applyBorder="1" applyFont="1" applyNumberFormat="1">
      <alignment horizontal="left" shrinkToFit="0" vertical="center" wrapText="0"/>
    </xf>
    <xf borderId="56" fillId="0" fontId="21" numFmtId="0" xfId="0" applyAlignment="1" applyBorder="1" applyFont="1">
      <alignment horizontal="left" shrinkToFit="0" textRotation="0" vertical="center" wrapText="0"/>
    </xf>
    <xf borderId="51" fillId="10" fontId="21" numFmtId="0" xfId="0" applyAlignment="1" applyBorder="1" applyFont="1">
      <alignment horizontal="left" vertical="center"/>
    </xf>
    <xf borderId="0" fillId="3" fontId="39" numFmtId="0" xfId="0" applyAlignment="1" applyFont="1">
      <alignment horizontal="center" vertical="bottom"/>
    </xf>
    <xf borderId="0" fillId="3" fontId="39" numFmtId="0" xfId="0" applyAlignment="1" applyFont="1">
      <alignment horizontal="center" shrinkToFit="0" vertical="bottom" wrapText="0"/>
    </xf>
    <xf borderId="0" fillId="7" fontId="40" numFmtId="0" xfId="0" applyAlignment="1" applyFont="1">
      <alignment vertical="bottom"/>
    </xf>
    <xf borderId="0" fillId="7" fontId="5" numFmtId="0" xfId="0" applyAlignment="1" applyFont="1">
      <alignment vertical="bottom"/>
    </xf>
    <xf borderId="0" fillId="7" fontId="41" numFmtId="0" xfId="0" applyAlignment="1" applyFont="1">
      <alignment shrinkToFit="0" vertical="bottom" wrapText="0"/>
    </xf>
    <xf borderId="0" fillId="7" fontId="21" numFmtId="0" xfId="0" applyAlignment="1" applyFont="1">
      <alignment horizontal="center" vertical="bottom"/>
    </xf>
    <xf borderId="0" fillId="0" fontId="40" numFmtId="0" xfId="0" applyAlignment="1" applyFont="1">
      <alignment vertical="bottom"/>
    </xf>
    <xf borderId="0" fillId="0" fontId="5" numFmtId="0" xfId="0" applyAlignment="1" applyFont="1">
      <alignment vertical="bottom"/>
    </xf>
    <xf borderId="0" fillId="0" fontId="5" numFmtId="0" xfId="0" applyAlignment="1" applyFont="1">
      <alignment shrinkToFit="0" vertical="bottom" wrapText="0"/>
    </xf>
    <xf borderId="0" fillId="0" fontId="21" numFmtId="0" xfId="0" applyAlignment="1" applyFont="1">
      <alignment horizontal="center" vertical="bottom"/>
    </xf>
    <xf borderId="0" fillId="0" fontId="40" numFmtId="0" xfId="0" applyAlignment="1" applyFont="1">
      <alignment shrinkToFit="0" vertical="bottom" wrapText="1"/>
    </xf>
    <xf borderId="0" fillId="7" fontId="40" numFmtId="0" xfId="0" applyAlignment="1" applyFont="1">
      <alignment readingOrder="0" vertical="bottom"/>
    </xf>
    <xf borderId="0" fillId="7" fontId="5" numFmtId="0" xfId="0" applyAlignment="1" applyFont="1">
      <alignment readingOrder="0" vertical="bottom"/>
    </xf>
    <xf borderId="0" fillId="7" fontId="5" numFmtId="0" xfId="0" applyAlignment="1" applyFont="1">
      <alignment shrinkToFit="0" vertical="bottom" wrapText="0"/>
    </xf>
    <xf borderId="0" fillId="4" fontId="40" numFmtId="0" xfId="0" applyAlignment="1" applyFont="1">
      <alignment vertical="bottom"/>
    </xf>
    <xf borderId="0" fillId="4" fontId="5" numFmtId="0" xfId="0" applyAlignment="1" applyFont="1">
      <alignment vertical="bottom"/>
    </xf>
    <xf borderId="0" fillId="4" fontId="5" numFmtId="0" xfId="0" applyAlignment="1" applyFont="1">
      <alignment readingOrder="0" shrinkToFit="0" vertical="bottom" wrapText="0"/>
    </xf>
    <xf borderId="0" fillId="4" fontId="21" numFmtId="0" xfId="0" applyAlignment="1" applyFont="1">
      <alignment horizontal="center" vertical="bottom"/>
    </xf>
    <xf borderId="0" fillId="4" fontId="40" numFmtId="0" xfId="0" applyAlignment="1" applyFont="1">
      <alignment shrinkToFit="0" vertical="bottom" wrapText="1"/>
    </xf>
    <xf borderId="0" fillId="0" fontId="42" numFmtId="0" xfId="0" applyAlignment="1" applyFont="1">
      <alignment shrinkToFit="0" vertical="bottom" wrapText="0"/>
    </xf>
    <xf borderId="0" fillId="0" fontId="43" numFmtId="0" xfId="0" applyAlignment="1" applyFont="1">
      <alignment vertical="bottom"/>
    </xf>
    <xf borderId="0" fillId="7" fontId="40" numFmtId="0" xfId="0" applyAlignment="1" applyFont="1">
      <alignment shrinkToFit="0" vertical="bottom" wrapText="1"/>
    </xf>
    <xf borderId="0" fillId="4" fontId="5" numFmtId="0" xfId="0" applyAlignment="1" applyFont="1">
      <alignment shrinkToFit="0" vertical="bottom" wrapText="0"/>
    </xf>
    <xf borderId="0" fillId="4" fontId="21" numFmtId="0" xfId="0" applyAlignment="1" applyFont="1">
      <alignment horizontal="center" readingOrder="0" vertical="bottom"/>
    </xf>
    <xf borderId="0" fillId="0" fontId="21" numFmtId="0" xfId="0" applyAlignment="1" applyFont="1">
      <alignment horizontal="center" shrinkToFit="0" vertical="bottom" wrapText="0"/>
    </xf>
    <xf borderId="0" fillId="7" fontId="21" numFmtId="0" xfId="0" applyAlignment="1" applyFont="1">
      <alignment horizontal="center" readingOrder="0" vertical="bottom"/>
    </xf>
    <xf borderId="0" fillId="0" fontId="21" numFmtId="0" xfId="0" applyAlignment="1" applyFont="1">
      <alignment horizontal="center" readingOrder="0" vertical="bottom"/>
    </xf>
    <xf borderId="0" fillId="7" fontId="44" numFmtId="0" xfId="0" applyAlignment="1" applyFont="1">
      <alignment readingOrder="0" shrinkToFit="0" vertical="bottom" wrapText="0"/>
    </xf>
    <xf borderId="0" fillId="7" fontId="21" numFmtId="0" xfId="0" applyAlignment="1" applyFont="1">
      <alignment readingOrder="0" vertical="bottom"/>
    </xf>
    <xf borderId="0" fillId="4" fontId="45" numFmtId="0" xfId="0" applyAlignment="1" applyFont="1">
      <alignment readingOrder="0"/>
    </xf>
    <xf borderId="0" fillId="4" fontId="46" numFmtId="0" xfId="0" applyAlignment="1" applyFont="1">
      <alignment readingOrder="0"/>
    </xf>
    <xf borderId="0" fillId="7" fontId="21" numFmtId="0" xfId="0" applyAlignment="1" applyFont="1">
      <alignment horizontal="center" vertical="bottom"/>
    </xf>
    <xf borderId="0" fillId="7" fontId="47" numFmtId="0" xfId="0" applyAlignment="1" applyFont="1">
      <alignment readingOrder="0" shrinkToFit="0" vertical="bottom" wrapText="0"/>
    </xf>
    <xf borderId="0" fillId="7" fontId="5" numFmtId="0" xfId="0" applyAlignment="1" applyFont="1">
      <alignment readingOrder="0" shrinkToFit="0" vertical="bottom" wrapText="0"/>
    </xf>
    <xf borderId="44" fillId="3" fontId="48" numFmtId="0" xfId="0" applyAlignment="1" applyBorder="1" applyFont="1">
      <alignment horizontal="center"/>
    </xf>
    <xf borderId="57" fillId="3" fontId="49" numFmtId="165" xfId="0" applyAlignment="1" applyBorder="1" applyFont="1" applyNumberFormat="1">
      <alignment horizontal="center"/>
    </xf>
    <xf borderId="57" fillId="3" fontId="48" numFmtId="165" xfId="0" applyAlignment="1" applyBorder="1" applyFont="1" applyNumberFormat="1">
      <alignment horizontal="center" readingOrder="0"/>
    </xf>
    <xf borderId="57" fillId="3" fontId="48" numFmtId="165" xfId="0" applyAlignment="1" applyBorder="1" applyFont="1" applyNumberFormat="1">
      <alignment horizontal="center" readingOrder="0" shrinkToFit="0" wrapText="1"/>
    </xf>
    <xf borderId="1" fillId="3" fontId="48" numFmtId="0" xfId="0" applyAlignment="1" applyBorder="1" applyFont="1">
      <alignment horizontal="center" readingOrder="0" shrinkToFit="0" wrapText="1"/>
    </xf>
    <xf borderId="0" fillId="0" fontId="50" numFmtId="0" xfId="0" applyFont="1"/>
    <xf borderId="44" fillId="0" fontId="51" numFmtId="0" xfId="0" applyBorder="1" applyFont="1"/>
    <xf borderId="57" fillId="16" fontId="52" numFmtId="164" xfId="0" applyAlignment="1" applyBorder="1" applyFill="1" applyFont="1" applyNumberFormat="1">
      <alignment horizontal="right" readingOrder="0"/>
    </xf>
    <xf borderId="1" fillId="0" fontId="53" numFmtId="164" xfId="0" applyAlignment="1" applyBorder="1" applyFont="1" applyNumberFormat="1">
      <alignment horizontal="left" readingOrder="0"/>
    </xf>
    <xf borderId="1" fillId="0" fontId="52" numFmtId="10" xfId="0" applyAlignment="1" applyBorder="1" applyFont="1" applyNumberFormat="1">
      <alignment horizontal="center" vertical="bottom"/>
    </xf>
    <xf borderId="1" fillId="0" fontId="52" numFmtId="164" xfId="0" applyAlignment="1" applyBorder="1" applyFont="1" applyNumberFormat="1">
      <alignment horizontal="center" vertical="bottom"/>
    </xf>
    <xf borderId="0" fillId="0" fontId="51" numFmtId="0" xfId="0" applyAlignment="1" applyFont="1">
      <alignment shrinkToFit="0" wrapText="0"/>
    </xf>
    <xf borderId="0" fillId="0" fontId="51" numFmtId="165" xfId="0" applyAlignment="1" applyFont="1" applyNumberFormat="1">
      <alignment shrinkToFit="0" vertical="bottom" wrapText="0"/>
    </xf>
    <xf borderId="57" fillId="0" fontId="54" numFmtId="164" xfId="0" applyAlignment="1" applyBorder="1" applyFont="1" applyNumberFormat="1">
      <alignment horizontal="left" readingOrder="0"/>
    </xf>
    <xf borderId="57" fillId="0" fontId="52" numFmtId="10" xfId="0" applyAlignment="1" applyBorder="1" applyFont="1" applyNumberFormat="1">
      <alignment horizontal="center" vertical="bottom"/>
    </xf>
    <xf borderId="57" fillId="0" fontId="52" numFmtId="164" xfId="0" applyAlignment="1" applyBorder="1" applyFont="1" applyNumberFormat="1">
      <alignment horizontal="center" vertical="bottom"/>
    </xf>
    <xf borderId="58" fillId="0" fontId="52" numFmtId="164" xfId="0" applyAlignment="1" applyBorder="1" applyFont="1" applyNumberFormat="1">
      <alignment horizontal="center"/>
    </xf>
    <xf borderId="57" fillId="0" fontId="2" numFmtId="0" xfId="0" applyBorder="1" applyFont="1"/>
    <xf borderId="0" fillId="0" fontId="55" numFmtId="10" xfId="0" applyAlignment="1" applyFont="1" applyNumberFormat="1">
      <alignment vertical="bottom"/>
    </xf>
    <xf borderId="0" fillId="0" fontId="56" numFmtId="0" xfId="0" applyAlignment="1" applyFont="1">
      <alignment horizontal="right"/>
    </xf>
    <xf borderId="0" fillId="0" fontId="57" numFmtId="0" xfId="0" applyAlignment="1" applyFont="1">
      <alignment shrinkToFit="0" wrapText="0"/>
    </xf>
    <xf borderId="0" fillId="0" fontId="55" numFmtId="0" xfId="0" applyFont="1"/>
    <xf borderId="0" fillId="0" fontId="51" numFmtId="0" xfId="0" applyAlignment="1" applyFont="1">
      <alignment shrinkToFit="0" vertical="bottom" wrapText="0"/>
    </xf>
    <xf borderId="44" fillId="3" fontId="58" numFmtId="0" xfId="0" applyBorder="1" applyFont="1"/>
    <xf borderId="58" fillId="3" fontId="59" numFmtId="165" xfId="0" applyBorder="1" applyFont="1" applyNumberFormat="1"/>
    <xf borderId="44" fillId="0" fontId="51" numFmtId="0" xfId="0" applyAlignment="1" applyBorder="1" applyFont="1">
      <alignment shrinkToFit="0" wrapText="1"/>
    </xf>
    <xf borderId="58" fillId="16" fontId="52" numFmtId="164" xfId="0" applyAlignment="1" applyBorder="1" applyFont="1" applyNumberFormat="1">
      <alignment horizontal="right"/>
    </xf>
    <xf borderId="0" fillId="0" fontId="51" numFmtId="0" xfId="0" applyAlignment="1" applyFont="1">
      <alignment readingOrder="0" shrinkToFit="0" wrapText="1"/>
    </xf>
    <xf borderId="58" fillId="16" fontId="52" numFmtId="164" xfId="0" applyAlignment="1" applyBorder="1" applyFont="1" applyNumberFormat="1">
      <alignment horizontal="right" readingOrder="0"/>
    </xf>
    <xf borderId="0" fillId="0" fontId="51" numFmtId="0" xfId="0" applyAlignment="1" applyFont="1">
      <alignment readingOrder="0" shrinkToFit="0" wrapText="0"/>
    </xf>
    <xf borderId="44" fillId="0" fontId="51" numFmtId="0" xfId="0" applyAlignment="1" applyBorder="1" applyFont="1">
      <alignment readingOrder="0" shrinkToFit="0" wrapText="1"/>
    </xf>
    <xf borderId="58" fillId="0" fontId="52" numFmtId="164" xfId="0" applyAlignment="1" applyBorder="1" applyFont="1" applyNumberFormat="1">
      <alignment horizontal="right"/>
    </xf>
    <xf borderId="0" fillId="0" fontId="55" numFmtId="0" xfId="0" applyAlignment="1" applyFont="1">
      <alignment vertical="bottom"/>
    </xf>
    <xf borderId="57" fillId="3" fontId="59" numFmtId="165" xfId="0" applyBorder="1" applyFont="1" applyNumberFormat="1"/>
    <xf borderId="0" fillId="3" fontId="59" numFmtId="165" xfId="0" applyFont="1" applyNumberFormat="1"/>
    <xf borderId="14" fillId="0" fontId="51" numFmtId="0" xfId="0" applyAlignment="1" applyBorder="1" applyFont="1">
      <alignment horizontal="center" shrinkToFit="0" vertical="center" wrapText="1"/>
    </xf>
    <xf borderId="0" fillId="0" fontId="60" numFmtId="164" xfId="0" applyAlignment="1" applyFont="1" applyNumberFormat="1">
      <alignment horizontal="center" vertical="center"/>
    </xf>
    <xf borderId="58" fillId="0" fontId="2" numFmtId="0" xfId="0" applyBorder="1" applyFont="1"/>
    <xf borderId="59" fillId="0" fontId="61" numFmtId="166" xfId="0" applyAlignment="1" applyBorder="1" applyFont="1" applyNumberFormat="1">
      <alignment horizontal="left" readingOrder="0" shrinkToFit="0" vertical="top" wrapText="1"/>
    </xf>
    <xf borderId="2" fillId="17" fontId="62" numFmtId="0" xfId="0" applyAlignment="1" applyBorder="1" applyFill="1" applyFont="1">
      <alignment horizontal="center" readingOrder="0" vertical="center"/>
    </xf>
    <xf borderId="0" fillId="0" fontId="63" numFmtId="166" xfId="0" applyAlignment="1" applyFont="1" applyNumberFormat="1">
      <alignment horizontal="center" readingOrder="0" shrinkToFit="0" vertical="top" wrapText="1"/>
    </xf>
    <xf borderId="1" fillId="3" fontId="48" numFmtId="166" xfId="0" applyAlignment="1" applyBorder="1" applyFont="1" applyNumberFormat="1">
      <alignment horizontal="center" readingOrder="0"/>
    </xf>
    <xf borderId="14" fillId="3" fontId="48" numFmtId="0" xfId="0" applyAlignment="1" applyBorder="1" applyFont="1">
      <alignment horizontal="center" readingOrder="0"/>
    </xf>
    <xf borderId="14" fillId="3" fontId="64" numFmtId="0" xfId="0" applyAlignment="1" applyBorder="1" applyFont="1">
      <alignment horizontal="center"/>
    </xf>
    <xf borderId="14" fillId="3" fontId="48" numFmtId="0" xfId="0" applyAlignment="1" applyBorder="1" applyFont="1">
      <alignment horizontal="left" readingOrder="0"/>
    </xf>
    <xf borderId="14" fillId="3" fontId="48" numFmtId="0" xfId="0" applyAlignment="1" applyBorder="1" applyFont="1">
      <alignment horizontal="center"/>
    </xf>
    <xf borderId="14" fillId="3" fontId="48" numFmtId="164" xfId="0" applyAlignment="1" applyBorder="1" applyFont="1" applyNumberFormat="1">
      <alignment horizontal="center" vertical="center"/>
    </xf>
    <xf borderId="2" fillId="3" fontId="48" numFmtId="0" xfId="0" applyAlignment="1" applyBorder="1" applyFont="1">
      <alignment horizontal="center"/>
    </xf>
    <xf borderId="25" fillId="0" fontId="21" numFmtId="166" xfId="0" applyAlignment="1" applyBorder="1" applyFont="1" applyNumberFormat="1">
      <alignment horizontal="center" readingOrder="0" vertical="center"/>
    </xf>
    <xf borderId="60" fillId="0" fontId="21" numFmtId="0" xfId="0" applyAlignment="1" applyBorder="1" applyFont="1">
      <alignment horizontal="center" vertical="center"/>
    </xf>
    <xf borderId="60" fillId="0" fontId="1" numFmtId="0" xfId="0" applyAlignment="1" applyBorder="1" applyFont="1">
      <alignment readingOrder="0"/>
    </xf>
    <xf borderId="60" fillId="0" fontId="21" numFmtId="0" xfId="0" applyAlignment="1" applyBorder="1" applyFont="1">
      <alignment readingOrder="0"/>
    </xf>
    <xf borderId="60" fillId="0" fontId="21" numFmtId="164" xfId="0" applyAlignment="1" applyBorder="1" applyFont="1" applyNumberFormat="1">
      <alignment horizontal="center" readingOrder="0" vertical="center"/>
    </xf>
    <xf borderId="61" fillId="0" fontId="21" numFmtId="0" xfId="0" applyAlignment="1" applyBorder="1" applyFont="1">
      <alignment readingOrder="0"/>
    </xf>
    <xf borderId="24" fillId="0" fontId="21" numFmtId="166" xfId="0" applyAlignment="1" applyBorder="1" applyFont="1" applyNumberFormat="1">
      <alignment horizontal="center" readingOrder="0" vertical="center"/>
    </xf>
    <xf borderId="62" fillId="0" fontId="21" numFmtId="0" xfId="0" applyAlignment="1" applyBorder="1" applyFont="1">
      <alignment horizontal="center" vertical="center"/>
    </xf>
    <xf borderId="62" fillId="0" fontId="1" numFmtId="0" xfId="0" applyAlignment="1" applyBorder="1" applyFont="1">
      <alignment readingOrder="0"/>
    </xf>
    <xf borderId="62" fillId="0" fontId="21" numFmtId="0" xfId="0" applyAlignment="1" applyBorder="1" applyFont="1">
      <alignment readingOrder="0"/>
    </xf>
    <xf borderId="62" fillId="0" fontId="21" numFmtId="164" xfId="0" applyAlignment="1" applyBorder="1" applyFont="1" applyNumberFormat="1">
      <alignment horizontal="center" readingOrder="0" vertical="center"/>
    </xf>
    <xf borderId="63" fillId="0" fontId="21" numFmtId="0" xfId="0" applyAlignment="1" applyBorder="1" applyFont="1">
      <alignment readingOrder="0"/>
    </xf>
    <xf borderId="24" fillId="0" fontId="21" numFmtId="166" xfId="0" applyAlignment="1" applyBorder="1" applyFont="1" applyNumberFormat="1">
      <alignment horizontal="center" readingOrder="0"/>
    </xf>
    <xf borderId="62" fillId="0" fontId="21" numFmtId="0" xfId="0" applyAlignment="1" applyBorder="1" applyFont="1">
      <alignment horizontal="center"/>
    </xf>
    <xf borderId="62" fillId="0" fontId="21" numFmtId="0" xfId="0" applyBorder="1" applyFont="1"/>
    <xf borderId="24" fillId="4" fontId="20" numFmtId="166" xfId="0" applyAlignment="1" applyBorder="1" applyFont="1" applyNumberFormat="1">
      <alignment horizontal="center" readingOrder="0" vertical="bottom"/>
    </xf>
    <xf borderId="62" fillId="0" fontId="29" numFmtId="0" xfId="0" applyAlignment="1" applyBorder="1" applyFont="1">
      <alignment readingOrder="0"/>
    </xf>
    <xf borderId="1" fillId="0" fontId="21" numFmtId="166" xfId="0" applyAlignment="1" applyBorder="1" applyFont="1" applyNumberFormat="1">
      <alignment horizontal="center" readingOrder="0" vertical="center"/>
    </xf>
    <xf borderId="14" fillId="0" fontId="21" numFmtId="0" xfId="0" applyAlignment="1" applyBorder="1" applyFont="1">
      <alignment horizontal="center" vertical="center"/>
    </xf>
    <xf borderId="2" fillId="0" fontId="21" numFmtId="0" xfId="0" applyAlignment="1" applyBorder="1" applyFont="1">
      <alignment horizontal="center" vertical="center"/>
    </xf>
    <xf borderId="63" fillId="0" fontId="21" numFmtId="0" xfId="0" applyAlignment="1" applyBorder="1" applyFont="1">
      <alignment horizontal="center" vertical="center"/>
    </xf>
    <xf quotePrefix="1" borderId="62" fillId="0" fontId="21" numFmtId="0" xfId="0" applyAlignment="1" applyBorder="1" applyFont="1">
      <alignment readingOrder="0"/>
    </xf>
    <xf borderId="61" fillId="0" fontId="21" numFmtId="0" xfId="0" applyAlignment="1" applyBorder="1" applyFont="1">
      <alignment horizontal="center" vertical="center"/>
    </xf>
    <xf borderId="32" fillId="0" fontId="21" numFmtId="166" xfId="0" applyAlignment="1" applyBorder="1" applyFont="1" applyNumberFormat="1">
      <alignment horizontal="center" readingOrder="0" vertical="center"/>
    </xf>
    <xf borderId="64" fillId="0" fontId="21" numFmtId="0" xfId="0" applyAlignment="1" applyBorder="1" applyFont="1">
      <alignment horizontal="center" vertical="center"/>
    </xf>
    <xf borderId="65" fillId="0" fontId="21" numFmtId="0" xfId="0" applyAlignment="1" applyBorder="1" applyFont="1">
      <alignment horizontal="center" vertical="center"/>
    </xf>
    <xf borderId="62" fillId="0" fontId="21" numFmtId="0" xfId="0" applyAlignment="1" applyBorder="1" applyFont="1">
      <alignment horizontal="center" readingOrder="0"/>
    </xf>
    <xf borderId="62" fillId="0" fontId="65" numFmtId="0" xfId="0" applyBorder="1" applyFont="1"/>
    <xf borderId="24" fillId="0" fontId="21" numFmtId="166" xfId="0" applyAlignment="1" applyBorder="1" applyFont="1" applyNumberFormat="1">
      <alignment horizontal="center"/>
    </xf>
    <xf borderId="62" fillId="0" fontId="21" numFmtId="164" xfId="0" applyAlignment="1" applyBorder="1" applyFont="1" applyNumberFormat="1">
      <alignment horizontal="center" vertical="center"/>
    </xf>
    <xf borderId="63" fillId="0" fontId="21" numFmtId="0" xfId="0" applyBorder="1" applyFont="1"/>
    <xf borderId="32" fillId="0" fontId="21" numFmtId="166" xfId="0" applyAlignment="1" applyBorder="1" applyFont="1" applyNumberFormat="1">
      <alignment horizontal="center"/>
    </xf>
    <xf borderId="64" fillId="0" fontId="21" numFmtId="0" xfId="0" applyAlignment="1" applyBorder="1" applyFont="1">
      <alignment horizontal="center"/>
    </xf>
    <xf borderId="64" fillId="0" fontId="65" numFmtId="0" xfId="0" applyBorder="1" applyFont="1"/>
    <xf borderId="64" fillId="0" fontId="21" numFmtId="0" xfId="0" applyBorder="1" applyFont="1"/>
    <xf borderId="64" fillId="0" fontId="21" numFmtId="164" xfId="0" applyAlignment="1" applyBorder="1" applyFont="1" applyNumberFormat="1">
      <alignment horizontal="center" vertical="center"/>
    </xf>
    <xf borderId="65" fillId="0" fontId="21" numFmtId="0" xfId="0" applyBorder="1" applyFont="1"/>
    <xf borderId="59" fillId="0" fontId="61" numFmtId="166" xfId="0" applyAlignment="1" applyBorder="1" applyFont="1" applyNumberFormat="1">
      <alignment horizontal="center" readingOrder="0" shrinkToFit="0" vertical="top" wrapText="1"/>
    </xf>
    <xf borderId="2" fillId="18" fontId="62" numFmtId="0" xfId="0" applyAlignment="1" applyBorder="1" applyFill="1" applyFont="1">
      <alignment horizontal="center" readingOrder="0" vertical="center"/>
    </xf>
    <xf borderId="2" fillId="3" fontId="48" numFmtId="164" xfId="0" applyAlignment="1" applyBorder="1" applyFont="1" applyNumberFormat="1">
      <alignment horizontal="center"/>
    </xf>
    <xf borderId="60" fillId="0" fontId="21" numFmtId="0" xfId="0" applyBorder="1" applyFont="1"/>
    <xf borderId="61" fillId="0" fontId="21" numFmtId="164" xfId="0" applyAlignment="1" applyBorder="1" applyFont="1" applyNumberFormat="1">
      <alignment horizontal="center"/>
    </xf>
    <xf borderId="62" fillId="0" fontId="21" numFmtId="0" xfId="0" applyBorder="1" applyFont="1"/>
    <xf borderId="63" fillId="0" fontId="21" numFmtId="164" xfId="0" applyAlignment="1" applyBorder="1" applyFont="1" applyNumberFormat="1">
      <alignment horizontal="center"/>
    </xf>
    <xf borderId="63" fillId="0" fontId="21" numFmtId="164" xfId="0" applyAlignment="1" applyBorder="1" applyFont="1" applyNumberFormat="1">
      <alignment horizontal="center" readingOrder="0"/>
    </xf>
    <xf borderId="0" fillId="0" fontId="21" numFmtId="166" xfId="0" applyAlignment="1" applyFont="1" applyNumberFormat="1">
      <alignment horizontal="center" readingOrder="0" vertical="center"/>
    </xf>
    <xf borderId="24" fillId="0" fontId="21" numFmtId="167" xfId="0" applyAlignment="1" applyBorder="1" applyFont="1" applyNumberFormat="1">
      <alignment horizontal="center" readingOrder="0" vertical="center"/>
    </xf>
    <xf borderId="32" fillId="0" fontId="21" numFmtId="167" xfId="0" applyAlignment="1" applyBorder="1" applyFont="1" applyNumberFormat="1">
      <alignment horizontal="center" readingOrder="0" vertical="center"/>
    </xf>
    <xf borderId="0" fillId="0" fontId="21" numFmtId="167" xfId="0" applyAlignment="1" applyFont="1" applyNumberFormat="1">
      <alignment horizontal="center" readingOrder="0" vertical="center"/>
    </xf>
    <xf borderId="0" fillId="0" fontId="21" numFmtId="0" xfId="0" applyAlignment="1" applyFont="1">
      <alignment horizontal="center" vertical="center"/>
    </xf>
    <xf borderId="63" fillId="0" fontId="21" numFmtId="164" xfId="0" applyAlignment="1" applyBorder="1" applyFont="1" applyNumberFormat="1">
      <alignment horizontal="center" readingOrder="0"/>
    </xf>
    <xf borderId="63" fillId="0" fontId="21" numFmtId="164" xfId="0" applyAlignment="1" applyBorder="1" applyFont="1" applyNumberFormat="1">
      <alignment horizontal="center"/>
    </xf>
    <xf borderId="65" fillId="0" fontId="21" numFmtId="164" xfId="0" applyAlignment="1" applyBorder="1" applyFont="1" applyNumberFormat="1">
      <alignment horizontal="center"/>
    </xf>
    <xf borderId="0" fillId="7" fontId="66" numFmtId="0" xfId="0" applyAlignment="1" applyFont="1">
      <alignment horizontal="left" readingOrder="0" shrinkToFit="0" textRotation="0" vertical="top" wrapText="1"/>
    </xf>
    <xf borderId="66" fillId="3" fontId="67" numFmtId="164" xfId="0" applyAlignment="1" applyBorder="1" applyFont="1" applyNumberFormat="1">
      <alignment horizontal="center" readingOrder="0" shrinkToFit="0" vertical="center" wrapText="1"/>
    </xf>
    <xf borderId="67" fillId="0" fontId="68" numFmtId="164" xfId="0" applyAlignment="1" applyBorder="1" applyFont="1" applyNumberFormat="1">
      <alignment horizontal="center" readingOrder="0" shrinkToFit="0" vertical="center" wrapText="1"/>
    </xf>
    <xf borderId="68" fillId="0" fontId="2" numFmtId="0" xfId="0" applyBorder="1" applyFont="1"/>
    <xf borderId="0" fillId="0" fontId="14" numFmtId="0" xfId="0" applyAlignment="1" applyFont="1">
      <alignment horizontal="center" readingOrder="0" shrinkToFit="0" vertical="center" wrapText="1"/>
    </xf>
    <xf borderId="0" fillId="0" fontId="14" numFmtId="0" xfId="0" applyAlignment="1" applyFont="1">
      <alignment horizontal="center" shrinkToFit="0" vertical="center" wrapText="1"/>
    </xf>
    <xf borderId="0" fillId="0" fontId="69" numFmtId="0" xfId="0" applyAlignment="1" applyFont="1">
      <alignment horizontal="right" shrinkToFit="0" vertical="center" wrapText="1"/>
    </xf>
    <xf borderId="69" fillId="3" fontId="67" numFmtId="164" xfId="0" applyAlignment="1" applyBorder="1" applyFont="1" applyNumberFormat="1">
      <alignment horizontal="center" readingOrder="0" shrinkToFit="0" vertical="center" wrapText="1"/>
    </xf>
    <xf borderId="70" fillId="0" fontId="68" numFmtId="164" xfId="0" applyAlignment="1" applyBorder="1" applyFont="1" applyNumberFormat="1">
      <alignment horizontal="center" readingOrder="0" shrinkToFit="0" vertical="center" wrapText="1"/>
    </xf>
    <xf borderId="71" fillId="0" fontId="2" numFmtId="0" xfId="0" applyBorder="1" applyFont="1"/>
    <xf borderId="0" fillId="19" fontId="14" numFmtId="0" xfId="0" applyAlignment="1" applyFill="1" applyFont="1">
      <alignment horizontal="center" readingOrder="0" shrinkToFit="0" vertical="center" wrapText="1"/>
    </xf>
    <xf borderId="72" fillId="0" fontId="2" numFmtId="0" xfId="0" applyBorder="1" applyFont="1"/>
    <xf borderId="73" fillId="3" fontId="67" numFmtId="164" xfId="0" applyAlignment="1" applyBorder="1" applyFont="1" applyNumberFormat="1">
      <alignment horizontal="center" readingOrder="0" shrinkToFit="0" vertical="center" wrapText="1"/>
    </xf>
    <xf borderId="74" fillId="0" fontId="68" numFmtId="164" xfId="0" applyAlignment="1" applyBorder="1" applyFont="1" applyNumberFormat="1">
      <alignment horizontal="center" readingOrder="0" shrinkToFit="0" vertical="center" wrapText="1"/>
    </xf>
    <xf borderId="75" fillId="0" fontId="2" numFmtId="0" xfId="0" applyBorder="1" applyFont="1"/>
    <xf borderId="0" fillId="0" fontId="70" numFmtId="0" xfId="0" applyAlignment="1" applyFont="1">
      <alignment horizontal="center" shrinkToFit="0" vertical="center" wrapText="1"/>
    </xf>
    <xf borderId="76" fillId="3" fontId="17" numFmtId="0" xfId="0" applyAlignment="1" applyBorder="1" applyFont="1">
      <alignment horizontal="center" readingOrder="0" shrinkToFit="0" vertical="center" wrapText="1"/>
    </xf>
    <xf borderId="77" fillId="3" fontId="17" numFmtId="164" xfId="0" applyAlignment="1" applyBorder="1" applyFont="1" applyNumberFormat="1">
      <alignment horizontal="center" readingOrder="0" shrinkToFit="0" vertical="center" wrapText="1"/>
    </xf>
    <xf borderId="77" fillId="3" fontId="17" numFmtId="0" xfId="0" applyAlignment="1" applyBorder="1" applyFont="1">
      <alignment horizontal="center" readingOrder="0" shrinkToFit="0" vertical="center" wrapText="1"/>
    </xf>
    <xf borderId="78" fillId="3" fontId="17" numFmtId="0" xfId="0" applyAlignment="1" applyBorder="1" applyFont="1">
      <alignment horizontal="center" readingOrder="0" shrinkToFit="0" vertical="center" wrapText="1"/>
    </xf>
    <xf borderId="0" fillId="0" fontId="21" numFmtId="0" xfId="0" applyFont="1"/>
    <xf borderId="79" fillId="0" fontId="20" numFmtId="0" xfId="0" applyAlignment="1" applyBorder="1" applyFont="1">
      <alignment horizontal="right" readingOrder="0"/>
    </xf>
    <xf borderId="80" fillId="0" fontId="21" numFmtId="164" xfId="0" applyAlignment="1" applyBorder="1" applyFont="1" applyNumberFormat="1">
      <alignment horizontal="center"/>
    </xf>
    <xf borderId="80" fillId="0" fontId="21" numFmtId="0" xfId="0" applyAlignment="1" applyBorder="1" applyFont="1">
      <alignment horizontal="center"/>
    </xf>
    <xf borderId="80" fillId="0" fontId="21" numFmtId="4" xfId="0" applyAlignment="1" applyBorder="1" applyFont="1" applyNumberFormat="1">
      <alignment horizontal="center" readingOrder="0"/>
    </xf>
    <xf borderId="81" fillId="0" fontId="21" numFmtId="165" xfId="0" applyAlignment="1" applyBorder="1" applyFont="1" applyNumberFormat="1">
      <alignment horizontal="center" readingOrder="0"/>
    </xf>
    <xf borderId="80" fillId="0" fontId="21" numFmtId="164" xfId="0" applyAlignment="1" applyBorder="1" applyFont="1" applyNumberFormat="1">
      <alignment horizontal="center" readingOrder="0"/>
    </xf>
    <xf borderId="82" fillId="0" fontId="21" numFmtId="2" xfId="0" applyAlignment="1" applyBorder="1" applyFont="1" applyNumberFormat="1">
      <alignment horizontal="center" readingOrder="0"/>
    </xf>
    <xf borderId="83" fillId="0" fontId="21" numFmtId="164" xfId="0" applyAlignment="1" applyBorder="1" applyFont="1" applyNumberFormat="1">
      <alignment horizontal="center"/>
    </xf>
    <xf borderId="84" fillId="0" fontId="71" numFmtId="10" xfId="0" applyAlignment="1" applyBorder="1" applyFont="1" applyNumberFormat="1">
      <alignment horizontal="center"/>
    </xf>
    <xf borderId="85" fillId="0" fontId="20" numFmtId="0" xfId="0" applyAlignment="1" applyBorder="1" applyFont="1">
      <alignment horizontal="right" readingOrder="0"/>
    </xf>
    <xf borderId="86" fillId="0" fontId="21" numFmtId="164" xfId="0" applyAlignment="1" applyBorder="1" applyFont="1" applyNumberFormat="1">
      <alignment horizontal="center"/>
    </xf>
    <xf borderId="86" fillId="0" fontId="21" numFmtId="0" xfId="0" applyAlignment="1" applyBorder="1" applyFont="1">
      <alignment horizontal="center"/>
    </xf>
    <xf borderId="86" fillId="0" fontId="21" numFmtId="4" xfId="0" applyAlignment="1" applyBorder="1" applyFont="1" applyNumberFormat="1">
      <alignment horizontal="center"/>
    </xf>
    <xf borderId="87" fillId="0" fontId="21" numFmtId="165" xfId="0" applyAlignment="1" applyBorder="1" applyFont="1" applyNumberFormat="1">
      <alignment horizontal="center"/>
    </xf>
    <xf borderId="88" fillId="0" fontId="21" numFmtId="0" xfId="0" applyAlignment="1" applyBorder="1" applyFont="1">
      <alignment horizontal="center" readingOrder="0"/>
    </xf>
    <xf borderId="89" fillId="0" fontId="21" numFmtId="0" xfId="0" applyAlignment="1" applyBorder="1" applyFont="1">
      <alignment horizontal="right" readingOrder="0" vertical="bottom"/>
    </xf>
    <xf borderId="90" fillId="0" fontId="21" numFmtId="164" xfId="0" applyAlignment="1" applyBorder="1" applyFont="1" applyNumberFormat="1">
      <alignment horizontal="center"/>
    </xf>
    <xf borderId="90" fillId="0" fontId="21" numFmtId="0" xfId="0" applyAlignment="1" applyBorder="1" applyFont="1">
      <alignment horizontal="center"/>
    </xf>
    <xf borderId="90" fillId="0" fontId="21" numFmtId="4" xfId="0" applyAlignment="1" applyBorder="1" applyFont="1" applyNumberFormat="1">
      <alignment horizontal="center"/>
    </xf>
    <xf borderId="91" fillId="0" fontId="21" numFmtId="165" xfId="0" applyAlignment="1" applyBorder="1" applyFont="1" applyNumberFormat="1">
      <alignment horizontal="center"/>
    </xf>
    <xf borderId="92" fillId="0" fontId="21" numFmtId="0" xfId="0" applyAlignment="1" applyBorder="1" applyFont="1">
      <alignment horizontal="center" readingOrder="0"/>
    </xf>
    <xf borderId="93" fillId="0" fontId="21" numFmtId="164" xfId="0" applyAlignment="1" applyBorder="1" applyFont="1" applyNumberFormat="1">
      <alignment horizontal="center"/>
    </xf>
    <xf borderId="94" fillId="0" fontId="71" numFmtId="10" xfId="0" applyAlignment="1" applyBorder="1" applyFont="1" applyNumberFormat="1">
      <alignment horizontal="center"/>
    </xf>
    <xf borderId="0" fillId="0" fontId="21" numFmtId="164" xfId="0" applyFont="1" applyNumberFormat="1"/>
    <xf borderId="79" fillId="0" fontId="20" numFmtId="0" xfId="0" applyAlignment="1" applyBorder="1" applyFont="1">
      <alignment horizontal="right"/>
    </xf>
    <xf borderId="80" fillId="0" fontId="21" numFmtId="4" xfId="0" applyAlignment="1" applyBorder="1" applyFont="1" applyNumberFormat="1">
      <alignment horizontal="center"/>
    </xf>
    <xf borderId="81" fillId="0" fontId="21" numFmtId="165" xfId="0" applyAlignment="1" applyBorder="1" applyFont="1" applyNumberFormat="1">
      <alignment horizontal="center"/>
    </xf>
    <xf borderId="82" fillId="0" fontId="21" numFmtId="0" xfId="0" applyAlignment="1" applyBorder="1" applyFont="1">
      <alignment horizontal="center" readingOrder="0"/>
    </xf>
    <xf borderId="82" fillId="0" fontId="21" numFmtId="164" xfId="0" applyAlignment="1" applyBorder="1" applyFont="1" applyNumberFormat="1">
      <alignment horizontal="center"/>
    </xf>
    <xf borderId="85" fillId="0" fontId="20" numFmtId="0" xfId="0" applyAlignment="1" applyBorder="1" applyFont="1">
      <alignment horizontal="right"/>
    </xf>
    <xf borderId="95" fillId="0" fontId="21" numFmtId="0" xfId="0" applyAlignment="1" applyBorder="1" applyFont="1">
      <alignment horizontal="center" readingOrder="0"/>
    </xf>
    <xf borderId="96" fillId="0" fontId="72" numFmtId="166" xfId="0" applyAlignment="1" applyBorder="1" applyFont="1" applyNumberFormat="1">
      <alignment horizontal="left" readingOrder="0" shrinkToFit="0" vertical="top" wrapText="1"/>
    </xf>
    <xf borderId="97" fillId="20" fontId="73" numFmtId="0" xfId="0" applyAlignment="1" applyBorder="1" applyFill="1" applyFont="1">
      <alignment horizontal="center" readingOrder="0" vertical="center"/>
    </xf>
    <xf borderId="98" fillId="0" fontId="2" numFmtId="0" xfId="0" applyBorder="1" applyFont="1"/>
    <xf borderId="99" fillId="0" fontId="2" numFmtId="0" xfId="0" applyBorder="1" applyFont="1"/>
    <xf borderId="0" fillId="20" fontId="74" numFmtId="0" xfId="0" applyAlignment="1" applyFont="1">
      <alignment horizontal="center" readingOrder="0" vertical="center"/>
    </xf>
    <xf borderId="97" fillId="21" fontId="73" numFmtId="0" xfId="0" applyAlignment="1" applyBorder="1" applyFill="1" applyFont="1">
      <alignment horizontal="center" readingOrder="0" vertical="center"/>
    </xf>
    <xf borderId="98" fillId="18" fontId="73" numFmtId="0" xfId="0" applyAlignment="1" applyBorder="1" applyFont="1">
      <alignment horizontal="center" readingOrder="0" vertical="center"/>
    </xf>
    <xf borderId="98" fillId="17" fontId="73" numFmtId="0" xfId="0" applyAlignment="1" applyBorder="1" applyFont="1">
      <alignment horizontal="center" readingOrder="0" vertical="center"/>
    </xf>
    <xf borderId="98" fillId="22" fontId="73" numFmtId="0" xfId="0" applyAlignment="1" applyBorder="1" applyFill="1" applyFont="1">
      <alignment horizontal="center" readingOrder="0" vertical="center"/>
    </xf>
    <xf borderId="0" fillId="0" fontId="73" numFmtId="0" xfId="0" applyAlignment="1" applyFont="1">
      <alignment horizontal="center" readingOrder="0" vertical="center"/>
    </xf>
    <xf borderId="25" fillId="3" fontId="48" numFmtId="166" xfId="0" applyAlignment="1" applyBorder="1" applyFont="1" applyNumberFormat="1">
      <alignment horizontal="center" readingOrder="0"/>
    </xf>
    <xf borderId="60" fillId="3" fontId="48" numFmtId="0" xfId="0" applyAlignment="1" applyBorder="1" applyFont="1">
      <alignment horizontal="center" readingOrder="0"/>
    </xf>
    <xf borderId="67" fillId="3" fontId="48" numFmtId="0" xfId="0" applyAlignment="1" applyBorder="1" applyFont="1">
      <alignment horizontal="center" readingOrder="0"/>
    </xf>
    <xf borderId="100" fillId="23" fontId="40" numFmtId="0" xfId="0" applyAlignment="1" applyBorder="1" applyFill="1" applyFont="1">
      <alignment readingOrder="0"/>
    </xf>
    <xf borderId="1" fillId="0" fontId="40" numFmtId="0" xfId="0" applyAlignment="1" applyBorder="1" applyFont="1">
      <alignment readingOrder="0"/>
    </xf>
    <xf borderId="14" fillId="0" fontId="40" numFmtId="0" xfId="0" applyAlignment="1" applyBorder="1" applyFont="1">
      <alignment readingOrder="0"/>
    </xf>
    <xf borderId="101" fillId="0" fontId="40" numFmtId="0" xfId="0" applyAlignment="1" applyBorder="1" applyFont="1">
      <alignment readingOrder="0"/>
    </xf>
    <xf borderId="1" fillId="3" fontId="48" numFmtId="0" xfId="0" applyAlignment="1" applyBorder="1" applyFont="1">
      <alignment horizontal="center" readingOrder="0"/>
    </xf>
    <xf borderId="14" fillId="3" fontId="48" numFmtId="0" xfId="0" applyAlignment="1" applyBorder="1" applyFont="1">
      <alignment horizontal="center" readingOrder="0"/>
    </xf>
    <xf borderId="0" fillId="3" fontId="48" numFmtId="0" xfId="0" applyAlignment="1" applyFont="1">
      <alignment horizontal="center" readingOrder="0"/>
    </xf>
    <xf borderId="102" fillId="23" fontId="40" numFmtId="0" xfId="0" applyAlignment="1" applyBorder="1" applyFont="1">
      <alignment readingOrder="0"/>
    </xf>
    <xf borderId="2" fillId="0" fontId="40" numFmtId="0" xfId="0" applyAlignment="1" applyBorder="1" applyFont="1">
      <alignment readingOrder="0"/>
    </xf>
    <xf borderId="7" fillId="0" fontId="40" numFmtId="0" xfId="0" applyAlignment="1" applyBorder="1" applyFont="1">
      <alignment readingOrder="0"/>
    </xf>
    <xf borderId="8" fillId="0" fontId="40" numFmtId="0" xfId="0" applyAlignment="1" applyBorder="1" applyFont="1">
      <alignment readingOrder="0"/>
    </xf>
    <xf borderId="103" fillId="0" fontId="40" numFmtId="0" xfId="0" applyAlignment="1" applyBorder="1" applyFont="1">
      <alignment readingOrder="0"/>
    </xf>
    <xf borderId="0" fillId="0" fontId="40" numFmtId="0" xfId="0" applyAlignment="1" applyFont="1">
      <alignment readingOrder="0"/>
    </xf>
    <xf borderId="25" fillId="4" fontId="21" numFmtId="166" xfId="0" applyAlignment="1" applyBorder="1" applyFont="1" applyNumberFormat="1">
      <alignment horizontal="center"/>
    </xf>
    <xf borderId="60" fillId="4" fontId="21" numFmtId="0" xfId="0" applyAlignment="1" applyBorder="1" applyFont="1">
      <alignment horizontal="center" readingOrder="0"/>
    </xf>
    <xf borderId="67" fillId="4" fontId="21" numFmtId="0" xfId="0" applyBorder="1" applyFont="1"/>
    <xf borderId="67" fillId="4" fontId="20" numFmtId="0" xfId="0" applyAlignment="1" applyBorder="1" applyFont="1">
      <alignment horizontal="center"/>
    </xf>
    <xf borderId="100" fillId="24" fontId="21" numFmtId="0" xfId="0" applyAlignment="1" applyBorder="1" applyFill="1" applyFont="1">
      <alignment horizontal="center" readingOrder="0" textRotation="90" vertical="center"/>
    </xf>
    <xf borderId="0" fillId="0" fontId="21" numFmtId="167" xfId="0" applyAlignment="1" applyFont="1" applyNumberFormat="1">
      <alignment horizontal="right" vertical="bottom"/>
    </xf>
    <xf borderId="104" fillId="0" fontId="21" numFmtId="0" xfId="0" applyAlignment="1" applyBorder="1" applyFont="1">
      <alignment readingOrder="0"/>
    </xf>
    <xf borderId="105" fillId="0" fontId="21" numFmtId="0" xfId="0" applyAlignment="1" applyBorder="1" applyFont="1">
      <alignment readingOrder="0"/>
    </xf>
    <xf borderId="106" fillId="0" fontId="21" numFmtId="0" xfId="0" applyAlignment="1" applyBorder="1" applyFont="1">
      <alignment readingOrder="0"/>
    </xf>
    <xf borderId="0" fillId="0" fontId="20" numFmtId="167" xfId="0" applyAlignment="1" applyFont="1" applyNumberFormat="1">
      <alignment horizontal="center" readingOrder="0"/>
    </xf>
    <xf borderId="0" fillId="0" fontId="20" numFmtId="0" xfId="0" applyAlignment="1" applyFont="1">
      <alignment horizontal="center" readingOrder="0"/>
    </xf>
    <xf borderId="0" fillId="0" fontId="20" numFmtId="0" xfId="0" applyAlignment="1" applyFont="1">
      <alignment horizontal="center"/>
    </xf>
    <xf borderId="0" fillId="0" fontId="20" numFmtId="0" xfId="0" applyAlignment="1" applyFont="1">
      <alignment horizontal="left" readingOrder="0"/>
    </xf>
    <xf borderId="104" fillId="0" fontId="21" numFmtId="0" xfId="0" applyBorder="1" applyFont="1"/>
    <xf borderId="105" fillId="0" fontId="21" numFmtId="0" xfId="0" applyBorder="1" applyFont="1"/>
    <xf borderId="106" fillId="0" fontId="21" numFmtId="0" xfId="0" applyBorder="1" applyFont="1"/>
    <xf borderId="0" fillId="24" fontId="21" numFmtId="0" xfId="0" applyAlignment="1" applyFont="1">
      <alignment horizontal="center" readingOrder="0" textRotation="90" vertical="center"/>
    </xf>
    <xf borderId="107" fillId="0" fontId="21" numFmtId="0" xfId="0" applyBorder="1" applyFont="1"/>
    <xf borderId="82" fillId="0" fontId="21" numFmtId="0" xfId="0" applyBorder="1" applyFont="1"/>
    <xf borderId="84" fillId="0" fontId="21" numFmtId="0" xfId="0" applyBorder="1" applyFont="1"/>
    <xf borderId="0" fillId="0" fontId="21" numFmtId="0" xfId="0" applyAlignment="1" applyFont="1">
      <alignment readingOrder="0" vertical="bottom"/>
    </xf>
    <xf borderId="24" fillId="7" fontId="21" numFmtId="166" xfId="0" applyAlignment="1" applyBorder="1" applyFont="1" applyNumberFormat="1">
      <alignment horizontal="center"/>
    </xf>
    <xf borderId="62" fillId="7" fontId="21" numFmtId="0" xfId="0" applyAlignment="1" applyBorder="1" applyFont="1">
      <alignment horizontal="center" readingOrder="0"/>
    </xf>
    <xf borderId="70" fillId="7" fontId="21" numFmtId="0" xfId="0" applyBorder="1" applyFont="1"/>
    <xf borderId="70" fillId="7" fontId="20" numFmtId="164" xfId="0" applyAlignment="1" applyBorder="1" applyFont="1" applyNumberFormat="1">
      <alignment horizontal="center"/>
    </xf>
    <xf borderId="100" fillId="0" fontId="2" numFmtId="0" xfId="0" applyBorder="1" applyFont="1"/>
    <xf borderId="108" fillId="0" fontId="21" numFmtId="0" xfId="0" applyAlignment="1" applyBorder="1" applyFont="1">
      <alignment readingOrder="0"/>
    </xf>
    <xf borderId="86" fillId="0" fontId="21" numFmtId="0" xfId="0" applyAlignment="1" applyBorder="1" applyFont="1">
      <alignment readingOrder="0"/>
    </xf>
    <xf borderId="109" fillId="0" fontId="21" numFmtId="0" xfId="0" applyAlignment="1" applyBorder="1" applyFont="1">
      <alignment readingOrder="0"/>
    </xf>
    <xf borderId="0" fillId="0" fontId="20" numFmtId="164" xfId="0" applyAlignment="1" applyFont="1" applyNumberFormat="1">
      <alignment horizontal="left" readingOrder="0"/>
    </xf>
    <xf borderId="108" fillId="0" fontId="21" numFmtId="0" xfId="0" applyBorder="1" applyFont="1"/>
    <xf borderId="86" fillId="0" fontId="21" numFmtId="0" xfId="0" applyBorder="1" applyFont="1"/>
    <xf borderId="109" fillId="0" fontId="21" numFmtId="0" xfId="0" applyBorder="1" applyFont="1"/>
    <xf borderId="24" fillId="4" fontId="21" numFmtId="166" xfId="0" applyAlignment="1" applyBorder="1" applyFont="1" applyNumberFormat="1">
      <alignment horizontal="center"/>
    </xf>
    <xf borderId="62" fillId="4" fontId="21" numFmtId="0" xfId="0" applyAlignment="1" applyBorder="1" applyFont="1">
      <alignment horizontal="center"/>
    </xf>
    <xf borderId="70" fillId="4" fontId="21" numFmtId="0" xfId="0" applyBorder="1" applyFont="1"/>
    <xf borderId="70" fillId="4" fontId="20" numFmtId="164" xfId="0" applyAlignment="1" applyBorder="1" applyFont="1" applyNumberFormat="1">
      <alignment horizontal="center"/>
    </xf>
    <xf borderId="0" fillId="0" fontId="21" numFmtId="167" xfId="0" applyAlignment="1" applyFont="1" applyNumberFormat="1">
      <alignment horizontal="right" readingOrder="0" vertical="bottom"/>
    </xf>
    <xf borderId="0" fillId="0" fontId="21" numFmtId="166" xfId="0" applyFont="1" applyNumberFormat="1"/>
    <xf borderId="0" fillId="0" fontId="21" numFmtId="164" xfId="0" applyAlignment="1" applyFont="1" applyNumberFormat="1">
      <alignment horizontal="left"/>
    </xf>
    <xf borderId="62" fillId="7" fontId="21" numFmtId="0" xfId="0" applyAlignment="1" applyBorder="1" applyFont="1">
      <alignment horizontal="center"/>
    </xf>
    <xf borderId="0" fillId="0" fontId="20" numFmtId="166" xfId="0" applyAlignment="1" applyFont="1" applyNumberFormat="1">
      <alignment horizontal="center"/>
    </xf>
    <xf borderId="0" fillId="0" fontId="20" numFmtId="0" xfId="0" applyAlignment="1" applyFont="1">
      <alignment horizontal="left"/>
    </xf>
    <xf borderId="0" fillId="0" fontId="20" numFmtId="164" xfId="0" applyAlignment="1" applyFont="1" applyNumberFormat="1">
      <alignment horizontal="left"/>
    </xf>
    <xf borderId="100" fillId="25" fontId="21" numFmtId="0" xfId="0" applyAlignment="1" applyBorder="1" applyFill="1" applyFont="1">
      <alignment horizontal="center" readingOrder="0" textRotation="90" vertical="center"/>
    </xf>
    <xf borderId="0" fillId="0" fontId="21" numFmtId="166" xfId="0" applyAlignment="1" applyFont="1" applyNumberFormat="1">
      <alignment horizontal="center"/>
    </xf>
    <xf borderId="0" fillId="25" fontId="21" numFmtId="0" xfId="0" applyAlignment="1" applyFont="1">
      <alignment horizontal="center" readingOrder="0" textRotation="90" vertical="center"/>
    </xf>
    <xf borderId="0" fillId="0" fontId="20" numFmtId="166" xfId="0" applyAlignment="1" applyFont="1" applyNumberFormat="1">
      <alignment horizontal="center" readingOrder="0"/>
    </xf>
    <xf borderId="0" fillId="0" fontId="1" numFmtId="166" xfId="0" applyAlignment="1" applyFont="1" applyNumberFormat="1">
      <alignment readingOrder="0"/>
    </xf>
    <xf borderId="108" fillId="0" fontId="21" numFmtId="0" xfId="0" applyAlignment="1" applyBorder="1" applyFont="1">
      <alignment readingOrder="0" vertical="bottom"/>
    </xf>
    <xf borderId="86" fillId="0" fontId="21" numFmtId="0" xfId="0" applyAlignment="1" applyBorder="1" applyFont="1">
      <alignment readingOrder="0" vertical="bottom"/>
    </xf>
    <xf borderId="109" fillId="0" fontId="21" numFmtId="0" xfId="0" applyAlignment="1" applyBorder="1" applyFont="1">
      <alignment readingOrder="0" vertical="bottom"/>
    </xf>
    <xf borderId="1" fillId="0" fontId="21" numFmtId="167" xfId="0" applyAlignment="1" applyBorder="1" applyFont="1" applyNumberFormat="1">
      <alignment horizontal="right" vertical="bottom"/>
    </xf>
    <xf borderId="88" fillId="0" fontId="21" numFmtId="0" xfId="0" applyAlignment="1" applyBorder="1" applyFont="1">
      <alignment readingOrder="0" vertical="bottom"/>
    </xf>
    <xf borderId="68" fillId="0" fontId="21" numFmtId="0" xfId="0" applyAlignment="1" applyBorder="1" applyFont="1">
      <alignment readingOrder="0" vertical="bottom"/>
    </xf>
    <xf borderId="67" fillId="0" fontId="21" numFmtId="0" xfId="0" applyAlignment="1" applyBorder="1" applyFont="1">
      <alignment readingOrder="0" vertical="bottom"/>
    </xf>
    <xf borderId="70" fillId="23" fontId="75" numFmtId="166" xfId="0" applyAlignment="1" applyBorder="1" applyFont="1" applyNumberFormat="1">
      <alignment horizontal="center" readingOrder="0" vertical="center"/>
    </xf>
    <xf borderId="70" fillId="7" fontId="2" numFmtId="0" xfId="0" applyBorder="1" applyFont="1"/>
    <xf borderId="24" fillId="4" fontId="21" numFmtId="166" xfId="0" applyAlignment="1" applyBorder="1" applyFont="1" applyNumberFormat="1">
      <alignment horizontal="center" readingOrder="0"/>
    </xf>
    <xf borderId="24" fillId="7" fontId="21" numFmtId="166" xfId="0" applyAlignment="1" applyBorder="1" applyFont="1" applyNumberFormat="1">
      <alignment horizontal="center" readingOrder="0"/>
    </xf>
    <xf borderId="1" fillId="0" fontId="21" numFmtId="166" xfId="0" applyAlignment="1" applyBorder="1" applyFont="1" applyNumberFormat="1">
      <alignment horizontal="right" readingOrder="0"/>
    </xf>
    <xf borderId="88" fillId="0" fontId="21" numFmtId="0" xfId="0" applyBorder="1" applyFont="1"/>
    <xf borderId="68" fillId="0" fontId="21" numFmtId="0" xfId="0" applyBorder="1" applyFont="1"/>
    <xf borderId="67" fillId="0" fontId="21" numFmtId="0" xfId="0" applyAlignment="1" applyBorder="1" applyFont="1">
      <alignment readingOrder="0"/>
    </xf>
    <xf borderId="67" fillId="0" fontId="21" numFmtId="0" xfId="0" applyBorder="1" applyFont="1"/>
    <xf borderId="110" fillId="0" fontId="21" numFmtId="0" xfId="0" applyBorder="1" applyFont="1"/>
    <xf borderId="111" fillId="0" fontId="21" numFmtId="0" xfId="0" applyBorder="1" applyFont="1"/>
    <xf borderId="70" fillId="0" fontId="21" numFmtId="0" xfId="0" applyBorder="1" applyFont="1"/>
    <xf borderId="112" fillId="0" fontId="21" numFmtId="0" xfId="0" applyBorder="1" applyFont="1"/>
    <xf borderId="113" fillId="0" fontId="2" numFmtId="0" xfId="0" applyBorder="1" applyFont="1"/>
    <xf borderId="38" fillId="0" fontId="21" numFmtId="166" xfId="0" applyAlignment="1" applyBorder="1" applyFont="1" applyNumberFormat="1">
      <alignment horizontal="right" readingOrder="0"/>
    </xf>
    <xf borderId="92" fillId="0" fontId="21" numFmtId="0" xfId="0" applyBorder="1" applyFont="1"/>
    <xf borderId="114" fillId="0" fontId="21" numFmtId="0" xfId="0" applyBorder="1" applyFont="1"/>
    <xf borderId="115" fillId="0" fontId="21" numFmtId="0" xfId="0" applyBorder="1" applyFont="1"/>
    <xf borderId="116" fillId="0" fontId="21" numFmtId="0" xfId="0" applyBorder="1" applyFont="1"/>
    <xf borderId="0" fillId="0" fontId="21" numFmtId="166" xfId="0" applyAlignment="1" applyFont="1" applyNumberFormat="1">
      <alignment horizontal="right"/>
    </xf>
    <xf borderId="70" fillId="4" fontId="20" numFmtId="0" xfId="0" applyAlignment="1" applyBorder="1" applyFont="1">
      <alignment horizontal="center"/>
    </xf>
    <xf borderId="70" fillId="7" fontId="20" numFmtId="0" xfId="0" applyAlignment="1" applyBorder="1" applyFont="1">
      <alignment horizontal="center"/>
    </xf>
    <xf borderId="0" fillId="4" fontId="21" numFmtId="166" xfId="0" applyAlignment="1" applyFont="1" applyNumberFormat="1">
      <alignment horizontal="center"/>
    </xf>
    <xf borderId="0" fillId="4" fontId="21" numFmtId="0" xfId="0" applyAlignment="1" applyFont="1">
      <alignment horizontal="center"/>
    </xf>
    <xf borderId="0" fillId="4" fontId="21" numFmtId="0" xfId="0" applyFont="1"/>
    <xf borderId="0" fillId="4" fontId="20" numFmtId="0" xfId="0" applyAlignment="1" applyFont="1">
      <alignment horizontal="center"/>
    </xf>
    <xf borderId="0" fillId="7" fontId="21" numFmtId="166" xfId="0" applyAlignment="1" applyFont="1" applyNumberFormat="1">
      <alignment horizontal="center"/>
    </xf>
    <xf borderId="0" fillId="7" fontId="21" numFmtId="0" xfId="0" applyAlignment="1" applyFont="1">
      <alignment horizontal="center"/>
    </xf>
    <xf borderId="0" fillId="7" fontId="21" numFmtId="0" xfId="0" applyFont="1"/>
    <xf borderId="0" fillId="7" fontId="20" numFmtId="0" xfId="0" applyAlignment="1" applyFont="1">
      <alignment horizontal="center"/>
    </xf>
    <xf borderId="0" fillId="0" fontId="21" numFmtId="0" xfId="0" applyAlignment="1" applyFont="1">
      <alignment horizontal="center"/>
    </xf>
  </cellXfs>
  <cellStyles count="1">
    <cellStyle xfId="0" name="Normal" builtinId="0"/>
  </cellStyles>
  <dxfs count="14">
    <dxf>
      <font/>
      <fill>
        <patternFill patternType="solid">
          <fgColor rgb="FF34A853"/>
          <bgColor rgb="FF34A853"/>
        </patternFill>
      </fill>
      <border/>
    </dxf>
    <dxf>
      <font/>
      <fill>
        <patternFill patternType="solid">
          <fgColor rgb="FFFF6D01"/>
          <bgColor rgb="FFFF6D01"/>
        </patternFill>
      </fill>
      <border/>
    </dxf>
    <dxf>
      <font/>
      <fill>
        <patternFill patternType="solid">
          <fgColor theme="7"/>
          <bgColor theme="7"/>
        </patternFill>
      </fill>
      <border/>
    </dxf>
    <dxf>
      <font/>
      <fill>
        <patternFill patternType="solid">
          <fgColor theme="8"/>
          <bgColor theme="8"/>
        </patternFill>
      </fill>
      <border/>
    </dxf>
    <dxf>
      <font/>
      <fill>
        <patternFill patternType="solid">
          <fgColor rgb="FFB7E1CD"/>
          <bgColor rgb="FFB7E1CD"/>
        </patternFill>
      </fill>
      <border/>
    </dxf>
    <dxf>
      <font>
        <b/>
        <color rgb="FF000000"/>
      </font>
      <fill>
        <patternFill patternType="solid">
          <fgColor rgb="FFD7AEF4"/>
          <bgColor rgb="FFD7AEF4"/>
        </patternFill>
      </fill>
      <border/>
    </dxf>
    <dxf>
      <font>
        <b/>
        <color rgb="FFFFFFFF"/>
      </font>
      <fill>
        <patternFill patternType="solid">
          <fgColor rgb="FF783F04"/>
          <bgColor rgb="FF783F04"/>
        </patternFill>
      </fill>
      <border/>
    </dxf>
    <dxf>
      <font/>
      <fill>
        <patternFill patternType="none"/>
      </fill>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CCCCCC"/>
          <bgColor rgb="FFCCCC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2">
    <tableStyle count="2" pivot="0" name="Membership Application List-style">
      <tableStyleElement dxfId="12" type="firstRowStripe"/>
      <tableStyleElement dxfId="13" type="secondRowStripe"/>
    </tableStyle>
    <tableStyle count="3" pivot="0" name="Membership Application List-style 2">
      <tableStyleElement dxfId="12" type="headerRow"/>
      <tableStyleElement dxfId="13" type="firstRowStripe"/>
      <tableStyleElement dxfId="1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4:B1003" displayName="Table_1" name="Table_1" id="1">
  <tableColumns count="2">
    <tableColumn name="Column1" id="1"/>
    <tableColumn name="Column2" id="2"/>
  </tableColumns>
  <tableStyleInfo name="Membership Application List-style" showColumnStripes="0" showFirstColumn="1" showLastColumn="1" showRowStripes="1"/>
</table>
</file>

<file path=xl/tables/table2.xml><?xml version="1.0" encoding="utf-8"?>
<table xmlns="http://schemas.openxmlformats.org/spreadsheetml/2006/main" headerRowCount="0" ref="D4:P1003" displayName="Table_2" name="Table_2" id="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embership Application List-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90" Type="http://schemas.openxmlformats.org/officeDocument/2006/relationships/hyperlink" Target="mailto:reh5015@mavs.uta.edu" TargetMode="External"/><Relationship Id="rId194" Type="http://schemas.openxmlformats.org/officeDocument/2006/relationships/hyperlink" Target="mailto:brb4177@mavs.uta.edu" TargetMode="External"/><Relationship Id="rId193" Type="http://schemas.openxmlformats.org/officeDocument/2006/relationships/hyperlink" Target="mailto:meagan.watkins@mavs.uta.edu" TargetMode="External"/><Relationship Id="rId192" Type="http://schemas.openxmlformats.org/officeDocument/2006/relationships/hyperlink" Target="mailto:vxc9126@mavs.uta.edu" TargetMode="External"/><Relationship Id="rId191" Type="http://schemas.openxmlformats.org/officeDocument/2006/relationships/hyperlink" Target="mailto:rxa5804@mavs.uta.edu" TargetMode="External"/><Relationship Id="rId187" Type="http://schemas.openxmlformats.org/officeDocument/2006/relationships/hyperlink" Target="mailto:emb2589@mavs.uta.edu" TargetMode="External"/><Relationship Id="rId186" Type="http://schemas.openxmlformats.org/officeDocument/2006/relationships/hyperlink" Target="mailto:kgl3013@mavs.uta.edu" TargetMode="External"/><Relationship Id="rId185" Type="http://schemas.openxmlformats.org/officeDocument/2006/relationships/hyperlink" Target="mailto:cef6117@mavs.uta.edu" TargetMode="External"/><Relationship Id="rId184" Type="http://schemas.openxmlformats.org/officeDocument/2006/relationships/hyperlink" Target="mailto:sxa0800@mavs.uta.edu" TargetMode="External"/><Relationship Id="rId189" Type="http://schemas.openxmlformats.org/officeDocument/2006/relationships/hyperlink" Target="mailto:nbt8588@mavs.uta.edu" TargetMode="External"/><Relationship Id="rId188" Type="http://schemas.openxmlformats.org/officeDocument/2006/relationships/hyperlink" Target="mailto:ryan.johnson2@mavs.uta.edu" TargetMode="External"/><Relationship Id="rId183" Type="http://schemas.openxmlformats.org/officeDocument/2006/relationships/hyperlink" Target="mailto:jem3027@mavs.uta.edu" TargetMode="External"/><Relationship Id="rId182" Type="http://schemas.openxmlformats.org/officeDocument/2006/relationships/hyperlink" Target="mailto:axm6747@mavs.uta.edu" TargetMode="External"/><Relationship Id="rId181" Type="http://schemas.openxmlformats.org/officeDocument/2006/relationships/hyperlink" Target="mailto:irw2470@mavs.uta.edu" TargetMode="External"/><Relationship Id="rId180" Type="http://schemas.openxmlformats.org/officeDocument/2006/relationships/hyperlink" Target="mailto:slm8241@mavs.uta.edu" TargetMode="External"/><Relationship Id="rId176" Type="http://schemas.openxmlformats.org/officeDocument/2006/relationships/hyperlink" Target="mailto:els6695@mavs.uta.edu" TargetMode="External"/><Relationship Id="rId297" Type="http://schemas.openxmlformats.org/officeDocument/2006/relationships/hyperlink" Target="mailto:sxa1552@mavs.uta.edu" TargetMode="External"/><Relationship Id="rId175" Type="http://schemas.openxmlformats.org/officeDocument/2006/relationships/hyperlink" Target="mailto:ack5292@mavs.uta.edu" TargetMode="External"/><Relationship Id="rId296" Type="http://schemas.openxmlformats.org/officeDocument/2006/relationships/hyperlink" Target="mailto:ixr1854@mavs.uta.edu" TargetMode="External"/><Relationship Id="rId174" Type="http://schemas.openxmlformats.org/officeDocument/2006/relationships/hyperlink" Target="mailto:bmb6678@mavs.uta.edu" TargetMode="External"/><Relationship Id="rId295" Type="http://schemas.openxmlformats.org/officeDocument/2006/relationships/hyperlink" Target="mailto:kxm1919@mavs.uta.edu" TargetMode="External"/><Relationship Id="rId173" Type="http://schemas.openxmlformats.org/officeDocument/2006/relationships/hyperlink" Target="mailto:med3041@mavs.uta.edu" TargetMode="External"/><Relationship Id="rId294" Type="http://schemas.openxmlformats.org/officeDocument/2006/relationships/hyperlink" Target="mailto:brandon.isom@mavs.uta.edu" TargetMode="External"/><Relationship Id="rId179" Type="http://schemas.openxmlformats.org/officeDocument/2006/relationships/hyperlink" Target="mailto:edb7679@mavs.uta.edu" TargetMode="External"/><Relationship Id="rId178" Type="http://schemas.openxmlformats.org/officeDocument/2006/relationships/hyperlink" Target="mailto:kmm3210@mavs.uta.edu" TargetMode="External"/><Relationship Id="rId299" Type="http://schemas.openxmlformats.org/officeDocument/2006/relationships/hyperlink" Target="mailto:adm9633@mavs.uta.edu" TargetMode="External"/><Relationship Id="rId177" Type="http://schemas.openxmlformats.org/officeDocument/2006/relationships/hyperlink" Target="mailto:fvl6126@mavs.uta.edu" TargetMode="External"/><Relationship Id="rId298" Type="http://schemas.openxmlformats.org/officeDocument/2006/relationships/hyperlink" Target="mailto:cxw4856@mavs.uta.edu" TargetMode="External"/><Relationship Id="rId198" Type="http://schemas.openxmlformats.org/officeDocument/2006/relationships/hyperlink" Target="mailto:zjm1262@mavs.uta.edu" TargetMode="External"/><Relationship Id="rId197" Type="http://schemas.openxmlformats.org/officeDocument/2006/relationships/hyperlink" Target="mailto:amn0551@mavs.uta.edu" TargetMode="External"/><Relationship Id="rId196" Type="http://schemas.openxmlformats.org/officeDocument/2006/relationships/hyperlink" Target="mailto:eds0523@mavs.uta.edu" TargetMode="External"/><Relationship Id="rId195" Type="http://schemas.openxmlformats.org/officeDocument/2006/relationships/hyperlink" Target="mailto:dxs7542@mavs.uta.edu" TargetMode="External"/><Relationship Id="rId199" Type="http://schemas.openxmlformats.org/officeDocument/2006/relationships/hyperlink" Target="mailto:jrg5489@mavs.uta.edu" TargetMode="External"/><Relationship Id="rId150" Type="http://schemas.openxmlformats.org/officeDocument/2006/relationships/hyperlink" Target="mailto:hkr1485@mavs.uta.edu" TargetMode="External"/><Relationship Id="rId271" Type="http://schemas.openxmlformats.org/officeDocument/2006/relationships/hyperlink" Target="mailto:zxd4094@mavs.uta.edu" TargetMode="External"/><Relationship Id="rId392" Type="http://schemas.openxmlformats.org/officeDocument/2006/relationships/hyperlink" Target="mailto:jds9559@mavs.uta.edu" TargetMode="External"/><Relationship Id="rId270" Type="http://schemas.openxmlformats.org/officeDocument/2006/relationships/hyperlink" Target="mailto:kmoore12004@gmail.com" TargetMode="External"/><Relationship Id="rId391" Type="http://schemas.openxmlformats.org/officeDocument/2006/relationships/hyperlink" Target="mailto:aileen.sengupta@mavs.uta.edu" TargetMode="External"/><Relationship Id="rId390" Type="http://schemas.openxmlformats.org/officeDocument/2006/relationships/hyperlink" Target="mailto:ryan.johnson2@uta.edu" TargetMode="External"/><Relationship Id="rId1" Type="http://schemas.openxmlformats.org/officeDocument/2006/relationships/hyperlink" Target="https://docs.google.com/spreadsheets/d/18RaQw448NnENcNftounuam8eQyPVXS6StgZUz-RLzHA/edit?usp=sharing" TargetMode="External"/><Relationship Id="rId2" Type="http://schemas.openxmlformats.org/officeDocument/2006/relationships/hyperlink" Target="mailto:cindylou.skipper@mavs.uta.edu" TargetMode="External"/><Relationship Id="rId3" Type="http://schemas.openxmlformats.org/officeDocument/2006/relationships/hyperlink" Target="mailto:arianaharbr@gmail.com" TargetMode="External"/><Relationship Id="rId149" Type="http://schemas.openxmlformats.org/officeDocument/2006/relationships/hyperlink" Target="mailto:deb3777@mavs.uta.edu" TargetMode="External"/><Relationship Id="rId4" Type="http://schemas.openxmlformats.org/officeDocument/2006/relationships/hyperlink" Target="mailto:jxw1244@mavs.uta.edu" TargetMode="External"/><Relationship Id="rId148" Type="http://schemas.openxmlformats.org/officeDocument/2006/relationships/hyperlink" Target="mailto:brb3049@mavs.uta.edu" TargetMode="External"/><Relationship Id="rId269" Type="http://schemas.openxmlformats.org/officeDocument/2006/relationships/hyperlink" Target="mailto:williamcleland04@gmail.com" TargetMode="External"/><Relationship Id="rId9" Type="http://schemas.openxmlformats.org/officeDocument/2006/relationships/hyperlink" Target="mailto:claire.harvey@mavs.uta.edu" TargetMode="External"/><Relationship Id="rId143" Type="http://schemas.openxmlformats.org/officeDocument/2006/relationships/hyperlink" Target="mailto:ctm4778@mavs.uta.edu" TargetMode="External"/><Relationship Id="rId264" Type="http://schemas.openxmlformats.org/officeDocument/2006/relationships/hyperlink" Target="mailto:zdm7610@mavs.uta.edu" TargetMode="External"/><Relationship Id="rId385" Type="http://schemas.openxmlformats.org/officeDocument/2006/relationships/hyperlink" Target="mailto:agc0548@mavs.uta.edu" TargetMode="External"/><Relationship Id="rId142" Type="http://schemas.openxmlformats.org/officeDocument/2006/relationships/hyperlink" Target="mailto:jtn1598@mavs.uta.edu" TargetMode="External"/><Relationship Id="rId263" Type="http://schemas.openxmlformats.org/officeDocument/2006/relationships/hyperlink" Target="mailto:hkr1485@mavs.uta.edu" TargetMode="External"/><Relationship Id="rId384" Type="http://schemas.openxmlformats.org/officeDocument/2006/relationships/hyperlink" Target="mailto:dxk1878@mavs.uta.edu" TargetMode="External"/><Relationship Id="rId141" Type="http://schemas.openxmlformats.org/officeDocument/2006/relationships/hyperlink" Target="mailto:ixl7007@mavs.uta.edu" TargetMode="External"/><Relationship Id="rId262" Type="http://schemas.openxmlformats.org/officeDocument/2006/relationships/hyperlink" Target="mailto:jxe0232@mavs.uta.edu" TargetMode="External"/><Relationship Id="rId383" Type="http://schemas.openxmlformats.org/officeDocument/2006/relationships/hyperlink" Target="mailto:mrc7516@mavs.uta.edu" TargetMode="External"/><Relationship Id="rId140" Type="http://schemas.openxmlformats.org/officeDocument/2006/relationships/hyperlink" Target="mailto:mxc3220@mavs.uta.edu" TargetMode="External"/><Relationship Id="rId261" Type="http://schemas.openxmlformats.org/officeDocument/2006/relationships/hyperlink" Target="mailto:zaynab.shaikh@mavs.uta.edu" TargetMode="External"/><Relationship Id="rId382" Type="http://schemas.openxmlformats.org/officeDocument/2006/relationships/hyperlink" Target="mailto:jag1592@mavs.uta.edu" TargetMode="External"/><Relationship Id="rId5" Type="http://schemas.openxmlformats.org/officeDocument/2006/relationships/hyperlink" Target="mailto:sydney.stumpf@mavs.uta.edu" TargetMode="External"/><Relationship Id="rId147" Type="http://schemas.openxmlformats.org/officeDocument/2006/relationships/hyperlink" Target="mailto:ygm8111@mavs.uta.edu" TargetMode="External"/><Relationship Id="rId268" Type="http://schemas.openxmlformats.org/officeDocument/2006/relationships/hyperlink" Target="mailto:kxc6499@mavs.uta.edu" TargetMode="External"/><Relationship Id="rId389" Type="http://schemas.openxmlformats.org/officeDocument/2006/relationships/hyperlink" Target="mailto:johnjoseph.sanchez@mavs.uta.edu" TargetMode="External"/><Relationship Id="rId6" Type="http://schemas.openxmlformats.org/officeDocument/2006/relationships/hyperlink" Target="mailto:brandon.isom@mavs.uta.edu" TargetMode="External"/><Relationship Id="rId146" Type="http://schemas.openxmlformats.org/officeDocument/2006/relationships/hyperlink" Target="mailto:tnw5063@mavs.uta.edu" TargetMode="External"/><Relationship Id="rId267" Type="http://schemas.openxmlformats.org/officeDocument/2006/relationships/hyperlink" Target="mailto:zxs4413@mavs.uta.edu" TargetMode="External"/><Relationship Id="rId388" Type="http://schemas.openxmlformats.org/officeDocument/2006/relationships/hyperlink" Target="mailto:axj5577@mavs.uta.edu" TargetMode="External"/><Relationship Id="rId7" Type="http://schemas.openxmlformats.org/officeDocument/2006/relationships/hyperlink" Target="mailto:hbb5589@mavs.uta.edu" TargetMode="External"/><Relationship Id="rId145" Type="http://schemas.openxmlformats.org/officeDocument/2006/relationships/hyperlink" Target="mailto:jtn4576@mavs.uta.edu" TargetMode="External"/><Relationship Id="rId266" Type="http://schemas.openxmlformats.org/officeDocument/2006/relationships/hyperlink" Target="mailto:amn0551@mavs.uta.edu" TargetMode="External"/><Relationship Id="rId387" Type="http://schemas.openxmlformats.org/officeDocument/2006/relationships/hyperlink" Target="mailto:arg1945@mavs.uta.edu" TargetMode="External"/><Relationship Id="rId8" Type="http://schemas.openxmlformats.org/officeDocument/2006/relationships/hyperlink" Target="mailto:angelina.nguyen2@mavs.uta.edu" TargetMode="External"/><Relationship Id="rId144" Type="http://schemas.openxmlformats.org/officeDocument/2006/relationships/hyperlink" Target="mailto:nja0873@mavs.uta.edu" TargetMode="External"/><Relationship Id="rId265" Type="http://schemas.openxmlformats.org/officeDocument/2006/relationships/hyperlink" Target="mailto:tim.ryan@mavs.uta.edu" TargetMode="External"/><Relationship Id="rId386" Type="http://schemas.openxmlformats.org/officeDocument/2006/relationships/hyperlink" Target="mailto:cmm4522@mavs.uta.edu" TargetMode="External"/><Relationship Id="rId260" Type="http://schemas.openxmlformats.org/officeDocument/2006/relationships/hyperlink" Target="mailto:amw3542@mavs.uta.edu" TargetMode="External"/><Relationship Id="rId381" Type="http://schemas.openxmlformats.org/officeDocument/2006/relationships/hyperlink" Target="mailto:nxr2634@mavs.uta.edu" TargetMode="External"/><Relationship Id="rId380" Type="http://schemas.openxmlformats.org/officeDocument/2006/relationships/hyperlink" Target="mailto:med3041@mavs.uta.edu" TargetMode="External"/><Relationship Id="rId139" Type="http://schemas.openxmlformats.org/officeDocument/2006/relationships/hyperlink" Target="mailto:ccp5606@mavs.uta.edu" TargetMode="External"/><Relationship Id="rId138" Type="http://schemas.openxmlformats.org/officeDocument/2006/relationships/hyperlink" Target="mailto:kendall.hendrix@mavs.uta.edu" TargetMode="External"/><Relationship Id="rId259" Type="http://schemas.openxmlformats.org/officeDocument/2006/relationships/hyperlink" Target="mailto:ahf8898@mavs.uta.edu" TargetMode="External"/><Relationship Id="rId137" Type="http://schemas.openxmlformats.org/officeDocument/2006/relationships/hyperlink" Target="mailto:mag9071@mavs.uta.edu" TargetMode="External"/><Relationship Id="rId258" Type="http://schemas.openxmlformats.org/officeDocument/2006/relationships/hyperlink" Target="mailto:gmg2330@macs.uta.edu" TargetMode="External"/><Relationship Id="rId379" Type="http://schemas.openxmlformats.org/officeDocument/2006/relationships/hyperlink" Target="mailto:ald2369@mavs.uta.edu" TargetMode="External"/><Relationship Id="rId132" Type="http://schemas.openxmlformats.org/officeDocument/2006/relationships/hyperlink" Target="mailto:gew2861@mavs.uta.edu" TargetMode="External"/><Relationship Id="rId253" Type="http://schemas.openxmlformats.org/officeDocument/2006/relationships/hyperlink" Target="mailto:cgs0882@mavs.uta.edu" TargetMode="External"/><Relationship Id="rId374" Type="http://schemas.openxmlformats.org/officeDocument/2006/relationships/hyperlink" Target="mailto:jvl9930@mavs.uta.edu" TargetMode="External"/><Relationship Id="rId495" Type="http://schemas.openxmlformats.org/officeDocument/2006/relationships/hyperlink" Target="mailto:blb2567@mavs.uta.edu" TargetMode="External"/><Relationship Id="rId131" Type="http://schemas.openxmlformats.org/officeDocument/2006/relationships/hyperlink" Target="mailto:vjr5727@mavs.uta.edu" TargetMode="External"/><Relationship Id="rId252" Type="http://schemas.openxmlformats.org/officeDocument/2006/relationships/hyperlink" Target="about:blank" TargetMode="External"/><Relationship Id="rId373" Type="http://schemas.openxmlformats.org/officeDocument/2006/relationships/hyperlink" Target="mailto:mxm1348@mavs.uta.edu" TargetMode="External"/><Relationship Id="rId494" Type="http://schemas.openxmlformats.org/officeDocument/2006/relationships/hyperlink" Target="mailto:krk6714@mavs.uta.edu" TargetMode="External"/><Relationship Id="rId130" Type="http://schemas.openxmlformats.org/officeDocument/2006/relationships/hyperlink" Target="mailto:ddh3117@mavs.uta.edu" TargetMode="External"/><Relationship Id="rId251" Type="http://schemas.openxmlformats.org/officeDocument/2006/relationships/hyperlink" Target="mailto:ssi4241@mavs.uta.edu" TargetMode="External"/><Relationship Id="rId372" Type="http://schemas.openxmlformats.org/officeDocument/2006/relationships/hyperlink" Target="mailto:arman.rahimzadehnassk@mavs.uta.edu" TargetMode="External"/><Relationship Id="rId493" Type="http://schemas.openxmlformats.org/officeDocument/2006/relationships/hyperlink" Target="mailto:ebp1323@mavs.uta.edu" TargetMode="External"/><Relationship Id="rId250" Type="http://schemas.openxmlformats.org/officeDocument/2006/relationships/hyperlink" Target="mailto:dxp7561@mavs.uta.edu" TargetMode="External"/><Relationship Id="rId371" Type="http://schemas.openxmlformats.org/officeDocument/2006/relationships/hyperlink" Target="mailto:axn2076@mavs.uta.edu" TargetMode="External"/><Relationship Id="rId492" Type="http://schemas.openxmlformats.org/officeDocument/2006/relationships/hyperlink" Target="mailto:zka0371@mavs.uta.edu" TargetMode="External"/><Relationship Id="rId136" Type="http://schemas.openxmlformats.org/officeDocument/2006/relationships/hyperlink" Target="mailto:akm6129@mavs.uta.edu" TargetMode="External"/><Relationship Id="rId257" Type="http://schemas.openxmlformats.org/officeDocument/2006/relationships/hyperlink" Target="mailto:axr5141@mavs.uta.edu" TargetMode="External"/><Relationship Id="rId378" Type="http://schemas.openxmlformats.org/officeDocument/2006/relationships/hyperlink" Target="mailto:adb8510@mavs.uta.edu" TargetMode="External"/><Relationship Id="rId499" Type="http://schemas.openxmlformats.org/officeDocument/2006/relationships/hyperlink" Target="mailto:bth9860@mavs.uta.edu" TargetMode="External"/><Relationship Id="rId135" Type="http://schemas.openxmlformats.org/officeDocument/2006/relationships/hyperlink" Target="mailto:exs0399@mavs.uta.edu" TargetMode="External"/><Relationship Id="rId256" Type="http://schemas.openxmlformats.org/officeDocument/2006/relationships/hyperlink" Target="mailto:bmb6678@mavs.uta.edu" TargetMode="External"/><Relationship Id="rId377" Type="http://schemas.openxmlformats.org/officeDocument/2006/relationships/hyperlink" Target="mailto:testbutt2000@boobs.gov" TargetMode="External"/><Relationship Id="rId498" Type="http://schemas.openxmlformats.org/officeDocument/2006/relationships/hyperlink" Target="mailto:ixi5492@mavs.uta.edu" TargetMode="External"/><Relationship Id="rId134" Type="http://schemas.openxmlformats.org/officeDocument/2006/relationships/hyperlink" Target="mailto:artbyhayes@gmail.com" TargetMode="External"/><Relationship Id="rId255" Type="http://schemas.openxmlformats.org/officeDocument/2006/relationships/hyperlink" Target="mailto:med3041@mavs.uta.edu" TargetMode="External"/><Relationship Id="rId376" Type="http://schemas.openxmlformats.org/officeDocument/2006/relationships/hyperlink" Target="mailto:vrs8450@mavs.uta.edu" TargetMode="External"/><Relationship Id="rId497" Type="http://schemas.openxmlformats.org/officeDocument/2006/relationships/hyperlink" Target="mailto:jds9559@mavs.uta.edu" TargetMode="External"/><Relationship Id="rId133" Type="http://schemas.openxmlformats.org/officeDocument/2006/relationships/hyperlink" Target="mailto:zdm7610@mavs.uta.edu" TargetMode="External"/><Relationship Id="rId254" Type="http://schemas.openxmlformats.org/officeDocument/2006/relationships/hyperlink" Target="mailto:kxt1174@mavs.uta.edu" TargetMode="External"/><Relationship Id="rId375" Type="http://schemas.openxmlformats.org/officeDocument/2006/relationships/hyperlink" Target="mailto:agc1946@mavs.uta.edu" TargetMode="External"/><Relationship Id="rId496" Type="http://schemas.openxmlformats.org/officeDocument/2006/relationships/hyperlink" Target="mailto:sxd8273@mavs.uta.edu" TargetMode="External"/><Relationship Id="rId172" Type="http://schemas.openxmlformats.org/officeDocument/2006/relationships/hyperlink" Target="mailto:jxe0232@mavs.uta.edu" TargetMode="External"/><Relationship Id="rId293" Type="http://schemas.openxmlformats.org/officeDocument/2006/relationships/hyperlink" Target="mailto:rxz4848@mavs.uta.edu" TargetMode="External"/><Relationship Id="rId171" Type="http://schemas.openxmlformats.org/officeDocument/2006/relationships/hyperlink" Target="mailto:jcc1890@mavs.uta.edu" TargetMode="External"/><Relationship Id="rId292" Type="http://schemas.openxmlformats.org/officeDocument/2006/relationships/hyperlink" Target="mailto:dbt4555@mavs.uta.edu" TargetMode="External"/><Relationship Id="rId170" Type="http://schemas.openxmlformats.org/officeDocument/2006/relationships/hyperlink" Target="mailto:dpr8014@mavs.uta.edu" TargetMode="External"/><Relationship Id="rId291" Type="http://schemas.openxmlformats.org/officeDocument/2006/relationships/hyperlink" Target="mailto:vxc9126@mavs.uta.edu" TargetMode="External"/><Relationship Id="rId290" Type="http://schemas.openxmlformats.org/officeDocument/2006/relationships/hyperlink" Target="mailto:oak1215@mavs.uta.edu" TargetMode="External"/><Relationship Id="rId165" Type="http://schemas.openxmlformats.org/officeDocument/2006/relationships/hyperlink" Target="mailto:kma2385@mavs.uta.edu" TargetMode="External"/><Relationship Id="rId286" Type="http://schemas.openxmlformats.org/officeDocument/2006/relationships/hyperlink" Target="mailto:axeltorres810@gmail.com" TargetMode="External"/><Relationship Id="rId164" Type="http://schemas.openxmlformats.org/officeDocument/2006/relationships/hyperlink" Target="mailto:dam6994@mavs.uta.edu" TargetMode="External"/><Relationship Id="rId285" Type="http://schemas.openxmlformats.org/officeDocument/2006/relationships/hyperlink" Target="mailto:johnjoseph.sanchez@mavs.uta.edu" TargetMode="External"/><Relationship Id="rId163" Type="http://schemas.openxmlformats.org/officeDocument/2006/relationships/hyperlink" Target="mailto:jhn6040@mavs.uta.edu" TargetMode="External"/><Relationship Id="rId284" Type="http://schemas.openxmlformats.org/officeDocument/2006/relationships/hyperlink" Target="mailto:ryan.johnson2@mavs.uta.edu" TargetMode="External"/><Relationship Id="rId162" Type="http://schemas.openxmlformats.org/officeDocument/2006/relationships/hyperlink" Target="mailto:mio6628@mavs.uta.edu" TargetMode="External"/><Relationship Id="rId283" Type="http://schemas.openxmlformats.org/officeDocument/2006/relationships/hyperlink" Target="mailto:lsh6876@mavs.uta.edu" TargetMode="External"/><Relationship Id="rId169" Type="http://schemas.openxmlformats.org/officeDocument/2006/relationships/hyperlink" Target="mailto:cal6812@mavs.uta.edu" TargetMode="External"/><Relationship Id="rId168" Type="http://schemas.openxmlformats.org/officeDocument/2006/relationships/hyperlink" Target="mailto:oak1215@mavs.uta.edu" TargetMode="External"/><Relationship Id="rId289" Type="http://schemas.openxmlformats.org/officeDocument/2006/relationships/hyperlink" Target="mailto:angelina.nguyen2@mavs.uta.edu" TargetMode="External"/><Relationship Id="rId167" Type="http://schemas.openxmlformats.org/officeDocument/2006/relationships/hyperlink" Target="mailto:mhh6112@mavs.uta.edu" TargetMode="External"/><Relationship Id="rId288" Type="http://schemas.openxmlformats.org/officeDocument/2006/relationships/hyperlink" Target="mailto:aileen.sengupta@mavs.uta.edu" TargetMode="External"/><Relationship Id="rId166" Type="http://schemas.openxmlformats.org/officeDocument/2006/relationships/hyperlink" Target="mailto:exc7070@mavs.uta.edu" TargetMode="External"/><Relationship Id="rId287" Type="http://schemas.openxmlformats.org/officeDocument/2006/relationships/hyperlink" Target="mailto:morgan@uta.edu" TargetMode="External"/><Relationship Id="rId161" Type="http://schemas.openxmlformats.org/officeDocument/2006/relationships/hyperlink" Target="mailto:nxd5981@mavs.uta.edu" TargetMode="External"/><Relationship Id="rId282" Type="http://schemas.openxmlformats.org/officeDocument/2006/relationships/hyperlink" Target="mailto:jordhard@hotmail.com" TargetMode="External"/><Relationship Id="rId160" Type="http://schemas.openxmlformats.org/officeDocument/2006/relationships/hyperlink" Target="mailto:kxe1433@mavs.uta.edu" TargetMode="External"/><Relationship Id="rId281" Type="http://schemas.openxmlformats.org/officeDocument/2006/relationships/hyperlink" Target="mailto:cindylou.skipper@mavs.uta.edu" TargetMode="External"/><Relationship Id="rId280" Type="http://schemas.openxmlformats.org/officeDocument/2006/relationships/hyperlink" Target="mailto:mhh6112@mavs.uta.edu" TargetMode="External"/><Relationship Id="rId159" Type="http://schemas.openxmlformats.org/officeDocument/2006/relationships/hyperlink" Target="mailto:ajb1480@mavs.uta.edu" TargetMode="External"/><Relationship Id="rId154" Type="http://schemas.openxmlformats.org/officeDocument/2006/relationships/hyperlink" Target="mailto:bjb8409@mavs.uta.edu" TargetMode="External"/><Relationship Id="rId275" Type="http://schemas.openxmlformats.org/officeDocument/2006/relationships/hyperlink" Target="mailto:mjp0088@mavs.uta.edu" TargetMode="External"/><Relationship Id="rId396" Type="http://schemas.openxmlformats.org/officeDocument/2006/relationships/hyperlink" Target="mailto:axeltorres810@gmail.com" TargetMode="External"/><Relationship Id="rId153" Type="http://schemas.openxmlformats.org/officeDocument/2006/relationships/hyperlink" Target="mailto:dxp7561@mavs.uta.edu" TargetMode="External"/><Relationship Id="rId274" Type="http://schemas.openxmlformats.org/officeDocument/2006/relationships/hyperlink" Target="mailto:agc1946@mavs.uta.ed" TargetMode="External"/><Relationship Id="rId395" Type="http://schemas.openxmlformats.org/officeDocument/2006/relationships/hyperlink" Target="mailto:judeiwright@gmail.com" TargetMode="External"/><Relationship Id="rId152" Type="http://schemas.openxmlformats.org/officeDocument/2006/relationships/hyperlink" Target="mailto:Nkg1263@mavs.uta.edu" TargetMode="External"/><Relationship Id="rId273" Type="http://schemas.openxmlformats.org/officeDocument/2006/relationships/hyperlink" Target="mailto:jrs6179@mavs.uta.edu" TargetMode="External"/><Relationship Id="rId394" Type="http://schemas.openxmlformats.org/officeDocument/2006/relationships/hyperlink" Target="mailto:bmb6678@mavs.uta.edu" TargetMode="External"/><Relationship Id="rId151" Type="http://schemas.openxmlformats.org/officeDocument/2006/relationships/hyperlink" Target="mailto:arh3770@mavs.uta.edu" TargetMode="External"/><Relationship Id="rId272" Type="http://schemas.openxmlformats.org/officeDocument/2006/relationships/hyperlink" Target="mailto:axm4558@mavs.uta.edu" TargetMode="External"/><Relationship Id="rId393" Type="http://schemas.openxmlformats.org/officeDocument/2006/relationships/hyperlink" Target="mailto:jds9559@mavs.uta.edu" TargetMode="External"/><Relationship Id="rId158" Type="http://schemas.openxmlformats.org/officeDocument/2006/relationships/hyperlink" Target="mailto:mnc6746@mavs.uta.edu" TargetMode="External"/><Relationship Id="rId279" Type="http://schemas.openxmlformats.org/officeDocument/2006/relationships/hyperlink" Target="mailto:dsf1084@mavs.uta.edu" TargetMode="External"/><Relationship Id="rId157" Type="http://schemas.openxmlformats.org/officeDocument/2006/relationships/hyperlink" Target="mailto:jjn1435@mavs.uta.edu" TargetMode="External"/><Relationship Id="rId278" Type="http://schemas.openxmlformats.org/officeDocument/2006/relationships/hyperlink" Target="mailto:test@test.co" TargetMode="External"/><Relationship Id="rId399" Type="http://schemas.openxmlformats.org/officeDocument/2006/relationships/hyperlink" Target="mailto:hxn4760@mavs.uta.edu" TargetMode="External"/><Relationship Id="rId156" Type="http://schemas.openxmlformats.org/officeDocument/2006/relationships/hyperlink" Target="mailto:amw3542@mavs.uta.edu" TargetMode="External"/><Relationship Id="rId277" Type="http://schemas.openxmlformats.org/officeDocument/2006/relationships/hyperlink" Target="mailto:test@test.co" TargetMode="External"/><Relationship Id="rId398" Type="http://schemas.openxmlformats.org/officeDocument/2006/relationships/hyperlink" Target="mailto:bnt6465@mavs.uta.edu" TargetMode="External"/><Relationship Id="rId155" Type="http://schemas.openxmlformats.org/officeDocument/2006/relationships/hyperlink" Target="mailto:jxw1244@mavs.uta.edu" TargetMode="External"/><Relationship Id="rId276" Type="http://schemas.openxmlformats.org/officeDocument/2006/relationships/hyperlink" Target="mailto:ald2369@mavs.uta.edu" TargetMode="External"/><Relationship Id="rId397" Type="http://schemas.openxmlformats.org/officeDocument/2006/relationships/hyperlink" Target="mailto:txb4206@mavs.uta.edu" TargetMode="External"/><Relationship Id="rId40" Type="http://schemas.openxmlformats.org/officeDocument/2006/relationships/hyperlink" Target="mailto:aaa4904@mavs.uta.edu" TargetMode="External"/><Relationship Id="rId42" Type="http://schemas.openxmlformats.org/officeDocument/2006/relationships/hyperlink" Target="mailto:payten.belt@macs.uta.edu" TargetMode="External"/><Relationship Id="rId41" Type="http://schemas.openxmlformats.org/officeDocument/2006/relationships/hyperlink" Target="mailto:kstogsdill2002@gmail.com" TargetMode="External"/><Relationship Id="rId44" Type="http://schemas.openxmlformats.org/officeDocument/2006/relationships/hyperlink" Target="mailto:jazmine.frazer@mavs.uta.edu" TargetMode="External"/><Relationship Id="rId43" Type="http://schemas.openxmlformats.org/officeDocument/2006/relationships/hyperlink" Target="mailto:bxa7089@mavs.uta.edu" TargetMode="External"/><Relationship Id="rId46" Type="http://schemas.openxmlformats.org/officeDocument/2006/relationships/hyperlink" Target="mailto:christine.magnuson@mavs.uta.edu" TargetMode="External"/><Relationship Id="rId45" Type="http://schemas.openxmlformats.org/officeDocument/2006/relationships/hyperlink" Target="mailto:bat4615@mavs.uta.edu" TargetMode="External"/><Relationship Id="rId509" Type="http://schemas.openxmlformats.org/officeDocument/2006/relationships/hyperlink" Target="mailto:axl9897@mavs.uta.edu" TargetMode="External"/><Relationship Id="rId508" Type="http://schemas.openxmlformats.org/officeDocument/2006/relationships/hyperlink" Target="mailto:asd3713@mavs.uta.edu" TargetMode="External"/><Relationship Id="rId503" Type="http://schemas.openxmlformats.org/officeDocument/2006/relationships/hyperlink" Target="mailto:axt5571@mavs.uta.edu" TargetMode="External"/><Relationship Id="rId502" Type="http://schemas.openxmlformats.org/officeDocument/2006/relationships/hyperlink" Target="mailto:vxe4389@mavs.uta.edu" TargetMode="External"/><Relationship Id="rId501" Type="http://schemas.openxmlformats.org/officeDocument/2006/relationships/hyperlink" Target="mailto:zka0371@mavs.uta.edu" TargetMode="External"/><Relationship Id="rId500" Type="http://schemas.openxmlformats.org/officeDocument/2006/relationships/hyperlink" Target="mailto:egh5183@mavs.uta.edu" TargetMode="External"/><Relationship Id="rId507" Type="http://schemas.openxmlformats.org/officeDocument/2006/relationships/hyperlink" Target="mailto:nsh9723@mavs.uta.edu" TargetMode="External"/><Relationship Id="rId506" Type="http://schemas.openxmlformats.org/officeDocument/2006/relationships/hyperlink" Target="mailto:ceb7687@mavs.uta.edu" TargetMode="External"/><Relationship Id="rId505" Type="http://schemas.openxmlformats.org/officeDocument/2006/relationships/hyperlink" Target="mailto:ors3509@mavs.uta.edu" TargetMode="External"/><Relationship Id="rId504" Type="http://schemas.openxmlformats.org/officeDocument/2006/relationships/hyperlink" Target="mailto:ilb3152@mavs.uta.edu" TargetMode="External"/><Relationship Id="rId48" Type="http://schemas.openxmlformats.org/officeDocument/2006/relationships/hyperlink" Target="mailto:moo7465@mavs.uta.edu" TargetMode="External"/><Relationship Id="rId47" Type="http://schemas.openxmlformats.org/officeDocument/2006/relationships/hyperlink" Target="mailto:claire.sissons@mavs.uta.edu" TargetMode="External"/><Relationship Id="rId49" Type="http://schemas.openxmlformats.org/officeDocument/2006/relationships/hyperlink" Target="mailto:cjg2340@mavs.uta.edu" TargetMode="External"/><Relationship Id="rId31" Type="http://schemas.openxmlformats.org/officeDocument/2006/relationships/hyperlink" Target="mailto:juliet.garrison@mavs.uta.edu" TargetMode="External"/><Relationship Id="rId30" Type="http://schemas.openxmlformats.org/officeDocument/2006/relationships/hyperlink" Target="mailto:ivone.adame@mavs.uta.edu" TargetMode="External"/><Relationship Id="rId33" Type="http://schemas.openxmlformats.org/officeDocument/2006/relationships/hyperlink" Target="mailto:vgk7073@mavs.uta.edu" TargetMode="External"/><Relationship Id="rId32" Type="http://schemas.openxmlformats.org/officeDocument/2006/relationships/hyperlink" Target="mailto:alyssa.gonzalez6@mavs.uta.edu" TargetMode="External"/><Relationship Id="rId35" Type="http://schemas.openxmlformats.org/officeDocument/2006/relationships/hyperlink" Target="mailto:ethnica.mohanty@mavs.uta.edu" TargetMode="External"/><Relationship Id="rId34" Type="http://schemas.openxmlformats.org/officeDocument/2006/relationships/hyperlink" Target="mailto:mls8159@mavs.uta.edu" TargetMode="External"/><Relationship Id="rId37" Type="http://schemas.openxmlformats.org/officeDocument/2006/relationships/hyperlink" Target="mailto:zaynab.shaikh@mavs.uta.edu" TargetMode="External"/><Relationship Id="rId36" Type="http://schemas.openxmlformats.org/officeDocument/2006/relationships/hyperlink" Target="mailto:katherine.parks@mavs.uta.edu" TargetMode="External"/><Relationship Id="rId39" Type="http://schemas.openxmlformats.org/officeDocument/2006/relationships/hyperlink" Target="mailto:scoen@uta.edu" TargetMode="External"/><Relationship Id="rId38" Type="http://schemas.openxmlformats.org/officeDocument/2006/relationships/hyperlink" Target="mailto:jps2697@mavs.uta.edu" TargetMode="External"/><Relationship Id="rId20" Type="http://schemas.openxmlformats.org/officeDocument/2006/relationships/hyperlink" Target="mailto:sjm3161@mavs.uta.edu" TargetMode="External"/><Relationship Id="rId22" Type="http://schemas.openxmlformats.org/officeDocument/2006/relationships/hyperlink" Target="mailto:pierson.moore@mavs.uta.edu" TargetMode="External"/><Relationship Id="rId21" Type="http://schemas.openxmlformats.org/officeDocument/2006/relationships/hyperlink" Target="mailto:angelina.rivera2@mavs.uta.edu" TargetMode="External"/><Relationship Id="rId24" Type="http://schemas.openxmlformats.org/officeDocument/2006/relationships/hyperlink" Target="mailto:ryan.johnson2@mavs.uta.edu" TargetMode="External"/><Relationship Id="rId23" Type="http://schemas.openxmlformats.org/officeDocument/2006/relationships/hyperlink" Target="mailto:mag9071@mavs.uta.edu" TargetMode="External"/><Relationship Id="rId409" Type="http://schemas.openxmlformats.org/officeDocument/2006/relationships/hyperlink" Target="mailto:axc4959@mavs.uta.edu" TargetMode="External"/><Relationship Id="rId404" Type="http://schemas.openxmlformats.org/officeDocument/2006/relationships/hyperlink" Target="mailto:amt5209@mavs.uta.edu" TargetMode="External"/><Relationship Id="rId525" Type="http://schemas.openxmlformats.org/officeDocument/2006/relationships/hyperlink" Target="mailto:Wxb8531@mavs.uta.edu" TargetMode="External"/><Relationship Id="rId403" Type="http://schemas.openxmlformats.org/officeDocument/2006/relationships/hyperlink" Target="mailto:p5.scastellanos@gmail.com" TargetMode="External"/><Relationship Id="rId524" Type="http://schemas.openxmlformats.org/officeDocument/2006/relationships/hyperlink" Target="mailto:bxl2453@mavs.uta.edu" TargetMode="External"/><Relationship Id="rId402" Type="http://schemas.openxmlformats.org/officeDocument/2006/relationships/hyperlink" Target="mailto:ixh4917@mavs.uta.edu" TargetMode="External"/><Relationship Id="rId523" Type="http://schemas.openxmlformats.org/officeDocument/2006/relationships/hyperlink" Target="mailto:Ljk1325@mavs.uta.edu" TargetMode="External"/><Relationship Id="rId401" Type="http://schemas.openxmlformats.org/officeDocument/2006/relationships/hyperlink" Target="mailto:rxr7693@mavs.uta.edu" TargetMode="External"/><Relationship Id="rId522" Type="http://schemas.openxmlformats.org/officeDocument/2006/relationships/hyperlink" Target="mailto:mrm5331@mavs.uta.edu" TargetMode="External"/><Relationship Id="rId408" Type="http://schemas.openxmlformats.org/officeDocument/2006/relationships/hyperlink" Target="mailto:bnl8016@mavs.uta.edu" TargetMode="External"/><Relationship Id="rId529" Type="http://schemas.openxmlformats.org/officeDocument/2006/relationships/hyperlink" Target="mailto:bxt7467@mavs.uta.edu" TargetMode="External"/><Relationship Id="rId407" Type="http://schemas.openxmlformats.org/officeDocument/2006/relationships/hyperlink" Target="mailto:mxh5508@mavs.uta.edu" TargetMode="External"/><Relationship Id="rId528" Type="http://schemas.openxmlformats.org/officeDocument/2006/relationships/hyperlink" Target="mailto:gxs0630@mavs.uta.edu" TargetMode="External"/><Relationship Id="rId406" Type="http://schemas.openxmlformats.org/officeDocument/2006/relationships/hyperlink" Target="mailto:cjt2253@mava.uta.edu" TargetMode="External"/><Relationship Id="rId527" Type="http://schemas.openxmlformats.org/officeDocument/2006/relationships/hyperlink" Target="mailto:cam6723@mavs.uta.edu" TargetMode="External"/><Relationship Id="rId405" Type="http://schemas.openxmlformats.org/officeDocument/2006/relationships/hyperlink" Target="mailto:smc7514@mavs.uta.edu" TargetMode="External"/><Relationship Id="rId526" Type="http://schemas.openxmlformats.org/officeDocument/2006/relationships/hyperlink" Target="mailto:ajm6015@mavs.uta.edu" TargetMode="External"/><Relationship Id="rId26" Type="http://schemas.openxmlformats.org/officeDocument/2006/relationships/hyperlink" Target="mailto:jordhard@hotmail.com" TargetMode="External"/><Relationship Id="rId25" Type="http://schemas.openxmlformats.org/officeDocument/2006/relationships/hyperlink" Target="mailto:hxg4569@mavs.uta.edu" TargetMode="External"/><Relationship Id="rId28" Type="http://schemas.openxmlformats.org/officeDocument/2006/relationships/hyperlink" Target="mailto:caroline.carter@mavs.uta.edu" TargetMode="External"/><Relationship Id="rId27" Type="http://schemas.openxmlformats.org/officeDocument/2006/relationships/hyperlink" Target="mailto:mel5887@mavs.uta.edu" TargetMode="External"/><Relationship Id="rId400" Type="http://schemas.openxmlformats.org/officeDocument/2006/relationships/hyperlink" Target="mailto:elt6838@mavs.uta.edu" TargetMode="External"/><Relationship Id="rId521" Type="http://schemas.openxmlformats.org/officeDocument/2006/relationships/hyperlink" Target="mailto:ajb1480@mavs.uta.edu" TargetMode="External"/><Relationship Id="rId29" Type="http://schemas.openxmlformats.org/officeDocument/2006/relationships/hyperlink" Target="mailto:tnr1037@mavs.uta.edu" TargetMode="External"/><Relationship Id="rId520" Type="http://schemas.openxmlformats.org/officeDocument/2006/relationships/hyperlink" Target="mailto:cxb6964@mavs.uta.edu" TargetMode="External"/><Relationship Id="rId11" Type="http://schemas.openxmlformats.org/officeDocument/2006/relationships/hyperlink" Target="mailto:sr0365@mavs.uta.edu" TargetMode="External"/><Relationship Id="rId10" Type="http://schemas.openxmlformats.org/officeDocument/2006/relationships/hyperlink" Target="mailto:mckaylamellen@gmail.com" TargetMode="External"/><Relationship Id="rId13" Type="http://schemas.openxmlformats.org/officeDocument/2006/relationships/hyperlink" Target="mailto:merryann.dao@mavs.uta.edu" TargetMode="External"/><Relationship Id="rId12" Type="http://schemas.openxmlformats.org/officeDocument/2006/relationships/hyperlink" Target="mailto:mlh5689@mavs.uta.edu" TargetMode="External"/><Relationship Id="rId519" Type="http://schemas.openxmlformats.org/officeDocument/2006/relationships/hyperlink" Target="mailto:amp3840@mavs.uta.edu" TargetMode="External"/><Relationship Id="rId514" Type="http://schemas.openxmlformats.org/officeDocument/2006/relationships/hyperlink" Target="mailto:kathryn.bennett@uta.edu" TargetMode="External"/><Relationship Id="rId513" Type="http://schemas.openxmlformats.org/officeDocument/2006/relationships/hyperlink" Target="mailto:acs7801@mavs.uta.edu" TargetMode="External"/><Relationship Id="rId512" Type="http://schemas.openxmlformats.org/officeDocument/2006/relationships/hyperlink" Target="mailto:jrm2636@mavs.uta.edu" TargetMode="External"/><Relationship Id="rId511" Type="http://schemas.openxmlformats.org/officeDocument/2006/relationships/hyperlink" Target="mailto:exo3265@mavs.uta.edu" TargetMode="External"/><Relationship Id="rId518" Type="http://schemas.openxmlformats.org/officeDocument/2006/relationships/hyperlink" Target="mailto:krw2530@mavs.uta.edu" TargetMode="External"/><Relationship Id="rId517" Type="http://schemas.openxmlformats.org/officeDocument/2006/relationships/hyperlink" Target="mailto:djm4378@mavs.uta.edu" TargetMode="External"/><Relationship Id="rId516" Type="http://schemas.openxmlformats.org/officeDocument/2006/relationships/hyperlink" Target="mailto:ell3289@mavs.uta.edu" TargetMode="External"/><Relationship Id="rId515" Type="http://schemas.openxmlformats.org/officeDocument/2006/relationships/hyperlink" Target="mailto:lxg8100@mavs.uta.edu" TargetMode="External"/><Relationship Id="rId15" Type="http://schemas.openxmlformats.org/officeDocument/2006/relationships/hyperlink" Target="mailto:axp7773@mavs.uta.edu" TargetMode="External"/><Relationship Id="rId14" Type="http://schemas.openxmlformats.org/officeDocument/2006/relationships/hyperlink" Target="mailto:rxc3131@mavs.uta.edu" TargetMode="External"/><Relationship Id="rId17" Type="http://schemas.openxmlformats.org/officeDocument/2006/relationships/hyperlink" Target="mailto:jtspears2003@gmail.com" TargetMode="External"/><Relationship Id="rId16" Type="http://schemas.openxmlformats.org/officeDocument/2006/relationships/hyperlink" Target="mailto:bekahgrace02@gmail.com" TargetMode="External"/><Relationship Id="rId19" Type="http://schemas.openxmlformats.org/officeDocument/2006/relationships/hyperlink" Target="mailto:lynnpnguyen1112@gmail.com" TargetMode="External"/><Relationship Id="rId510" Type="http://schemas.openxmlformats.org/officeDocument/2006/relationships/hyperlink" Target="mailto:nxr2634@mavs.uta.edu" TargetMode="External"/><Relationship Id="rId18" Type="http://schemas.openxmlformats.org/officeDocument/2006/relationships/hyperlink" Target="mailto:lxh6870@mavs.uta.edu" TargetMode="External"/><Relationship Id="rId84" Type="http://schemas.openxmlformats.org/officeDocument/2006/relationships/hyperlink" Target="mailto:sydney.stumpf@mavs.uta.edu" TargetMode="External"/><Relationship Id="rId83" Type="http://schemas.openxmlformats.org/officeDocument/2006/relationships/hyperlink" Target="mailto:egf6930@mavs.uta.edu" TargetMode="External"/><Relationship Id="rId86" Type="http://schemas.openxmlformats.org/officeDocument/2006/relationships/hyperlink" Target="mailto:kstogsdill2002@gmail.com" TargetMode="External"/><Relationship Id="rId85" Type="http://schemas.openxmlformats.org/officeDocument/2006/relationships/hyperlink" Target="mailto:njc0039@mavs.uta.edu" TargetMode="External"/><Relationship Id="rId88" Type="http://schemas.openxmlformats.org/officeDocument/2006/relationships/hyperlink" Target="mailto:mlh5689@mavs.uta.edu" TargetMode="External"/><Relationship Id="rId87" Type="http://schemas.openxmlformats.org/officeDocument/2006/relationships/hyperlink" Target="mailto:wmc7672@mavs.uta.edu" TargetMode="External"/><Relationship Id="rId89" Type="http://schemas.openxmlformats.org/officeDocument/2006/relationships/hyperlink" Target="mailto:mxc7679@mavs.uta.edu" TargetMode="External"/><Relationship Id="rId80" Type="http://schemas.openxmlformats.org/officeDocument/2006/relationships/hyperlink" Target="mailto:claire.harvey@mavs.uta.edu" TargetMode="External"/><Relationship Id="rId82" Type="http://schemas.openxmlformats.org/officeDocument/2006/relationships/hyperlink" Target="mailto:dmc9619@mavs.uta.edu" TargetMode="External"/><Relationship Id="rId81" Type="http://schemas.openxmlformats.org/officeDocument/2006/relationships/hyperlink" Target="mailto:hnf0740@mavs.uta.edu" TargetMode="External"/><Relationship Id="rId73" Type="http://schemas.openxmlformats.org/officeDocument/2006/relationships/hyperlink" Target="mailto:ges2494@mavs.uta.edu" TargetMode="External"/><Relationship Id="rId72" Type="http://schemas.openxmlformats.org/officeDocument/2006/relationships/hyperlink" Target="mailto:rtp0957@mavs.uta.edu" TargetMode="External"/><Relationship Id="rId75" Type="http://schemas.openxmlformats.org/officeDocument/2006/relationships/hyperlink" Target="mailto:ixn7783@mavs.uta.edu" TargetMode="External"/><Relationship Id="rId74" Type="http://schemas.openxmlformats.org/officeDocument/2006/relationships/hyperlink" Target="mailto:djo4952@mavs.uta.edu" TargetMode="External"/><Relationship Id="rId77" Type="http://schemas.openxmlformats.org/officeDocument/2006/relationships/hyperlink" Target="mailto:jjm8571@mavs.uta.edu" TargetMode="External"/><Relationship Id="rId76" Type="http://schemas.openxmlformats.org/officeDocument/2006/relationships/hyperlink" Target="mailto:zdm7610@mavs.uta.edu" TargetMode="External"/><Relationship Id="rId79" Type="http://schemas.openxmlformats.org/officeDocument/2006/relationships/hyperlink" Target="mailto:jlg6712@mavs.uta.edu" TargetMode="External"/><Relationship Id="rId78" Type="http://schemas.openxmlformats.org/officeDocument/2006/relationships/hyperlink" Target="mailto:cindylou.skipper@mavs.uta.edu" TargetMode="External"/><Relationship Id="rId71" Type="http://schemas.openxmlformats.org/officeDocument/2006/relationships/hyperlink" Target="mailto:mxh5508@mavs.uta.edu" TargetMode="External"/><Relationship Id="rId70" Type="http://schemas.openxmlformats.org/officeDocument/2006/relationships/hyperlink" Target="mailto:mmm0956@mavs.uta.edu" TargetMode="External"/><Relationship Id="rId62" Type="http://schemas.openxmlformats.org/officeDocument/2006/relationships/hyperlink" Target="mailto:sxg4590@mavs.uta.edu" TargetMode="External"/><Relationship Id="rId61" Type="http://schemas.openxmlformats.org/officeDocument/2006/relationships/hyperlink" Target="mailto:sxg4590@mav.uta.edu" TargetMode="External"/><Relationship Id="rId64" Type="http://schemas.openxmlformats.org/officeDocument/2006/relationships/hyperlink" Target="mailto:jch0145@mavs.uta.edu" TargetMode="External"/><Relationship Id="rId63" Type="http://schemas.openxmlformats.org/officeDocument/2006/relationships/hyperlink" Target="mailto:slm8241@mavs.uta.edu" TargetMode="External"/><Relationship Id="rId66" Type="http://schemas.openxmlformats.org/officeDocument/2006/relationships/hyperlink" Target="mailto:eag1650@mavs.uta.edu" TargetMode="External"/><Relationship Id="rId65" Type="http://schemas.openxmlformats.org/officeDocument/2006/relationships/hyperlink" Target="mailto:kendall.hendrix@mavs.uta.edu" TargetMode="External"/><Relationship Id="rId68" Type="http://schemas.openxmlformats.org/officeDocument/2006/relationships/hyperlink" Target="mailto:ddh3117@mavs.uta.edu" TargetMode="External"/><Relationship Id="rId67" Type="http://schemas.openxmlformats.org/officeDocument/2006/relationships/hyperlink" Target="mailto:tdi0557@mavs.uta.edu" TargetMode="External"/><Relationship Id="rId60" Type="http://schemas.openxmlformats.org/officeDocument/2006/relationships/hyperlink" Target="mailto:ixs2264@mavs.uta.edu" TargetMode="External"/><Relationship Id="rId69" Type="http://schemas.openxmlformats.org/officeDocument/2006/relationships/hyperlink" Target="mailto:axp7773@mavs.uta.edu" TargetMode="External"/><Relationship Id="rId51" Type="http://schemas.openxmlformats.org/officeDocument/2006/relationships/hyperlink" Target="mailto:jxw1244@mavs.uta.edu" TargetMode="External"/><Relationship Id="rId50" Type="http://schemas.openxmlformats.org/officeDocument/2006/relationships/hyperlink" Target="mailto:pmd1523@mavs.uta.edu" TargetMode="External"/><Relationship Id="rId53" Type="http://schemas.openxmlformats.org/officeDocument/2006/relationships/hyperlink" Target="mailto:sxz4583@mavs.uta.edu" TargetMode="External"/><Relationship Id="rId52" Type="http://schemas.openxmlformats.org/officeDocument/2006/relationships/hyperlink" Target="mailto:axr5141@mavs.uta.edu" TargetMode="External"/><Relationship Id="rId55" Type="http://schemas.openxmlformats.org/officeDocument/2006/relationships/hyperlink" Target="mailto:ethnica.mohanty@mavs.uta.edu" TargetMode="External"/><Relationship Id="rId54" Type="http://schemas.openxmlformats.org/officeDocument/2006/relationships/hyperlink" Target="mailto:jxc0776@mavs.uta.edu" TargetMode="External"/><Relationship Id="rId57" Type="http://schemas.openxmlformats.org/officeDocument/2006/relationships/hyperlink" Target="mailto:mcm0218@mavs.uta.edu" TargetMode="External"/><Relationship Id="rId56" Type="http://schemas.openxmlformats.org/officeDocument/2006/relationships/hyperlink" Target="mailto:ryan.johnson2@mavs.uta.edu" TargetMode="External"/><Relationship Id="rId59" Type="http://schemas.openxmlformats.org/officeDocument/2006/relationships/hyperlink" Target="mailto:angieriver508@gmail.com" TargetMode="External"/><Relationship Id="rId58" Type="http://schemas.openxmlformats.org/officeDocument/2006/relationships/hyperlink" Target="mailto:ald2369@mavs.uta.edu" TargetMode="External"/><Relationship Id="rId590" Type="http://schemas.openxmlformats.org/officeDocument/2006/relationships/table" Target="../tables/table1.xml"/><Relationship Id="rId107" Type="http://schemas.openxmlformats.org/officeDocument/2006/relationships/hyperlink" Target="mailto:gaw8233@mavs.uta.edu" TargetMode="External"/><Relationship Id="rId228" Type="http://schemas.openxmlformats.org/officeDocument/2006/relationships/hyperlink" Target="mailto:axeltorres810@gmail.com" TargetMode="External"/><Relationship Id="rId349" Type="http://schemas.openxmlformats.org/officeDocument/2006/relationships/hyperlink" Target="mailto:axr5141@mavs.uta.edu" TargetMode="External"/><Relationship Id="rId106" Type="http://schemas.openxmlformats.org/officeDocument/2006/relationships/hyperlink" Target="mailto:nxr9984@mavs.uta.edu" TargetMode="External"/><Relationship Id="rId227" Type="http://schemas.openxmlformats.org/officeDocument/2006/relationships/hyperlink" Target="mailto:btt4576@mavs.uta.edu" TargetMode="External"/><Relationship Id="rId348" Type="http://schemas.openxmlformats.org/officeDocument/2006/relationships/hyperlink" Target="mailto:eth5289@mavs.uta.edu" TargetMode="External"/><Relationship Id="rId469" Type="http://schemas.openxmlformats.org/officeDocument/2006/relationships/hyperlink" Target="mailto:mxr5105@mavs.uta.edu" TargetMode="External"/><Relationship Id="rId105" Type="http://schemas.openxmlformats.org/officeDocument/2006/relationships/hyperlink" Target="mailto:ota0982@mavs.uta.edu" TargetMode="External"/><Relationship Id="rId226" Type="http://schemas.openxmlformats.org/officeDocument/2006/relationships/hyperlink" Target="mailto:mjp0088@mavs.uta.edu" TargetMode="External"/><Relationship Id="rId347" Type="http://schemas.openxmlformats.org/officeDocument/2006/relationships/hyperlink" Target="mailto:lmr7781@mavs.uta.edu" TargetMode="External"/><Relationship Id="rId468" Type="http://schemas.openxmlformats.org/officeDocument/2006/relationships/hyperlink" Target="mailto:ryan.johnson2@mavs.uta.edu" TargetMode="External"/><Relationship Id="rId104" Type="http://schemas.openxmlformats.org/officeDocument/2006/relationships/hyperlink" Target="mailto:axm6747@mavs.uta.edu" TargetMode="External"/><Relationship Id="rId225" Type="http://schemas.openxmlformats.org/officeDocument/2006/relationships/hyperlink" Target="mailto:vjr5727@mavs.uta.edu" TargetMode="External"/><Relationship Id="rId346" Type="http://schemas.openxmlformats.org/officeDocument/2006/relationships/hyperlink" Target="mailto:jar7585@mavs.uta.edu" TargetMode="External"/><Relationship Id="rId467" Type="http://schemas.openxmlformats.org/officeDocument/2006/relationships/hyperlink" Target="mailto:exj4016@mavs.uta.edu" TargetMode="External"/><Relationship Id="rId109" Type="http://schemas.openxmlformats.org/officeDocument/2006/relationships/hyperlink" Target="mailto:mls8159@mavs.uta.edu" TargetMode="External"/><Relationship Id="rId108" Type="http://schemas.openxmlformats.org/officeDocument/2006/relationships/hyperlink" Target="mailto:lemoinemaclain@gmail.com" TargetMode="External"/><Relationship Id="rId229" Type="http://schemas.openxmlformats.org/officeDocument/2006/relationships/hyperlink" Target="mailto:elk0174@mavs.uta.edu" TargetMode="External"/><Relationship Id="rId220" Type="http://schemas.openxmlformats.org/officeDocument/2006/relationships/hyperlink" Target="mailto:jxc0776@mavs.uta.edu" TargetMode="External"/><Relationship Id="rId341" Type="http://schemas.openxmlformats.org/officeDocument/2006/relationships/hyperlink" Target="mailto:slc1031@mavs.uta.edu" TargetMode="External"/><Relationship Id="rId462" Type="http://schemas.openxmlformats.org/officeDocument/2006/relationships/hyperlink" Target="mailto:nxh8420@mavs.uta.edu" TargetMode="External"/><Relationship Id="rId583" Type="http://schemas.openxmlformats.org/officeDocument/2006/relationships/hyperlink" Target="mailto:ejs8612@mavs.uta.edu" TargetMode="External"/><Relationship Id="rId340" Type="http://schemas.openxmlformats.org/officeDocument/2006/relationships/hyperlink" Target="mailto:cxh6377@mavs.uta.edu" TargetMode="External"/><Relationship Id="rId461" Type="http://schemas.openxmlformats.org/officeDocument/2006/relationships/hyperlink" Target="mailto:med3041@mavs.uta.edu" TargetMode="External"/><Relationship Id="rId582" Type="http://schemas.openxmlformats.org/officeDocument/2006/relationships/hyperlink" Target="mailto:lsh6876@mavs.uta.edu" TargetMode="External"/><Relationship Id="rId460" Type="http://schemas.openxmlformats.org/officeDocument/2006/relationships/hyperlink" Target="mailto:ajb1480@mavs.uta.edu" TargetMode="External"/><Relationship Id="rId581" Type="http://schemas.openxmlformats.org/officeDocument/2006/relationships/hyperlink" Target="mailto:deg2012@mavs.uta.edu" TargetMode="External"/><Relationship Id="rId580" Type="http://schemas.openxmlformats.org/officeDocument/2006/relationships/hyperlink" Target="mailto:cgs0882@mavs.uta.edu" TargetMode="External"/><Relationship Id="rId103" Type="http://schemas.openxmlformats.org/officeDocument/2006/relationships/hyperlink" Target="mailto:dxp7561@mavs.uta.edu" TargetMode="External"/><Relationship Id="rId224" Type="http://schemas.openxmlformats.org/officeDocument/2006/relationships/hyperlink" Target="mailto:lxd7115@mavs.uta.edu" TargetMode="External"/><Relationship Id="rId345" Type="http://schemas.openxmlformats.org/officeDocument/2006/relationships/hyperlink" Target="mailto:rmc5742@mavs.uta.edu" TargetMode="External"/><Relationship Id="rId466" Type="http://schemas.openxmlformats.org/officeDocument/2006/relationships/hyperlink" Target="mailto:rxd4693@mavs.uta.edu" TargetMode="External"/><Relationship Id="rId587" Type="http://schemas.openxmlformats.org/officeDocument/2006/relationships/drawing" Target="../drawings/drawing2.xml"/><Relationship Id="rId102" Type="http://schemas.openxmlformats.org/officeDocument/2006/relationships/hyperlink" Target="mailto:jxj7241@mavs.uta.edu" TargetMode="External"/><Relationship Id="rId223" Type="http://schemas.openxmlformats.org/officeDocument/2006/relationships/hyperlink" Target="mailto:jdj0892@mavs.uta.edu" TargetMode="External"/><Relationship Id="rId344" Type="http://schemas.openxmlformats.org/officeDocument/2006/relationships/hyperlink" Target="mailto:cna4378@mavs.uta.edu" TargetMode="External"/><Relationship Id="rId465" Type="http://schemas.openxmlformats.org/officeDocument/2006/relationships/hyperlink" Target="mailto:axm2610@mavs.uta.edu" TargetMode="External"/><Relationship Id="rId586" Type="http://schemas.openxmlformats.org/officeDocument/2006/relationships/hyperlink" Target="mailto:axh8675@mavs.uta.edu" TargetMode="External"/><Relationship Id="rId101" Type="http://schemas.openxmlformats.org/officeDocument/2006/relationships/hyperlink" Target="mailto:ost8086@mavs.uta.edu" TargetMode="External"/><Relationship Id="rId222" Type="http://schemas.openxmlformats.org/officeDocument/2006/relationships/hyperlink" Target="mailto:mrh3987@mavs.uta.edu" TargetMode="External"/><Relationship Id="rId343" Type="http://schemas.openxmlformats.org/officeDocument/2006/relationships/hyperlink" Target="mailto:morgan@uta.edu" TargetMode="External"/><Relationship Id="rId464" Type="http://schemas.openxmlformats.org/officeDocument/2006/relationships/hyperlink" Target="mailto:jordhard@hotmail.com" TargetMode="External"/><Relationship Id="rId585" Type="http://schemas.openxmlformats.org/officeDocument/2006/relationships/hyperlink" Target="mailto:arg1945@mavs.uta.edu" TargetMode="External"/><Relationship Id="rId100" Type="http://schemas.openxmlformats.org/officeDocument/2006/relationships/hyperlink" Target="mailto:mxa1323@mavs.uta.edu" TargetMode="External"/><Relationship Id="rId221" Type="http://schemas.openxmlformats.org/officeDocument/2006/relationships/hyperlink" Target="mailto:morgan@uta.edu" TargetMode="External"/><Relationship Id="rId342" Type="http://schemas.openxmlformats.org/officeDocument/2006/relationships/hyperlink" Target="mailto:lms8166@mavs.uta.edu" TargetMode="External"/><Relationship Id="rId463" Type="http://schemas.openxmlformats.org/officeDocument/2006/relationships/hyperlink" Target="mailto:eef1310@mavs.uta.edu" TargetMode="External"/><Relationship Id="rId584" Type="http://schemas.openxmlformats.org/officeDocument/2006/relationships/hyperlink" Target="mailto:jxg7899@mavs.uta.edu" TargetMode="External"/><Relationship Id="rId217" Type="http://schemas.openxmlformats.org/officeDocument/2006/relationships/hyperlink" Target="mailto:cindylouskipper@yahoo.com" TargetMode="External"/><Relationship Id="rId338" Type="http://schemas.openxmlformats.org/officeDocument/2006/relationships/hyperlink" Target="mailto:eml0030@mavs.uta.edu" TargetMode="External"/><Relationship Id="rId459" Type="http://schemas.openxmlformats.org/officeDocument/2006/relationships/hyperlink" Target="mailto:mtl3955@mavs.uta.edu" TargetMode="External"/><Relationship Id="rId216" Type="http://schemas.openxmlformats.org/officeDocument/2006/relationships/hyperlink" Target="mailto:jrs6179@mavs.uta.edu" TargetMode="External"/><Relationship Id="rId337" Type="http://schemas.openxmlformats.org/officeDocument/2006/relationships/hyperlink" Target="mailto:maa3578@mavs.uta.edu" TargetMode="External"/><Relationship Id="rId458" Type="http://schemas.openxmlformats.org/officeDocument/2006/relationships/hyperlink" Target="mailto:kxm7657@mavs.uta.edu" TargetMode="External"/><Relationship Id="rId579" Type="http://schemas.openxmlformats.org/officeDocument/2006/relationships/hyperlink" Target="mailto:bnw0860@mavs.uta.edu" TargetMode="External"/><Relationship Id="rId215" Type="http://schemas.openxmlformats.org/officeDocument/2006/relationships/hyperlink" Target="mailto:hdr0331@mavs.uta.edu" TargetMode="External"/><Relationship Id="rId336" Type="http://schemas.openxmlformats.org/officeDocument/2006/relationships/hyperlink" Target="mailto:hxo3742@mavs.uta.edu" TargetMode="External"/><Relationship Id="rId457" Type="http://schemas.openxmlformats.org/officeDocument/2006/relationships/hyperlink" Target="mailto:nxg8467@mavs.uta.edu" TargetMode="External"/><Relationship Id="rId578" Type="http://schemas.openxmlformats.org/officeDocument/2006/relationships/hyperlink" Target="mailto:lxn4625@mavs.uta.edu" TargetMode="External"/><Relationship Id="rId214" Type="http://schemas.openxmlformats.org/officeDocument/2006/relationships/hyperlink" Target="mailto:dsf1084@mavs.uta.edu" TargetMode="External"/><Relationship Id="rId335" Type="http://schemas.openxmlformats.org/officeDocument/2006/relationships/hyperlink" Target="mailto:kendall.hendrix@mavs.uta.edu" TargetMode="External"/><Relationship Id="rId456" Type="http://schemas.openxmlformats.org/officeDocument/2006/relationships/hyperlink" Target="mailto:jge7262@mavs.uta.edu" TargetMode="External"/><Relationship Id="rId577" Type="http://schemas.openxmlformats.org/officeDocument/2006/relationships/hyperlink" Target="mailto:axb0208@mavs.uta.edu" TargetMode="External"/><Relationship Id="rId219" Type="http://schemas.openxmlformats.org/officeDocument/2006/relationships/hyperlink" Target="mailto:vxc9126@mavs.uta.edu" TargetMode="External"/><Relationship Id="rId218" Type="http://schemas.openxmlformats.org/officeDocument/2006/relationships/hyperlink" Target="mailto:fls7839@mavs.uta.edu" TargetMode="External"/><Relationship Id="rId339" Type="http://schemas.openxmlformats.org/officeDocument/2006/relationships/hyperlink" Target="mailto:aks1359@mavs.uta.edu" TargetMode="External"/><Relationship Id="rId330" Type="http://schemas.openxmlformats.org/officeDocument/2006/relationships/hyperlink" Target="mailto:rxz4848@mavs.uta.edu" TargetMode="External"/><Relationship Id="rId451" Type="http://schemas.openxmlformats.org/officeDocument/2006/relationships/hyperlink" Target="mailto:nsh9723@mavs.uta.edu" TargetMode="External"/><Relationship Id="rId572" Type="http://schemas.openxmlformats.org/officeDocument/2006/relationships/hyperlink" Target="mailto:jordhard@hotmail.com" TargetMode="External"/><Relationship Id="rId450" Type="http://schemas.openxmlformats.org/officeDocument/2006/relationships/hyperlink" Target="mailto:cmn9165@mavs.uta.edu" TargetMode="External"/><Relationship Id="rId571" Type="http://schemas.openxmlformats.org/officeDocument/2006/relationships/hyperlink" Target="mailto:blb2567@mavs.uta.edu" TargetMode="External"/><Relationship Id="rId570" Type="http://schemas.openxmlformats.org/officeDocument/2006/relationships/hyperlink" Target="mailto:nsh9723@mavs.uta.edu" TargetMode="External"/><Relationship Id="rId213" Type="http://schemas.openxmlformats.org/officeDocument/2006/relationships/hyperlink" Target="mailto:pla1767@mavs.uta.edu" TargetMode="External"/><Relationship Id="rId334" Type="http://schemas.openxmlformats.org/officeDocument/2006/relationships/hyperlink" Target="mailto:dxs7542@mavs.uta.edu" TargetMode="External"/><Relationship Id="rId455" Type="http://schemas.openxmlformats.org/officeDocument/2006/relationships/hyperlink" Target="mailto:arg1945@mavs.uta.edu" TargetMode="External"/><Relationship Id="rId576" Type="http://schemas.openxmlformats.org/officeDocument/2006/relationships/hyperlink" Target="mailto:jxm6053@mavs.uta.edu" TargetMode="External"/><Relationship Id="rId212" Type="http://schemas.openxmlformats.org/officeDocument/2006/relationships/hyperlink" Target="mailto:bnh1658@mavs.uta.edu" TargetMode="External"/><Relationship Id="rId333" Type="http://schemas.openxmlformats.org/officeDocument/2006/relationships/hyperlink" Target="mailto:ixs2264@mavs.uta.edu" TargetMode="External"/><Relationship Id="rId454" Type="http://schemas.openxmlformats.org/officeDocument/2006/relationships/hyperlink" Target="mailto:lsh6876@mavs.uta.edu" TargetMode="External"/><Relationship Id="rId575" Type="http://schemas.openxmlformats.org/officeDocument/2006/relationships/hyperlink" Target="mailto:txo5863@mavs.uta.edu" TargetMode="External"/><Relationship Id="rId211" Type="http://schemas.openxmlformats.org/officeDocument/2006/relationships/hyperlink" Target="mailto:shd1128@mavs.uta.edu" TargetMode="External"/><Relationship Id="rId332" Type="http://schemas.openxmlformats.org/officeDocument/2006/relationships/hyperlink" Target="mailto:bnd3556@mavs.uta.edu" TargetMode="External"/><Relationship Id="rId453" Type="http://schemas.openxmlformats.org/officeDocument/2006/relationships/hyperlink" Target="mailto:Csc9100@my.mavs.uta.edu" TargetMode="External"/><Relationship Id="rId574" Type="http://schemas.openxmlformats.org/officeDocument/2006/relationships/hyperlink" Target="mailto:axeltorres810@gmail.com" TargetMode="External"/><Relationship Id="rId210" Type="http://schemas.openxmlformats.org/officeDocument/2006/relationships/hyperlink" Target="mailto:ssi4241@mavs.uta.edu" TargetMode="External"/><Relationship Id="rId331" Type="http://schemas.openxmlformats.org/officeDocument/2006/relationships/hyperlink" Target="mailto:acb8528@mavs.uta.edu" TargetMode="External"/><Relationship Id="rId452" Type="http://schemas.openxmlformats.org/officeDocument/2006/relationships/hyperlink" Target="mailto:cmm4522@mavs.uta.edu" TargetMode="External"/><Relationship Id="rId573" Type="http://schemas.openxmlformats.org/officeDocument/2006/relationships/hyperlink" Target="mailto:odg5478@mavs.uta.edu" TargetMode="External"/><Relationship Id="rId370" Type="http://schemas.openxmlformats.org/officeDocument/2006/relationships/hyperlink" Target="mailto:cxc8937@mavs.uta.edu" TargetMode="External"/><Relationship Id="rId491" Type="http://schemas.openxmlformats.org/officeDocument/2006/relationships/hyperlink" Target="mailto:zka0371@mavs.uta.edu" TargetMode="External"/><Relationship Id="rId490" Type="http://schemas.openxmlformats.org/officeDocument/2006/relationships/hyperlink" Target="mailto:axt0315@mavs.uta.edu" TargetMode="External"/><Relationship Id="rId129" Type="http://schemas.openxmlformats.org/officeDocument/2006/relationships/hyperlink" Target="mailto:axr5141@mavs.uta.edu" TargetMode="External"/><Relationship Id="rId128" Type="http://schemas.openxmlformats.org/officeDocument/2006/relationships/hyperlink" Target="mailto:cxp1485@mavs.uta.edu" TargetMode="External"/><Relationship Id="rId249" Type="http://schemas.openxmlformats.org/officeDocument/2006/relationships/hyperlink" Target="mailto:djs9774@mavs.uat.edu" TargetMode="External"/><Relationship Id="rId127" Type="http://schemas.openxmlformats.org/officeDocument/2006/relationships/hyperlink" Target="mailto:cmm4522@mavs.uta.edu" TargetMode="External"/><Relationship Id="rId248" Type="http://schemas.openxmlformats.org/officeDocument/2006/relationships/hyperlink" Target="mailto:ldj3587@mavs.uta.edu" TargetMode="External"/><Relationship Id="rId369" Type="http://schemas.openxmlformats.org/officeDocument/2006/relationships/hyperlink" Target="mailto:kxv5730@mavs.uta.edu" TargetMode="External"/><Relationship Id="rId126" Type="http://schemas.openxmlformats.org/officeDocument/2006/relationships/hyperlink" Target="mailto:maddie.hunter@mavs.uta.edu" TargetMode="External"/><Relationship Id="rId247" Type="http://schemas.openxmlformats.org/officeDocument/2006/relationships/hyperlink" Target="mailto:deb3777@mavs.uta.edu" TargetMode="External"/><Relationship Id="rId368" Type="http://schemas.openxmlformats.org/officeDocument/2006/relationships/hyperlink" Target="mailto:mxr5105@mavs.uta.edu" TargetMode="External"/><Relationship Id="rId489" Type="http://schemas.openxmlformats.org/officeDocument/2006/relationships/hyperlink" Target="mailto:egh5183@mavs.uta.edu" TargetMode="External"/><Relationship Id="rId121" Type="http://schemas.openxmlformats.org/officeDocument/2006/relationships/hyperlink" Target="mailto:ekw0702@mavs.uta.edu" TargetMode="External"/><Relationship Id="rId242" Type="http://schemas.openxmlformats.org/officeDocument/2006/relationships/hyperlink" Target="mailto:jdj0892@mavs.uta.edu" TargetMode="External"/><Relationship Id="rId363" Type="http://schemas.openxmlformats.org/officeDocument/2006/relationships/hyperlink" Target="mailto:sxa6622@mavs.uta.edu" TargetMode="External"/><Relationship Id="rId484" Type="http://schemas.openxmlformats.org/officeDocument/2006/relationships/hyperlink" Target="mailto:morgan@uta.edu" TargetMode="External"/><Relationship Id="rId120" Type="http://schemas.openxmlformats.org/officeDocument/2006/relationships/hyperlink" Target="mailto:kmm3210@mavs.uta.edu" TargetMode="External"/><Relationship Id="rId241" Type="http://schemas.openxmlformats.org/officeDocument/2006/relationships/hyperlink" Target="mailto:ixs2264@mavs.uta.edu" TargetMode="External"/><Relationship Id="rId362" Type="http://schemas.openxmlformats.org/officeDocument/2006/relationships/hyperlink" Target="mailto:jab9782@mavs.uta.edu" TargetMode="External"/><Relationship Id="rId483" Type="http://schemas.openxmlformats.org/officeDocument/2006/relationships/hyperlink" Target="mailto:ixu4801@mavs.uta.edu" TargetMode="External"/><Relationship Id="rId240" Type="http://schemas.openxmlformats.org/officeDocument/2006/relationships/hyperlink" Target="mailto:ajb1480@mavs.uta.edu" TargetMode="External"/><Relationship Id="rId361" Type="http://schemas.openxmlformats.org/officeDocument/2006/relationships/hyperlink" Target="mailto:msk6700@mavs.uta.edu" TargetMode="External"/><Relationship Id="rId482" Type="http://schemas.openxmlformats.org/officeDocument/2006/relationships/hyperlink" Target="mailto:raf1665@mavs.uta.edu" TargetMode="External"/><Relationship Id="rId360" Type="http://schemas.openxmlformats.org/officeDocument/2006/relationships/hyperlink" Target="mailto:acs7801@mavs.uta.edu" TargetMode="External"/><Relationship Id="rId481" Type="http://schemas.openxmlformats.org/officeDocument/2006/relationships/hyperlink" Target="mailto:mjp0088@mavs.uta.edu" TargetMode="External"/><Relationship Id="rId125" Type="http://schemas.openxmlformats.org/officeDocument/2006/relationships/hyperlink" Target="mailto:sxh1639@mavs.uta.edu" TargetMode="External"/><Relationship Id="rId246" Type="http://schemas.openxmlformats.org/officeDocument/2006/relationships/hyperlink" Target="mailto:jtn4576@mavs.uta.edu" TargetMode="External"/><Relationship Id="rId367" Type="http://schemas.openxmlformats.org/officeDocument/2006/relationships/hyperlink" Target="mailto:gxh4791@mavs.uta.edu" TargetMode="External"/><Relationship Id="rId488" Type="http://schemas.openxmlformats.org/officeDocument/2006/relationships/hyperlink" Target="mailto:bmn0721@mavs.uta.edu" TargetMode="External"/><Relationship Id="rId124" Type="http://schemas.openxmlformats.org/officeDocument/2006/relationships/hyperlink" Target="mailto:nxr7988@mavs.uta.edu" TargetMode="External"/><Relationship Id="rId245" Type="http://schemas.openxmlformats.org/officeDocument/2006/relationships/hyperlink" Target="mailto:pdw8778@mavs.uta.edu" TargetMode="External"/><Relationship Id="rId366" Type="http://schemas.openxmlformats.org/officeDocument/2006/relationships/hyperlink" Target="mailto:tmv5750@mavs.uta.edu" TargetMode="External"/><Relationship Id="rId487" Type="http://schemas.openxmlformats.org/officeDocument/2006/relationships/hyperlink" Target="mailto:jtm7980@mavs.uta.edu" TargetMode="External"/><Relationship Id="rId123" Type="http://schemas.openxmlformats.org/officeDocument/2006/relationships/hyperlink" Target="mailto:lxb8153@mavs.uta.edu" TargetMode="External"/><Relationship Id="rId244" Type="http://schemas.openxmlformats.org/officeDocument/2006/relationships/hyperlink" Target="mailto:mckaylamellen@gmail.com" TargetMode="External"/><Relationship Id="rId365" Type="http://schemas.openxmlformats.org/officeDocument/2006/relationships/hyperlink" Target="mailto:mxn9787@mavs.uta.edu" TargetMode="External"/><Relationship Id="rId486" Type="http://schemas.openxmlformats.org/officeDocument/2006/relationships/hyperlink" Target="mailto:abm6241@mavs.uta.edu" TargetMode="External"/><Relationship Id="rId122" Type="http://schemas.openxmlformats.org/officeDocument/2006/relationships/hyperlink" Target="mailto:fiw2359@mavs.uta.edu" TargetMode="External"/><Relationship Id="rId243" Type="http://schemas.openxmlformats.org/officeDocument/2006/relationships/hyperlink" Target="mailto:juliet.garrison@mavs.uta.edu" TargetMode="External"/><Relationship Id="rId364" Type="http://schemas.openxmlformats.org/officeDocument/2006/relationships/hyperlink" Target="mailto:amp3840@mavs.uta.edu" TargetMode="External"/><Relationship Id="rId485" Type="http://schemas.openxmlformats.org/officeDocument/2006/relationships/hyperlink" Target="mailto:axg5200@mavs.uta.edu" TargetMode="External"/><Relationship Id="rId95" Type="http://schemas.openxmlformats.org/officeDocument/2006/relationships/hyperlink" Target="mailto:andrea.silva@mavs.uta.edu" TargetMode="External"/><Relationship Id="rId94" Type="http://schemas.openxmlformats.org/officeDocument/2006/relationships/hyperlink" Target="mailto:nxs5239@mavs.uta.edu" TargetMode="External"/><Relationship Id="rId97" Type="http://schemas.openxmlformats.org/officeDocument/2006/relationships/hyperlink" Target="mailto:sxt2798@mavs.uta.edu" TargetMode="External"/><Relationship Id="rId96" Type="http://schemas.openxmlformats.org/officeDocument/2006/relationships/hyperlink" Target="mailto:ibf8392@mavs.uta.edu" TargetMode="External"/><Relationship Id="rId99" Type="http://schemas.openxmlformats.org/officeDocument/2006/relationships/hyperlink" Target="mailto:mmb0584@mavs.uta.edu" TargetMode="External"/><Relationship Id="rId480" Type="http://schemas.openxmlformats.org/officeDocument/2006/relationships/hyperlink" Target="mailto:mcm0218@mavs.uta.edu" TargetMode="External"/><Relationship Id="rId98" Type="http://schemas.openxmlformats.org/officeDocument/2006/relationships/hyperlink" Target="mailto:sap3249@mavs.uta.edu" TargetMode="External"/><Relationship Id="rId91" Type="http://schemas.openxmlformats.org/officeDocument/2006/relationships/hyperlink" Target="mailto:brandon.isom@mava.uta.edu" TargetMode="External"/><Relationship Id="rId90" Type="http://schemas.openxmlformats.org/officeDocument/2006/relationships/hyperlink" Target="mailto:mdp8918@mavs.uta.edu" TargetMode="External"/><Relationship Id="rId93" Type="http://schemas.openxmlformats.org/officeDocument/2006/relationships/hyperlink" Target="mailto:exh4753@mavs.uta.edu" TargetMode="External"/><Relationship Id="rId92" Type="http://schemas.openxmlformats.org/officeDocument/2006/relationships/hyperlink" Target="mailto:akh4978@mavs.uta.edu" TargetMode="External"/><Relationship Id="rId118" Type="http://schemas.openxmlformats.org/officeDocument/2006/relationships/hyperlink" Target="mailto:ixa8551@mavs.uta.edu" TargetMode="External"/><Relationship Id="rId239" Type="http://schemas.openxmlformats.org/officeDocument/2006/relationships/hyperlink" Target="mailto:paulisadora4@gmail.com" TargetMode="External"/><Relationship Id="rId117" Type="http://schemas.openxmlformats.org/officeDocument/2006/relationships/hyperlink" Target="mailto:exb7401@mavs.uta.edu" TargetMode="External"/><Relationship Id="rId238" Type="http://schemas.openxmlformats.org/officeDocument/2006/relationships/hyperlink" Target="mailto:mag9071@mavs.uta.edu" TargetMode="External"/><Relationship Id="rId359" Type="http://schemas.openxmlformats.org/officeDocument/2006/relationships/hyperlink" Target="mailto:acs7801@mavs.uta.edu" TargetMode="External"/><Relationship Id="rId116" Type="http://schemas.openxmlformats.org/officeDocument/2006/relationships/hyperlink" Target="mailto:jag8933@mavs.uta.edu" TargetMode="External"/><Relationship Id="rId237" Type="http://schemas.openxmlformats.org/officeDocument/2006/relationships/hyperlink" Target="mailto:tmv5750@mavs.uta.edu" TargetMode="External"/><Relationship Id="rId358" Type="http://schemas.openxmlformats.org/officeDocument/2006/relationships/hyperlink" Target="mailto:cam6723@mavs.uta.edu" TargetMode="External"/><Relationship Id="rId479" Type="http://schemas.openxmlformats.org/officeDocument/2006/relationships/hyperlink" Target="mailto:dxp7561@mavs.uta.edu" TargetMode="External"/><Relationship Id="rId115" Type="http://schemas.openxmlformats.org/officeDocument/2006/relationships/hyperlink" Target="mailto:allison.duran4@mavs.uta.edu" TargetMode="External"/><Relationship Id="rId236" Type="http://schemas.openxmlformats.org/officeDocument/2006/relationships/hyperlink" Target="mailto:mhh6112@mavs.uta.edu" TargetMode="External"/><Relationship Id="rId357" Type="http://schemas.openxmlformats.org/officeDocument/2006/relationships/hyperlink" Target="mailto:mtl3955@mavs.uta.edu" TargetMode="External"/><Relationship Id="rId478" Type="http://schemas.openxmlformats.org/officeDocument/2006/relationships/hyperlink" Target="mailto:axc4959@mavs.uta.edu" TargetMode="External"/><Relationship Id="rId119" Type="http://schemas.openxmlformats.org/officeDocument/2006/relationships/hyperlink" Target="mailto:lsh6876@mavs.uta.edu" TargetMode="External"/><Relationship Id="rId110" Type="http://schemas.openxmlformats.org/officeDocument/2006/relationships/hyperlink" Target="mailto:jpg6092@mavs.uta.edu" TargetMode="External"/><Relationship Id="rId231" Type="http://schemas.openxmlformats.org/officeDocument/2006/relationships/hyperlink" Target="mailto:jxw1244@mavs.uta.edu" TargetMode="External"/><Relationship Id="rId352" Type="http://schemas.openxmlformats.org/officeDocument/2006/relationships/hyperlink" Target="mailto:cad5784@mavs.uta.edu" TargetMode="External"/><Relationship Id="rId473" Type="http://schemas.openxmlformats.org/officeDocument/2006/relationships/hyperlink" Target="mailto:mrr7508@mavs.uta.edu" TargetMode="External"/><Relationship Id="rId230" Type="http://schemas.openxmlformats.org/officeDocument/2006/relationships/hyperlink" Target="mailto:maddox.flores@mavs.uta.edu" TargetMode="External"/><Relationship Id="rId351" Type="http://schemas.openxmlformats.org/officeDocument/2006/relationships/hyperlink" Target="mailto:mxg8819@mavs.uta.edu" TargetMode="External"/><Relationship Id="rId472" Type="http://schemas.openxmlformats.org/officeDocument/2006/relationships/hyperlink" Target="mailto:jrs6179@mavs.uta.edu" TargetMode="External"/><Relationship Id="rId350" Type="http://schemas.openxmlformats.org/officeDocument/2006/relationships/hyperlink" Target="mailto:sec6323@mavs.uta.edu" TargetMode="External"/><Relationship Id="rId471" Type="http://schemas.openxmlformats.org/officeDocument/2006/relationships/hyperlink" Target="mailto:arman.rahimzadehnassk@mavs.uta.edu" TargetMode="External"/><Relationship Id="rId470" Type="http://schemas.openxmlformats.org/officeDocument/2006/relationships/hyperlink" Target="mailto:zxd4094@mavs.uta.edu" TargetMode="External"/><Relationship Id="rId591" Type="http://schemas.openxmlformats.org/officeDocument/2006/relationships/table" Target="../tables/table2.xml"/><Relationship Id="rId114" Type="http://schemas.openxmlformats.org/officeDocument/2006/relationships/hyperlink" Target="mailto:caroline.carter@mavs.uta.edu" TargetMode="External"/><Relationship Id="rId235" Type="http://schemas.openxmlformats.org/officeDocument/2006/relationships/hyperlink" Target="mailto:dxs7542@mavs.uta.edu" TargetMode="External"/><Relationship Id="rId356" Type="http://schemas.openxmlformats.org/officeDocument/2006/relationships/hyperlink" Target="mailto:ajf6707@mavs.uta.edu" TargetMode="External"/><Relationship Id="rId477" Type="http://schemas.openxmlformats.org/officeDocument/2006/relationships/hyperlink" Target="mailto:acs7801@mavs.uta.edu" TargetMode="External"/><Relationship Id="rId113" Type="http://schemas.openxmlformats.org/officeDocument/2006/relationships/hyperlink" Target="mailto:zaynab.shaikh@mavs.uta.edu" TargetMode="External"/><Relationship Id="rId234" Type="http://schemas.openxmlformats.org/officeDocument/2006/relationships/hyperlink" Target="mailto:paulisadora4@gmail.com" TargetMode="External"/><Relationship Id="rId355" Type="http://schemas.openxmlformats.org/officeDocument/2006/relationships/hyperlink" Target="mailto:mag9071@mavs.uta.edu" TargetMode="External"/><Relationship Id="rId476" Type="http://schemas.openxmlformats.org/officeDocument/2006/relationships/hyperlink" Target="mailto:bnl8016@mavs.uta.edu" TargetMode="External"/><Relationship Id="rId112" Type="http://schemas.openxmlformats.org/officeDocument/2006/relationships/hyperlink" Target="mailto:aks7513@mavs.uta.edu" TargetMode="External"/><Relationship Id="rId233" Type="http://schemas.openxmlformats.org/officeDocument/2006/relationships/hyperlink" Target="mailto:exb7401@mavs.uta.edu" TargetMode="External"/><Relationship Id="rId354" Type="http://schemas.openxmlformats.org/officeDocument/2006/relationships/hyperlink" Target="mailto:dxa8560@mavs.uta.edu" TargetMode="External"/><Relationship Id="rId475" Type="http://schemas.openxmlformats.org/officeDocument/2006/relationships/hyperlink" Target="mailto:Smc7514@mavs.uta.edu" TargetMode="External"/><Relationship Id="rId111" Type="http://schemas.openxmlformats.org/officeDocument/2006/relationships/hyperlink" Target="mailto:angelina.nguyen2@mavs.uta.edu" TargetMode="External"/><Relationship Id="rId232" Type="http://schemas.openxmlformats.org/officeDocument/2006/relationships/hyperlink" Target="mailto:henry.anderson@uta.edu" TargetMode="External"/><Relationship Id="rId353" Type="http://schemas.openxmlformats.org/officeDocument/2006/relationships/hyperlink" Target="mailto:lov3317@mavs.uta.edu" TargetMode="External"/><Relationship Id="rId474" Type="http://schemas.openxmlformats.org/officeDocument/2006/relationships/hyperlink" Target="mailto:dxs7542@mavs.uta.edu" TargetMode="External"/><Relationship Id="rId305" Type="http://schemas.openxmlformats.org/officeDocument/2006/relationships/hyperlink" Target="mailto:cxg9285@mavs.uta.edu" TargetMode="External"/><Relationship Id="rId426" Type="http://schemas.openxmlformats.org/officeDocument/2006/relationships/hyperlink" Target="mailto:btt4576@mavs.uta.edu" TargetMode="External"/><Relationship Id="rId547" Type="http://schemas.openxmlformats.org/officeDocument/2006/relationships/hyperlink" Target="mailto:jtn4576@mavs.uta.edu" TargetMode="External"/><Relationship Id="rId304" Type="http://schemas.openxmlformats.org/officeDocument/2006/relationships/hyperlink" Target="mailto:bnt6465@mavs.uta.edu" TargetMode="External"/><Relationship Id="rId425" Type="http://schemas.openxmlformats.org/officeDocument/2006/relationships/hyperlink" Target="mailto:deb3777@mavs.uta.edu" TargetMode="External"/><Relationship Id="rId546" Type="http://schemas.openxmlformats.org/officeDocument/2006/relationships/hyperlink" Target="mailto:axm5300@mavs.uta.edu" TargetMode="External"/><Relationship Id="rId303" Type="http://schemas.openxmlformats.org/officeDocument/2006/relationships/hyperlink" Target="mailto:dsf1084@mavs.uta.edu" TargetMode="External"/><Relationship Id="rId424" Type="http://schemas.openxmlformats.org/officeDocument/2006/relationships/hyperlink" Target="mailto:ssi4241@mavs.uta.edu" TargetMode="External"/><Relationship Id="rId545" Type="http://schemas.openxmlformats.org/officeDocument/2006/relationships/hyperlink" Target="mailto:brb3049@mavs.uta.edu" TargetMode="External"/><Relationship Id="rId302" Type="http://schemas.openxmlformats.org/officeDocument/2006/relationships/hyperlink" Target="mailto:jdj0892@mavs.uta.edu" TargetMode="External"/><Relationship Id="rId423" Type="http://schemas.openxmlformats.org/officeDocument/2006/relationships/hyperlink" Target="mailto:gnw3008@mavs.uta.edu" TargetMode="External"/><Relationship Id="rId544" Type="http://schemas.openxmlformats.org/officeDocument/2006/relationships/hyperlink" Target="mailto:brb3049@mavs.uta.edu" TargetMode="External"/><Relationship Id="rId309" Type="http://schemas.openxmlformats.org/officeDocument/2006/relationships/hyperlink" Target="mailto:cmn9165@mavs.uta.edu" TargetMode="External"/><Relationship Id="rId308" Type="http://schemas.openxmlformats.org/officeDocument/2006/relationships/hyperlink" Target="mailto:mxd2759@mavs.uta.edu" TargetMode="External"/><Relationship Id="rId429" Type="http://schemas.openxmlformats.org/officeDocument/2006/relationships/hyperlink" Target="mailto:ald2369@mavs.uta.edu" TargetMode="External"/><Relationship Id="rId307" Type="http://schemas.openxmlformats.org/officeDocument/2006/relationships/hyperlink" Target="mailto:saw8513@mavs.uta.edu" TargetMode="External"/><Relationship Id="rId428" Type="http://schemas.openxmlformats.org/officeDocument/2006/relationships/hyperlink" Target="mailto:jimmie.davis@uta.edu" TargetMode="External"/><Relationship Id="rId549" Type="http://schemas.openxmlformats.org/officeDocument/2006/relationships/hyperlink" Target="mailto:tks8090@mavs.uta.edu" TargetMode="External"/><Relationship Id="rId306" Type="http://schemas.openxmlformats.org/officeDocument/2006/relationships/hyperlink" Target="mailto:hxt8687@mavs.uta.edu" TargetMode="External"/><Relationship Id="rId427" Type="http://schemas.openxmlformats.org/officeDocument/2006/relationships/hyperlink" Target="mailto:jimmie.davis@uta.edu" TargetMode="External"/><Relationship Id="rId548" Type="http://schemas.openxmlformats.org/officeDocument/2006/relationships/hyperlink" Target="mailto:cmn9165@mavs.uta.edu" TargetMode="External"/><Relationship Id="rId301" Type="http://schemas.openxmlformats.org/officeDocument/2006/relationships/hyperlink" Target="mailto:ajb1480@mavs.uta.edu" TargetMode="External"/><Relationship Id="rId422" Type="http://schemas.openxmlformats.org/officeDocument/2006/relationships/hyperlink" Target="mailto:zxd4094@mavs.uta.edu" TargetMode="External"/><Relationship Id="rId543" Type="http://schemas.openxmlformats.org/officeDocument/2006/relationships/hyperlink" Target="mailto:sxn2862@mavs.uta.edu" TargetMode="External"/><Relationship Id="rId300" Type="http://schemas.openxmlformats.org/officeDocument/2006/relationships/hyperlink" Target="mailto:ssi4241@mava.uta.edu" TargetMode="External"/><Relationship Id="rId421" Type="http://schemas.openxmlformats.org/officeDocument/2006/relationships/hyperlink" Target="mailto:rxd4693@mavs.uta.edu" TargetMode="External"/><Relationship Id="rId542" Type="http://schemas.openxmlformats.org/officeDocument/2006/relationships/hyperlink" Target="mailto:cxb2603@mavs.uta.edu" TargetMode="External"/><Relationship Id="rId420" Type="http://schemas.openxmlformats.org/officeDocument/2006/relationships/hyperlink" Target="mailto:sxd1899@mavs.uta.edu" TargetMode="External"/><Relationship Id="rId541" Type="http://schemas.openxmlformats.org/officeDocument/2006/relationships/hyperlink" Target="mailto:exm9271@mavs.uta.edu" TargetMode="External"/><Relationship Id="rId540" Type="http://schemas.openxmlformats.org/officeDocument/2006/relationships/hyperlink" Target="mailto:mht0689@mavs.uta.edu" TargetMode="External"/><Relationship Id="rId415" Type="http://schemas.openxmlformats.org/officeDocument/2006/relationships/hyperlink" Target="mailto:jtm7980@mavs.uta.edu" TargetMode="External"/><Relationship Id="rId536" Type="http://schemas.openxmlformats.org/officeDocument/2006/relationships/hyperlink" Target="mailto:pct9893@mavs.uta.edu" TargetMode="External"/><Relationship Id="rId414" Type="http://schemas.openxmlformats.org/officeDocument/2006/relationships/hyperlink" Target="mailto:whm7563@mavs.uta.edu" TargetMode="External"/><Relationship Id="rId535" Type="http://schemas.openxmlformats.org/officeDocument/2006/relationships/hyperlink" Target="mailto:diana.villegas@uta.edu" TargetMode="External"/><Relationship Id="rId413" Type="http://schemas.openxmlformats.org/officeDocument/2006/relationships/hyperlink" Target="mailto:amg3293@mavs.uta.edu" TargetMode="External"/><Relationship Id="rId534" Type="http://schemas.openxmlformats.org/officeDocument/2006/relationships/hyperlink" Target="mailto:axc2173@mavs.uta.edu" TargetMode="External"/><Relationship Id="rId412" Type="http://schemas.openxmlformats.org/officeDocument/2006/relationships/hyperlink" Target="mailto:jmb9748@mavs.uta.edu" TargetMode="External"/><Relationship Id="rId533" Type="http://schemas.openxmlformats.org/officeDocument/2006/relationships/hyperlink" Target="mailto:axt8582@mavs.uta.edu" TargetMode="External"/><Relationship Id="rId419" Type="http://schemas.openxmlformats.org/officeDocument/2006/relationships/hyperlink" Target="mailto:jtn4576@mavs.uta.edu" TargetMode="External"/><Relationship Id="rId418" Type="http://schemas.openxmlformats.org/officeDocument/2006/relationships/hyperlink" Target="mailto:brandon.isom@mavs.uta.edu" TargetMode="External"/><Relationship Id="rId539" Type="http://schemas.openxmlformats.org/officeDocument/2006/relationships/hyperlink" Target="mailto:gmv1073@mavs.uta.edu" TargetMode="External"/><Relationship Id="rId417" Type="http://schemas.openxmlformats.org/officeDocument/2006/relationships/hyperlink" Target="mailto:acl6785@mavs.uta.edu" TargetMode="External"/><Relationship Id="rId538" Type="http://schemas.openxmlformats.org/officeDocument/2006/relationships/hyperlink" Target="mailto:sam8509@mavs.uta.edu" TargetMode="External"/><Relationship Id="rId416" Type="http://schemas.openxmlformats.org/officeDocument/2006/relationships/hyperlink" Target="mailto:axg5200@mavs.uta.edu" TargetMode="External"/><Relationship Id="rId537" Type="http://schemas.openxmlformats.org/officeDocument/2006/relationships/hyperlink" Target="mailto:lxn4625@mavs.uta.edu" TargetMode="External"/><Relationship Id="rId411" Type="http://schemas.openxmlformats.org/officeDocument/2006/relationships/hyperlink" Target="mailto:mxr5105@mavs.uta.edu" TargetMode="External"/><Relationship Id="rId532" Type="http://schemas.openxmlformats.org/officeDocument/2006/relationships/hyperlink" Target="mailto:zxc1456@mavs.uta.edu" TargetMode="External"/><Relationship Id="rId410" Type="http://schemas.openxmlformats.org/officeDocument/2006/relationships/hyperlink" Target="mailto:gxs0630@mavs.uta.edu" TargetMode="External"/><Relationship Id="rId531" Type="http://schemas.openxmlformats.org/officeDocument/2006/relationships/hyperlink" Target="mailto:jdj0892@mavs.uta.edu" TargetMode="External"/><Relationship Id="rId530" Type="http://schemas.openxmlformats.org/officeDocument/2006/relationships/hyperlink" Target="mailto:shimismith1@gmail.com" TargetMode="External"/><Relationship Id="rId206" Type="http://schemas.openxmlformats.org/officeDocument/2006/relationships/hyperlink" Target="mailto:brandon.brangdon@gmail.com" TargetMode="External"/><Relationship Id="rId327" Type="http://schemas.openxmlformats.org/officeDocument/2006/relationships/hyperlink" Target="mailto:abm6241@mavs.uta.edu" TargetMode="External"/><Relationship Id="rId448" Type="http://schemas.openxmlformats.org/officeDocument/2006/relationships/hyperlink" Target="mailto:mag9071@mavs.uta.edu" TargetMode="External"/><Relationship Id="rId569" Type="http://schemas.openxmlformats.org/officeDocument/2006/relationships/hyperlink" Target="mailto:mjp0088@mavs.uta.edu" TargetMode="External"/><Relationship Id="rId205" Type="http://schemas.openxmlformats.org/officeDocument/2006/relationships/hyperlink" Target="mailto:dmb8055@mavs.uta.edu" TargetMode="External"/><Relationship Id="rId326" Type="http://schemas.openxmlformats.org/officeDocument/2006/relationships/hyperlink" Target="mailto:deb3777@mavs.uta.edu" TargetMode="External"/><Relationship Id="rId447" Type="http://schemas.openxmlformats.org/officeDocument/2006/relationships/hyperlink" Target="mailto:bth9860@mavs.uta.edu" TargetMode="External"/><Relationship Id="rId568" Type="http://schemas.openxmlformats.org/officeDocument/2006/relationships/hyperlink" Target="mailto:mtl3955@mavs.uta.edu" TargetMode="External"/><Relationship Id="rId204" Type="http://schemas.openxmlformats.org/officeDocument/2006/relationships/hyperlink" Target="mailto:sxp5484@mavs.uta.edu" TargetMode="External"/><Relationship Id="rId325" Type="http://schemas.openxmlformats.org/officeDocument/2006/relationships/hyperlink" Target="mailto:agk9107@mavs.uta.edu" TargetMode="External"/><Relationship Id="rId446" Type="http://schemas.openxmlformats.org/officeDocument/2006/relationships/hyperlink" Target="mailto:jdj0892@mavs.uta.edu" TargetMode="External"/><Relationship Id="rId567" Type="http://schemas.openxmlformats.org/officeDocument/2006/relationships/hyperlink" Target="mailto:btt4576@mavs.uta.edu" TargetMode="External"/><Relationship Id="rId203" Type="http://schemas.openxmlformats.org/officeDocument/2006/relationships/hyperlink" Target="mailto:lsh6876@mavs.uta.edu" TargetMode="External"/><Relationship Id="rId324" Type="http://schemas.openxmlformats.org/officeDocument/2006/relationships/hyperlink" Target="mailto:cgs0882@mavs.uta.edu" TargetMode="External"/><Relationship Id="rId445" Type="http://schemas.openxmlformats.org/officeDocument/2006/relationships/hyperlink" Target="mailto:tch8510@mavs.uta.edu" TargetMode="External"/><Relationship Id="rId566" Type="http://schemas.openxmlformats.org/officeDocument/2006/relationships/hyperlink" Target="mailto:lmm5417@mavs.uta.edu" TargetMode="External"/><Relationship Id="rId209" Type="http://schemas.openxmlformats.org/officeDocument/2006/relationships/hyperlink" Target="mailto:sydney.stumpf@mavs.uta.edu" TargetMode="External"/><Relationship Id="rId208" Type="http://schemas.openxmlformats.org/officeDocument/2006/relationships/hyperlink" Target="mailto:lxg0344@mavs.uta.edu" TargetMode="External"/><Relationship Id="rId329" Type="http://schemas.openxmlformats.org/officeDocument/2006/relationships/hyperlink" Target="mailto:mcm0218@mavs.uta.edu" TargetMode="External"/><Relationship Id="rId207" Type="http://schemas.openxmlformats.org/officeDocument/2006/relationships/hyperlink" Target="mailto:Bryant.soltero@mavs.uta.edu" TargetMode="External"/><Relationship Id="rId328" Type="http://schemas.openxmlformats.org/officeDocument/2006/relationships/hyperlink" Target="mailto:dxp7561@mavs.uta.edu" TargetMode="External"/><Relationship Id="rId449" Type="http://schemas.openxmlformats.org/officeDocument/2006/relationships/hyperlink" Target="mailto:jnt5322@mavs.uta.edu" TargetMode="External"/><Relationship Id="rId440" Type="http://schemas.openxmlformats.org/officeDocument/2006/relationships/hyperlink" Target="mailto:cgs0882@mavs.uta.edu" TargetMode="External"/><Relationship Id="rId561" Type="http://schemas.openxmlformats.org/officeDocument/2006/relationships/hyperlink" Target="mailto:wxb8531@mavs.uta.edu" TargetMode="External"/><Relationship Id="rId560" Type="http://schemas.openxmlformats.org/officeDocument/2006/relationships/hyperlink" Target="mailto:lah5338@mavs.uta.edu" TargetMode="External"/><Relationship Id="rId202" Type="http://schemas.openxmlformats.org/officeDocument/2006/relationships/hyperlink" Target="mailto:nxd2879@mavs.uta.edu" TargetMode="External"/><Relationship Id="rId323" Type="http://schemas.openxmlformats.org/officeDocument/2006/relationships/hyperlink" Target="mailto:daisy.lopez2@mavs.uta.edu" TargetMode="External"/><Relationship Id="rId444" Type="http://schemas.openxmlformats.org/officeDocument/2006/relationships/hyperlink" Target="mailto:agc1946@mavs.uta.edu" TargetMode="External"/><Relationship Id="rId565" Type="http://schemas.openxmlformats.org/officeDocument/2006/relationships/hyperlink" Target="mailto:mayitorodriguez2006@gmail.com" TargetMode="External"/><Relationship Id="rId201" Type="http://schemas.openxmlformats.org/officeDocument/2006/relationships/hyperlink" Target="mailto:johnjoseph.sanchez@mavs.uta.edu" TargetMode="External"/><Relationship Id="rId322" Type="http://schemas.openxmlformats.org/officeDocument/2006/relationships/hyperlink" Target="mailto:des8620@mavs.uta.edu" TargetMode="External"/><Relationship Id="rId443" Type="http://schemas.openxmlformats.org/officeDocument/2006/relationships/hyperlink" Target="mailto:hgl7818@mavs.uta.edu" TargetMode="External"/><Relationship Id="rId564" Type="http://schemas.openxmlformats.org/officeDocument/2006/relationships/hyperlink" Target="mailto:xxc0192@mavs.uta.edu" TargetMode="External"/><Relationship Id="rId200" Type="http://schemas.openxmlformats.org/officeDocument/2006/relationships/hyperlink" Target="mailto:arh3770@mavs.uta.edu" TargetMode="External"/><Relationship Id="rId321" Type="http://schemas.openxmlformats.org/officeDocument/2006/relationships/hyperlink" Target="mailto:jxw1244@mavs.uta.edu" TargetMode="External"/><Relationship Id="rId442" Type="http://schemas.openxmlformats.org/officeDocument/2006/relationships/hyperlink" Target="mailto:exb7401@mavs.uta.edu" TargetMode="External"/><Relationship Id="rId563" Type="http://schemas.openxmlformats.org/officeDocument/2006/relationships/hyperlink" Target="mailto:jpm6498@mavs.uta.edu" TargetMode="External"/><Relationship Id="rId320" Type="http://schemas.openxmlformats.org/officeDocument/2006/relationships/hyperlink" Target="mailto:vbm2592@mavs.uta.edu" TargetMode="External"/><Relationship Id="rId441" Type="http://schemas.openxmlformats.org/officeDocument/2006/relationships/hyperlink" Target="mailto:bnw0860@mavs.uta.edu" TargetMode="External"/><Relationship Id="rId562" Type="http://schemas.openxmlformats.org/officeDocument/2006/relationships/hyperlink" Target="mailto:exb7401@mavs.uta.edu" TargetMode="External"/><Relationship Id="rId316" Type="http://schemas.openxmlformats.org/officeDocument/2006/relationships/hyperlink" Target="mailto:mjp0088@mavs.uta.edu" TargetMode="External"/><Relationship Id="rId437" Type="http://schemas.openxmlformats.org/officeDocument/2006/relationships/hyperlink" Target="mailto:cxm7161@mavs.uta.edu" TargetMode="External"/><Relationship Id="rId558" Type="http://schemas.openxmlformats.org/officeDocument/2006/relationships/hyperlink" Target="mailto:jxc1794@mavs.uta.edu" TargetMode="External"/><Relationship Id="rId315" Type="http://schemas.openxmlformats.org/officeDocument/2006/relationships/hyperlink" Target="mailto:kec4657@mavs.uta.edu" TargetMode="External"/><Relationship Id="rId436" Type="http://schemas.openxmlformats.org/officeDocument/2006/relationships/hyperlink" Target="mailto:amanda.wegner@uta.edu" TargetMode="External"/><Relationship Id="rId557" Type="http://schemas.openxmlformats.org/officeDocument/2006/relationships/hyperlink" Target="mailto:med3041@mavs.uta.edu" TargetMode="External"/><Relationship Id="rId314" Type="http://schemas.openxmlformats.org/officeDocument/2006/relationships/hyperlink" Target="mailto:ls17hatcher@gmail.com" TargetMode="External"/><Relationship Id="rId435" Type="http://schemas.openxmlformats.org/officeDocument/2006/relationships/hyperlink" Target="mailto:kendall.hendrix@mavs.uta.edu" TargetMode="External"/><Relationship Id="rId556" Type="http://schemas.openxmlformats.org/officeDocument/2006/relationships/hyperlink" Target="mailto:mxr0494@mavs.uta.edu" TargetMode="External"/><Relationship Id="rId313" Type="http://schemas.openxmlformats.org/officeDocument/2006/relationships/hyperlink" Target="mailto:mxd2759@mavs.uta.edu" TargetMode="External"/><Relationship Id="rId434" Type="http://schemas.openxmlformats.org/officeDocument/2006/relationships/hyperlink" Target="mailto:williamcleland04@gmail.com" TargetMode="External"/><Relationship Id="rId555" Type="http://schemas.openxmlformats.org/officeDocument/2006/relationships/hyperlink" Target="mailto:knh2690@mavs.uta.edu" TargetMode="External"/><Relationship Id="rId319" Type="http://schemas.openxmlformats.org/officeDocument/2006/relationships/hyperlink" Target="mailto:amm7605@mavs.uta.edu" TargetMode="External"/><Relationship Id="rId318" Type="http://schemas.openxmlformats.org/officeDocument/2006/relationships/hyperlink" Target="mailto:nsh9723@mavs.uta.edu" TargetMode="External"/><Relationship Id="rId439" Type="http://schemas.openxmlformats.org/officeDocument/2006/relationships/hyperlink" Target="mailto:ixs2264@mavs.uta.edu" TargetMode="External"/><Relationship Id="rId317" Type="http://schemas.openxmlformats.org/officeDocument/2006/relationships/hyperlink" Target="mailto:jrs6179@mavs.uta.edu" TargetMode="External"/><Relationship Id="rId438" Type="http://schemas.openxmlformats.org/officeDocument/2006/relationships/hyperlink" Target="mailto:dsf1084@mavs.uta.edu" TargetMode="External"/><Relationship Id="rId559" Type="http://schemas.openxmlformats.org/officeDocument/2006/relationships/hyperlink" Target="mailto:coc8788@mavs.uta.edu" TargetMode="External"/><Relationship Id="rId550" Type="http://schemas.openxmlformats.org/officeDocument/2006/relationships/hyperlink" Target="mailto:jtp8417@mavs.uta.edu" TargetMode="External"/><Relationship Id="rId312" Type="http://schemas.openxmlformats.org/officeDocument/2006/relationships/hyperlink" Target="mailto:exb7401@mavs.uta.edu" TargetMode="External"/><Relationship Id="rId433" Type="http://schemas.openxmlformats.org/officeDocument/2006/relationships/hyperlink" Target="mailto:jxw1244@mavs.uta.edu" TargetMode="External"/><Relationship Id="rId554" Type="http://schemas.openxmlformats.org/officeDocument/2006/relationships/hyperlink" Target="mailto:ixs2264@mavs.uta.edu" TargetMode="External"/><Relationship Id="rId311" Type="http://schemas.openxmlformats.org/officeDocument/2006/relationships/hyperlink" Target="mailto:Jxl4942@mavs.uta.edu" TargetMode="External"/><Relationship Id="rId432" Type="http://schemas.openxmlformats.org/officeDocument/2006/relationships/hyperlink" Target="mailto:gxs0630@mavs.uta.edu" TargetMode="External"/><Relationship Id="rId553" Type="http://schemas.openxmlformats.org/officeDocument/2006/relationships/hyperlink" Target="mailto:tvp2284@mavs.uta.edu" TargetMode="External"/><Relationship Id="rId310" Type="http://schemas.openxmlformats.org/officeDocument/2006/relationships/hyperlink" Target="mailto:bnw0860@mavs.uta.edu" TargetMode="External"/><Relationship Id="rId431" Type="http://schemas.openxmlformats.org/officeDocument/2006/relationships/hyperlink" Target="mailto:amp3840@mavs.uta.edu" TargetMode="External"/><Relationship Id="rId552" Type="http://schemas.openxmlformats.org/officeDocument/2006/relationships/hyperlink" Target="mailto:ssi4241@mavs.uta.edu" TargetMode="External"/><Relationship Id="rId430" Type="http://schemas.openxmlformats.org/officeDocument/2006/relationships/hyperlink" Target="mailto:kec4657@mavs.uta.edu" TargetMode="External"/><Relationship Id="rId551" Type="http://schemas.openxmlformats.org/officeDocument/2006/relationships/hyperlink" Target="mailto:mxd2925@mavs.uta.ed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mazon.com/hz/wishlist/ls/2EZFTAMOWMRFW?ref_=wl_share" TargetMode="External"/><Relationship Id="rId2" Type="http://schemas.openxmlformats.org/officeDocument/2006/relationships/hyperlink" Target="http://domain.com/" TargetMode="External"/><Relationship Id="rId3" Type="http://schemas.openxmlformats.org/officeDocument/2006/relationships/hyperlink" Target="http://catsofuta.org/" TargetMode="External"/><Relationship Id="rId4" Type="http://schemas.openxmlformats.org/officeDocument/2006/relationships/hyperlink" Target="https://www.facebook.com/catsofuta" TargetMode="External"/><Relationship Id="rId9" Type="http://schemas.openxmlformats.org/officeDocument/2006/relationships/hyperlink" Target="https://nodecraft.com/" TargetMode="External"/><Relationship Id="rId5" Type="http://schemas.openxmlformats.org/officeDocument/2006/relationships/hyperlink" Target="https://www.instagram.com/catsofuta/" TargetMode="External"/><Relationship Id="rId6" Type="http://schemas.openxmlformats.org/officeDocument/2006/relationships/hyperlink" Target="https://www.jotform.com/" TargetMode="External"/><Relationship Id="rId7" Type="http://schemas.openxmlformats.org/officeDocument/2006/relationships/hyperlink" Target="https://create.kahoot.it/auth/login" TargetMode="External"/><Relationship Id="rId8" Type="http://schemas.openxmlformats.org/officeDocument/2006/relationships/hyperlink" Target="http://linktr.ee/utacampuscats" TargetMode="External"/><Relationship Id="rId20" Type="http://schemas.openxmlformats.org/officeDocument/2006/relationships/hyperlink" Target="http://www.venmo.com/utacampuscats" TargetMode="External"/><Relationship Id="rId22" Type="http://schemas.openxmlformats.org/officeDocument/2006/relationships/hyperlink" Target="http://www.livetrap.com/" TargetMode="External"/><Relationship Id="rId21" Type="http://schemas.openxmlformats.org/officeDocument/2006/relationships/hyperlink" Target="http://www.texasregisteredagent.net" TargetMode="External"/><Relationship Id="rId24" Type="http://schemas.openxmlformats.org/officeDocument/2006/relationships/drawing" Target="../drawings/drawing3.xml"/><Relationship Id="rId23" Type="http://schemas.openxmlformats.org/officeDocument/2006/relationships/hyperlink" Target="https://listserv.uta.edu/scripts/wa.exe?A0=UTA-SITE-OWNERS" TargetMode="External"/><Relationship Id="rId11" Type="http://schemas.openxmlformats.org/officeDocument/2006/relationships/hyperlink" Target="https://paypal.me/utacampuscats" TargetMode="External"/><Relationship Id="rId10" Type="http://schemas.openxmlformats.org/officeDocument/2006/relationships/hyperlink" Target="http://notion.so/" TargetMode="External"/><Relationship Id="rId13" Type="http://schemas.openxmlformats.org/officeDocument/2006/relationships/hyperlink" Target="https://www.petfinder.com/" TargetMode="External"/><Relationship Id="rId12" Type="http://schemas.openxmlformats.org/officeDocument/2006/relationships/hyperlink" Target="http://petsuppliesplus.com/" TargetMode="External"/><Relationship Id="rId15" Type="http://schemas.openxmlformats.org/officeDocument/2006/relationships/hyperlink" Target="https://r-pal.ecwid.com/" TargetMode="External"/><Relationship Id="rId14" Type="http://schemas.openxmlformats.org/officeDocument/2006/relationships/hyperlink" Target="https://picsart.com/create" TargetMode="External"/><Relationship Id="rId17" Type="http://schemas.openxmlformats.org/officeDocument/2006/relationships/hyperlink" Target="http://stickermule.com/" TargetMode="External"/><Relationship Id="rId16" Type="http://schemas.openxmlformats.org/officeDocument/2006/relationships/hyperlink" Target="http://snapfish.com/" TargetMode="External"/><Relationship Id="rId19" Type="http://schemas.openxmlformats.org/officeDocument/2006/relationships/hyperlink" Target="https://twitter.com/utacampuscats" TargetMode="External"/><Relationship Id="rId18" Type="http://schemas.openxmlformats.org/officeDocument/2006/relationships/hyperlink" Target="http://tiktok.com/@catsofutarlingto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paypal.com/mep/dashboard" TargetMode="External"/><Relationship Id="rId2" Type="http://schemas.openxmlformats.org/officeDocument/2006/relationships/hyperlink" Target="https://cash.app/account/activity" TargetMode="External"/><Relationship Id="rId3" Type="http://schemas.openxmlformats.org/officeDocument/2006/relationships/hyperlink" Target="https://account.venmo.co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forms.gle/PUULraJSDojTqopZA"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forms.gle/voFMynmpscVyGskj8"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5"/>
    <col customWidth="1" min="2" max="2" width="13.88"/>
    <col customWidth="1" min="3" max="3" width="9.75"/>
    <col customWidth="1" min="4" max="9" width="7.5"/>
    <col customWidth="1" min="10" max="10" width="0.75"/>
    <col customWidth="1" min="11" max="11" width="17.88"/>
    <col customWidth="1" min="12" max="18" width="7.5"/>
    <col customWidth="1" min="19" max="19" width="1.88"/>
    <col customWidth="1" min="20" max="20" width="7.5"/>
    <col customWidth="1" min="21" max="21" width="22.0"/>
    <col customWidth="1" min="22" max="22" width="13.63"/>
  </cols>
  <sheetData>
    <row r="1" ht="24.0" customHeight="1">
      <c r="A1" s="1" t="s">
        <v>0</v>
      </c>
      <c r="B1" s="2"/>
      <c r="C1" s="3">
        <v>2025.0</v>
      </c>
      <c r="D1" s="4" t="s">
        <v>1</v>
      </c>
      <c r="E1" s="5"/>
      <c r="F1" s="5"/>
      <c r="G1" s="5"/>
      <c r="H1" s="6"/>
      <c r="I1" s="7"/>
      <c r="J1" s="8"/>
      <c r="K1" s="9"/>
      <c r="L1" s="10"/>
      <c r="M1" s="10"/>
      <c r="N1" s="10"/>
      <c r="O1" s="11"/>
      <c r="P1" s="10"/>
      <c r="Q1" s="10" t="s">
        <v>2</v>
      </c>
      <c r="R1" s="12" t="str">
        <f> $A$1&amp;" "&amp;$C$1</f>
        <v>Fall 2025</v>
      </c>
    </row>
    <row r="2" ht="69.0" customHeight="1">
      <c r="A2" s="13"/>
      <c r="B2" s="14" t="s">
        <v>3</v>
      </c>
      <c r="C2" s="15" t="str">
        <f>IF($A$1="Spring", "January", IF($A$1="Fall", "July", 0))</f>
        <v>July</v>
      </c>
      <c r="D2" s="15" t="str">
        <f>IF($A$1="Spring", "February", IF($A$1="Fall", "August", 0))</f>
        <v>August</v>
      </c>
      <c r="E2" s="15" t="str">
        <f>IF($A$1="Spring", "March", IF($A$1="Fall", "September", 0))</f>
        <v>September</v>
      </c>
      <c r="F2" s="15" t="str">
        <f>IF($A$1="Spring", "April", IF($A$1="Fall", "October", 0))</f>
        <v>October</v>
      </c>
      <c r="G2" s="16" t="str">
        <f>IF($A$1="Spring", "May", IF($A$1="Fall", "November", 0))</f>
        <v>November</v>
      </c>
      <c r="H2" s="17" t="str">
        <f>IF($A$1="Spring", "June", IF($A$1="Fall", "December", 0))</f>
        <v>December</v>
      </c>
      <c r="I2" s="18" t="str">
        <f>$A$1&amp;" Total"</f>
        <v>Fall Total</v>
      </c>
      <c r="J2" s="19"/>
      <c r="K2" s="20" t="s">
        <v>4</v>
      </c>
      <c r="L2" s="15" t="str">
        <f>IF($A$1="Spring", "January", IF($A$1="Fall", "July", 0))</f>
        <v>July</v>
      </c>
      <c r="M2" s="15" t="str">
        <f>IF($A$1="Spring", "February", IF($A$1="Fall", "August", 0))</f>
        <v>August</v>
      </c>
      <c r="N2" s="15" t="str">
        <f>IF($A$1="Spring", "March", IF($A$1="Fall", "September", 0))</f>
        <v>September</v>
      </c>
      <c r="O2" s="15" t="str">
        <f>IF($A$1="Spring", "April", IF($A$1="Fall", "October", 0))</f>
        <v>October</v>
      </c>
      <c r="P2" s="16" t="str">
        <f>IF($A$1="Spring", "May", IF($A$1="Fall", "November", 0))</f>
        <v>November</v>
      </c>
      <c r="Q2" s="17" t="str">
        <f>IF($A$1="Spring", "June", IF($A$1="Fall", "December", 0))</f>
        <v>December</v>
      </c>
      <c r="R2" s="21" t="str">
        <f>$A$1&amp;" Total"</f>
        <v>Fall Total</v>
      </c>
      <c r="S2" s="22"/>
      <c r="T2" s="23" t="s">
        <v>5</v>
      </c>
      <c r="U2" s="24" t="s">
        <v>6</v>
      </c>
    </row>
    <row r="3" ht="18.75" customHeight="1">
      <c r="A3" s="25" t="s">
        <v>7</v>
      </c>
      <c r="C3" s="26">
        <f t="shared" ref="C3:I3" si="1">C$4+C$10+C$17+C$24+C$31</f>
        <v>0</v>
      </c>
      <c r="D3" s="26">
        <f t="shared" si="1"/>
        <v>799.77</v>
      </c>
      <c r="E3" s="26">
        <f t="shared" si="1"/>
        <v>787.13</v>
      </c>
      <c r="F3" s="26">
        <f t="shared" si="1"/>
        <v>57.82</v>
      </c>
      <c r="G3" s="26">
        <f t="shared" si="1"/>
        <v>0</v>
      </c>
      <c r="H3" s="26">
        <f t="shared" si="1"/>
        <v>0</v>
      </c>
      <c r="I3" s="26">
        <f t="shared" si="1"/>
        <v>1644.72</v>
      </c>
      <c r="J3" s="27"/>
      <c r="K3" s="28" t="s">
        <v>8</v>
      </c>
      <c r="L3" s="29">
        <f t="shared" ref="L3:R3" si="2">C3-L4</f>
        <v>-329.31</v>
      </c>
      <c r="M3" s="29">
        <f t="shared" si="2"/>
        <v>522.71</v>
      </c>
      <c r="N3" s="29">
        <f t="shared" si="2"/>
        <v>100.1</v>
      </c>
      <c r="O3" s="29">
        <f t="shared" si="2"/>
        <v>-62.97</v>
      </c>
      <c r="P3" s="29">
        <f t="shared" si="2"/>
        <v>0</v>
      </c>
      <c r="Q3" s="29">
        <f t="shared" si="2"/>
        <v>0</v>
      </c>
      <c r="R3" s="29">
        <f t="shared" si="2"/>
        <v>230.53</v>
      </c>
      <c r="S3" s="30"/>
      <c r="T3" s="31" t="str">
        <f>"Income for "&amp;$A$1&amp;" of "&amp; $C$1&amp;":"</f>
        <v>Income for Fall of 2025:</v>
      </c>
      <c r="U3" s="32"/>
      <c r="V3" s="33">
        <f>SUM($I$4,$I$10,$I$17,$I$24,$I$31)</f>
        <v>1644.72</v>
      </c>
    </row>
    <row r="4" ht="18.75" customHeight="1">
      <c r="A4" s="34" t="s">
        <v>9</v>
      </c>
      <c r="B4" s="35" t="s">
        <v>10</v>
      </c>
      <c r="C4" s="36">
        <f t="shared" ref="C4:H4" si="3">sum(C$5:C$9)</f>
        <v>0</v>
      </c>
      <c r="D4" s="36">
        <f t="shared" si="3"/>
        <v>465</v>
      </c>
      <c r="E4" s="36">
        <f t="shared" si="3"/>
        <v>640</v>
      </c>
      <c r="F4" s="36">
        <f t="shared" si="3"/>
        <v>0</v>
      </c>
      <c r="G4" s="36">
        <f t="shared" si="3"/>
        <v>0</v>
      </c>
      <c r="H4" s="36">
        <f t="shared" si="3"/>
        <v>0</v>
      </c>
      <c r="I4" s="37">
        <f t="shared" ref="I4:I37" si="5">SUM(C4:H4)</f>
        <v>1105</v>
      </c>
      <c r="J4" s="38"/>
      <c r="K4" s="39" t="s">
        <v>10</v>
      </c>
      <c r="L4" s="40">
        <f t="shared" ref="L4:Q4" si="4">sum(L$5:L$10)</f>
        <v>329.31</v>
      </c>
      <c r="M4" s="40">
        <f t="shared" si="4"/>
        <v>277.06</v>
      </c>
      <c r="N4" s="40">
        <f t="shared" si="4"/>
        <v>687.03</v>
      </c>
      <c r="O4" s="40">
        <f t="shared" si="4"/>
        <v>120.79</v>
      </c>
      <c r="P4" s="40">
        <f t="shared" si="4"/>
        <v>0</v>
      </c>
      <c r="Q4" s="40">
        <f t="shared" si="4"/>
        <v>0</v>
      </c>
      <c r="R4" s="41">
        <f t="shared" ref="R4:R10" si="6">SUM(L4:Q4)</f>
        <v>1414.19</v>
      </c>
      <c r="S4" s="38"/>
      <c r="T4" s="42" t="str">
        <f>"Expenses for "&amp;$A$1&amp;" of "&amp; $C$1&amp;":"</f>
        <v>Expenses for Fall of 2025:</v>
      </c>
      <c r="U4" s="43"/>
      <c r="V4" s="44">
        <f>$R$4</f>
        <v>1414.19</v>
      </c>
    </row>
    <row r="5" ht="18.75" customHeight="1">
      <c r="A5" s="45"/>
      <c r="B5" s="46" t="s">
        <v>11</v>
      </c>
      <c r="C5" s="47">
        <f t="array" ref="C5">INDEX(IncomeCalcs!$K$2:$O$254,MATCH(DATEVALUE(MATCH(C$2,{"January","February","March","April","May","June","July","August","September","October","November","December"},0) &amp; "/1/" &amp;$C$1),IncomeCalcs!$J$2:$J37,0),MATCH($B5,IncomeCalcs!$K$2:$O$2,0))</f>
        <v>0</v>
      </c>
      <c r="D5" s="47">
        <f t="array" ref="D5">INDEX(IncomeCalcs!$K$2:$O$254,MATCH(DATEVALUE(MATCH(D$2,{"January","February","March","April","May","June","July","August","September","October","November","December"},0) &amp; "/1/" &amp;$C$1),IncomeCalcs!$J$2:$J37,0),MATCH($B5,IncomeCalcs!$K$2:$O$2,0))</f>
        <v>75</v>
      </c>
      <c r="E5" s="47">
        <f t="array" ref="E5">INDEX(IncomeCalcs!$K$2:$O$254,MATCH(DATEVALUE(MATCH(E$2,{"January","February","March","April","May","June","July","August","September","October","November","December"},0) &amp; "/1/" &amp;$C$1),IncomeCalcs!$J$2:$J37,0),MATCH($B5,IncomeCalcs!$K$2:$O$2,0))</f>
        <v>130</v>
      </c>
      <c r="F5" s="47">
        <f t="array" ref="F5">INDEX(IncomeCalcs!$K$2:$O$254,MATCH(DATEVALUE(MATCH(F$2,{"January","February","March","April","May","June","July","August","September","October","November","December"},0) &amp; "/1/" &amp;$C$1),IncomeCalcs!$J$2:$J37,0),MATCH($B5,IncomeCalcs!$K$2:$O$2,0))</f>
        <v>0</v>
      </c>
      <c r="G5" s="47">
        <f t="array" ref="G5">INDEX(IncomeCalcs!$K$2:$O$254,MATCH(DATEVALUE(MATCH(G$2,{"January","February","March","April","May","June","July","August","September","October","November","December"},0) &amp; "/1/" &amp;$C$1),IncomeCalcs!$J$2:$J37,0),MATCH($B5,IncomeCalcs!$K$2:$O$2,0))</f>
        <v>0</v>
      </c>
      <c r="H5" s="47">
        <f t="array" ref="H5">INDEX(IncomeCalcs!$K$2:$O$254,MATCH(DATEVALUE(MATCH(H$2,{"January","February","March","April","May","June","July","August","September","October","November","December"},0) &amp; "/1/" &amp;$C$1),IncomeCalcs!$J$2:$J37,0),MATCH($B5,IncomeCalcs!$K$2:$O$2,0))</f>
        <v>0</v>
      </c>
      <c r="I5" s="48">
        <f t="shared" si="5"/>
        <v>205</v>
      </c>
      <c r="J5" s="38"/>
      <c r="K5" s="49" t="s">
        <v>12</v>
      </c>
      <c r="L5" s="50">
        <f>SUMIFS(Expenses!$F$4:$F37,Expenses!$E$4:$E37,$K5,Expenses!$B$4:$B37,L$2,Expenses!$C$4:$C37,$C$1)</f>
        <v>0</v>
      </c>
      <c r="M5" s="50">
        <f>SUMIFS(Expenses!$F$4:$F37,Expenses!$E$4:$E37,$K5,Expenses!$B$4:$B37,M$2,Expenses!$C$4:$C37,$C$1)</f>
        <v>0</v>
      </c>
      <c r="N5" s="50">
        <f>SUMIFS(Expenses!$F$4:$F37,Expenses!$E$4:$E37,$K5,Expenses!$B$4:$B37,N$2,Expenses!$C$4:$C37,$C$1)</f>
        <v>414</v>
      </c>
      <c r="O5" s="50">
        <f>SUMIFS(Expenses!$F$4:$F37,Expenses!$E$4:$E37,$K5,Expenses!$B$4:$B37,O$2,Expenses!$C$4:$C37,$C$1)</f>
        <v>0</v>
      </c>
      <c r="P5" s="50">
        <f>SUMIFS(Expenses!$F$4:$F37,Expenses!$E$4:$E37,$K5,Expenses!$B$4:$B37,P$2,Expenses!$C$4:$C37,$C$1)</f>
        <v>0</v>
      </c>
      <c r="Q5" s="50">
        <f>SUMIFS(Expenses!$F$4:$F37,Expenses!$E$4:$E37,$K5,Expenses!$B$4:$B37,Q$2,Expenses!$C$4:$C37,$C$1)</f>
        <v>0</v>
      </c>
      <c r="R5" s="51">
        <f t="shared" si="6"/>
        <v>414</v>
      </c>
      <c r="S5" s="38"/>
      <c r="T5" s="52" t="str">
        <f>"Profit for "&amp;$A$1&amp;" of "&amp; $C$1&amp;":"</f>
        <v>Profit for Fall of 2025:</v>
      </c>
      <c r="U5" s="53"/>
      <c r="V5" s="54">
        <f>V3-V4</f>
        <v>230.53</v>
      </c>
    </row>
    <row r="6" ht="18.75" customHeight="1">
      <c r="A6" s="45"/>
      <c r="B6" s="46" t="s">
        <v>13</v>
      </c>
      <c r="C6" s="47">
        <f t="array" ref="C6">INDEX(IncomeCalcs!$K$2:$O$254,MATCH(DATEVALUE(MATCH(C$2,{"January","February","March","April","May","June","July","August","September","October","November","December"},0) &amp; "/1/" &amp;$C$1),IncomeCalcs!$J$2:$J37,0),MATCH($B6,IncomeCalcs!$K$2:$O$2,0))</f>
        <v>0</v>
      </c>
      <c r="D6" s="47">
        <f t="array" ref="D6">INDEX(IncomeCalcs!$K$2:$O$254,MATCH(DATEVALUE(MATCH(D$2,{"January","February","March","April","May","June","July","August","September","October","November","December"},0) &amp; "/1/" &amp;$C$1),IncomeCalcs!$J$2:$J37,0),MATCH($B6,IncomeCalcs!$K$2:$O$2,0))</f>
        <v>105</v>
      </c>
      <c r="E6" s="47">
        <f t="array" ref="E6">INDEX(IncomeCalcs!$K$2:$O$254,MATCH(DATEVALUE(MATCH(E$2,{"January","February","March","April","May","June","July","August","September","October","November","December"},0) &amp; "/1/" &amp;$C$1),IncomeCalcs!$J$2:$J37,0),MATCH($B6,IncomeCalcs!$K$2:$O$2,0))</f>
        <v>195</v>
      </c>
      <c r="F6" s="47">
        <f t="array" ref="F6">INDEX(IncomeCalcs!$K$2:$O$254,MATCH(DATEVALUE(MATCH(F$2,{"January","February","March","April","May","June","July","August","September","October","November","December"},0) &amp; "/1/" &amp;$C$1),IncomeCalcs!$J$2:$J37,0),MATCH($B6,IncomeCalcs!$K$2:$O$2,0))</f>
        <v>0</v>
      </c>
      <c r="G6" s="47">
        <f t="array" ref="G6">INDEX(IncomeCalcs!$K$2:$O$254,MATCH(DATEVALUE(MATCH(G$2,{"January","February","March","April","May","June","July","August","September","October","November","December"},0) &amp; "/1/" &amp;$C$1),IncomeCalcs!$J$2:$J37,0),MATCH($B6,IncomeCalcs!$K$2:$O$2,0))</f>
        <v>0</v>
      </c>
      <c r="H6" s="47">
        <f t="array" ref="H6">INDEX(IncomeCalcs!$K$2:$O$254,MATCH(DATEVALUE(MATCH(H$2,{"January","February","March","April","May","June","July","August","September","October","November","December"},0) &amp; "/1/" &amp;$C$1),IncomeCalcs!$J$2:$J37,0),MATCH($B6,IncomeCalcs!$K$2:$O$2,0))</f>
        <v>0</v>
      </c>
      <c r="I6" s="48">
        <f t="shared" si="5"/>
        <v>300</v>
      </c>
      <c r="J6" s="38"/>
      <c r="K6" s="46" t="s">
        <v>14</v>
      </c>
      <c r="L6" s="50">
        <f>SUMIFS(Expenses!$F$4:$F37,Expenses!$E$4:$E37,$K6,Expenses!$B$4:$B37,L$2,Expenses!$C$4:$C37,$C$1)</f>
        <v>74.92</v>
      </c>
      <c r="M6" s="50">
        <f>SUMIFS(Expenses!$F$4:$F37,Expenses!$E$4:$E37,$K6,Expenses!$B$4:$B37,M$2,Expenses!$C$4:$C37,$C$1)</f>
        <v>42.2</v>
      </c>
      <c r="N6" s="50">
        <f>SUMIFS(Expenses!$F$4:$F37,Expenses!$E$4:$E37,$K6,Expenses!$B$4:$B37,N$2,Expenses!$C$4:$C37,$C$1)</f>
        <v>43.28</v>
      </c>
      <c r="O6" s="50">
        <f>SUMIFS(Expenses!$F$4:$F37,Expenses!$E$4:$E37,$K6,Expenses!$B$4:$B37,O$2,Expenses!$C$4:$C37,$C$1)</f>
        <v>89.91</v>
      </c>
      <c r="P6" s="50">
        <f>SUMIFS(Expenses!$F$4:$F37,Expenses!$E$4:$E37,$K6,Expenses!$B$4:$B37,P$2,Expenses!$C$4:$C37,$C$1)</f>
        <v>0</v>
      </c>
      <c r="Q6" s="50">
        <f>SUMIFS(Expenses!$F$4:$F37,Expenses!$E$4:$E37,$K6,Expenses!$B$4:$B37,Q$2,Expenses!$C$4:$C37,$C$1)</f>
        <v>0</v>
      </c>
      <c r="R6" s="51">
        <f t="shared" si="6"/>
        <v>250.31</v>
      </c>
      <c r="S6" s="38"/>
      <c r="T6" s="55"/>
    </row>
    <row r="7" ht="18.75" customHeight="1">
      <c r="A7" s="45"/>
      <c r="B7" s="46" t="s">
        <v>15</v>
      </c>
      <c r="C7" s="47">
        <f t="array" ref="C7">INDEX(IncomeCalcs!$K$2:$O$254,MATCH(DATEVALUE(MATCH(C$2,{"January","February","March","April","May","June","July","August","September","October","November","December"},0) &amp; "/1/" &amp;$C$1),IncomeCalcs!$J$2:$J37,0),MATCH($B7,IncomeCalcs!$K$2:$O$2,0))</f>
        <v>0</v>
      </c>
      <c r="D7" s="47">
        <f t="array" ref="D7">INDEX(IncomeCalcs!$K$2:$O$254,MATCH(DATEVALUE(MATCH(D$2,{"January","February","March","April","May","June","July","August","September","October","November","December"},0) &amp; "/1/" &amp;$C$1),IncomeCalcs!$J$2:$J37,0),MATCH($B7,IncomeCalcs!$K$2:$O$2,0))</f>
        <v>180</v>
      </c>
      <c r="E7" s="47">
        <f t="array" ref="E7">INDEX(IncomeCalcs!$K$2:$O$254,MATCH(DATEVALUE(MATCH(E$2,{"January","February","March","April","May","June","July","August","September","October","November","December"},0) &amp; "/1/" &amp;$C$1),IncomeCalcs!$J$2:$J37,0),MATCH($B7,IncomeCalcs!$K$2:$O$2,0))</f>
        <v>60</v>
      </c>
      <c r="F7" s="47">
        <f t="array" ref="F7">INDEX(IncomeCalcs!$K$2:$O$254,MATCH(DATEVALUE(MATCH(F$2,{"January","February","March","April","May","June","July","August","September","October","November","December"},0) &amp; "/1/" &amp;$C$1),IncomeCalcs!$J$2:$J37,0),MATCH($B7,IncomeCalcs!$K$2:$O$2,0))</f>
        <v>0</v>
      </c>
      <c r="G7" s="47">
        <f t="array" ref="G7">INDEX(IncomeCalcs!$K$2:$O$254,MATCH(DATEVALUE(MATCH(G$2,{"January","February","March","April","May","June","July","August","September","October","November","December"},0) &amp; "/1/" &amp;$C$1),IncomeCalcs!$J$2:$J37,0),MATCH($B7,IncomeCalcs!$K$2:$O$2,0))</f>
        <v>0</v>
      </c>
      <c r="H7" s="47">
        <f t="array" ref="H7">INDEX(IncomeCalcs!$K$2:$O$254,MATCH(DATEVALUE(MATCH(H$2,{"January","February","March","April","May","June","July","August","September","October","November","December"},0) &amp; "/1/" &amp;$C$1),IncomeCalcs!$J$2:$J37,0),MATCH($B7,IncomeCalcs!$K$2:$O$2,0))</f>
        <v>0</v>
      </c>
      <c r="I7" s="48">
        <f t="shared" si="5"/>
        <v>240</v>
      </c>
      <c r="J7" s="38"/>
      <c r="K7" s="56" t="s">
        <v>16</v>
      </c>
      <c r="L7" s="50">
        <f>SUMIFS(Expenses!$F$4:$F37,Expenses!$E$4:$E37,$K7,Expenses!$B$4:$B37,L$2,Expenses!$C$4:$C37,$C$1)</f>
        <v>162</v>
      </c>
      <c r="M7" s="50">
        <f>SUMIFS(Expenses!$F$4:$F37,Expenses!$E$4:$E37,$K7,Expenses!$B$4:$B37,M$2,Expenses!$C$4:$C37,$C$1)</f>
        <v>54</v>
      </c>
      <c r="N7" s="50">
        <f>SUMIFS(Expenses!$F$4:$F37,Expenses!$E$4:$E37,$K7,Expenses!$B$4:$B37,N$2,Expenses!$C$4:$C37,$C$1)</f>
        <v>54</v>
      </c>
      <c r="O7" s="50">
        <f>SUMIFS(Expenses!$F$4:$F37,Expenses!$E$4:$E37,$K7,Expenses!$B$4:$B37,O$2,Expenses!$C$4:$C37,$C$1)</f>
        <v>0</v>
      </c>
      <c r="P7" s="50">
        <f>SUMIFS(Expenses!$F$4:$F37,Expenses!$E$4:$E37,$K7,Expenses!$B$4:$B37,P$2,Expenses!$C$4:$C37,$C$1)</f>
        <v>0</v>
      </c>
      <c r="Q7" s="50">
        <f>SUMIFS(Expenses!$F$4:$F37,Expenses!$E$4:$E37,$K7,Expenses!$B$4:$B37,Q$2,Expenses!$C$4:$C37,$C$1)</f>
        <v>0</v>
      </c>
      <c r="R7" s="51">
        <f t="shared" si="6"/>
        <v>270</v>
      </c>
      <c r="S7" s="38"/>
    </row>
    <row r="8" ht="18.75" customHeight="1">
      <c r="A8" s="45"/>
      <c r="B8" s="57" t="s">
        <v>17</v>
      </c>
      <c r="C8" s="47">
        <f t="array" ref="C8">INDEX(IncomeCalcs!$K$2:$O$254,MATCH(DATEVALUE(MATCH(C$2,{"January","February","March","April","May","June","July","August","September","October","November","December"},0) &amp; "/1/" &amp;$C$1),IncomeCalcs!$J$2:$J37,0),MATCH($B8,IncomeCalcs!$K$2:$O$2,0))</f>
        <v>0</v>
      </c>
      <c r="D8" s="47">
        <f t="array" ref="D8">INDEX(IncomeCalcs!$K$2:$O$254,MATCH(DATEVALUE(MATCH(D$2,{"January","February","March","April","May","June","July","August","September","October","November","December"},0) &amp; "/1/" &amp;$C$1),IncomeCalcs!$J$2:$J37,0),MATCH($B8,IncomeCalcs!$K$2:$O$2,0))</f>
        <v>105</v>
      </c>
      <c r="E8" s="47">
        <f t="array" ref="E8">INDEX(IncomeCalcs!$K$2:$O$254,MATCH(DATEVALUE(MATCH(E$2,{"January","February","March","April","May","June","July","August","September","October","November","December"},0) &amp; "/1/" &amp;$C$1),IncomeCalcs!$J$2:$J37,0),MATCH($B8,IncomeCalcs!$K$2:$O$2,0))</f>
        <v>255</v>
      </c>
      <c r="F8" s="47">
        <f t="array" ref="F8">INDEX(IncomeCalcs!$K$2:$O$254,MATCH(DATEVALUE(MATCH(F$2,{"January","February","March","April","May","June","July","August","September","October","November","December"},0) &amp; "/1/" &amp;$C$1),IncomeCalcs!$J$2:$J37,0),MATCH($B8,IncomeCalcs!$K$2:$O$2,0))</f>
        <v>0</v>
      </c>
      <c r="G8" s="47">
        <f t="array" ref="G8">INDEX(IncomeCalcs!$K$2:$O$254,MATCH(DATEVALUE(MATCH(G$2,{"January","February","March","April","May","June","July","August","September","October","November","December"},0) &amp; "/1/" &amp;$C$1),IncomeCalcs!$J$2:$J37,0),MATCH($B8,IncomeCalcs!$K$2:$O$2,0))</f>
        <v>0</v>
      </c>
      <c r="H8" s="47">
        <f t="array" ref="H8">INDEX(IncomeCalcs!$K$2:$O$254,MATCH(DATEVALUE(MATCH(H$2,{"January","February","March","April","May","June","July","August","September","October","November","December"},0) &amp; "/1/" &amp;$C$1),IncomeCalcs!$J$2:$J37,0),MATCH($B8,IncomeCalcs!$K$2:$O$2,0))</f>
        <v>0</v>
      </c>
      <c r="I8" s="48">
        <f t="shared" si="5"/>
        <v>360</v>
      </c>
      <c r="J8" s="38"/>
      <c r="K8" s="56" t="s">
        <v>18</v>
      </c>
      <c r="L8" s="50">
        <f>SUMIFS(Expenses!$F$4:$F37,Expenses!$E$4:$E37,$K8,Expenses!$B$4:$B37,L$2,Expenses!$C$4:$C37,$C$1)</f>
        <v>51.96</v>
      </c>
      <c r="M8" s="50">
        <f>SUMIFS(Expenses!$F$4:$F37,Expenses!$E$4:$E37,$K8,Expenses!$B$4:$B37,M$2,Expenses!$C$4:$C37,$C$1)</f>
        <v>74.8</v>
      </c>
      <c r="N8" s="50">
        <f>SUMIFS(Expenses!$F$4:$F37,Expenses!$E$4:$E37,$K8,Expenses!$B$4:$B37,N$2,Expenses!$C$4:$C37,$C$1)</f>
        <v>25.98</v>
      </c>
      <c r="O8" s="50">
        <f>SUMIFS(Expenses!$F$4:$F37,Expenses!$E$4:$E37,$K8,Expenses!$B$4:$B37,O$2,Expenses!$C$4:$C37,$C$1)</f>
        <v>0</v>
      </c>
      <c r="P8" s="50">
        <f>SUMIFS(Expenses!$F$4:$F37,Expenses!$E$4:$E37,$K8,Expenses!$B$4:$B37,P$2,Expenses!$C$4:$C37,$C$1)</f>
        <v>0</v>
      </c>
      <c r="Q8" s="50">
        <f>SUMIFS(Expenses!$F$4:$F37,Expenses!$E$4:$E37,$K8,Expenses!$B$4:$B37,Q$2,Expenses!$C$4:$C37,$C$1)</f>
        <v>0</v>
      </c>
      <c r="R8" s="51">
        <f t="shared" si="6"/>
        <v>152.74</v>
      </c>
      <c r="S8" s="38"/>
    </row>
    <row r="9" ht="18.75" customHeight="1">
      <c r="A9" s="58"/>
      <c r="B9" s="59" t="s">
        <v>19</v>
      </c>
      <c r="C9" s="47">
        <f t="array" ref="C9">INDEX(IncomeCalcs!$K$2:$O$254,MATCH(DATEVALUE(MATCH(C$2,{"January","February","March","April","May","June","July","August","September","October","November","December"},0) &amp; "/1/" &amp;$C$1),IncomeCalcs!$J$2:$J37,0),MATCH($B9,IncomeCalcs!$K$2:$O$2,0))</f>
        <v>0</v>
      </c>
      <c r="D9" s="47">
        <f t="array" ref="D9">INDEX(IncomeCalcs!$K$2:$O$254,MATCH(DATEVALUE(MATCH(D$2,{"January","February","March","April","May","June","July","August","September","October","November","December"},0) &amp; "/1/" &amp;$C$1),IncomeCalcs!$J$2:$J37,0),MATCH($B9,IncomeCalcs!$K$2:$O$2,0))</f>
        <v>0</v>
      </c>
      <c r="E9" s="47">
        <f t="array" ref="E9">INDEX(IncomeCalcs!$K$2:$O$254,MATCH(DATEVALUE(MATCH(E$2,{"January","February","March","April","May","June","July","August","September","October","November","December"},0) &amp; "/1/" &amp;$C$1),IncomeCalcs!$J$2:$J37,0),MATCH($B9,IncomeCalcs!$K$2:$O$2,0))</f>
        <v>0</v>
      </c>
      <c r="F9" s="47">
        <f t="array" ref="F9">INDEX(IncomeCalcs!$K$2:$O$254,MATCH(DATEVALUE(MATCH(F$2,{"January","February","March","April","May","June","July","August","September","October","November","December"},0) &amp; "/1/" &amp;$C$1),IncomeCalcs!$J$2:$J37,0),MATCH($B9,IncomeCalcs!$K$2:$O$2,0))</f>
        <v>0</v>
      </c>
      <c r="G9" s="47">
        <f t="array" ref="G9">INDEX(IncomeCalcs!$K$2:$O$254,MATCH(DATEVALUE(MATCH(G$2,{"January","February","March","April","May","June","July","August","September","October","November","December"},0) &amp; "/1/" &amp;$C$1),IncomeCalcs!$J$2:$J37,0),MATCH($B9,IncomeCalcs!$K$2:$O$2,0))</f>
        <v>0</v>
      </c>
      <c r="H9" s="47">
        <f t="array" ref="H9">INDEX(IncomeCalcs!$K$2:$O$254,MATCH(DATEVALUE(MATCH(H$2,{"January","February","March","April","May","June","July","August","September","October","November","December"},0) &amp; "/1/" &amp;$C$1),IncomeCalcs!$J$2:$J37,0),MATCH($B9,IncomeCalcs!$K$2:$O$2,0))</f>
        <v>0</v>
      </c>
      <c r="I9" s="60">
        <f t="shared" si="5"/>
        <v>0</v>
      </c>
      <c r="J9" s="38"/>
      <c r="K9" s="46" t="s">
        <v>20</v>
      </c>
      <c r="L9" s="50">
        <f>SUMIFS(Expenses!$F$4:$F37,Expenses!$E$4:$E37,$K9,Expenses!$B$4:$B37,L$2,Expenses!$C$4:$C37,$C$1)</f>
        <v>0</v>
      </c>
      <c r="M9" s="50">
        <f>SUMIFS(Expenses!$F$4:$F37,Expenses!$E$4:$E37,$K9,Expenses!$B$4:$B37,M$2,Expenses!$C$4:$C37,$C$1)</f>
        <v>58.44</v>
      </c>
      <c r="N9" s="50">
        <f>SUMIFS(Expenses!$F$4:$F37,Expenses!$E$4:$E37,$K9,Expenses!$B$4:$B37,N$2,Expenses!$C$4:$C37,$C$1)</f>
        <v>142.25</v>
      </c>
      <c r="O9" s="50">
        <f>SUMIFS(Expenses!$F$4:$F37,Expenses!$E$4:$E37,$K9,Expenses!$B$4:$B37,O$2,Expenses!$C$4:$C37,$C$1)</f>
        <v>0</v>
      </c>
      <c r="P9" s="50">
        <f>SUMIFS(Expenses!$F$4:$F37,Expenses!$E$4:$E37,$K9,Expenses!$B$4:$B37,P$2,Expenses!$C$4:$C37,$C$1)</f>
        <v>0</v>
      </c>
      <c r="Q9" s="50">
        <f>SUMIFS(Expenses!$F$4:$F37,Expenses!$E$4:$E37,$K9,Expenses!$B$4:$B37,Q$2,Expenses!$C$4:$C37,$C$1)</f>
        <v>0</v>
      </c>
      <c r="R9" s="51">
        <f t="shared" si="6"/>
        <v>200.69</v>
      </c>
      <c r="S9" s="38"/>
    </row>
    <row r="10" ht="18.75" customHeight="1">
      <c r="A10" s="61" t="s">
        <v>21</v>
      </c>
      <c r="B10" s="62" t="s">
        <v>10</v>
      </c>
      <c r="C10" s="63">
        <f t="shared" ref="C10:H10" si="7">sum(C$11:C$16)</f>
        <v>0</v>
      </c>
      <c r="D10" s="63">
        <f t="shared" si="7"/>
        <v>258</v>
      </c>
      <c r="E10" s="63">
        <f t="shared" si="7"/>
        <v>106</v>
      </c>
      <c r="F10" s="63">
        <f t="shared" si="7"/>
        <v>0</v>
      </c>
      <c r="G10" s="63">
        <f t="shared" si="7"/>
        <v>0</v>
      </c>
      <c r="H10" s="63">
        <f t="shared" si="7"/>
        <v>0</v>
      </c>
      <c r="I10" s="37">
        <f t="shared" si="5"/>
        <v>364</v>
      </c>
      <c r="J10" s="38"/>
      <c r="K10" s="64" t="s">
        <v>22</v>
      </c>
      <c r="L10" s="65">
        <f>SUMIFS(Expenses!$F$4:$F37,Expenses!$E$4:$E37,$K10,Expenses!$B$4:$B37,L$2,Expenses!$C$4:$C37,$C$1)</f>
        <v>40.43</v>
      </c>
      <c r="M10" s="65">
        <f>SUMIFS(Expenses!$F$4:$F37,Expenses!$E$4:$E37,$K10,Expenses!$B$4:$B37,M$2,Expenses!$C$4:$C37,$C$1)</f>
        <v>47.62</v>
      </c>
      <c r="N10" s="65">
        <f>SUMIFS(Expenses!$F$4:$F37,Expenses!$E$4:$E37,$K10,Expenses!$B$4:$B37,N$2,Expenses!$C$4:$C37,$C$1)</f>
        <v>7.52</v>
      </c>
      <c r="O10" s="65">
        <f>SUMIFS(Expenses!$F$4:$F37,Expenses!$E$4:$E37,$K10,Expenses!$B$4:$B37,O$2,Expenses!$C$4:$C37,$C$1)</f>
        <v>30.88</v>
      </c>
      <c r="P10" s="65">
        <f>SUMIFS(Expenses!$F$4:$F37,Expenses!$E$4:$E37,$K10,Expenses!$B$4:$B37,P$2,Expenses!$C$4:$C37,$C$1)</f>
        <v>0</v>
      </c>
      <c r="Q10" s="65">
        <f>SUMIFS(Expenses!$F$4:$F37,Expenses!$E$4:$E37,$K10,Expenses!$B$4:$B37,Q$2,Expenses!$C$4:$C37,$C$1)</f>
        <v>0</v>
      </c>
      <c r="R10" s="66">
        <f t="shared" si="6"/>
        <v>126.45</v>
      </c>
      <c r="S10" s="38"/>
    </row>
    <row r="11" ht="18.75" customHeight="1">
      <c r="A11" s="45"/>
      <c r="B11" s="46" t="s">
        <v>11</v>
      </c>
      <c r="C11" s="47">
        <f t="array" ref="C11">INDEX(IncomeCalcs!$X$2:$AC$254,MATCH(DATEVALUE(MATCH(C$2,{"January","February","March","April","May","June","July","August","September","October","November","December"},0) &amp; "/1/" &amp;$C$1),IncomeCalcs!$W$2:$W37,0),MATCH($B11,IncomeCalcs!$X$2:$AC$2,0))</f>
        <v>0</v>
      </c>
      <c r="D11" s="47">
        <f t="array" ref="D11">INDEX(IncomeCalcs!$X$2:$AC$254,MATCH(DATEVALUE(MATCH(D$2,{"January","February","March","April","May","June","July","August","September","October","November","December"},0) &amp; "/1/" &amp;$C$1),IncomeCalcs!$W$2:$W37,0),MATCH($B11,IncomeCalcs!$X$2:$AC$2,0))</f>
        <v>10</v>
      </c>
      <c r="E11" s="47">
        <f t="array" ref="E11">INDEX(IncomeCalcs!$X$2:$AC$254,MATCH(DATEVALUE(MATCH(E$2,{"January","February","March","April","May","June","July","August","September","October","November","December"},0) &amp; "/1/" &amp;$C$1),IncomeCalcs!$W$2:$W37,0),MATCH($B11,IncomeCalcs!$X$2:$AC$2,0))</f>
        <v>0</v>
      </c>
      <c r="F11" s="47">
        <f t="array" ref="F11">INDEX(IncomeCalcs!$X$2:$AC$254,MATCH(DATEVALUE(MATCH(F$2,{"January","February","March","April","May","June","July","August","September","October","November","December"},0) &amp; "/1/" &amp;$C$1),IncomeCalcs!$W$2:$W37,0),MATCH($B11,IncomeCalcs!$X$2:$AC$2,0))</f>
        <v>0</v>
      </c>
      <c r="G11" s="47">
        <f t="array" ref="G11">INDEX(IncomeCalcs!$X$2:$AC$254,MATCH(DATEVALUE(MATCH(G$2,{"January","February","March","April","May","June","July","August","September","October","November","December"},0) &amp; "/1/" &amp;$C$1),IncomeCalcs!$W$2:$W37,0),MATCH($B11,IncomeCalcs!$X$2:$AC$2,0))</f>
        <v>0</v>
      </c>
      <c r="H11" s="47">
        <f t="array" ref="H11">INDEX(IncomeCalcs!$X$2:$AC$254,MATCH(DATEVALUE(MATCH(H$2,{"January","February","March","April","May","June","July","August","September","October","November","December"},0) &amp; "/1/" &amp;$C$1),IncomeCalcs!$W$2:$W37,0),MATCH($B11,IncomeCalcs!$X$2:$AC$2,0))</f>
        <v>0</v>
      </c>
      <c r="I11" s="48">
        <f t="shared" si="5"/>
        <v>10</v>
      </c>
      <c r="J11" s="38"/>
      <c r="K11" s="67"/>
      <c r="S11" s="38"/>
    </row>
    <row r="12" ht="18.75" customHeight="1">
      <c r="A12" s="45"/>
      <c r="B12" s="46" t="s">
        <v>13</v>
      </c>
      <c r="C12" s="47">
        <f t="array" ref="C12">INDEX(IncomeCalcs!$X$2:$AC$254,MATCH(DATEVALUE(MATCH(C$2,{"January","February","March","April","May","June","July","August","September","October","November","December"},0) &amp; "/1/" &amp;$C$1),IncomeCalcs!$W$2:$W37,0),MATCH($B12,IncomeCalcs!$X$2:$AC$2,0))</f>
        <v>0</v>
      </c>
      <c r="D12" s="47">
        <f t="array" ref="D12">INDEX(IncomeCalcs!$X$2:$AC$254,MATCH(DATEVALUE(MATCH(D$2,{"January","February","March","April","May","June","July","August","September","October","November","December"},0) &amp; "/1/" &amp;$C$1),IncomeCalcs!$W$2:$W37,0),MATCH($B12,IncomeCalcs!$X$2:$AC$2,0))</f>
        <v>53</v>
      </c>
      <c r="E12" s="47">
        <f t="array" ref="E12">INDEX(IncomeCalcs!$X$2:$AC$254,MATCH(DATEVALUE(MATCH(E$2,{"January","February","March","April","May","June","July","August","September","October","November","December"},0) &amp; "/1/" &amp;$C$1),IncomeCalcs!$W$2:$W37,0),MATCH($B12,IncomeCalcs!$X$2:$AC$2,0))</f>
        <v>75</v>
      </c>
      <c r="F12" s="47">
        <f t="array" ref="F12">INDEX(IncomeCalcs!$X$2:$AC$254,MATCH(DATEVALUE(MATCH(F$2,{"January","February","March","April","May","June","July","August","September","October","November","December"},0) &amp; "/1/" &amp;$C$1),IncomeCalcs!$W$2:$W37,0),MATCH($B12,IncomeCalcs!$X$2:$AC$2,0))</f>
        <v>0</v>
      </c>
      <c r="G12" s="47">
        <f t="array" ref="G12">INDEX(IncomeCalcs!$X$2:$AC$254,MATCH(DATEVALUE(MATCH(G$2,{"January","February","March","April","May","June","July","August","September","October","November","December"},0) &amp; "/1/" &amp;$C$1),IncomeCalcs!$W$2:$W37,0),MATCH($B12,IncomeCalcs!$X$2:$AC$2,0))</f>
        <v>0</v>
      </c>
      <c r="H12" s="47">
        <f t="array" ref="H12">INDEX(IncomeCalcs!$X$2:$AC$254,MATCH(DATEVALUE(MATCH(H$2,{"January","February","March","April","May","June","July","August","September","October","November","December"},0) &amp; "/1/" &amp;$C$1),IncomeCalcs!$W$2:$W37,0),MATCH($B12,IncomeCalcs!$X$2:$AC$2,0))</f>
        <v>0</v>
      </c>
      <c r="I12" s="48">
        <f t="shared" si="5"/>
        <v>128</v>
      </c>
      <c r="J12" s="38"/>
      <c r="S12" s="38"/>
    </row>
    <row r="13" ht="18.75" customHeight="1">
      <c r="A13" s="45"/>
      <c r="B13" s="46" t="s">
        <v>15</v>
      </c>
      <c r="C13" s="47">
        <f t="array" ref="C13">INDEX(IncomeCalcs!$X$2:$AC$254,MATCH(DATEVALUE(MATCH(C$2,{"January","February","March","April","May","June","July","August","September","October","November","December"},0) &amp; "/1/" &amp;$C$1),IncomeCalcs!$W$2:$W37,0),MATCH($B13,IncomeCalcs!$X$2:$AC$2,0))</f>
        <v>0</v>
      </c>
      <c r="D13" s="47">
        <f t="array" ref="D13">INDEX(IncomeCalcs!$X$2:$AC$254,MATCH(DATEVALUE(MATCH(D$2,{"January","February","March","April","May","June","July","August","September","October","November","December"},0) &amp; "/1/" &amp;$C$1),IncomeCalcs!$W$2:$W37,0),MATCH($B13,IncomeCalcs!$X$2:$AC$2,0))</f>
        <v>195</v>
      </c>
      <c r="E13" s="47">
        <f t="array" ref="E13">INDEX(IncomeCalcs!$X$2:$AC$254,MATCH(DATEVALUE(MATCH(E$2,{"January","February","March","April","May","June","July","August","September","October","November","December"},0) &amp; "/1/" &amp;$C$1),IncomeCalcs!$W$2:$W37,0),MATCH($B13,IncomeCalcs!$X$2:$AC$2,0))</f>
        <v>31</v>
      </c>
      <c r="F13" s="47">
        <f t="array" ref="F13">INDEX(IncomeCalcs!$X$2:$AC$254,MATCH(DATEVALUE(MATCH(F$2,{"January","February","March","April","May","June","July","August","September","October","November","December"},0) &amp; "/1/" &amp;$C$1),IncomeCalcs!$W$2:$W37,0),MATCH($B13,IncomeCalcs!$X$2:$AC$2,0))</f>
        <v>0</v>
      </c>
      <c r="G13" s="47">
        <f t="array" ref="G13">INDEX(IncomeCalcs!$X$2:$AC$254,MATCH(DATEVALUE(MATCH(G$2,{"January","February","March","April","May","June","July","August","September","October","November","December"},0) &amp; "/1/" &amp;$C$1),IncomeCalcs!$W$2:$W37,0),MATCH($B13,IncomeCalcs!$X$2:$AC$2,0))</f>
        <v>0</v>
      </c>
      <c r="H13" s="47">
        <f t="array" ref="H13">INDEX(IncomeCalcs!$X$2:$AC$254,MATCH(DATEVALUE(MATCH(H$2,{"January","February","March","April","May","June","July","August","September","October","November","December"},0) &amp; "/1/" &amp;$C$1),IncomeCalcs!$W$2:$W37,0),MATCH($B13,IncomeCalcs!$X$2:$AC$2,0))</f>
        <v>0</v>
      </c>
      <c r="I13" s="48">
        <f t="shared" si="5"/>
        <v>226</v>
      </c>
      <c r="J13" s="38"/>
      <c r="S13" s="38"/>
    </row>
    <row r="14" ht="18.75" customHeight="1">
      <c r="A14" s="45"/>
      <c r="B14" s="57" t="s">
        <v>17</v>
      </c>
      <c r="C14" s="47">
        <f t="array" ref="C14">INDEX(IncomeCalcs!$X$2:$AC$254,MATCH(DATEVALUE(MATCH(C$2,{"January","February","March","April","May","June","July","August","September","October","November","December"},0) &amp; "/1/" &amp;$C$1),IncomeCalcs!$W$2:$W37,0),MATCH($B14,IncomeCalcs!$X$2:$AC$2,0))</f>
        <v>0</v>
      </c>
      <c r="D14" s="47">
        <f t="array" ref="D14">INDEX(IncomeCalcs!$X$2:$AC$254,MATCH(DATEVALUE(MATCH(D$2,{"January","February","March","April","May","June","July","August","September","October","November","December"},0) &amp; "/1/" &amp;$C$1),IncomeCalcs!$W$2:$W37,0),MATCH($B14,IncomeCalcs!$X$2:$AC$2,0))</f>
        <v>0</v>
      </c>
      <c r="E14" s="47">
        <f t="array" ref="E14">INDEX(IncomeCalcs!$X$2:$AC$254,MATCH(DATEVALUE(MATCH(E$2,{"January","February","March","April","May","June","July","August","September","October","November","December"},0) &amp; "/1/" &amp;$C$1),IncomeCalcs!$W$2:$W37,0),MATCH($B14,IncomeCalcs!$X$2:$AC$2,0))</f>
        <v>0</v>
      </c>
      <c r="F14" s="47">
        <f t="array" ref="F14">INDEX(IncomeCalcs!$X$2:$AC$254,MATCH(DATEVALUE(MATCH(F$2,{"January","February","March","April","May","June","July","August","September","October","November","December"},0) &amp; "/1/" &amp;$C$1),IncomeCalcs!$W$2:$W37,0),MATCH($B14,IncomeCalcs!$X$2:$AC$2,0))</f>
        <v>0</v>
      </c>
      <c r="G14" s="47">
        <f t="array" ref="G14">INDEX(IncomeCalcs!$X$2:$AC$254,MATCH(DATEVALUE(MATCH(G$2,{"January","February","March","April","May","June","July","August","September","October","November","December"},0) &amp; "/1/" &amp;$C$1),IncomeCalcs!$W$2:$W37,0),MATCH($B14,IncomeCalcs!$X$2:$AC$2,0))</f>
        <v>0</v>
      </c>
      <c r="H14" s="47">
        <f t="array" ref="H14">INDEX(IncomeCalcs!$X$2:$AC$254,MATCH(DATEVALUE(MATCH(H$2,{"January","February","March","April","May","June","July","August","September","October","November","December"},0) &amp; "/1/" &amp;$C$1),IncomeCalcs!$W$2:$W37,0),MATCH($B14,IncomeCalcs!$X$2:$AC$2,0))</f>
        <v>0</v>
      </c>
      <c r="I14" s="48">
        <f t="shared" si="5"/>
        <v>0</v>
      </c>
      <c r="J14" s="38"/>
      <c r="S14" s="38"/>
    </row>
    <row r="15" ht="18.75" customHeight="1">
      <c r="A15" s="45"/>
      <c r="B15" s="46" t="s">
        <v>19</v>
      </c>
      <c r="C15" s="47">
        <f t="array" ref="C15">INDEX(IncomeCalcs!$X$2:$AC$254,MATCH(DATEVALUE(MATCH(C$2,{"January","February","March","April","May","June","July","August","September","October","November","December"},0) &amp; "/1/" &amp;$C$1),IncomeCalcs!$W$2:$W37,0),MATCH($B15,IncomeCalcs!$X$2:$AC$2,0))</f>
        <v>0</v>
      </c>
      <c r="D15" s="47">
        <f t="array" ref="D15">INDEX(IncomeCalcs!$X$2:$AC$254,MATCH(DATEVALUE(MATCH(D$2,{"January","February","March","April","May","June","July","August","September","October","November","December"},0) &amp; "/1/" &amp;$C$1),IncomeCalcs!$W$2:$W37,0),MATCH($B15,IncomeCalcs!$X$2:$AC$2,0))</f>
        <v>0</v>
      </c>
      <c r="E15" s="47">
        <f t="array" ref="E15">INDEX(IncomeCalcs!$X$2:$AC$254,MATCH(DATEVALUE(MATCH(E$2,{"January","February","March","April","May","June","July","August","September","October","November","December"},0) &amp; "/1/" &amp;$C$1),IncomeCalcs!$W$2:$W37,0),MATCH($B15,IncomeCalcs!$X$2:$AC$2,0))</f>
        <v>0</v>
      </c>
      <c r="F15" s="47">
        <f t="array" ref="F15">INDEX(IncomeCalcs!$X$2:$AC$254,MATCH(DATEVALUE(MATCH(F$2,{"January","February","March","April","May","June","July","August","September","October","November","December"},0) &amp; "/1/" &amp;$C$1),IncomeCalcs!$W$2:$W37,0),MATCH($B15,IncomeCalcs!$X$2:$AC$2,0))</f>
        <v>0</v>
      </c>
      <c r="G15" s="47">
        <f t="array" ref="G15">INDEX(IncomeCalcs!$X$2:$AC$254,MATCH(DATEVALUE(MATCH(G$2,{"January","February","March","April","May","June","July","August","September","October","November","December"},0) &amp; "/1/" &amp;$C$1),IncomeCalcs!$W$2:$W37,0),MATCH($B15,IncomeCalcs!$X$2:$AC$2,0))</f>
        <v>0</v>
      </c>
      <c r="H15" s="47">
        <f t="array" ref="H15">INDEX(IncomeCalcs!$X$2:$AC$254,MATCH(DATEVALUE(MATCH(H$2,{"January","February","March","April","May","June","July","August","September","October","November","December"},0) &amp; "/1/" &amp;$C$1),IncomeCalcs!$W$2:$W37,0),MATCH($B15,IncomeCalcs!$X$2:$AC$2,0))</f>
        <v>0</v>
      </c>
      <c r="I15" s="48">
        <f t="shared" si="5"/>
        <v>0</v>
      </c>
      <c r="J15" s="38"/>
      <c r="S15" s="38"/>
    </row>
    <row r="16" ht="18.75" customHeight="1">
      <c r="A16" s="58"/>
      <c r="B16" s="68" t="s">
        <v>23</v>
      </c>
      <c r="C16" s="47">
        <f t="array" ref="C16">INDEX(IncomeCalcs!$X$2:$AC$254,MATCH(DATEVALUE(MATCH(C$2,{"January","February","March","April","May","June","July","August","September","October","November","December"},0) &amp; "/1/" &amp;$C$1),IncomeCalcs!$W$2:$W37,0),MATCH($B16,IncomeCalcs!$X$2:$AC$2,0))</f>
        <v>0</v>
      </c>
      <c r="D16" s="47">
        <f t="array" ref="D16">INDEX(IncomeCalcs!$X$2:$AC$254,MATCH(DATEVALUE(MATCH(D$2,{"January","February","March","April","May","June","July","August","September","October","November","December"},0) &amp; "/1/" &amp;$C$1),IncomeCalcs!$W$2:$W37,0),MATCH($B16,IncomeCalcs!$X$2:$AC$2,0))</f>
        <v>0</v>
      </c>
      <c r="E16" s="47">
        <f t="array" ref="E16">INDEX(IncomeCalcs!$X$2:$AC$254,MATCH(DATEVALUE(MATCH(E$2,{"January","February","March","April","May","June","July","August","September","October","November","December"},0) &amp; "/1/" &amp;$C$1),IncomeCalcs!$W$2:$W37,0),MATCH($B16,IncomeCalcs!$X$2:$AC$2,0))</f>
        <v>0</v>
      </c>
      <c r="F16" s="47">
        <f t="array" ref="F16">INDEX(IncomeCalcs!$X$2:$AC$254,MATCH(DATEVALUE(MATCH(F$2,{"January","February","March","April","May","June","July","August","September","October","November","December"},0) &amp; "/1/" &amp;$C$1),IncomeCalcs!$W$2:$W37,0),MATCH($B16,IncomeCalcs!$X$2:$AC$2,0))</f>
        <v>0</v>
      </c>
      <c r="G16" s="47">
        <f t="array" ref="G16">INDEX(IncomeCalcs!$X$2:$AC$254,MATCH(DATEVALUE(MATCH(G$2,{"January","February","March","April","May","June","July","August","September","October","November","December"},0) &amp; "/1/" &amp;$C$1),IncomeCalcs!$W$2:$W37,0),MATCH($B16,IncomeCalcs!$X$2:$AC$2,0))</f>
        <v>0</v>
      </c>
      <c r="H16" s="47">
        <f t="array" ref="H16">INDEX(IncomeCalcs!$X$2:$AC$254,MATCH(DATEVALUE(MATCH(H$2,{"January","February","March","April","May","June","July","August","September","October","November","December"},0) &amp; "/1/" &amp;$C$1),IncomeCalcs!$W$2:$W37,0),MATCH($B16,IncomeCalcs!$X$2:$AC$2,0))</f>
        <v>0</v>
      </c>
      <c r="I16" s="48">
        <f t="shared" si="5"/>
        <v>0</v>
      </c>
      <c r="J16" s="38"/>
      <c r="S16" s="38"/>
    </row>
    <row r="17" ht="18.75" customHeight="1">
      <c r="A17" s="61" t="s">
        <v>24</v>
      </c>
      <c r="B17" s="62" t="s">
        <v>10</v>
      </c>
      <c r="C17" s="63">
        <f t="shared" ref="C17:H17" si="8">sum(C$18:C$23)</f>
        <v>0</v>
      </c>
      <c r="D17" s="63">
        <f t="shared" si="8"/>
        <v>0</v>
      </c>
      <c r="E17" s="63">
        <f t="shared" si="8"/>
        <v>0</v>
      </c>
      <c r="F17" s="63">
        <f t="shared" si="8"/>
        <v>3</v>
      </c>
      <c r="G17" s="63">
        <f t="shared" si="8"/>
        <v>0</v>
      </c>
      <c r="H17" s="63">
        <f t="shared" si="8"/>
        <v>0</v>
      </c>
      <c r="I17" s="37">
        <f t="shared" si="5"/>
        <v>3</v>
      </c>
      <c r="J17" s="38"/>
      <c r="S17" s="38"/>
    </row>
    <row r="18" ht="18.75" customHeight="1">
      <c r="A18" s="45"/>
      <c r="B18" s="46" t="s">
        <v>11</v>
      </c>
      <c r="C18" s="69">
        <f t="array" ref="C18">INDEX(IncomeCalcs!$AF$2:$AK$254,MATCH(DATEVALUE(MATCH(C$2,{"January","February","March","April","May","June","July","August","September","October","November","December"},0) &amp; "/1/" &amp;$C$1),IncomeCalcs!$AE$2:$AE37,0),MATCH($B18,IncomeCalcs!$AF$2:$AK$2,0))</f>
        <v>0</v>
      </c>
      <c r="D18" s="69">
        <f t="array" ref="D18">INDEX(IncomeCalcs!$AF$2:$AK$254,MATCH(DATEVALUE(MATCH(D$2,{"January","February","March","April","May","June","July","August","September","October","November","December"},0) &amp; "/1/" &amp;$C$1),IncomeCalcs!$AE$2:$AE37,0),MATCH($B18,IncomeCalcs!$AF$2:$AK$2,0))</f>
        <v>0</v>
      </c>
      <c r="E18" s="69">
        <f t="array" ref="E18">INDEX(IncomeCalcs!$AF$2:$AK$254,MATCH(DATEVALUE(MATCH(E$2,{"January","February","March","April","May","June","July","August","September","October","November","December"},0) &amp; "/1/" &amp;$C$1),IncomeCalcs!$AE$2:$AE37,0),MATCH($B18,IncomeCalcs!$AF$2:$AK$2,0))</f>
        <v>0</v>
      </c>
      <c r="F18" s="69">
        <f t="array" ref="F18">INDEX(IncomeCalcs!$AF$2:$AK$254,MATCH(DATEVALUE(MATCH(F$2,{"January","February","March","April","May","June","July","August","September","October","November","December"},0) &amp; "/1/" &amp;$C$1),IncomeCalcs!$AE$2:$AE37,0),MATCH($B18,IncomeCalcs!$AF$2:$AK$2,0))</f>
        <v>0</v>
      </c>
      <c r="G18" s="69">
        <f t="array" ref="G18">INDEX(IncomeCalcs!$AF$2:$AK$254,MATCH(DATEVALUE(MATCH(G$2,{"January","February","March","April","May","June","July","August","September","October","November","December"},0) &amp; "/1/" &amp;$C$1),IncomeCalcs!$AE$2:$AE37,0),MATCH($B18,IncomeCalcs!$AF$2:$AK$2,0))</f>
        <v>0</v>
      </c>
      <c r="H18" s="69">
        <f t="array" ref="H18">INDEX(IncomeCalcs!$AF$2:$AK$254,MATCH(DATEVALUE(MATCH(H$2,{"January","February","March","April","May","June","July","August","September","October","November","December"},0) &amp; "/1/" &amp;$C$1),IncomeCalcs!$AE$2:$AE37,0),MATCH($B18,IncomeCalcs!$AF$2:$AK$2,0))</f>
        <v>0</v>
      </c>
      <c r="I18" s="48">
        <f t="shared" si="5"/>
        <v>0</v>
      </c>
      <c r="J18" s="38"/>
      <c r="S18" s="38"/>
    </row>
    <row r="19" ht="18.75" customHeight="1">
      <c r="A19" s="45"/>
      <c r="B19" s="46" t="s">
        <v>13</v>
      </c>
      <c r="C19" s="69">
        <f t="array" ref="C19">INDEX(IncomeCalcs!$AF$2:$AK$254,MATCH(DATEVALUE(MATCH(C$2,{"January","February","March","April","May","June","July","August","September","October","November","December"},0) &amp; "/1/" &amp;$C$1),IncomeCalcs!$AE$2:$AE37,0),MATCH($B19,IncomeCalcs!$AF$2:$AK$2,0))</f>
        <v>0</v>
      </c>
      <c r="D19" s="69">
        <f t="array" ref="D19">INDEX(IncomeCalcs!$AF$2:$AK$254,MATCH(DATEVALUE(MATCH(D$2,{"January","February","March","April","May","June","July","August","September","October","November","December"},0) &amp; "/1/" &amp;$C$1),IncomeCalcs!$AE$2:$AE37,0),MATCH($B19,IncomeCalcs!$AF$2:$AK$2,0))</f>
        <v>0</v>
      </c>
      <c r="E19" s="69">
        <f t="array" ref="E19">INDEX(IncomeCalcs!$AF$2:$AK$254,MATCH(DATEVALUE(MATCH(E$2,{"January","February","March","April","May","June","July","August","September","October","November","December"},0) &amp; "/1/" &amp;$C$1),IncomeCalcs!$AE$2:$AE37,0),MATCH($B19,IncomeCalcs!$AF$2:$AK$2,0))</f>
        <v>0</v>
      </c>
      <c r="F19" s="69">
        <f t="array" ref="F19">INDEX(IncomeCalcs!$AF$2:$AK$254,MATCH(DATEVALUE(MATCH(F$2,{"January","February","March","April","May","June","July","August","September","October","November","December"},0) &amp; "/1/" &amp;$C$1),IncomeCalcs!$AE$2:$AE37,0),MATCH($B19,IncomeCalcs!$AF$2:$AK$2,0))</f>
        <v>0</v>
      </c>
      <c r="G19" s="69">
        <f t="array" ref="G19">INDEX(IncomeCalcs!$AF$2:$AK$254,MATCH(DATEVALUE(MATCH(G$2,{"January","February","March","April","May","June","July","August","September","October","November","December"},0) &amp; "/1/" &amp;$C$1),IncomeCalcs!$AE$2:$AE37,0),MATCH($B19,IncomeCalcs!$AF$2:$AK$2,0))</f>
        <v>0</v>
      </c>
      <c r="H19" s="69">
        <f t="array" ref="H19">INDEX(IncomeCalcs!$AF$2:$AK$254,MATCH(DATEVALUE(MATCH(H$2,{"January","February","March","April","May","June","July","August","September","October","November","December"},0) &amp; "/1/" &amp;$C$1),IncomeCalcs!$AE$2:$AE37,0),MATCH($B19,IncomeCalcs!$AF$2:$AK$2,0))</f>
        <v>0</v>
      </c>
      <c r="I19" s="48">
        <f t="shared" si="5"/>
        <v>0</v>
      </c>
      <c r="J19" s="38"/>
      <c r="S19" s="38"/>
    </row>
    <row r="20" ht="18.75" customHeight="1">
      <c r="A20" s="45"/>
      <c r="B20" s="46" t="s">
        <v>15</v>
      </c>
      <c r="C20" s="69">
        <f t="array" ref="C20">INDEX(IncomeCalcs!$AF$2:$AK$254,MATCH(DATEVALUE(MATCH(C$2,{"January","February","March","April","May","June","July","August","September","October","November","December"},0) &amp; "/1/" &amp;$C$1),IncomeCalcs!$AE$2:$AE37,0),MATCH($B20,IncomeCalcs!$AF$2:$AK$2,0))</f>
        <v>0</v>
      </c>
      <c r="D20" s="69">
        <f t="array" ref="D20">INDEX(IncomeCalcs!$AF$2:$AK$254,MATCH(DATEVALUE(MATCH(D$2,{"January","February","March","April","May","June","July","August","September","October","November","December"},0) &amp; "/1/" &amp;$C$1),IncomeCalcs!$AE$2:$AE37,0),MATCH($B20,IncomeCalcs!$AF$2:$AK$2,0))</f>
        <v>0</v>
      </c>
      <c r="E20" s="69">
        <f t="array" ref="E20">INDEX(IncomeCalcs!$AF$2:$AK$254,MATCH(DATEVALUE(MATCH(E$2,{"January","February","March","April","May","June","July","August","September","October","November","December"},0) &amp; "/1/" &amp;$C$1),IncomeCalcs!$AE$2:$AE37,0),MATCH($B20,IncomeCalcs!$AF$2:$AK$2,0))</f>
        <v>0</v>
      </c>
      <c r="F20" s="69">
        <f t="array" ref="F20">INDEX(IncomeCalcs!$AF$2:$AK$254,MATCH(DATEVALUE(MATCH(F$2,{"January","February","March","April","May","June","July","August","September","October","November","December"},0) &amp; "/1/" &amp;$C$1),IncomeCalcs!$AE$2:$AE37,0),MATCH($B20,IncomeCalcs!$AF$2:$AK$2,0))</f>
        <v>3</v>
      </c>
      <c r="G20" s="69">
        <f t="array" ref="G20">INDEX(IncomeCalcs!$AF$2:$AK$254,MATCH(DATEVALUE(MATCH(G$2,{"January","February","March","April","May","June","July","August","September","October","November","December"},0) &amp; "/1/" &amp;$C$1),IncomeCalcs!$AE$2:$AE37,0),MATCH($B20,IncomeCalcs!$AF$2:$AK$2,0))</f>
        <v>0</v>
      </c>
      <c r="H20" s="69">
        <f t="array" ref="H20">INDEX(IncomeCalcs!$AF$2:$AK$254,MATCH(DATEVALUE(MATCH(H$2,{"January","February","March","April","May","June","July","August","September","October","November","December"},0) &amp; "/1/" &amp;$C$1),IncomeCalcs!$AE$2:$AE37,0),MATCH($B20,IncomeCalcs!$AF$2:$AK$2,0))</f>
        <v>0</v>
      </c>
      <c r="I20" s="48">
        <f t="shared" si="5"/>
        <v>3</v>
      </c>
      <c r="J20" s="38"/>
      <c r="S20" s="38"/>
    </row>
    <row r="21" ht="18.75" customHeight="1">
      <c r="A21" s="45"/>
      <c r="B21" s="57" t="s">
        <v>17</v>
      </c>
      <c r="C21" s="69">
        <f t="array" ref="C21">INDEX(IncomeCalcs!$AF$2:$AK$254,MATCH(DATEVALUE(MATCH(C$2,{"January","February","March","April","May","June","July","August","September","October","November","December"},0) &amp; "/1/" &amp;$C$1),IncomeCalcs!$AE$2:$AE37,0),MATCH($B21,IncomeCalcs!$AF$2:$AK$2,0))</f>
        <v>0</v>
      </c>
      <c r="D21" s="69">
        <f t="array" ref="D21">INDEX(IncomeCalcs!$AF$2:$AK$254,MATCH(DATEVALUE(MATCH(D$2,{"January","February","March","April","May","June","July","August","September","October","November","December"},0) &amp; "/1/" &amp;$C$1),IncomeCalcs!$AE$2:$AE37,0),MATCH($B21,IncomeCalcs!$AF$2:$AK$2,0))</f>
        <v>0</v>
      </c>
      <c r="E21" s="69">
        <f t="array" ref="E21">INDEX(IncomeCalcs!$AF$2:$AK$254,MATCH(DATEVALUE(MATCH(E$2,{"January","February","March","April","May","June","July","August","September","October","November","December"},0) &amp; "/1/" &amp;$C$1),IncomeCalcs!$AE$2:$AE37,0),MATCH($B21,IncomeCalcs!$AF$2:$AK$2,0))</f>
        <v>0</v>
      </c>
      <c r="F21" s="69">
        <f t="array" ref="F21">INDEX(IncomeCalcs!$AF$2:$AK$254,MATCH(DATEVALUE(MATCH(F$2,{"January","February","March","April","May","June","July","August","September","October","November","December"},0) &amp; "/1/" &amp;$C$1),IncomeCalcs!$AE$2:$AE37,0),MATCH($B21,IncomeCalcs!$AF$2:$AK$2,0))</f>
        <v>0</v>
      </c>
      <c r="G21" s="69">
        <f t="array" ref="G21">INDEX(IncomeCalcs!$AF$2:$AK$254,MATCH(DATEVALUE(MATCH(G$2,{"January","February","March","April","May","June","July","August","September","October","November","December"},0) &amp; "/1/" &amp;$C$1),IncomeCalcs!$AE$2:$AE37,0),MATCH($B21,IncomeCalcs!$AF$2:$AK$2,0))</f>
        <v>0</v>
      </c>
      <c r="H21" s="69">
        <f t="array" ref="H21">INDEX(IncomeCalcs!$AF$2:$AK$254,MATCH(DATEVALUE(MATCH(H$2,{"January","February","March","April","May","June","July","August","September","October","November","December"},0) &amp; "/1/" &amp;$C$1),IncomeCalcs!$AE$2:$AE37,0),MATCH($B21,IncomeCalcs!$AF$2:$AK$2,0))</f>
        <v>0</v>
      </c>
      <c r="I21" s="48">
        <f t="shared" si="5"/>
        <v>0</v>
      </c>
      <c r="J21" s="38"/>
      <c r="S21" s="38"/>
    </row>
    <row r="22" ht="18.75" customHeight="1">
      <c r="A22" s="45"/>
      <c r="B22" s="46" t="s">
        <v>19</v>
      </c>
      <c r="C22" s="69">
        <f t="array" ref="C22">INDEX(IncomeCalcs!$AF$2:$AK$254,MATCH(DATEVALUE(MATCH(C$2,{"January","February","March","April","May","June","July","August","September","October","November","December"},0) &amp; "/1/" &amp;$C$1),IncomeCalcs!$AE$2:$AE37,0),MATCH($B22,IncomeCalcs!$AF$2:$AK$2,0))</f>
        <v>0</v>
      </c>
      <c r="D22" s="69">
        <f t="array" ref="D22">INDEX(IncomeCalcs!$AF$2:$AK$254,MATCH(DATEVALUE(MATCH(D$2,{"January","February","March","April","May","June","July","August","September","October","November","December"},0) &amp; "/1/" &amp;$C$1),IncomeCalcs!$AE$2:$AE37,0),MATCH($B22,IncomeCalcs!$AF$2:$AK$2,0))</f>
        <v>0</v>
      </c>
      <c r="E22" s="69">
        <f t="array" ref="E22">INDEX(IncomeCalcs!$AF$2:$AK$254,MATCH(DATEVALUE(MATCH(E$2,{"January","February","March","April","May","June","July","August","September","October","November","December"},0) &amp; "/1/" &amp;$C$1),IncomeCalcs!$AE$2:$AE37,0),MATCH($B22,IncomeCalcs!$AF$2:$AK$2,0))</f>
        <v>0</v>
      </c>
      <c r="F22" s="69">
        <f t="array" ref="F22">INDEX(IncomeCalcs!$AF$2:$AK$254,MATCH(DATEVALUE(MATCH(F$2,{"January","February","March","April","May","June","July","August","September","October","November","December"},0) &amp; "/1/" &amp;$C$1),IncomeCalcs!$AE$2:$AE37,0),MATCH($B22,IncomeCalcs!$AF$2:$AK$2,0))</f>
        <v>0</v>
      </c>
      <c r="G22" s="69">
        <f t="array" ref="G22">INDEX(IncomeCalcs!$AF$2:$AK$254,MATCH(DATEVALUE(MATCH(G$2,{"January","February","March","April","May","June","July","August","September","October","November","December"},0) &amp; "/1/" &amp;$C$1),IncomeCalcs!$AE$2:$AE37,0),MATCH($B22,IncomeCalcs!$AF$2:$AK$2,0))</f>
        <v>0</v>
      </c>
      <c r="H22" s="69">
        <f t="array" ref="H22">INDEX(IncomeCalcs!$AF$2:$AK$254,MATCH(DATEVALUE(MATCH(H$2,{"January","February","March","April","May","June","July","August","September","October","November","December"},0) &amp; "/1/" &amp;$C$1),IncomeCalcs!$AE$2:$AE37,0),MATCH($B22,IncomeCalcs!$AF$2:$AK$2,0))</f>
        <v>0</v>
      </c>
      <c r="I22" s="48">
        <f t="shared" si="5"/>
        <v>0</v>
      </c>
      <c r="J22" s="38"/>
      <c r="S22" s="38"/>
    </row>
    <row r="23" ht="18.75" customHeight="1">
      <c r="A23" s="58"/>
      <c r="B23" s="57" t="s">
        <v>23</v>
      </c>
      <c r="C23" s="69">
        <f t="array" ref="C23">INDEX(IncomeCalcs!$AF$2:$AK$254,MATCH(DATEVALUE(MATCH(C$2,{"January","February","March","April","May","June","July","August","September","October","November","December"},0) &amp; "/1/" &amp;$C$1),IncomeCalcs!$AE$2:$AE37,0),MATCH($B23,IncomeCalcs!$AF$2:$AK$2,0))</f>
        <v>0</v>
      </c>
      <c r="D23" s="69">
        <f t="array" ref="D23">INDEX(IncomeCalcs!$AF$2:$AK$254,MATCH(DATEVALUE(MATCH(D$2,{"January","February","March","April","May","June","July","August","September","October","November","December"},0) &amp; "/1/" &amp;$C$1),IncomeCalcs!$AE$2:$AE37,0),MATCH($B23,IncomeCalcs!$AF$2:$AK$2,0))</f>
        <v>0</v>
      </c>
      <c r="E23" s="69">
        <f t="array" ref="E23">INDEX(IncomeCalcs!$AF$2:$AK$254,MATCH(DATEVALUE(MATCH(E$2,{"January","February","March","April","May","June","July","August","September","October","November","December"},0) &amp; "/1/" &amp;$C$1),IncomeCalcs!$AE$2:$AE37,0),MATCH($B23,IncomeCalcs!$AF$2:$AK$2,0))</f>
        <v>0</v>
      </c>
      <c r="F23" s="69">
        <f t="array" ref="F23">INDEX(IncomeCalcs!$AF$2:$AK$254,MATCH(DATEVALUE(MATCH(F$2,{"January","February","March","April","May","June","July","August","September","October","November","December"},0) &amp; "/1/" &amp;$C$1),IncomeCalcs!$AE$2:$AE37,0),MATCH($B23,IncomeCalcs!$AF$2:$AK$2,0))</f>
        <v>0</v>
      </c>
      <c r="G23" s="69">
        <f t="array" ref="G23">INDEX(IncomeCalcs!$AF$2:$AK$254,MATCH(DATEVALUE(MATCH(G$2,{"January","February","March","April","May","June","July","August","September","October","November","December"},0) &amp; "/1/" &amp;$C$1),IncomeCalcs!$AE$2:$AE37,0),MATCH($B23,IncomeCalcs!$AF$2:$AK$2,0))</f>
        <v>0</v>
      </c>
      <c r="H23" s="69">
        <f t="array" ref="H23">INDEX(IncomeCalcs!$AF$2:$AK$254,MATCH(DATEVALUE(MATCH(H$2,{"January","February","March","April","May","June","July","August","September","October","November","December"},0) &amp; "/1/" &amp;$C$1),IncomeCalcs!$AE$2:$AE37,0),MATCH($B23,IncomeCalcs!$AF$2:$AK$2,0))</f>
        <v>0</v>
      </c>
      <c r="I23" s="48">
        <f t="shared" si="5"/>
        <v>0</v>
      </c>
      <c r="J23" s="38"/>
      <c r="S23" s="38"/>
    </row>
    <row r="24" ht="18.75" customHeight="1">
      <c r="A24" s="70" t="s">
        <v>25</v>
      </c>
      <c r="B24" s="71" t="s">
        <v>10</v>
      </c>
      <c r="C24" s="72">
        <f t="shared" ref="C24:H24" si="9">sum(C$25:C$30)</f>
        <v>0</v>
      </c>
      <c r="D24" s="72">
        <f t="shared" si="9"/>
        <v>76.77</v>
      </c>
      <c r="E24" s="72">
        <f t="shared" si="9"/>
        <v>41.13</v>
      </c>
      <c r="F24" s="72">
        <f t="shared" si="9"/>
        <v>54.82</v>
      </c>
      <c r="G24" s="72">
        <f t="shared" si="9"/>
        <v>0</v>
      </c>
      <c r="H24" s="72">
        <f t="shared" si="9"/>
        <v>0</v>
      </c>
      <c r="I24" s="73">
        <f t="shared" si="5"/>
        <v>172.72</v>
      </c>
      <c r="J24" s="38"/>
      <c r="S24" s="38"/>
    </row>
    <row r="25" ht="18.75" customHeight="1">
      <c r="A25" s="45"/>
      <c r="B25" s="49" t="s">
        <v>11</v>
      </c>
      <c r="C25" s="47">
        <f t="array" ref="C25">INDEX(IncomeCalcs!$AN$2:$AS$254,MATCH(DATEVALUE(MATCH(C$2,{"January","February","March","April","May","June","July","August","September","October","November","December"},0) &amp; "/1/" &amp;$C$1),IncomeCalcs!$AM$2:$AM37,0),MATCH($B11,IncomeCalcs!$AN$2:$AS$2,0))</f>
        <v>0</v>
      </c>
      <c r="D25" s="47">
        <f t="array" ref="D25">INDEX(IncomeCalcs!$AN$2:$AS$254,MATCH(DATEVALUE(MATCH(D$2,{"January","February","March","April","May","June","July","August","September","October","November","December"},0) &amp; "/1/" &amp;$C$1),IncomeCalcs!$AM$2:$AM37,0),MATCH($B11,IncomeCalcs!$AN$2:$AS$2,0))</f>
        <v>61.77</v>
      </c>
      <c r="E25" s="47">
        <f t="array" ref="E25">INDEX(IncomeCalcs!$AN$2:$AS$254,MATCH(DATEVALUE(MATCH(E$2,{"January","February","March","April","May","June","July","August","September","October","November","December"},0) &amp; "/1/" &amp;$C$1),IncomeCalcs!$AM$2:$AM37,0),MATCH($B11,IncomeCalcs!$AN$2:$AS$2,0))</f>
        <v>38.13</v>
      </c>
      <c r="F25" s="47">
        <f t="array" ref="F25">INDEX(IncomeCalcs!$AN$2:$AS$254,MATCH(DATEVALUE(MATCH(F$2,{"January","February","March","April","May","June","July","August","September","October","November","December"},0) &amp; "/1/" &amp;$C$1),IncomeCalcs!$AM$2:$AM37,0),MATCH($B11,IncomeCalcs!$AN$2:$AS$2,0))</f>
        <v>5.82</v>
      </c>
      <c r="G25" s="47">
        <f t="array" ref="G25">INDEX(IncomeCalcs!$AN$2:$AS$254,MATCH(DATEVALUE(MATCH(G$2,{"January","February","March","April","May","June","July","August","September","October","November","December"},0) &amp; "/1/" &amp;$C$1),IncomeCalcs!$AM$2:$AM37,0),MATCH($B11,IncomeCalcs!$AN$2:$AS$2,0))</f>
        <v>0</v>
      </c>
      <c r="H25" s="47">
        <f t="array" ref="H25">INDEX(IncomeCalcs!$AN$2:$AS$254,MATCH(DATEVALUE(MATCH(H$2,{"January","February","March","April","May","June","July","August","September","October","November","December"},0) &amp; "/1/" &amp;$C$1),IncomeCalcs!$AM$2:$AM37,0),MATCH($B11,IncomeCalcs!$AN$2:$AS$2,0))</f>
        <v>0</v>
      </c>
      <c r="I25" s="51">
        <f t="shared" si="5"/>
        <v>105.72</v>
      </c>
      <c r="J25" s="38"/>
      <c r="S25" s="38"/>
    </row>
    <row r="26" ht="18.75" customHeight="1">
      <c r="A26" s="45"/>
      <c r="B26" s="46" t="s">
        <v>13</v>
      </c>
      <c r="C26" s="47">
        <f t="array" ref="C26">INDEX(IncomeCalcs!$AN$2:$AS$254,MATCH(DATEVALUE(MATCH(C$2,{"January","February","March","April","May","June","July","August","September","October","November","December"},0) &amp; "/1/" &amp;$C$1),IncomeCalcs!$AM$2:$AM37,0),MATCH($B12,IncomeCalcs!$AN$2:$AS$2,0))</f>
        <v>0</v>
      </c>
      <c r="D26" s="47">
        <f t="array" ref="D26">INDEX(IncomeCalcs!$AN$2:$AS$254,MATCH(DATEVALUE(MATCH(D$2,{"January","February","March","April","May","June","July","August","September","October","November","December"},0) &amp; "/1/" &amp;$C$1),IncomeCalcs!$AM$2:$AM37,0),MATCH($B12,IncomeCalcs!$AN$2:$AS$2,0))</f>
        <v>10</v>
      </c>
      <c r="E26" s="47">
        <f t="array" ref="E26">INDEX(IncomeCalcs!$AN$2:$AS$254,MATCH(DATEVALUE(MATCH(E$2,{"January","February","March","April","May","June","July","August","September","October","November","December"},0) &amp; "/1/" &amp;$C$1),IncomeCalcs!$AM$2:$AM37,0),MATCH($B12,IncomeCalcs!$AN$2:$AS$2,0))</f>
        <v>3</v>
      </c>
      <c r="F26" s="47">
        <f t="array" ref="F26">INDEX(IncomeCalcs!$AN$2:$AS$254,MATCH(DATEVALUE(MATCH(F$2,{"January","February","March","April","May","June","July","August","September","October","November","December"},0) &amp; "/1/" &amp;$C$1),IncomeCalcs!$AM$2:$AM37,0),MATCH($B12,IncomeCalcs!$AN$2:$AS$2,0))</f>
        <v>0</v>
      </c>
      <c r="G26" s="47">
        <f t="array" ref="G26">INDEX(IncomeCalcs!$AN$2:$AS$254,MATCH(DATEVALUE(MATCH(G$2,{"January","February","March","April","May","June","July","August","September","October","November","December"},0) &amp; "/1/" &amp;$C$1),IncomeCalcs!$AM$2:$AM37,0),MATCH($B12,IncomeCalcs!$AN$2:$AS$2,0))</f>
        <v>0</v>
      </c>
      <c r="H26" s="47">
        <f t="array" ref="H26">INDEX(IncomeCalcs!$AN$2:$AS$254,MATCH(DATEVALUE(MATCH(H$2,{"January","February","March","April","May","June","July","August","September","October","November","December"},0) &amp; "/1/" &amp;$C$1),IncomeCalcs!$AM$2:$AM37,0),MATCH($B12,IncomeCalcs!$AN$2:$AS$2,0))</f>
        <v>0</v>
      </c>
      <c r="I26" s="48">
        <f t="shared" si="5"/>
        <v>13</v>
      </c>
      <c r="J26" s="38"/>
      <c r="S26" s="38"/>
    </row>
    <row r="27" ht="18.75" customHeight="1">
      <c r="A27" s="45"/>
      <c r="B27" s="46" t="s">
        <v>15</v>
      </c>
      <c r="C27" s="47">
        <f t="array" ref="C27">INDEX(IncomeCalcs!$AN$2:$AS$254,MATCH(DATEVALUE(MATCH(C$2,{"January","February","March","April","May","June","July","August","September","October","November","December"},0) &amp; "/1/" &amp;$C$1),IncomeCalcs!$AM$2:$AM37,0),MATCH($B13,IncomeCalcs!$AN$2:$AS$2,0))</f>
        <v>0</v>
      </c>
      <c r="D27" s="47">
        <f t="array" ref="D27">INDEX(IncomeCalcs!$AN$2:$AS$254,MATCH(DATEVALUE(MATCH(D$2,{"January","February","March","April","May","June","July","August","September","October","November","December"},0) &amp; "/1/" &amp;$C$1),IncomeCalcs!$AM$2:$AM37,0),MATCH($B13,IncomeCalcs!$AN$2:$AS$2,0))</f>
        <v>5</v>
      </c>
      <c r="E27" s="47">
        <f t="array" ref="E27">INDEX(IncomeCalcs!$AN$2:$AS$254,MATCH(DATEVALUE(MATCH(E$2,{"January","February","March","April","May","June","July","August","September","October","November","December"},0) &amp; "/1/" &amp;$C$1),IncomeCalcs!$AM$2:$AM37,0),MATCH($B13,IncomeCalcs!$AN$2:$AS$2,0))</f>
        <v>0</v>
      </c>
      <c r="F27" s="47">
        <f t="array" ref="F27">INDEX(IncomeCalcs!$AN$2:$AS$254,MATCH(DATEVALUE(MATCH(F$2,{"January","February","March","April","May","June","July","August","September","October","November","December"},0) &amp; "/1/" &amp;$C$1),IncomeCalcs!$AM$2:$AM37,0),MATCH($B13,IncomeCalcs!$AN$2:$AS$2,0))</f>
        <v>49</v>
      </c>
      <c r="G27" s="47">
        <f t="array" ref="G27">INDEX(IncomeCalcs!$AN$2:$AS$254,MATCH(DATEVALUE(MATCH(G$2,{"January","February","March","April","May","June","July","August","September","October","November","December"},0) &amp; "/1/" &amp;$C$1),IncomeCalcs!$AM$2:$AM37,0),MATCH($B13,IncomeCalcs!$AN$2:$AS$2,0))</f>
        <v>0</v>
      </c>
      <c r="H27" s="47">
        <f t="array" ref="H27">INDEX(IncomeCalcs!$AN$2:$AS$254,MATCH(DATEVALUE(MATCH(H$2,{"January","February","March","April","May","June","July","August","September","October","November","December"},0) &amp; "/1/" &amp;$C$1),IncomeCalcs!$AM$2:$AM37,0),MATCH($B13,IncomeCalcs!$AN$2:$AS$2,0))</f>
        <v>0</v>
      </c>
      <c r="I27" s="48">
        <f t="shared" si="5"/>
        <v>54</v>
      </c>
      <c r="J27" s="38"/>
      <c r="S27" s="38"/>
    </row>
    <row r="28" ht="18.75" customHeight="1">
      <c r="A28" s="45"/>
      <c r="B28" s="46" t="s">
        <v>26</v>
      </c>
      <c r="C28" s="47">
        <f t="array" ref="C28">INDEX(IncomeCalcs!$AN$2:$AS$254,MATCH(DATEVALUE(MATCH(C$2,{"January","February","March","April","May","June","July","August","September","October","November","December"},0) &amp; "/1/" &amp;$C$1),IncomeCalcs!$AM$2:$AM37,0),MATCH($B14,IncomeCalcs!$AN$2:$AS$2,0))</f>
        <v>0</v>
      </c>
      <c r="D28" s="47">
        <f t="array" ref="D28">INDEX(IncomeCalcs!$AN$2:$AS$254,MATCH(DATEVALUE(MATCH(D$2,{"January","February","March","April","May","June","July","August","September","October","November","December"},0) &amp; "/1/" &amp;$C$1),IncomeCalcs!$AM$2:$AM37,0),MATCH($B14,IncomeCalcs!$AN$2:$AS$2,0))</f>
        <v>0</v>
      </c>
      <c r="E28" s="47">
        <f t="array" ref="E28">INDEX(IncomeCalcs!$AN$2:$AS$254,MATCH(DATEVALUE(MATCH(E$2,{"January","February","March","April","May","June","July","August","September","October","November","December"},0) &amp; "/1/" &amp;$C$1),IncomeCalcs!$AM$2:$AM37,0),MATCH($B14,IncomeCalcs!$AN$2:$AS$2,0))</f>
        <v>0</v>
      </c>
      <c r="F28" s="47">
        <f t="array" ref="F28">INDEX(IncomeCalcs!$AN$2:$AS$254,MATCH(DATEVALUE(MATCH(F$2,{"January","February","March","April","May","June","July","August","September","October","November","December"},0) &amp; "/1/" &amp;$C$1),IncomeCalcs!$AM$2:$AM37,0),MATCH($B14,IncomeCalcs!$AN$2:$AS$2,0))</f>
        <v>0</v>
      </c>
      <c r="G28" s="47">
        <f t="array" ref="G28">INDEX(IncomeCalcs!$AN$2:$AS$254,MATCH(DATEVALUE(MATCH(G$2,{"January","February","March","April","May","June","July","August","September","October","November","December"},0) &amp; "/1/" &amp;$C$1),IncomeCalcs!$AM$2:$AM37,0),MATCH($B14,IncomeCalcs!$AN$2:$AS$2,0))</f>
        <v>0</v>
      </c>
      <c r="H28" s="47">
        <f t="array" ref="H28">INDEX(IncomeCalcs!$AN$2:$AS$254,MATCH(DATEVALUE(MATCH(H$2,{"January","February","March","April","May","June","July","August","September","October","November","December"},0) &amp; "/1/" &amp;$C$1),IncomeCalcs!$AM$2:$AM37,0),MATCH($B14,IncomeCalcs!$AN$2:$AS$2,0))</f>
        <v>0</v>
      </c>
      <c r="I28" s="48">
        <f t="shared" si="5"/>
        <v>0</v>
      </c>
      <c r="J28" s="38"/>
      <c r="S28" s="38"/>
    </row>
    <row r="29" ht="18.75" customHeight="1">
      <c r="A29" s="45"/>
      <c r="B29" s="46" t="s">
        <v>19</v>
      </c>
      <c r="C29" s="47">
        <f t="array" ref="C29">INDEX(IncomeCalcs!$AN$2:$AS$254,MATCH(DATEVALUE(MATCH(C$2,{"January","February","March","April","May","June","July","August","September","October","November","December"},0) &amp; "/1/" &amp;$C$1),IncomeCalcs!$AM$2:$AM37,0),MATCH($B15,IncomeCalcs!$AN$2:$AS$2,0))</f>
        <v>0</v>
      </c>
      <c r="D29" s="47">
        <f t="array" ref="D29">INDEX(IncomeCalcs!$AN$2:$AS$254,MATCH(DATEVALUE(MATCH(D$2,{"January","February","March","April","May","June","July","August","September","October","November","December"},0) &amp; "/1/" &amp;$C$1),IncomeCalcs!$AM$2:$AM37,0),MATCH($B15,IncomeCalcs!$AN$2:$AS$2,0))</f>
        <v>0</v>
      </c>
      <c r="E29" s="47">
        <f t="array" ref="E29">INDEX(IncomeCalcs!$AN$2:$AS$254,MATCH(DATEVALUE(MATCH(E$2,{"January","February","March","April","May","June","July","August","September","October","November","December"},0) &amp; "/1/" &amp;$C$1),IncomeCalcs!$AM$2:$AM37,0),MATCH($B15,IncomeCalcs!$AN$2:$AS$2,0))</f>
        <v>0</v>
      </c>
      <c r="F29" s="47">
        <f t="array" ref="F29">INDEX(IncomeCalcs!$AN$2:$AS$254,MATCH(DATEVALUE(MATCH(F$2,{"January","February","March","April","May","June","July","August","September","October","November","December"},0) &amp; "/1/" &amp;$C$1),IncomeCalcs!$AM$2:$AM37,0),MATCH($B15,IncomeCalcs!$AN$2:$AS$2,0))</f>
        <v>0</v>
      </c>
      <c r="G29" s="47">
        <f t="array" ref="G29">INDEX(IncomeCalcs!$AN$2:$AS$254,MATCH(DATEVALUE(MATCH(G$2,{"January","February","March","April","May","June","July","August","September","October","November","December"},0) &amp; "/1/" &amp;$C$1),IncomeCalcs!$AM$2:$AM37,0),MATCH($B15,IncomeCalcs!$AN$2:$AS$2,0))</f>
        <v>0</v>
      </c>
      <c r="H29" s="47">
        <f t="array" ref="H29">INDEX(IncomeCalcs!$AN$2:$AS$254,MATCH(DATEVALUE(MATCH(H$2,{"January","February","March","April","May","June","July","August","September","October","November","December"},0) &amp; "/1/" &amp;$C$1),IncomeCalcs!$AM$2:$AM37,0),MATCH($B15,IncomeCalcs!$AN$2:$AS$2,0))</f>
        <v>0</v>
      </c>
      <c r="I29" s="48">
        <f t="shared" si="5"/>
        <v>0</v>
      </c>
      <c r="J29" s="38"/>
      <c r="S29" s="38"/>
    </row>
    <row r="30" ht="18.75" customHeight="1">
      <c r="A30" s="58"/>
      <c r="B30" s="57" t="s">
        <v>23</v>
      </c>
      <c r="C30" s="47">
        <f t="array" ref="C30">INDEX(IncomeCalcs!$AN$2:$AS$254,MATCH(DATEVALUE(MATCH(C$2,{"January","February","March","April","May","June","July","August","September","October","November","December"},0) &amp; "/1/" &amp;$C$1),IncomeCalcs!$AM$2:$AM37,0),MATCH($B16,IncomeCalcs!$AN$2:$AS$2,0))</f>
        <v>0</v>
      </c>
      <c r="D30" s="47">
        <f t="array" ref="D30">INDEX(IncomeCalcs!$AN$2:$AS$254,MATCH(DATEVALUE(MATCH(D$2,{"January","February","March","April","May","June","July","August","September","October","November","December"},0) &amp; "/1/" &amp;$C$1),IncomeCalcs!$AM$2:$AM37,0),MATCH($B16,IncomeCalcs!$AN$2:$AS$2,0))</f>
        <v>0</v>
      </c>
      <c r="E30" s="47">
        <f t="array" ref="E30">INDEX(IncomeCalcs!$AN$2:$AS$254,MATCH(DATEVALUE(MATCH(E$2,{"January","February","March","April","May","June","July","August","September","October","November","December"},0) &amp; "/1/" &amp;$C$1),IncomeCalcs!$AM$2:$AM37,0),MATCH($B16,IncomeCalcs!$AN$2:$AS$2,0))</f>
        <v>0</v>
      </c>
      <c r="F30" s="47">
        <f t="array" ref="F30">INDEX(IncomeCalcs!$AN$2:$AS$254,MATCH(DATEVALUE(MATCH(F$2,{"January","February","March","April","May","June","July","August","September","October","November","December"},0) &amp; "/1/" &amp;$C$1),IncomeCalcs!$AM$2:$AM37,0),MATCH($B16,IncomeCalcs!$AN$2:$AS$2,0))</f>
        <v>0</v>
      </c>
      <c r="G30" s="47">
        <f t="array" ref="G30">INDEX(IncomeCalcs!$AN$2:$AS$254,MATCH(DATEVALUE(MATCH(G$2,{"January","February","March","April","May","June","July","August","September","October","November","December"},0) &amp; "/1/" &amp;$C$1),IncomeCalcs!$AM$2:$AM37,0),MATCH($B16,IncomeCalcs!$AN$2:$AS$2,0))</f>
        <v>0</v>
      </c>
      <c r="H30" s="47">
        <f t="array" ref="H30">INDEX(IncomeCalcs!$AN$2:$AS$254,MATCH(DATEVALUE(MATCH(H$2,{"January","February","March","April","May","June","July","August","September","October","November","December"},0) &amp; "/1/" &amp;$C$1),IncomeCalcs!$AM$2:$AM37,0),MATCH($B16,IncomeCalcs!$AN$2:$AS$2,0))</f>
        <v>0</v>
      </c>
      <c r="I30" s="48">
        <f t="shared" si="5"/>
        <v>0</v>
      </c>
      <c r="J30" s="38"/>
      <c r="S30" s="38"/>
    </row>
    <row r="31" ht="18.75" customHeight="1">
      <c r="A31" s="70" t="s">
        <v>27</v>
      </c>
      <c r="B31" s="62" t="s">
        <v>10</v>
      </c>
      <c r="C31" s="63">
        <f t="shared" ref="C31:H31" si="10">sum(C$32:C$37)</f>
        <v>0</v>
      </c>
      <c r="D31" s="63">
        <f t="shared" si="10"/>
        <v>0</v>
      </c>
      <c r="E31" s="63">
        <f t="shared" si="10"/>
        <v>0</v>
      </c>
      <c r="F31" s="63">
        <f t="shared" si="10"/>
        <v>0</v>
      </c>
      <c r="G31" s="63">
        <f t="shared" si="10"/>
        <v>0</v>
      </c>
      <c r="H31" s="63">
        <f t="shared" si="10"/>
        <v>0</v>
      </c>
      <c r="I31" s="37">
        <f t="shared" si="5"/>
        <v>0</v>
      </c>
      <c r="J31" s="38"/>
      <c r="S31" s="38"/>
    </row>
    <row r="32" ht="18.75" customHeight="1">
      <c r="A32" s="45"/>
      <c r="B32" s="46" t="s">
        <v>11</v>
      </c>
      <c r="C32" s="69">
        <f t="array" ref="C32">INDEX(IncomeCalcs!$AV$2:$BA$254,MATCH(DATEVALUE(MATCH(C$2,{"January","February","March","April","May","June","July","August","September","October","November","December"},0) &amp; "/1/" &amp;$C$1),IncomeCalcs!$AU$2:$AU37,0),MATCH($B11,IncomeCalcs!$AV$2:$BA$2,0))</f>
        <v>0</v>
      </c>
      <c r="D32" s="69">
        <f t="array" ref="D32">INDEX(IncomeCalcs!$AV$2:$BA$254,MATCH(DATEVALUE(MATCH(D$2,{"January","February","March","April","May","June","July","August","September","October","November","December"},0) &amp; "/1/" &amp;$C$1),IncomeCalcs!$AU$2:$AU37,0),MATCH($B11,IncomeCalcs!$AV$2:$BA$2,0))</f>
        <v>0</v>
      </c>
      <c r="E32" s="69">
        <f t="array" ref="E32">INDEX(IncomeCalcs!$AV$2:$BA$254,MATCH(DATEVALUE(MATCH(E$2,{"January","February","March","April","May","June","July","August","September","October","November","December"},0) &amp; "/1/" &amp;$C$1),IncomeCalcs!$AU$2:$AU37,0),MATCH($B11,IncomeCalcs!$AV$2:$BA$2,0))</f>
        <v>0</v>
      </c>
      <c r="F32" s="69">
        <f t="array" ref="F32">INDEX(IncomeCalcs!$AV$2:$BA$254,MATCH(DATEVALUE(MATCH(F$2,{"January","February","March","April","May","June","July","August","September","October","November","December"},0) &amp; "/1/" &amp;$C$1),IncomeCalcs!$AU$2:$AU37,0),MATCH($B11,IncomeCalcs!$AV$2:$BA$2,0))</f>
        <v>0</v>
      </c>
      <c r="G32" s="69">
        <f t="array" ref="G32">INDEX(IncomeCalcs!$AV$2:$BA$254,MATCH(DATEVALUE(MATCH(G$2,{"January","February","March","April","May","June","July","August","September","October","November","December"},0) &amp; "/1/" &amp;$C$1),IncomeCalcs!$AU$2:$AU37,0),MATCH($B11,IncomeCalcs!$AV$2:$BA$2,0))</f>
        <v>0</v>
      </c>
      <c r="H32" s="69">
        <f t="array" ref="H32">INDEX(IncomeCalcs!$AV$2:$BA$254,MATCH(DATEVALUE(MATCH(H$2,{"January","February","March","April","May","June","July","August","September","October","November","December"},0) &amp; "/1/" &amp;$C$1),IncomeCalcs!$AU$2:$AU37,0),MATCH($B11,IncomeCalcs!$AV$2:$BA$2,0))</f>
        <v>0</v>
      </c>
      <c r="I32" s="48">
        <f t="shared" si="5"/>
        <v>0</v>
      </c>
      <c r="J32" s="38"/>
      <c r="S32" s="38"/>
    </row>
    <row r="33" ht="18.75" customHeight="1">
      <c r="A33" s="45"/>
      <c r="B33" s="46" t="s">
        <v>13</v>
      </c>
      <c r="C33" s="69">
        <f t="array" ref="C33">INDEX(IncomeCalcs!$AV$2:$BA$254,MATCH(DATEVALUE(MATCH(C$2,{"January","February","March","April","May","June","July","August","September","October","November","December"},0) &amp; "/1/" &amp;$C$1),IncomeCalcs!$AU$2:$AU37,0),MATCH($B12,IncomeCalcs!$AV$2:$BA$2,0))</f>
        <v>0</v>
      </c>
      <c r="D33" s="69">
        <f t="array" ref="D33">INDEX(IncomeCalcs!$AV$2:$BA$254,MATCH(DATEVALUE(MATCH(D$2,{"January","February","March","April","May","June","July","August","September","October","November","December"},0) &amp; "/1/" &amp;$C$1),IncomeCalcs!$AU$2:$AU37,0),MATCH($B12,IncomeCalcs!$AV$2:$BA$2,0))</f>
        <v>0</v>
      </c>
      <c r="E33" s="69">
        <f t="array" ref="E33">INDEX(IncomeCalcs!$AV$2:$BA$254,MATCH(DATEVALUE(MATCH(E$2,{"January","February","March","April","May","June","July","August","September","October","November","December"},0) &amp; "/1/" &amp;$C$1),IncomeCalcs!$AU$2:$AU37,0),MATCH($B12,IncomeCalcs!$AV$2:$BA$2,0))</f>
        <v>0</v>
      </c>
      <c r="F33" s="69">
        <f t="array" ref="F33">INDEX(IncomeCalcs!$AV$2:$BA$254,MATCH(DATEVALUE(MATCH(F$2,{"January","February","March","April","May","June","July","August","September","October","November","December"},0) &amp; "/1/" &amp;$C$1),IncomeCalcs!$AU$2:$AU37,0),MATCH($B12,IncomeCalcs!$AV$2:$BA$2,0))</f>
        <v>0</v>
      </c>
      <c r="G33" s="69">
        <f t="array" ref="G33">INDEX(IncomeCalcs!$AV$2:$BA$254,MATCH(DATEVALUE(MATCH(G$2,{"January","February","March","April","May","June","July","August","September","October","November","December"},0) &amp; "/1/" &amp;$C$1),IncomeCalcs!$AU$2:$AU37,0),MATCH($B12,IncomeCalcs!$AV$2:$BA$2,0))</f>
        <v>0</v>
      </c>
      <c r="H33" s="69">
        <f t="array" ref="H33">INDEX(IncomeCalcs!$AV$2:$BA$254,MATCH(DATEVALUE(MATCH(H$2,{"January","February","March","April","May","June","July","August","September","October","November","December"},0) &amp; "/1/" &amp;$C$1),IncomeCalcs!$AU$2:$AU37,0),MATCH($B12,IncomeCalcs!$AV$2:$BA$2,0))</f>
        <v>0</v>
      </c>
      <c r="I33" s="48">
        <f t="shared" si="5"/>
        <v>0</v>
      </c>
      <c r="J33" s="38"/>
      <c r="S33" s="38"/>
    </row>
    <row r="34" ht="18.75" customHeight="1">
      <c r="A34" s="45"/>
      <c r="B34" s="46" t="s">
        <v>15</v>
      </c>
      <c r="C34" s="69">
        <f t="array" ref="C34">INDEX(IncomeCalcs!$AV$2:$BA$254,MATCH(DATEVALUE(MATCH(C$2,{"January","February","March","April","May","June","July","August","September","October","November","December"},0) &amp; "/1/" &amp;$C$1),IncomeCalcs!$AU$2:$AU37,0),MATCH($B13,IncomeCalcs!$AV$2:$BA$2,0))</f>
        <v>0</v>
      </c>
      <c r="D34" s="69">
        <f t="array" ref="D34">INDEX(IncomeCalcs!$AV$2:$BA$254,MATCH(DATEVALUE(MATCH(D$2,{"January","February","March","April","May","June","July","August","September","October","November","December"},0) &amp; "/1/" &amp;$C$1),IncomeCalcs!$AU$2:$AU37,0),MATCH($B13,IncomeCalcs!$AV$2:$BA$2,0))</f>
        <v>0</v>
      </c>
      <c r="E34" s="69">
        <f t="array" ref="E34">INDEX(IncomeCalcs!$AV$2:$BA$254,MATCH(DATEVALUE(MATCH(E$2,{"January","February","March","April","May","June","July","August","September","October","November","December"},0) &amp; "/1/" &amp;$C$1),IncomeCalcs!$AU$2:$AU37,0),MATCH($B13,IncomeCalcs!$AV$2:$BA$2,0))</f>
        <v>0</v>
      </c>
      <c r="F34" s="69">
        <f t="array" ref="F34">INDEX(IncomeCalcs!$AV$2:$BA$254,MATCH(DATEVALUE(MATCH(F$2,{"January","February","March","April","May","June","July","August","September","October","November","December"},0) &amp; "/1/" &amp;$C$1),IncomeCalcs!$AU$2:$AU37,0),MATCH($B13,IncomeCalcs!$AV$2:$BA$2,0))</f>
        <v>0</v>
      </c>
      <c r="G34" s="69">
        <f t="array" ref="G34">INDEX(IncomeCalcs!$AV$2:$BA$254,MATCH(DATEVALUE(MATCH(G$2,{"January","February","March","April","May","June","July","August","September","October","November","December"},0) &amp; "/1/" &amp;$C$1),IncomeCalcs!$AU$2:$AU37,0),MATCH($B13,IncomeCalcs!$AV$2:$BA$2,0))</f>
        <v>0</v>
      </c>
      <c r="H34" s="69">
        <f t="array" ref="H34">INDEX(IncomeCalcs!$AV$2:$BA$254,MATCH(DATEVALUE(MATCH(H$2,{"January","February","March","April","May","June","July","August","September","October","November","December"},0) &amp; "/1/" &amp;$C$1),IncomeCalcs!$AU$2:$AU37,0),MATCH($B13,IncomeCalcs!$AV$2:$BA$2,0))</f>
        <v>0</v>
      </c>
      <c r="I34" s="48">
        <f t="shared" si="5"/>
        <v>0</v>
      </c>
      <c r="J34" s="38"/>
      <c r="S34" s="38"/>
    </row>
    <row r="35" ht="18.75" customHeight="1">
      <c r="A35" s="45"/>
      <c r="B35" s="46" t="s">
        <v>26</v>
      </c>
      <c r="C35" s="69">
        <f t="array" ref="C35">INDEX(IncomeCalcs!$AV$2:$BA$254,MATCH(DATEVALUE(MATCH(C$2,{"January","February","March","April","May","June","July","August","September","October","November","December"},0) &amp; "/1/" &amp;$C$1),IncomeCalcs!$AU$2:$AU37,0),MATCH($B14,IncomeCalcs!$AV$2:$BA$2,0))</f>
        <v>0</v>
      </c>
      <c r="D35" s="69">
        <f t="array" ref="D35">INDEX(IncomeCalcs!$AV$2:$BA$254,MATCH(DATEVALUE(MATCH(D$2,{"January","February","March","April","May","June","July","August","September","October","November","December"},0) &amp; "/1/" &amp;$C$1),IncomeCalcs!$AU$2:$AU37,0),MATCH($B14,IncomeCalcs!$AV$2:$BA$2,0))</f>
        <v>0</v>
      </c>
      <c r="E35" s="69">
        <f t="array" ref="E35">INDEX(IncomeCalcs!$AV$2:$BA$254,MATCH(DATEVALUE(MATCH(E$2,{"January","February","March","April","May","June","July","August","September","October","November","December"},0) &amp; "/1/" &amp;$C$1),IncomeCalcs!$AU$2:$AU37,0),MATCH($B14,IncomeCalcs!$AV$2:$BA$2,0))</f>
        <v>0</v>
      </c>
      <c r="F35" s="69">
        <f t="array" ref="F35">INDEX(IncomeCalcs!$AV$2:$BA$254,MATCH(DATEVALUE(MATCH(F$2,{"January","February","March","April","May","June","July","August","September","October","November","December"},0) &amp; "/1/" &amp;$C$1),IncomeCalcs!$AU$2:$AU37,0),MATCH($B14,IncomeCalcs!$AV$2:$BA$2,0))</f>
        <v>0</v>
      </c>
      <c r="G35" s="69">
        <f t="array" ref="G35">INDEX(IncomeCalcs!$AV$2:$BA$254,MATCH(DATEVALUE(MATCH(G$2,{"January","February","March","April","May","June","July","August","September","October","November","December"},0) &amp; "/1/" &amp;$C$1),IncomeCalcs!$AU$2:$AU37,0),MATCH($B14,IncomeCalcs!$AV$2:$BA$2,0))</f>
        <v>0</v>
      </c>
      <c r="H35" s="69">
        <f t="array" ref="H35">INDEX(IncomeCalcs!$AV$2:$BA$254,MATCH(DATEVALUE(MATCH(H$2,{"January","February","March","April","May","June","July","August","September","October","November","December"},0) &amp; "/1/" &amp;$C$1),IncomeCalcs!$AU$2:$AU37,0),MATCH($B14,IncomeCalcs!$AV$2:$BA$2,0))</f>
        <v>0</v>
      </c>
      <c r="I35" s="48">
        <f t="shared" si="5"/>
        <v>0</v>
      </c>
      <c r="J35" s="38"/>
      <c r="S35" s="38"/>
    </row>
    <row r="36" ht="18.75" customHeight="1">
      <c r="A36" s="45"/>
      <c r="B36" s="46" t="s">
        <v>19</v>
      </c>
      <c r="C36" s="69">
        <f t="array" ref="C36">INDEX(IncomeCalcs!$AV$2:$BA$254,MATCH(DATEVALUE(MATCH(C$2,{"January","February","March","April","May","June","July","August","September","October","November","December"},0) &amp; "/1/" &amp;$C$1),IncomeCalcs!$AU$2:$AU37,0),MATCH($B15,IncomeCalcs!$AV$2:$BA$2,0))</f>
        <v>0</v>
      </c>
      <c r="D36" s="69">
        <f t="array" ref="D36">INDEX(IncomeCalcs!$AV$2:$BA$254,MATCH(DATEVALUE(MATCH(D$2,{"January","February","March","April","May","June","July","August","September","October","November","December"},0) &amp; "/1/" &amp;$C$1),IncomeCalcs!$AU$2:$AU37,0),MATCH($B15,IncomeCalcs!$AV$2:$BA$2,0))</f>
        <v>0</v>
      </c>
      <c r="E36" s="69">
        <f t="array" ref="E36">INDEX(IncomeCalcs!$AV$2:$BA$254,MATCH(DATEVALUE(MATCH(E$2,{"January","February","March","April","May","June","July","August","September","October","November","December"},0) &amp; "/1/" &amp;$C$1),IncomeCalcs!$AU$2:$AU37,0),MATCH($B15,IncomeCalcs!$AV$2:$BA$2,0))</f>
        <v>0</v>
      </c>
      <c r="F36" s="69">
        <f t="array" ref="F36">INDEX(IncomeCalcs!$AV$2:$BA$254,MATCH(DATEVALUE(MATCH(F$2,{"January","February","March","April","May","June","July","August","September","October","November","December"},0) &amp; "/1/" &amp;$C$1),IncomeCalcs!$AU$2:$AU37,0),MATCH($B15,IncomeCalcs!$AV$2:$BA$2,0))</f>
        <v>0</v>
      </c>
      <c r="G36" s="69">
        <f t="array" ref="G36">INDEX(IncomeCalcs!$AV$2:$BA$254,MATCH(DATEVALUE(MATCH(G$2,{"January","February","March","April","May","June","July","August","September","October","November","December"},0) &amp; "/1/" &amp;$C$1),IncomeCalcs!$AU$2:$AU37,0),MATCH($B15,IncomeCalcs!$AV$2:$BA$2,0))</f>
        <v>0</v>
      </c>
      <c r="H36" s="69">
        <f t="array" ref="H36">INDEX(IncomeCalcs!$AV$2:$BA$254,MATCH(DATEVALUE(MATCH(H$2,{"January","February","March","April","May","June","July","August","September","October","November","December"},0) &amp; "/1/" &amp;$C$1),IncomeCalcs!$AU$2:$AU37,0),MATCH($B15,IncomeCalcs!$AV$2:$BA$2,0))</f>
        <v>0</v>
      </c>
      <c r="I36" s="48">
        <f t="shared" si="5"/>
        <v>0</v>
      </c>
      <c r="J36" s="38"/>
      <c r="S36" s="74"/>
    </row>
    <row r="37" ht="18.75" customHeight="1">
      <c r="A37" s="75"/>
      <c r="B37" s="57" t="s">
        <v>23</v>
      </c>
      <c r="C37" s="69">
        <f t="array" ref="C37">INDEX(IncomeCalcs!$AV$2:$BA$254,MATCH(DATEVALUE(MATCH(C$2,{"January","February","March","April","May","June","July","August","September","October","November","December"},0) &amp; "/1/" &amp;$C$1),IncomeCalcs!$AU$2:$AU37,0),MATCH($B16,IncomeCalcs!$AV$2:$BA$2,0))</f>
        <v>0</v>
      </c>
      <c r="D37" s="69">
        <f t="array" ref="D37">INDEX(IncomeCalcs!$AV$2:$BA$254,MATCH(DATEVALUE(MATCH(D$2,{"January","February","March","April","May","June","July","August","September","October","November","December"},0) &amp; "/1/" &amp;$C$1),IncomeCalcs!$AU$2:$AU37,0),MATCH($B16,IncomeCalcs!$AV$2:$BA$2,0))</f>
        <v>0</v>
      </c>
      <c r="E37" s="69">
        <f t="array" ref="E37">INDEX(IncomeCalcs!$AV$2:$BA$254,MATCH(DATEVALUE(MATCH(E$2,{"January","February","March","April","May","June","July","August","September","October","November","December"},0) &amp; "/1/" &amp;$C$1),IncomeCalcs!$AU$2:$AU37,0),MATCH($B16,IncomeCalcs!$AV$2:$BA$2,0))</f>
        <v>0</v>
      </c>
      <c r="F37" s="69">
        <f t="array" ref="F37">INDEX(IncomeCalcs!$AV$2:$BA$254,MATCH(DATEVALUE(MATCH(F$2,{"January","February","March","April","May","June","July","August","September","October","November","December"},0) &amp; "/1/" &amp;$C$1),IncomeCalcs!$AU$2:$AU37,0),MATCH($B16,IncomeCalcs!$AV$2:$BA$2,0))</f>
        <v>0</v>
      </c>
      <c r="G37" s="69">
        <f t="array" ref="G37">INDEX(IncomeCalcs!$AV$2:$BA$254,MATCH(DATEVALUE(MATCH(G$2,{"January","February","March","April","May","June","July","August","September","October","November","December"},0) &amp; "/1/" &amp;$C$1),IncomeCalcs!$AU$2:$AU37,0),MATCH($B16,IncomeCalcs!$AV$2:$BA$2,0))</f>
        <v>0</v>
      </c>
      <c r="H37" s="69">
        <f t="array" ref="H37">INDEX(IncomeCalcs!$AV$2:$BA$254,MATCH(DATEVALUE(MATCH(H$2,{"January","February","March","April","May","June","July","August","September","October","November","December"},0) &amp; "/1/" &amp;$C$1),IncomeCalcs!$AU$2:$AU37,0),MATCH($B16,IncomeCalcs!$AV$2:$BA$2,0))</f>
        <v>0</v>
      </c>
      <c r="I37" s="48">
        <f t="shared" si="5"/>
        <v>0</v>
      </c>
      <c r="J37" s="38"/>
      <c r="S37" s="76"/>
    </row>
  </sheetData>
  <mergeCells count="16">
    <mergeCell ref="T3:U3"/>
    <mergeCell ref="T4:U4"/>
    <mergeCell ref="T5:U5"/>
    <mergeCell ref="T6:V37"/>
    <mergeCell ref="J3:J37"/>
    <mergeCell ref="K11:R37"/>
    <mergeCell ref="A17:A23"/>
    <mergeCell ref="A24:A30"/>
    <mergeCell ref="A31:A37"/>
    <mergeCell ref="A1:B1"/>
    <mergeCell ref="R1:V1"/>
    <mergeCell ref="U2:V2"/>
    <mergeCell ref="A3:B3"/>
    <mergeCell ref="S3:S36"/>
    <mergeCell ref="A4:A9"/>
    <mergeCell ref="A10:A16"/>
  </mergeCells>
  <conditionalFormatting sqref="R1 S1:S37 T1:V1 J2:J37">
    <cfRule type="expression" dxfId="0" priority="1">
      <formula>$A$1="Spring"</formula>
    </cfRule>
  </conditionalFormatting>
  <conditionalFormatting sqref="R1 S1:S37 T1:V1 J2:J37">
    <cfRule type="expression" dxfId="1" priority="2">
      <formula>$A$1="Fall"</formula>
    </cfRule>
  </conditionalFormatting>
  <conditionalFormatting sqref="A1">
    <cfRule type="containsText" dxfId="2" priority="3" operator="containsText" text="Spring">
      <formula>NOT(ISERROR(SEARCH(("Spring"),(A1))))</formula>
    </cfRule>
  </conditionalFormatting>
  <conditionalFormatting sqref="A1">
    <cfRule type="containsText" dxfId="3" priority="4" operator="containsText" text="Fall">
      <formula>NOT(ISERROR(SEARCH(("Fall"),(A1))))</formula>
    </cfRule>
  </conditionalFormatting>
  <conditionalFormatting sqref="J1">
    <cfRule type="notContainsBlanks" dxfId="4" priority="5">
      <formula>LEN(TRIM(J1))&gt;0</formula>
    </cfRule>
  </conditionalFormatting>
  <conditionalFormatting sqref="A3:R3">
    <cfRule type="expression" dxfId="5" priority="6">
      <formula>$A$1="Spring"</formula>
    </cfRule>
  </conditionalFormatting>
  <conditionalFormatting sqref="A3:R3">
    <cfRule type="expression" dxfId="6" priority="7">
      <formula>$A$1="Fall"</formula>
    </cfRule>
  </conditionalFormatting>
  <dataValidations>
    <dataValidation type="list" allowBlank="1" showErrorMessage="1" sqref="C1">
      <formula1>"2020,2021,2022,2023,2024,2025,2026,2027,2028,2029,2030,2031,2032,2033,2034,2035,2036,2037,2038,2039,2040"</formula1>
    </dataValidation>
    <dataValidation type="list" allowBlank="1" showErrorMessage="1" sqref="A1">
      <formula1>"Spring,Fall"</formula1>
    </dataValidation>
  </dataValidations>
  <printOptions gridLines="1" horizontalCentered="1"/>
  <pageMargins bottom="0.75" footer="0.0" header="0.0" left="0.25" right="0.25" top="0.75"/>
  <pageSetup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0.5"/>
    <col customWidth="1" min="2" max="2" width="10.75"/>
    <col customWidth="1" min="3" max="3" width="11.75"/>
    <col customWidth="1" min="4" max="5" width="21.5"/>
    <col customWidth="1" min="6" max="7" width="22.0"/>
    <col customWidth="1" min="8" max="9" width="16.5"/>
    <col customWidth="1" min="10" max="10" width="32.25"/>
    <col customWidth="1" min="11" max="11" width="0.5"/>
    <col customWidth="1" min="12" max="12" width="11.88"/>
    <col customWidth="1" min="13" max="13" width="12.5"/>
    <col customWidth="1" min="14" max="14" width="11.5"/>
    <col customWidth="1" min="15" max="15" width="40.63"/>
    <col customWidth="1" min="16" max="16" width="30.13"/>
    <col customWidth="1" min="17" max="17" width="27.25"/>
  </cols>
  <sheetData>
    <row r="1" ht="16.5" customHeight="1">
      <c r="A1" s="77" t="s">
        <v>28</v>
      </c>
    </row>
    <row r="2" ht="16.5" customHeight="1">
      <c r="A2" s="78" t="s">
        <v>29</v>
      </c>
    </row>
    <row r="3" ht="28.5" customHeight="1">
      <c r="A3" s="79" t="s">
        <v>30</v>
      </c>
      <c r="B3" s="80" t="s">
        <v>31</v>
      </c>
      <c r="C3" s="80" t="s">
        <v>32</v>
      </c>
      <c r="D3" s="81" t="s">
        <v>33</v>
      </c>
      <c r="E3" s="81" t="s">
        <v>34</v>
      </c>
      <c r="F3" s="82" t="s">
        <v>35</v>
      </c>
      <c r="G3" s="81" t="s">
        <v>36</v>
      </c>
      <c r="H3" s="80" t="s">
        <v>37</v>
      </c>
      <c r="I3" s="80" t="s">
        <v>38</v>
      </c>
      <c r="J3" s="82" t="s">
        <v>39</v>
      </c>
      <c r="K3" s="83" t="s">
        <v>40</v>
      </c>
      <c r="L3" s="84" t="s">
        <v>41</v>
      </c>
      <c r="M3" s="85" t="s">
        <v>42</v>
      </c>
      <c r="N3" s="80" t="s">
        <v>43</v>
      </c>
      <c r="O3" s="82" t="s">
        <v>44</v>
      </c>
      <c r="P3" s="86" t="s">
        <v>45</v>
      </c>
      <c r="Q3" s="87" t="s">
        <v>46</v>
      </c>
    </row>
    <row r="4" ht="13.5" customHeight="1">
      <c r="A4" s="88">
        <f>IFERROR(__xludf.DUMMYFUNCTION("IMPORTRANGE(""18RaQw448NnENcNftounuam8eQyPVXS6StgZUz-RLzHA/edit#gid=259554390"",""UTA Cat Coalition Membership Application!A2:A999"")"),44586.73601363426)</f>
        <v>44586.73601</v>
      </c>
      <c r="B4" s="89" t="b">
        <v>1</v>
      </c>
      <c r="C4" s="90" t="str">
        <f t="shared" ref="C4:C232" si="1">IF(A4&lt;&gt;"", IFERROR(IF(MONTH(A4) &lt; 6, "Spring ", "Fall ") &amp; IF(MONTH(A4) &lt; 6, YEAR(A4), YEAR(A4) + IF(MONTH(A4) = 12, 1, 0)), ""), "")</f>
        <v>Spring 2022</v>
      </c>
      <c r="D4" s="91" t="str">
        <f>IFERROR(__xludf.DUMMYFUNCTION("ARRAYFORMULA(IF(LEN(IMPORTRANGE(""18RaQw448NnENcNftounuam8eQyPVXS6StgZUz-RLzHA"", ""UTA Cat Coalition Membership Application!B2:B999"")), HYPERLINK(""mailto:"" &amp; IMPORTRANGE(""18RaQw448NnENcNftounuam8eQyPVXS6StgZUz-RLzHA"", ""UTA Cat Coalition Membership "&amp;"Application!B2:B999""), IMPORTRANGE(""18RaQw448NnENcNftounuam8eQyPVXS6StgZUz-RLzHA"", ""UTA Cat Coalition Membership Application!B2:B999"")), """"))"),"jxc7884@mavs.uta.edu")</f>
        <v>jxc7884@mavs.uta.edu</v>
      </c>
      <c r="E4" s="92" t="str">
        <f>IFERROR(__xludf.DUMMYFUNCTION("IMPORTRANGE(""18RaQw448NnENcNftounuam8eQyPVXS6StgZUz-RLzHA/edit#gid=259554390"",""UTA Cat Coalition Membership Application!C2:C999"")"),"Jocelyn Clark")</f>
        <v>Jocelyn Clark</v>
      </c>
      <c r="F4" s="93" t="str">
        <f>IFERROR(__xludf.DUMMYFUNCTION("IMPORTRANGE(""18RaQw448NnENcNftounuam8eQyPVXS6StgZUz-RLzHA/edit#gid=259554390"",""UTA Cat Coalition Membership Application!D2:D999"")"),"Joce#6921")</f>
        <v>Joce#6921</v>
      </c>
      <c r="G4" s="92" t="str">
        <f>IFERROR(__xludf.DUMMYFUNCTION("IMPORTRANGE(""18RaQw448NnENcNftounuam8eQyPVXS6StgZUz-RLzHA/edit#gid=259554390"",""UTA Cat Coalition Membership Application!M2:M999"")"),"")</f>
        <v/>
      </c>
      <c r="H4" s="94" t="str">
        <f>IFERROR(__xludf.DUMMYFUNCTION("ARRAYFORMULA(IF(LEN(IMPORTRANGE(""18RaQw448NnENcNftounuam8eQyPVXS6StgZUz-RLzHA"", ""UTA Cat Coalition Membership Application!E2:E999"")), ""("" &amp; MID(SUBSTITUTE(SUBSTITUTE(SUBSTITUTE(IMPORTRANGE(""18RaQw448NnENcNftounuam8eQyPVXS6StgZUz-RLzHA"", ""UTA Cat "&amp;"Coalition Membership Application!E2:E999""), ""("", """"), "")"", """"), ""-"", """"), 1, 3) &amp; "") "" &amp; MID(SUBSTITUTE(SUBSTITUTE(SUBSTITUTE(IMPORTRANGE(""18RaQw448NnENcNftounuam8eQyPVXS6StgZUz-RLzHA"", ""UTA Cat Coalition Membership Application!E2:E999"""&amp;"), ""("", """"), "")"", """"), ""-"", """"), 4, 3) &amp; ""-"" &amp; MID(SUBSTITUTE(SUBSTITUTE(SUBSTITUTE(IMPORTRANGE(""18RaQw448NnENcNftounuam8eQyPVXS6StgZUz-RLzHA"", ""UTA Cat Coalition Membership Application!E2:E999""), ""("", """"), "")"", """"), ""-"", """")"&amp;", 7, 4), """"))"),"(956) 701-9964")</f>
        <v>(956) 701-9964</v>
      </c>
      <c r="I4" s="94" t="str">
        <f>IFERROR(__xludf.DUMMYFUNCTION("ARRAYFORMULA(SUBSTITUTE(SUBSTITUTE(SUBSTITUTE(IMPORTRANGE(""18RaQw448NnENcNftounuam8eQyPVXS6StgZUz-RLzHA"", ""UTA Cat Coalition Membership Application!G2:G999""), ""Student Member"", ""Student""), ""Community Member"", ""Community Member""), ""UTA Faculty"&amp;" and Staff"", ""UTA Faculty""))"),"Student")</f>
        <v>Student</v>
      </c>
      <c r="J4" s="93" t="str">
        <f>IFERROR(__xludf.DUMMYFUNCTION("ARRAYFORMULA(IF(ROW(I4:I1003)&lt;=92, IF(IMPORTRANGE(""18RaQw448NnENcNftounuam8eQyPVXS6StgZUz-RLzHA"", ""UTA Cat Coalition Membership Application!H2:H"") = ""$15 and Submit Payment Verification on Discord"", ""$15 Donation, Discord Verification"", IF(IMPORTR"&amp;"ANGE(""18RaQw448NnENcNftounuam8eQyPVXS6StgZUz-RLzHA"", ""UTA Cat Coalition Membership Application!H2:H"") = ""Provide Donation of Cat Food (wet or dry) and or Cat Litter; notify an officer beforehand"", ""Food/Litter Donation"", """")), IF(ISNUMBER(SEARCH"&amp;"(""$15 and Submit Payment Verification on Discord"", IMPORTRANGE(""18RaQw448NnENcNftounuam8eQyPVXS6StgZUz-RLzHA"", ""UTA Cat Coalition Membership Application!H2:H""))), ""$15 Donation, Discord Verification"", IF(ISNUMBER(SEARCH(""Provide Donation of Cat F"&amp;"ood (wet or dry) and or Cat Litter; notify an officer beforehand"", IMPORTRANGE(""18RaQw448NnENcNftounuam8eQyPVXS6StgZUz-RLzHA"", ""UTA Cat Coalition Membership Application!H2:H""))), ""Food/Litter Donation"", """"))))"),"$15 Donation, Discord Verification")</f>
        <v>$15 Donation, Discord Verification</v>
      </c>
      <c r="K4" s="95"/>
      <c r="L4" s="96"/>
      <c r="M4" s="95"/>
      <c r="N4" s="97"/>
      <c r="O4" s="93" t="str">
        <f>IFERROR(__xludf.DUMMYFUNCTION("ARRAYFORMULA(IF(LEN(IMPORTRANGE(""18RaQw448NnENcNftounuam8eQyPVXS6StgZUz-RLzHA"", ""UTA Cat Coalition Membership Application!I2:I"")), SUBSTITUTE(SUBSTITUTE(SUBSTITUTE(SUBSTITUTE(SUBSTITUTE(SUBSTITUTE(SUBSTITUTE(SUBSTITUTE(IMPORTRANGE(""18RaQw448NnENcNfto"&amp;"unuam8eQyPVXS6StgZUz-RLzHA"", ""UTA Cat Coalition Membership Application!I2:I""), ""Fundraising Committee"", ""Fundraising""), ""Public Relations Committee"", ""PR""), ""Membership Committee"", ""Membership""), ""TNR Team"", ""TNR""), ""Overnight TNR Comm"&amp;"ittee"", ""Overnight TNR""), ""Feeding Team"", ""Feeding""), ""Fostering Committee"", ""Fostering""), ""Shelter Maintenance Team"", ""Shelter Maintenance""), """"))"),"PR, Feeding")</f>
        <v>PR, Feeding</v>
      </c>
      <c r="P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 s="99"/>
    </row>
    <row r="5" ht="13.5" customHeight="1">
      <c r="A5" s="88">
        <f>IFERROR(__xludf.DUMMYFUNCTION("""COMPUTED_VALUE"""),44586.73717479166)</f>
        <v>44586.73717</v>
      </c>
      <c r="B5" s="89" t="b">
        <v>1</v>
      </c>
      <c r="C5" s="90" t="str">
        <f t="shared" si="1"/>
        <v>Spring 2022</v>
      </c>
      <c r="D5" s="91" t="str">
        <f>IFERROR(__xludf.DUMMYFUNCTION("""COMPUTED_VALUE"""),"cindylou.skipper@mavs.uta.edu")</f>
        <v>cindylou.skipper@mavs.uta.edu</v>
      </c>
      <c r="E5" s="92" t="str">
        <f>IFERROR(__xludf.DUMMYFUNCTION("""COMPUTED_VALUE"""),"Cindy Lou Skipper")</f>
        <v>Cindy Lou Skipper</v>
      </c>
      <c r="F5" s="93" t="str">
        <f>IFERROR(__xludf.DUMMYFUNCTION("""COMPUTED_VALUE"""),"meiyingcinskip#2026")</f>
        <v>meiyingcinskip#2026</v>
      </c>
      <c r="G5" s="92"/>
      <c r="H5" s="94" t="str">
        <f>IFERROR(__xludf.DUMMYFUNCTION("""COMPUTED_VALUE"""),"(682) 551-7350")</f>
        <v>(682) 551-7350</v>
      </c>
      <c r="I5" s="94" t="str">
        <f>IFERROR(__xludf.DUMMYFUNCTION("""COMPUTED_VALUE"""),"Student")</f>
        <v>Student</v>
      </c>
      <c r="J5" s="93" t="str">
        <f>IFERROR(__xludf.DUMMYFUNCTION("""COMPUTED_VALUE"""),"Food/Litter Donation")</f>
        <v>Food/Litter Donation</v>
      </c>
      <c r="K5" s="100"/>
      <c r="L5" s="101"/>
      <c r="M5" s="100"/>
      <c r="N5" s="94"/>
      <c r="O5" s="93" t="str">
        <f>IFERROR(__xludf.DUMMYFUNCTION("""COMPUTED_VALUE"""),"none")</f>
        <v>none</v>
      </c>
      <c r="P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 s="99"/>
    </row>
    <row r="6" ht="13.5" customHeight="1">
      <c r="A6" s="88">
        <f>IFERROR(__xludf.DUMMYFUNCTION("""COMPUTED_VALUE"""),44586.73839827546)</f>
        <v>44586.7384</v>
      </c>
      <c r="B6" s="89" t="b">
        <v>1</v>
      </c>
      <c r="C6" s="90" t="str">
        <f t="shared" si="1"/>
        <v>Spring 2022</v>
      </c>
      <c r="D6" s="91" t="str">
        <f>IFERROR(__xludf.DUMMYFUNCTION("""COMPUTED_VALUE"""),"arianaharbr@gmail.com")</f>
        <v>arianaharbr@gmail.com</v>
      </c>
      <c r="E6" s="92" t="str">
        <f>IFERROR(__xludf.DUMMYFUNCTION("""COMPUTED_VALUE"""),"Ariana Harbrink")</f>
        <v>Ariana Harbrink</v>
      </c>
      <c r="F6" s="93" t="str">
        <f>IFERROR(__xludf.DUMMYFUNCTION("""COMPUTED_VALUE"""),"arianaa#2399")</f>
        <v>arianaa#2399</v>
      </c>
      <c r="G6" s="92"/>
      <c r="H6" s="94" t="str">
        <f>IFERROR(__xludf.DUMMYFUNCTION("""COMPUTED_VALUE"""),"(962) 795-1961")</f>
        <v>(962) 795-1961</v>
      </c>
      <c r="I6" s="94" t="str">
        <f>IFERROR(__xludf.DUMMYFUNCTION("""COMPUTED_VALUE"""),"Student")</f>
        <v>Student</v>
      </c>
      <c r="J6" s="93" t="str">
        <f>IFERROR(__xludf.DUMMYFUNCTION("""COMPUTED_VALUE"""),"$15 Donation, Discord Verification")</f>
        <v>$15 Donation, Discord Verification</v>
      </c>
      <c r="K6" s="100"/>
      <c r="L6" s="101"/>
      <c r="M6" s="100"/>
      <c r="N6" s="94"/>
      <c r="O6" s="93" t="str">
        <f>IFERROR(__xludf.DUMMYFUNCTION("""COMPUTED_VALUE"""),"Feeding, Shelter Maintenance, TNR, Press Secretary (officer role)")</f>
        <v>Feeding, Shelter Maintenance, TNR, Press Secretary (officer role)</v>
      </c>
      <c r="P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 s="99"/>
    </row>
    <row r="7" ht="13.5" customHeight="1">
      <c r="A7" s="88">
        <f>IFERROR(__xludf.DUMMYFUNCTION("""COMPUTED_VALUE"""),44586.73946186343)</f>
        <v>44586.73946</v>
      </c>
      <c r="B7" s="89" t="b">
        <v>1</v>
      </c>
      <c r="C7" s="90" t="str">
        <f t="shared" si="1"/>
        <v>Spring 2022</v>
      </c>
      <c r="D7" s="91" t="str">
        <f>IFERROR(__xludf.DUMMYFUNCTION("""COMPUTED_VALUE"""),"jxw1244@mavs.uta.edu")</f>
        <v>jxw1244@mavs.uta.edu</v>
      </c>
      <c r="E7" s="92" t="str">
        <f>IFERROR(__xludf.DUMMYFUNCTION("""COMPUTED_VALUE"""),"Jane Wang")</f>
        <v>Jane Wang</v>
      </c>
      <c r="F7" s="93" t="str">
        <f>IFERROR(__xludf.DUMMYFUNCTION("""COMPUTED_VALUE"""),"Jane_IRL#7185")</f>
        <v>Jane_IRL#7185</v>
      </c>
      <c r="G7" s="92"/>
      <c r="H7" s="94" t="str">
        <f>IFERROR(__xludf.DUMMYFUNCTION("""COMPUTED_VALUE"""),"")</f>
        <v/>
      </c>
      <c r="I7" s="94" t="str">
        <f>IFERROR(__xludf.DUMMYFUNCTION("""COMPUTED_VALUE"""),"Student")</f>
        <v>Student</v>
      </c>
      <c r="J7" s="93" t="str">
        <f>IFERROR(__xludf.DUMMYFUNCTION("""COMPUTED_VALUE"""),"$15 Donation, Discord Verification")</f>
        <v>$15 Donation, Discord Verification</v>
      </c>
      <c r="K7" s="100"/>
      <c r="L7" s="101"/>
      <c r="M7" s="100"/>
      <c r="N7" s="94"/>
      <c r="O7" s="93" t="str">
        <f>IFERROR(__xludf.DUMMYFUNCTION("""COMPUTED_VALUE"""),"Feeding, Shelter Maintenance")</f>
        <v>Feeding, Shelter Maintenance</v>
      </c>
      <c r="P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 s="99"/>
    </row>
    <row r="8" ht="13.5" customHeight="1">
      <c r="A8" s="88">
        <f>IFERROR(__xludf.DUMMYFUNCTION("""COMPUTED_VALUE"""),44586.74047921297)</f>
        <v>44586.74048</v>
      </c>
      <c r="B8" s="89" t="b">
        <v>1</v>
      </c>
      <c r="C8" s="90" t="str">
        <f t="shared" si="1"/>
        <v>Spring 2022</v>
      </c>
      <c r="D8" s="91" t="str">
        <f>IFERROR(__xludf.DUMMYFUNCTION("""COMPUTED_VALUE"""),"sydney.stumpf@mavs.uta.edu")</f>
        <v>sydney.stumpf@mavs.uta.edu</v>
      </c>
      <c r="E8" s="92" t="str">
        <f>IFERROR(__xludf.DUMMYFUNCTION("""COMPUTED_VALUE"""),"Sydney Stumpf")</f>
        <v>Sydney Stumpf</v>
      </c>
      <c r="F8" s="93" t="str">
        <f>IFERROR(__xludf.DUMMYFUNCTION("""COMPUTED_VALUE"""),"sydneystumpf ")</f>
        <v>sydneystumpf </v>
      </c>
      <c r="G8" s="92"/>
      <c r="H8" s="94" t="str">
        <f>IFERROR(__xludf.DUMMYFUNCTION("""COMPUTED_VALUE"""),"(972) 571-0727")</f>
        <v>(972) 571-0727</v>
      </c>
      <c r="I8" s="94" t="str">
        <f>IFERROR(__xludf.DUMMYFUNCTION("""COMPUTED_VALUE"""),"Student")</f>
        <v>Student</v>
      </c>
      <c r="J8" s="93" t="str">
        <f>IFERROR(__xludf.DUMMYFUNCTION("""COMPUTED_VALUE"""),"$15 Donation, Discord Verification")</f>
        <v>$15 Donation, Discord Verification</v>
      </c>
      <c r="K8" s="100"/>
      <c r="L8" s="101"/>
      <c r="M8" s="100"/>
      <c r="N8" s="94"/>
      <c r="O8" s="93" t="str">
        <f>IFERROR(__xludf.DUMMYFUNCTION("""COMPUTED_VALUE"""),"PR, Feeding")</f>
        <v>PR, Feeding</v>
      </c>
      <c r="P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8" s="99"/>
    </row>
    <row r="9" ht="13.5" customHeight="1">
      <c r="A9" s="88">
        <f>IFERROR(__xludf.DUMMYFUNCTION("""COMPUTED_VALUE"""),44586.76115482639)</f>
        <v>44586.76115</v>
      </c>
      <c r="B9" s="89" t="b">
        <v>1</v>
      </c>
      <c r="C9" s="90" t="str">
        <f t="shared" si="1"/>
        <v>Spring 2022</v>
      </c>
      <c r="D9" s="91" t="str">
        <f>IFERROR(__xludf.DUMMYFUNCTION("""COMPUTED_VALUE"""),"brandon.isom@mavs.uta.edu")</f>
        <v>brandon.isom@mavs.uta.edu</v>
      </c>
      <c r="E9" s="92" t="str">
        <f>IFERROR(__xludf.DUMMYFUNCTION("""COMPUTED_VALUE"""),"Brandon C Isom")</f>
        <v>Brandon C Isom</v>
      </c>
      <c r="F9" s="93" t="str">
        <f>IFERROR(__xludf.DUMMYFUNCTION("""COMPUTED_VALUE"""),"Imp#5991")</f>
        <v>Imp#5991</v>
      </c>
      <c r="G9" s="92"/>
      <c r="H9" s="94" t="str">
        <f>IFERROR(__xludf.DUMMYFUNCTION("""COMPUTED_VALUE"""),"(469) 403-9856")</f>
        <v>(469) 403-9856</v>
      </c>
      <c r="I9" s="94" t="str">
        <f>IFERROR(__xludf.DUMMYFUNCTION("""COMPUTED_VALUE"""),"Student")</f>
        <v>Student</v>
      </c>
      <c r="J9" s="93" t="str">
        <f>IFERROR(__xludf.DUMMYFUNCTION("""COMPUTED_VALUE"""),"$15 Donation, Discord Verification")</f>
        <v>$15 Donation, Discord Verification</v>
      </c>
      <c r="K9" s="100"/>
      <c r="L9" s="101"/>
      <c r="M9" s="100"/>
      <c r="N9" s="94"/>
      <c r="O9" s="93" t="str">
        <f>IFERROR(__xludf.DUMMYFUNCTION("""COMPUTED_VALUE"""),"I'm an officer lmao")</f>
        <v>I'm an officer lmao</v>
      </c>
      <c r="P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9" s="99"/>
    </row>
    <row r="10" ht="13.5" customHeight="1">
      <c r="A10" s="88">
        <f>IFERROR(__xludf.DUMMYFUNCTION("""COMPUTED_VALUE"""),44586.76173496528)</f>
        <v>44586.76173</v>
      </c>
      <c r="B10" s="89" t="b">
        <v>1</v>
      </c>
      <c r="C10" s="90" t="str">
        <f t="shared" si="1"/>
        <v>Spring 2022</v>
      </c>
      <c r="D10" s="91" t="str">
        <f>IFERROR(__xludf.DUMMYFUNCTION("""COMPUTED_VALUE"""),"hbb5589@mavs.uta.edu")</f>
        <v>hbb5589@mavs.uta.edu</v>
      </c>
      <c r="E10" s="92" t="str">
        <f>IFERROR(__xludf.DUMMYFUNCTION("""COMPUTED_VALUE"""),"Hannah Brantley")</f>
        <v>Hannah Brantley</v>
      </c>
      <c r="F10" s="93" t="str">
        <f>IFERROR(__xludf.DUMMYFUNCTION("""COMPUTED_VALUE"""),"HannahHalp#4486")</f>
        <v>HannahHalp#4486</v>
      </c>
      <c r="G10" s="92"/>
      <c r="H10" s="94" t="str">
        <f>IFERROR(__xludf.DUMMYFUNCTION("""COMPUTED_VALUE"""),"(682) 225-4460")</f>
        <v>(682) 225-4460</v>
      </c>
      <c r="I10" s="94" t="str">
        <f>IFERROR(__xludf.DUMMYFUNCTION("""COMPUTED_VALUE"""),"Student")</f>
        <v>Student</v>
      </c>
      <c r="J10" s="93" t="str">
        <f>IFERROR(__xludf.DUMMYFUNCTION("""COMPUTED_VALUE"""),"$15 Donation, Discord Verification")</f>
        <v>$15 Donation, Discord Verification</v>
      </c>
      <c r="K10" s="100"/>
      <c r="L10" s="101"/>
      <c r="M10" s="100"/>
      <c r="N10" s="94"/>
      <c r="O10" s="93" t="str">
        <f>IFERROR(__xludf.DUMMYFUNCTION("""COMPUTED_VALUE"""),"Fundraising, Feeding, Shelter Maintenance")</f>
        <v>Fundraising, Feeding, Shelter Maintenance</v>
      </c>
      <c r="P1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0" s="99"/>
    </row>
    <row r="11" ht="13.5" customHeight="1">
      <c r="A11" s="88">
        <f>IFERROR(__xludf.DUMMYFUNCTION("""COMPUTED_VALUE"""),44586.76373172454)</f>
        <v>44586.76373</v>
      </c>
      <c r="B11" s="89" t="b">
        <v>1</v>
      </c>
      <c r="C11" s="90" t="str">
        <f t="shared" si="1"/>
        <v>Spring 2022</v>
      </c>
      <c r="D11" s="91" t="str">
        <f>IFERROR(__xludf.DUMMYFUNCTION("""COMPUTED_VALUE"""),"angelina.nguyen2@mavs.uta.edu")</f>
        <v>angelina.nguyen2@mavs.uta.edu</v>
      </c>
      <c r="E11" s="92" t="str">
        <f>IFERROR(__xludf.DUMMYFUNCTION("""COMPUTED_VALUE"""),"Angelina Nguyen")</f>
        <v>Angelina Nguyen</v>
      </c>
      <c r="F11" s="93" t="str">
        <f>IFERROR(__xludf.DUMMYFUNCTION("""COMPUTED_VALUE"""),"@anglii#1259")</f>
        <v>@anglii#1259</v>
      </c>
      <c r="G11" s="92"/>
      <c r="H11" s="94" t="str">
        <f>IFERROR(__xludf.DUMMYFUNCTION("""COMPUTED_VALUE"""),"(682) 551-5588")</f>
        <v>(682) 551-5588</v>
      </c>
      <c r="I11" s="94" t="str">
        <f>IFERROR(__xludf.DUMMYFUNCTION("""COMPUTED_VALUE"""),"Student")</f>
        <v>Student</v>
      </c>
      <c r="J11" s="93" t="str">
        <f>IFERROR(__xludf.DUMMYFUNCTION("""COMPUTED_VALUE"""),"Food/Litter Donation")</f>
        <v>Food/Litter Donation</v>
      </c>
      <c r="K11" s="100"/>
      <c r="L11" s="101"/>
      <c r="M11" s="100"/>
      <c r="N11" s="94"/>
      <c r="O11" s="93" t="str">
        <f>IFERROR(__xludf.DUMMYFUNCTION("""COMPUTED_VALUE"""),"Feeding")</f>
        <v>Feeding</v>
      </c>
      <c r="P1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1" s="99"/>
    </row>
    <row r="12" ht="13.5" customHeight="1">
      <c r="A12" s="88">
        <f>IFERROR(__xludf.DUMMYFUNCTION("""COMPUTED_VALUE"""),44586.80134696759)</f>
        <v>44586.80135</v>
      </c>
      <c r="B12" s="89" t="b">
        <v>1</v>
      </c>
      <c r="C12" s="90" t="str">
        <f t="shared" si="1"/>
        <v>Spring 2022</v>
      </c>
      <c r="D12" s="91" t="str">
        <f>IFERROR(__xludf.DUMMYFUNCTION("""COMPUTED_VALUE"""),"claire.harvey@mavs.uta.edu")</f>
        <v>claire.harvey@mavs.uta.edu</v>
      </c>
      <c r="E12" s="92" t="str">
        <f>IFERROR(__xludf.DUMMYFUNCTION("""COMPUTED_VALUE"""),"Claire Harvey")</f>
        <v>Claire Harvey</v>
      </c>
      <c r="F12" s="93" t="str">
        <f>IFERROR(__xludf.DUMMYFUNCTION("""COMPUTED_VALUE"""),"claire.harvey#8083")</f>
        <v>claire.harvey#8083</v>
      </c>
      <c r="G12" s="92"/>
      <c r="H12" s="94" t="str">
        <f>IFERROR(__xludf.DUMMYFUNCTION("""COMPUTED_VALUE"""),"(205) 568-4290")</f>
        <v>(205) 568-4290</v>
      </c>
      <c r="I12" s="94" t="str">
        <f>IFERROR(__xludf.DUMMYFUNCTION("""COMPUTED_VALUE"""),"Student")</f>
        <v>Student</v>
      </c>
      <c r="J12" s="93" t="str">
        <f>IFERROR(__xludf.DUMMYFUNCTION("""COMPUTED_VALUE"""),"Food/Litter Donation")</f>
        <v>Food/Litter Donation</v>
      </c>
      <c r="K12" s="100"/>
      <c r="L12" s="101"/>
      <c r="M12" s="100"/>
      <c r="N12" s="94"/>
      <c r="O12" s="93" t="str">
        <f>IFERROR(__xludf.DUMMYFUNCTION("""COMPUTED_VALUE"""),"TNR, I can assist with transportation to vaccination clinics for fosters")</f>
        <v>TNR, I can assist with transportation to vaccination clinics for fosters</v>
      </c>
      <c r="P1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2" s="99"/>
    </row>
    <row r="13" ht="13.5" customHeight="1">
      <c r="A13" s="88">
        <f>IFERROR(__xludf.DUMMYFUNCTION("""COMPUTED_VALUE"""),44586.80291675926)</f>
        <v>44586.80292</v>
      </c>
      <c r="B13" s="89" t="b">
        <v>1</v>
      </c>
      <c r="C13" s="90" t="str">
        <f t="shared" si="1"/>
        <v>Spring 2022</v>
      </c>
      <c r="D13" s="91" t="str">
        <f>IFERROR(__xludf.DUMMYFUNCTION("""COMPUTED_VALUE"""),"mckaylamellen@gmail.com")</f>
        <v>mckaylamellen@gmail.com</v>
      </c>
      <c r="E13" s="92" t="str">
        <f>IFERROR(__xludf.DUMMYFUNCTION("""COMPUTED_VALUE"""),"McKayla Mellen")</f>
        <v>McKayla Mellen</v>
      </c>
      <c r="F13" s="93" t="str">
        <f>IFERROR(__xludf.DUMMYFUNCTION("""COMPUTED_VALUE"""),"nostalgicsapphic#7354")</f>
        <v>nostalgicsapphic#7354</v>
      </c>
      <c r="G13" s="92"/>
      <c r="H13" s="94" t="str">
        <f>IFERROR(__xludf.DUMMYFUNCTION("""COMPUTED_VALUE"""),"(512) 644-2879")</f>
        <v>(512) 644-2879</v>
      </c>
      <c r="I13" s="94" t="str">
        <f>IFERROR(__xludf.DUMMYFUNCTION("""COMPUTED_VALUE"""),"Student")</f>
        <v>Student</v>
      </c>
      <c r="J13" s="93" t="str">
        <f>IFERROR(__xludf.DUMMYFUNCTION("""COMPUTED_VALUE"""),"$15 Donation, Discord Verification")</f>
        <v>$15 Donation, Discord Verification</v>
      </c>
      <c r="K13" s="100"/>
      <c r="L13" s="101"/>
      <c r="M13" s="100"/>
      <c r="N13" s="94"/>
      <c r="O13" s="93" t="str">
        <f>IFERROR(__xludf.DUMMYFUNCTION("""COMPUTED_VALUE"""),"&lt;3 yes")</f>
        <v>&lt;3 yes</v>
      </c>
      <c r="P1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3" s="99"/>
    </row>
    <row r="14" ht="13.5" customHeight="1">
      <c r="A14" s="88">
        <f>IFERROR(__xludf.DUMMYFUNCTION("""COMPUTED_VALUE"""),44587.77012369213)</f>
        <v>44587.77012</v>
      </c>
      <c r="B14" s="89" t="b">
        <v>1</v>
      </c>
      <c r="C14" s="90" t="str">
        <f t="shared" si="1"/>
        <v>Spring 2022</v>
      </c>
      <c r="D14" s="91" t="str">
        <f>IFERROR(__xludf.DUMMYFUNCTION("""COMPUTED_VALUE"""),"sr0365@mavs.uta.edu")</f>
        <v>sr0365@mavs.uta.edu</v>
      </c>
      <c r="E14" s="92" t="str">
        <f>IFERROR(__xludf.DUMMYFUNCTION("""COMPUTED_VALUE"""),"Stephen Rutherford")</f>
        <v>Stephen Rutherford</v>
      </c>
      <c r="F14" s="93" t="str">
        <f>IFERROR(__xludf.DUMMYFUNCTION("""COMPUTED_VALUE"""),"angiekin#7816")</f>
        <v>angiekin#7816</v>
      </c>
      <c r="G14" s="92"/>
      <c r="H14" s="94" t="str">
        <f>IFERROR(__xludf.DUMMYFUNCTION("""COMPUTED_VALUE"""),"(210)  77-3436")</f>
        <v>(210)  77-3436</v>
      </c>
      <c r="I14" s="94" t="str">
        <f>IFERROR(__xludf.DUMMYFUNCTION("""COMPUTED_VALUE"""),"Student")</f>
        <v>Student</v>
      </c>
      <c r="J14" s="93" t="str">
        <f>IFERROR(__xludf.DUMMYFUNCTION("""COMPUTED_VALUE"""),"$15 Donation, Discord Verification")</f>
        <v>$15 Donation, Discord Verification</v>
      </c>
      <c r="K14" s="100"/>
      <c r="L14" s="101"/>
      <c r="M14" s="100"/>
      <c r="N14" s="94"/>
      <c r="O14" s="93" t="str">
        <f>IFERROR(__xludf.DUMMYFUNCTION("""COMPUTED_VALUE"""),"Feeding, Shelter Maintenance")</f>
        <v>Feeding, Shelter Maintenance</v>
      </c>
      <c r="P1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4" s="99"/>
    </row>
    <row r="15" ht="13.5" customHeight="1">
      <c r="A15" s="88">
        <f>IFERROR(__xludf.DUMMYFUNCTION("""COMPUTED_VALUE"""),44587.89467137732)</f>
        <v>44587.89467</v>
      </c>
      <c r="B15" s="89" t="b">
        <v>1</v>
      </c>
      <c r="C15" s="90" t="str">
        <f t="shared" si="1"/>
        <v>Spring 2022</v>
      </c>
      <c r="D15" s="91" t="str">
        <f>IFERROR(__xludf.DUMMYFUNCTION("""COMPUTED_VALUE"""),"mlh5689@mavs.uta.edu")</f>
        <v>mlh5689@mavs.uta.edu</v>
      </c>
      <c r="E15" s="92" t="str">
        <f>IFERROR(__xludf.DUMMYFUNCTION("""COMPUTED_VALUE"""),"Madison Lynn Devin Harris")</f>
        <v>Madison Lynn Devin Harris</v>
      </c>
      <c r="F15" s="93" t="str">
        <f>IFERROR(__xludf.DUMMYFUNCTION("""COMPUTED_VALUE"""),"madison#7344")</f>
        <v>madison#7344</v>
      </c>
      <c r="G15" s="92"/>
      <c r="H15" s="94" t="str">
        <f>IFERROR(__xludf.DUMMYFUNCTION("""COMPUTED_VALUE"""),"(817) 412-9816")</f>
        <v>(817) 412-9816</v>
      </c>
      <c r="I15" s="94" t="str">
        <f>IFERROR(__xludf.DUMMYFUNCTION("""COMPUTED_VALUE"""),"Student")</f>
        <v>Student</v>
      </c>
      <c r="J15" s="93" t="str">
        <f>IFERROR(__xludf.DUMMYFUNCTION("""COMPUTED_VALUE"""),"$15 Donation, Discord Verification")</f>
        <v>$15 Donation, Discord Verification</v>
      </c>
      <c r="K15" s="100"/>
      <c r="L15" s="101"/>
      <c r="M15" s="100"/>
      <c r="N15" s="94"/>
      <c r="O15" s="93" t="str">
        <f>IFERROR(__xludf.DUMMYFUNCTION("""COMPUTED_VALUE"""),":)")</f>
        <v>:)</v>
      </c>
      <c r="P1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5" s="99"/>
    </row>
    <row r="16" ht="13.5" customHeight="1">
      <c r="A16" s="88">
        <f>IFERROR(__xludf.DUMMYFUNCTION("""COMPUTED_VALUE"""),44587.910255532406)</f>
        <v>44587.91026</v>
      </c>
      <c r="B16" s="89" t="b">
        <v>1</v>
      </c>
      <c r="C16" s="90" t="str">
        <f t="shared" si="1"/>
        <v>Spring 2022</v>
      </c>
      <c r="D16" s="91" t="str">
        <f>IFERROR(__xludf.DUMMYFUNCTION("""COMPUTED_VALUE"""),"merryann.dao@mavs.uta.edu")</f>
        <v>merryann.dao@mavs.uta.edu</v>
      </c>
      <c r="E16" s="92" t="str">
        <f>IFERROR(__xludf.DUMMYFUNCTION("""COMPUTED_VALUE"""),"Merryann Dao")</f>
        <v>Merryann Dao</v>
      </c>
      <c r="F16" s="93" t="str">
        <f>IFERROR(__xludf.DUMMYFUNCTION("""COMPUTED_VALUE"""),"Merryann #9331")</f>
        <v>Merryann #9331</v>
      </c>
      <c r="G16" s="92"/>
      <c r="H16" s="94" t="str">
        <f>IFERROR(__xludf.DUMMYFUNCTION("""COMPUTED_VALUE"""),"(682) 407-5562")</f>
        <v>(682) 407-5562</v>
      </c>
      <c r="I16" s="94" t="str">
        <f>IFERROR(__xludf.DUMMYFUNCTION("""COMPUTED_VALUE"""),"Student")</f>
        <v>Student</v>
      </c>
      <c r="J16" s="93" t="str">
        <f>IFERROR(__xludf.DUMMYFUNCTION("""COMPUTED_VALUE"""),"$15 Donation, Discord Verification")</f>
        <v>$15 Donation, Discord Verification</v>
      </c>
      <c r="K16" s="100"/>
      <c r="L16" s="101"/>
      <c r="M16" s="100"/>
      <c r="N16" s="94"/>
      <c r="O16" s="93" t="str">
        <f>IFERROR(__xludf.DUMMYFUNCTION("""COMPUTED_VALUE"""),"PR, Feeding")</f>
        <v>PR, Feeding</v>
      </c>
      <c r="P1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6" s="99"/>
    </row>
    <row r="17" ht="13.5" customHeight="1">
      <c r="A17" s="88">
        <f>IFERROR(__xludf.DUMMYFUNCTION("""COMPUTED_VALUE"""),44587.96563896991)</f>
        <v>44587.96564</v>
      </c>
      <c r="B17" s="89" t="b">
        <v>1</v>
      </c>
      <c r="C17" s="90" t="str">
        <f t="shared" si="1"/>
        <v>Spring 2022</v>
      </c>
      <c r="D17" s="91" t="str">
        <f>IFERROR(__xludf.DUMMYFUNCTION("""COMPUTED_VALUE"""),"rxc3131@mavs.uta.edu")</f>
        <v>rxc3131@mavs.uta.edu</v>
      </c>
      <c r="E17" s="92" t="str">
        <f>IFERROR(__xludf.DUMMYFUNCTION("""COMPUTED_VALUE"""),"Ronak Chheda")</f>
        <v>Ronak Chheda</v>
      </c>
      <c r="F17" s="93" t="str">
        <f>IFERROR(__xludf.DUMMYFUNCTION("""COMPUTED_VALUE"""),"roni#2072")</f>
        <v>roni#2072</v>
      </c>
      <c r="G17" s="92"/>
      <c r="H17" s="94" t="str">
        <f>IFERROR(__xludf.DUMMYFUNCTION("""COMPUTED_VALUE"""),"(682) 306-2826")</f>
        <v>(682) 306-2826</v>
      </c>
      <c r="I17" s="94" t="str">
        <f>IFERROR(__xludf.DUMMYFUNCTION("""COMPUTED_VALUE"""),"Student")</f>
        <v>Student</v>
      </c>
      <c r="J17" s="93" t="str">
        <f>IFERROR(__xludf.DUMMYFUNCTION("""COMPUTED_VALUE"""),"$15 Donation, Discord Verification")</f>
        <v>$15 Donation, Discord Verification</v>
      </c>
      <c r="K17" s="100"/>
      <c r="L17" s="101"/>
      <c r="M17" s="100"/>
      <c r="N17" s="94"/>
      <c r="O17" s="93" t="str">
        <f>IFERROR(__xludf.DUMMYFUNCTION("""COMPUTED_VALUE"""),"Feeding")</f>
        <v>Feeding</v>
      </c>
      <c r="P1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7" s="99"/>
    </row>
    <row r="18" ht="13.5" customHeight="1">
      <c r="A18" s="88">
        <f>IFERROR(__xludf.DUMMYFUNCTION("""COMPUTED_VALUE"""),44588.73501611111)</f>
        <v>44588.73502</v>
      </c>
      <c r="B18" s="89" t="b">
        <v>1</v>
      </c>
      <c r="C18" s="90" t="str">
        <f t="shared" si="1"/>
        <v>Spring 2022</v>
      </c>
      <c r="D18" s="91" t="str">
        <f>IFERROR(__xludf.DUMMYFUNCTION("""COMPUTED_VALUE"""),"axp7773@mavs.uta.edu")</f>
        <v>axp7773@mavs.uta.edu</v>
      </c>
      <c r="E18" s="92" t="str">
        <f>IFERROR(__xludf.DUMMYFUNCTION("""COMPUTED_VALUE"""),"Alexis Pedraza")</f>
        <v>Alexis Pedraza</v>
      </c>
      <c r="F18" s="93" t="str">
        <f>IFERROR(__xludf.DUMMYFUNCTION("""COMPUTED_VALUE"""),"☆*.｡.nyehhehheh .｡.*☆#6624")</f>
        <v>☆*.｡.nyehhehheh .｡.*☆#6624</v>
      </c>
      <c r="G18" s="92"/>
      <c r="H18" s="94" t="str">
        <f>IFERROR(__xludf.DUMMYFUNCTION("""COMPUTED_VALUE"""),"(512) 750-3148")</f>
        <v>(512) 750-3148</v>
      </c>
      <c r="I18" s="94" t="str">
        <f>IFERROR(__xludf.DUMMYFUNCTION("""COMPUTED_VALUE"""),"Student")</f>
        <v>Student</v>
      </c>
      <c r="J18" s="93" t="str">
        <f>IFERROR(__xludf.DUMMYFUNCTION("""COMPUTED_VALUE"""),"$15 Donation, Discord Verification")</f>
        <v>$15 Donation, Discord Verification</v>
      </c>
      <c r="K18" s="100"/>
      <c r="L18" s="101"/>
      <c r="M18" s="100"/>
      <c r="N18" s="94"/>
      <c r="O18" s="93" t="str">
        <f>IFERROR(__xludf.DUMMYFUNCTION("""COMPUTED_VALUE"""),"Officer lol")</f>
        <v>Officer lol</v>
      </c>
      <c r="P1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8" s="99"/>
    </row>
    <row r="19" ht="13.5" customHeight="1">
      <c r="A19" s="88">
        <f>IFERROR(__xludf.DUMMYFUNCTION("""COMPUTED_VALUE"""),44588.81497738426)</f>
        <v>44588.81498</v>
      </c>
      <c r="B19" s="89" t="b">
        <v>1</v>
      </c>
      <c r="C19" s="90" t="str">
        <f t="shared" si="1"/>
        <v>Spring 2022</v>
      </c>
      <c r="D19" s="91" t="str">
        <f>IFERROR(__xludf.DUMMYFUNCTION("""COMPUTED_VALUE"""),"bekahgrace02@gmail.com")</f>
        <v>bekahgrace02@gmail.com</v>
      </c>
      <c r="E19" s="92" t="str">
        <f>IFERROR(__xludf.DUMMYFUNCTION("""COMPUTED_VALUE"""),"Rebekah Pomykal ")</f>
        <v>Rebekah Pomykal </v>
      </c>
      <c r="F19" s="93" t="str">
        <f>IFERROR(__xludf.DUMMYFUNCTION("""COMPUTED_VALUE"""),"bekah#0564")</f>
        <v>bekah#0564</v>
      </c>
      <c r="G19" s="92"/>
      <c r="H19" s="94" t="str">
        <f>IFERROR(__xludf.DUMMYFUNCTION("""COMPUTED_VALUE"""),"(469) 712-6224")</f>
        <v>(469) 712-6224</v>
      </c>
      <c r="I19" s="94" t="str">
        <f>IFERROR(__xludf.DUMMYFUNCTION("""COMPUTED_VALUE"""),"Student")</f>
        <v>Student</v>
      </c>
      <c r="J19" s="93" t="str">
        <f>IFERROR(__xludf.DUMMYFUNCTION("""COMPUTED_VALUE"""),"Food/Litter Donation")</f>
        <v>Food/Litter Donation</v>
      </c>
      <c r="K19" s="100"/>
      <c r="L19" s="101"/>
      <c r="M19" s="100"/>
      <c r="N19" s="94"/>
      <c r="O19" s="93" t="str">
        <f>IFERROR(__xludf.DUMMYFUNCTION("""COMPUTED_VALUE"""),"Feeding")</f>
        <v>Feeding</v>
      </c>
      <c r="P1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9" s="99"/>
    </row>
    <row r="20" ht="13.5" customHeight="1">
      <c r="A20" s="88">
        <f>IFERROR(__xludf.DUMMYFUNCTION("""COMPUTED_VALUE"""),44588.9274662963)</f>
        <v>44588.92747</v>
      </c>
      <c r="B20" s="89" t="b">
        <v>1</v>
      </c>
      <c r="C20" s="90" t="str">
        <f t="shared" si="1"/>
        <v>Spring 2022</v>
      </c>
      <c r="D20" s="91" t="str">
        <f>IFERROR(__xludf.DUMMYFUNCTION("""COMPUTED_VALUE"""),"jtspears2003@gmail.com")</f>
        <v>jtspears2003@gmail.com</v>
      </c>
      <c r="E20" s="92" t="str">
        <f>IFERROR(__xludf.DUMMYFUNCTION("""COMPUTED_VALUE"""),"John (JT) Spears")</f>
        <v>John (JT) Spears</v>
      </c>
      <c r="F20" s="93" t="str">
        <f>IFERROR(__xludf.DUMMYFUNCTION("""COMPUTED_VALUE"""),"AzureCobalt#1104")</f>
        <v>AzureCobalt#1104</v>
      </c>
      <c r="G20" s="92"/>
      <c r="H20" s="94" t="str">
        <f>IFERROR(__xludf.DUMMYFUNCTION("""COMPUTED_VALUE"""),"(903) 603-8853")</f>
        <v>(903) 603-8853</v>
      </c>
      <c r="I20" s="94" t="str">
        <f>IFERROR(__xludf.DUMMYFUNCTION("""COMPUTED_VALUE"""),"Student")</f>
        <v>Student</v>
      </c>
      <c r="J20" s="93" t="str">
        <f>IFERROR(__xludf.DUMMYFUNCTION("""COMPUTED_VALUE"""),"$15 Donation, Discord Verification")</f>
        <v>$15 Donation, Discord Verification</v>
      </c>
      <c r="K20" s="100"/>
      <c r="L20" s="101"/>
      <c r="M20" s="100"/>
      <c r="N20" s="94"/>
      <c r="O20" s="93" t="str">
        <f>IFERROR(__xludf.DUMMYFUNCTION("""COMPUTED_VALUE"""),"Fundraising, Feeding")</f>
        <v>Fundraising, Feeding</v>
      </c>
      <c r="P2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0" s="99"/>
    </row>
    <row r="21" ht="13.5" customHeight="1">
      <c r="A21" s="88">
        <f>IFERROR(__xludf.DUMMYFUNCTION("""COMPUTED_VALUE"""),44588.95508871527)</f>
        <v>44588.95509</v>
      </c>
      <c r="B21" s="89" t="b">
        <v>1</v>
      </c>
      <c r="C21" s="90" t="str">
        <f t="shared" si="1"/>
        <v>Spring 2022</v>
      </c>
      <c r="D21" s="91" t="str">
        <f>IFERROR(__xludf.DUMMYFUNCTION("""COMPUTED_VALUE"""),"lxh6870@mavs.uta.edu")</f>
        <v>lxh6870@mavs.uta.edu</v>
      </c>
      <c r="E21" s="92" t="str">
        <f>IFERROR(__xludf.DUMMYFUNCTION("""COMPUTED_VALUE"""),"Lauren Hammond")</f>
        <v>Lauren Hammond</v>
      </c>
      <c r="F21" s="93" t="str">
        <f>IFERROR(__xludf.DUMMYFUNCTION("""COMPUTED_VALUE"""),"HammyHammz#2102")</f>
        <v>HammyHammz#2102</v>
      </c>
      <c r="G21" s="92"/>
      <c r="H21" s="94" t="str">
        <f>IFERROR(__xludf.DUMMYFUNCTION("""COMPUTED_VALUE"""),"(214) 551-9956")</f>
        <v>(214) 551-9956</v>
      </c>
      <c r="I21" s="94" t="str">
        <f>IFERROR(__xludf.DUMMYFUNCTION("""COMPUTED_VALUE"""),"Student")</f>
        <v>Student</v>
      </c>
      <c r="J21" s="93" t="str">
        <f>IFERROR(__xludf.DUMMYFUNCTION("""COMPUTED_VALUE"""),"$15 Donation, Discord Verification")</f>
        <v>$15 Donation, Discord Verification</v>
      </c>
      <c r="K21" s="100"/>
      <c r="L21" s="101"/>
      <c r="M21" s="100"/>
      <c r="N21" s="94"/>
      <c r="O21" s="93" t="str">
        <f>IFERROR(__xludf.DUMMYFUNCTION("""COMPUTED_VALUE"""),"Fundraising, Feeding")</f>
        <v>Fundraising, Feeding</v>
      </c>
      <c r="P2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1" s="99"/>
    </row>
    <row r="22" ht="13.5" customHeight="1">
      <c r="A22" s="88">
        <f>IFERROR(__xludf.DUMMYFUNCTION("""COMPUTED_VALUE"""),44589.60046622685)</f>
        <v>44589.60047</v>
      </c>
      <c r="B22" s="89" t="b">
        <v>1</v>
      </c>
      <c r="C22" s="90" t="str">
        <f t="shared" si="1"/>
        <v>Spring 2022</v>
      </c>
      <c r="D22" s="91" t="str">
        <f>IFERROR(__xludf.DUMMYFUNCTION("""COMPUTED_VALUE"""),"lynnpnguyen1112@gmail.com")</f>
        <v>lynnpnguyen1112@gmail.com</v>
      </c>
      <c r="E22" s="92" t="str">
        <f>IFERROR(__xludf.DUMMYFUNCTION("""COMPUTED_VALUE"""),"Lynn Nguyen")</f>
        <v>Lynn Nguyen</v>
      </c>
      <c r="F22" s="93" t="str">
        <f>IFERROR(__xludf.DUMMYFUNCTION("""COMPUTED_VALUE"""),"p.lynn.n#9278")</f>
        <v>p.lynn.n#9278</v>
      </c>
      <c r="G22" s="92"/>
      <c r="H22" s="94" t="str">
        <f>IFERROR(__xludf.DUMMYFUNCTION("""COMPUTED_VALUE"""),"(817) 673-7966")</f>
        <v>(817) 673-7966</v>
      </c>
      <c r="I22" s="94" t="str">
        <f>IFERROR(__xludf.DUMMYFUNCTION("""COMPUTED_VALUE"""),"Student")</f>
        <v>Student</v>
      </c>
      <c r="J22" s="93" t="str">
        <f>IFERROR(__xludf.DUMMYFUNCTION("""COMPUTED_VALUE"""),"")</f>
        <v/>
      </c>
      <c r="K22" s="100"/>
      <c r="L22" s="101"/>
      <c r="M22" s="100"/>
      <c r="N22" s="94"/>
      <c r="O22" s="93" t="str">
        <f>IFERROR(__xludf.DUMMYFUNCTION("""COMPUTED_VALUE"""),"PR, Feeding")</f>
        <v>PR, Feeding</v>
      </c>
      <c r="P2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2" s="99"/>
    </row>
    <row r="23" ht="13.5" customHeight="1">
      <c r="A23" s="88">
        <f>IFERROR(__xludf.DUMMYFUNCTION("""COMPUTED_VALUE"""),44589.636209398144)</f>
        <v>44589.63621</v>
      </c>
      <c r="B23" s="89" t="b">
        <v>1</v>
      </c>
      <c r="C23" s="90" t="str">
        <f t="shared" si="1"/>
        <v>Spring 2022</v>
      </c>
      <c r="D23" s="91" t="str">
        <f>IFERROR(__xludf.DUMMYFUNCTION("""COMPUTED_VALUE"""),"sjm3161@mavs.uta.edu")</f>
        <v>sjm3161@mavs.uta.edu</v>
      </c>
      <c r="E23" s="92" t="str">
        <f>IFERROR(__xludf.DUMMYFUNCTION("""COMPUTED_VALUE"""),"Silvia Jessica Mostacedo Marasovic")</f>
        <v>Silvia Jessica Mostacedo Marasovic</v>
      </c>
      <c r="F23" s="93" t="str">
        <f>IFERROR(__xludf.DUMMYFUNCTION("""COMPUTED_VALUE"""),"Jessica M.#2936")</f>
        <v>Jessica M.#2936</v>
      </c>
      <c r="G23" s="92"/>
      <c r="H23" s="94" t="str">
        <f>IFERROR(__xludf.DUMMYFUNCTION("""COMPUTED_VALUE"""),"(352) 363-4634")</f>
        <v>(352) 363-4634</v>
      </c>
      <c r="I23" s="94" t="str">
        <f>IFERROR(__xludf.DUMMYFUNCTION("""COMPUTED_VALUE"""),"Student")</f>
        <v>Student</v>
      </c>
      <c r="J23" s="93" t="str">
        <f>IFERROR(__xludf.DUMMYFUNCTION("""COMPUTED_VALUE"""),"Food/Litter Donation")</f>
        <v>Food/Litter Donation</v>
      </c>
      <c r="K23" s="100"/>
      <c r="L23" s="101"/>
      <c r="M23" s="100"/>
      <c r="N23" s="94"/>
      <c r="O23" s="93" t="str">
        <f>IFERROR(__xludf.DUMMYFUNCTION("""COMPUTED_VALUE"""),"Feeding, Shelter Maintenance")</f>
        <v>Feeding, Shelter Maintenance</v>
      </c>
      <c r="P2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3" s="99"/>
    </row>
    <row r="24" ht="13.5" customHeight="1">
      <c r="A24" s="88">
        <f>IFERROR(__xludf.DUMMYFUNCTION("""COMPUTED_VALUE"""),44589.69398094907)</f>
        <v>44589.69398</v>
      </c>
      <c r="B24" s="89" t="b">
        <v>1</v>
      </c>
      <c r="C24" s="90" t="str">
        <f t="shared" si="1"/>
        <v>Spring 2022</v>
      </c>
      <c r="D24" s="91" t="str">
        <f>IFERROR(__xludf.DUMMYFUNCTION("""COMPUTED_VALUE"""),"angelina.rivera2@mavs.uta.edu")</f>
        <v>angelina.rivera2@mavs.uta.edu</v>
      </c>
      <c r="E24" s="92" t="str">
        <f>IFERROR(__xludf.DUMMYFUNCTION("""COMPUTED_VALUE"""),"Angelina Rivera")</f>
        <v>Angelina Rivera</v>
      </c>
      <c r="F24" s="93" t="str">
        <f>IFERROR(__xludf.DUMMYFUNCTION("""COMPUTED_VALUE"""),"AngRiv#5967")</f>
        <v>AngRiv#5967</v>
      </c>
      <c r="G24" s="92"/>
      <c r="H24" s="94" t="str">
        <f>IFERROR(__xludf.DUMMYFUNCTION("""COMPUTED_VALUE"""),"(254) 205-7492")</f>
        <v>(254) 205-7492</v>
      </c>
      <c r="I24" s="94" t="str">
        <f>IFERROR(__xludf.DUMMYFUNCTION("""COMPUTED_VALUE"""),"Student")</f>
        <v>Student</v>
      </c>
      <c r="J24" s="93" t="str">
        <f>IFERROR(__xludf.DUMMYFUNCTION("""COMPUTED_VALUE"""),"$15 Donation, Discord Verification")</f>
        <v>$15 Donation, Discord Verification</v>
      </c>
      <c r="K24" s="100"/>
      <c r="L24" s="101"/>
      <c r="M24" s="100"/>
      <c r="N24" s="94"/>
      <c r="O24" s="93" t="str">
        <f>IFERROR(__xludf.DUMMYFUNCTION("""COMPUTED_VALUE"""),"Fundraising, PR, Membership, TNR, Overnight TNR, Feeding, Fostering, Shelter Maintenance")</f>
        <v>Fundraising, PR, Membership, TNR, Overnight TNR, Feeding, Fostering, Shelter Maintenance</v>
      </c>
      <c r="P2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4" s="99"/>
    </row>
    <row r="25" ht="13.5" customHeight="1">
      <c r="A25" s="88">
        <f>IFERROR(__xludf.DUMMYFUNCTION("""COMPUTED_VALUE"""),44590.613363321754)</f>
        <v>44590.61336</v>
      </c>
      <c r="B25" s="89" t="b">
        <v>1</v>
      </c>
      <c r="C25" s="90" t="str">
        <f t="shared" si="1"/>
        <v>Spring 2022</v>
      </c>
      <c r="D25" s="91" t="str">
        <f>IFERROR(__xludf.DUMMYFUNCTION("""COMPUTED_VALUE"""),"pierson.moore@mavs.uta.edu")</f>
        <v>pierson.moore@mavs.uta.edu</v>
      </c>
      <c r="E25" s="92" t="str">
        <f>IFERROR(__xludf.DUMMYFUNCTION("""COMPUTED_VALUE"""),"Pierson Moore")</f>
        <v>Pierson Moore</v>
      </c>
      <c r="F25" s="93" t="str">
        <f>IFERROR(__xludf.DUMMYFUNCTION("""COMPUTED_VALUE"""),"P Raven#0012")</f>
        <v>P Raven#0012</v>
      </c>
      <c r="G25" s="92"/>
      <c r="H25" s="94" t="str">
        <f>IFERROR(__xludf.DUMMYFUNCTION("""COMPUTED_VALUE"""),"(817) 965-4410")</f>
        <v>(817) 965-4410</v>
      </c>
      <c r="I25" s="94" t="str">
        <f>IFERROR(__xludf.DUMMYFUNCTION("""COMPUTED_VALUE"""),"Student")</f>
        <v>Student</v>
      </c>
      <c r="J25" s="93" t="str">
        <f>IFERROR(__xludf.DUMMYFUNCTION("""COMPUTED_VALUE"""),"$15 Donation, Discord Verification")</f>
        <v>$15 Donation, Discord Verification</v>
      </c>
      <c r="K25" s="100"/>
      <c r="L25" s="101"/>
      <c r="M25" s="100"/>
      <c r="N25" s="94"/>
      <c r="O25" s="93" t="str">
        <f>IFERROR(__xludf.DUMMYFUNCTION("""COMPUTED_VALUE"""),"not sure yet")</f>
        <v>not sure yet</v>
      </c>
      <c r="P2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5" s="99"/>
    </row>
    <row r="26" ht="13.5" customHeight="1">
      <c r="A26" s="88">
        <f>IFERROR(__xludf.DUMMYFUNCTION("""COMPUTED_VALUE"""),44593.71188430555)</f>
        <v>44593.71188</v>
      </c>
      <c r="B26" s="89" t="b">
        <v>1</v>
      </c>
      <c r="C26" s="90" t="str">
        <f t="shared" si="1"/>
        <v>Spring 2022</v>
      </c>
      <c r="D26" s="91" t="str">
        <f>IFERROR(__xludf.DUMMYFUNCTION("""COMPUTED_VALUE"""),"mag9071@mavs.uta.edu")</f>
        <v>mag9071@mavs.uta.edu</v>
      </c>
      <c r="E26" s="92" t="str">
        <f>IFERROR(__xludf.DUMMYFUNCTION("""COMPUTED_VALUE"""),"Mary Abby Goss")</f>
        <v>Mary Abby Goss</v>
      </c>
      <c r="F26" s="93" t="str">
        <f>IFERROR(__xludf.DUMMYFUNCTION("""COMPUTED_VALUE"""),"Mary Abby")</f>
        <v>Mary Abby</v>
      </c>
      <c r="G26" s="92"/>
      <c r="H26" s="94" t="str">
        <f>IFERROR(__xludf.DUMMYFUNCTION("""COMPUTED_VALUE"""),"(512) 994-7272")</f>
        <v>(512) 994-7272</v>
      </c>
      <c r="I26" s="94" t="str">
        <f>IFERROR(__xludf.DUMMYFUNCTION("""COMPUTED_VALUE"""),"Student")</f>
        <v>Student</v>
      </c>
      <c r="J26" s="93" t="str">
        <f>IFERROR(__xludf.DUMMYFUNCTION("""COMPUTED_VALUE"""),"$15 Donation, Discord Verification")</f>
        <v>$15 Donation, Discord Verification</v>
      </c>
      <c r="K26" s="100"/>
      <c r="L26" s="101"/>
      <c r="M26" s="100"/>
      <c r="N26" s="94"/>
      <c r="O26" s="93" t="str">
        <f>IFERROR(__xludf.DUMMYFUNCTION("""COMPUTED_VALUE"""),"Fundraising")</f>
        <v>Fundraising</v>
      </c>
      <c r="P2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6" s="99"/>
    </row>
    <row r="27" ht="13.5" customHeight="1">
      <c r="A27" s="88">
        <f>IFERROR(__xludf.DUMMYFUNCTION("""COMPUTED_VALUE"""),44593.71662423611)</f>
        <v>44593.71662</v>
      </c>
      <c r="B27" s="89" t="b">
        <v>1</v>
      </c>
      <c r="C27" s="90" t="str">
        <f t="shared" si="1"/>
        <v>Spring 2022</v>
      </c>
      <c r="D27" s="91" t="str">
        <f>IFERROR(__xludf.DUMMYFUNCTION("""COMPUTED_VALUE"""),"ryan.johnson2@mavs.uta.edu")</f>
        <v>ryan.johnson2@mavs.uta.edu</v>
      </c>
      <c r="E27" s="92" t="str">
        <f>IFERROR(__xludf.DUMMYFUNCTION("""COMPUTED_VALUE"""),"Ryan Johnson")</f>
        <v>Ryan Johnson</v>
      </c>
      <c r="F27" s="93" t="str">
        <f>IFERROR(__xludf.DUMMYFUNCTION("""COMPUTED_VALUE"""),"guppy#7190")</f>
        <v>guppy#7190</v>
      </c>
      <c r="G27" s="92"/>
      <c r="H27" s="94" t="str">
        <f>IFERROR(__xludf.DUMMYFUNCTION("""COMPUTED_VALUE"""),"(409) 233-7926")</f>
        <v>(409) 233-7926</v>
      </c>
      <c r="I27" s="94" t="str">
        <f>IFERROR(__xludf.DUMMYFUNCTION("""COMPUTED_VALUE"""),"Student")</f>
        <v>Student</v>
      </c>
      <c r="J27" s="93" t="str">
        <f>IFERROR(__xludf.DUMMYFUNCTION("""COMPUTED_VALUE"""),"$15 Donation, Discord Verification")</f>
        <v>$15 Donation, Discord Verification</v>
      </c>
      <c r="K27" s="100"/>
      <c r="L27" s="101"/>
      <c r="M27" s="100"/>
      <c r="N27" s="94"/>
      <c r="O27" s="93" t="str">
        <f>IFERROR(__xludf.DUMMYFUNCTION("""COMPUTED_VALUE"""),"Feeding, Shelter Maintenance")</f>
        <v>Feeding, Shelter Maintenance</v>
      </c>
      <c r="P2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7" s="99"/>
    </row>
    <row r="28" ht="13.5" customHeight="1">
      <c r="A28" s="88">
        <f>IFERROR(__xludf.DUMMYFUNCTION("""COMPUTED_VALUE"""),44593.74211875)</f>
        <v>44593.74212</v>
      </c>
      <c r="B28" s="89" t="b">
        <v>1</v>
      </c>
      <c r="C28" s="90" t="str">
        <f t="shared" si="1"/>
        <v>Spring 2022</v>
      </c>
      <c r="D28" s="91" t="str">
        <f>IFERROR(__xludf.DUMMYFUNCTION("""COMPUTED_VALUE"""),"hxg4569@mavs.uta.edu")</f>
        <v>hxg4569@mavs.uta.edu</v>
      </c>
      <c r="E28" s="92" t="str">
        <f>IFERROR(__xludf.DUMMYFUNCTION("""COMPUTED_VALUE"""),"Ren Graham")</f>
        <v>Ren Graham</v>
      </c>
      <c r="F28" s="93" t="str">
        <f>IFERROR(__xludf.DUMMYFUNCTION("""COMPUTED_VALUE"""),"chickenwithastick#8585")</f>
        <v>chickenwithastick#8585</v>
      </c>
      <c r="G28" s="92"/>
      <c r="H28" s="94" t="str">
        <f>IFERROR(__xludf.DUMMYFUNCTION("""COMPUTED_VALUE"""),"(972) 697-3396")</f>
        <v>(972) 697-3396</v>
      </c>
      <c r="I28" s="94" t="str">
        <f>IFERROR(__xludf.DUMMYFUNCTION("""COMPUTED_VALUE"""),"Student")</f>
        <v>Student</v>
      </c>
      <c r="J28" s="93" t="str">
        <f>IFERROR(__xludf.DUMMYFUNCTION("""COMPUTED_VALUE"""),"$15 Donation, Discord Verification")</f>
        <v>$15 Donation, Discord Verification</v>
      </c>
      <c r="K28" s="100"/>
      <c r="L28" s="101"/>
      <c r="M28" s="100"/>
      <c r="N28" s="94"/>
      <c r="O28" s="93" t="str">
        <f>IFERROR(__xludf.DUMMYFUNCTION("""COMPUTED_VALUE"""),"Feeding")</f>
        <v>Feeding</v>
      </c>
      <c r="P2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8" s="99"/>
    </row>
    <row r="29" ht="13.5" customHeight="1">
      <c r="A29" s="88">
        <f>IFERROR(__xludf.DUMMYFUNCTION("""COMPUTED_VALUE"""),44593.75425873842)</f>
        <v>44593.75426</v>
      </c>
      <c r="B29" s="89" t="b">
        <v>1</v>
      </c>
      <c r="C29" s="90" t="str">
        <f t="shared" si="1"/>
        <v>Spring 2022</v>
      </c>
      <c r="D29" s="91" t="str">
        <f>IFERROR(__xludf.DUMMYFUNCTION("""COMPUTED_VALUE"""),"jordhard@hotmail.com")</f>
        <v>jordhard@hotmail.com</v>
      </c>
      <c r="E29" s="92" t="str">
        <f>IFERROR(__xludf.DUMMYFUNCTION("""COMPUTED_VALUE"""),"Jordan Hardin")</f>
        <v>Jordan Hardin</v>
      </c>
      <c r="F29" s="93" t="str">
        <f>IFERROR(__xludf.DUMMYFUNCTION("""COMPUTED_VALUE"""),"Kitadan")</f>
        <v>Kitadan</v>
      </c>
      <c r="G29" s="92"/>
      <c r="H29" s="94" t="str">
        <f>IFERROR(__xludf.DUMMYFUNCTION("""COMPUTED_VALUE"""),"(817) 201-8529")</f>
        <v>(817) 201-8529</v>
      </c>
      <c r="I29" s="94" t="str">
        <f>IFERROR(__xludf.DUMMYFUNCTION("""COMPUTED_VALUE"""),"Community Member")</f>
        <v>Community Member</v>
      </c>
      <c r="J29" s="93" t="str">
        <f>IFERROR(__xludf.DUMMYFUNCTION("""COMPUTED_VALUE"""),"Food/Litter Donation")</f>
        <v>Food/Litter Donation</v>
      </c>
      <c r="K29" s="100"/>
      <c r="L29" s="101"/>
      <c r="M29" s="100"/>
      <c r="N29" s="94"/>
      <c r="O29" s="93" t="str">
        <f>IFERROR(__xludf.DUMMYFUNCTION("""COMPUTED_VALUE"""),"Feeding")</f>
        <v>Feeding</v>
      </c>
      <c r="P2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9" s="99"/>
    </row>
    <row r="30" ht="13.5" customHeight="1">
      <c r="A30" s="88">
        <f>IFERROR(__xludf.DUMMYFUNCTION("""COMPUTED_VALUE"""),44593.76085103009)</f>
        <v>44593.76085</v>
      </c>
      <c r="B30" s="89" t="b">
        <v>1</v>
      </c>
      <c r="C30" s="90" t="str">
        <f t="shared" si="1"/>
        <v>Spring 2022</v>
      </c>
      <c r="D30" s="91" t="str">
        <f>IFERROR(__xludf.DUMMYFUNCTION("""COMPUTED_VALUE"""),"mel5887@mavs.uta.edu")</f>
        <v>mel5887@mavs.uta.edu</v>
      </c>
      <c r="E30" s="92" t="str">
        <f>IFERROR(__xludf.DUMMYFUNCTION("""COMPUTED_VALUE"""),"Maclain LeMoine")</f>
        <v>Maclain LeMoine</v>
      </c>
      <c r="F30" s="93" t="str">
        <f>IFERROR(__xludf.DUMMYFUNCTION("""COMPUTED_VALUE"""),"Hufflepuffmouse#1561")</f>
        <v>Hufflepuffmouse#1561</v>
      </c>
      <c r="G30" s="92"/>
      <c r="H30" s="94" t="str">
        <f>IFERROR(__xludf.DUMMYFUNCTION("""COMPUTED_VALUE"""),"(817) 233-1119")</f>
        <v>(817) 233-1119</v>
      </c>
      <c r="I30" s="94" t="str">
        <f>IFERROR(__xludf.DUMMYFUNCTION("""COMPUTED_VALUE"""),"Student")</f>
        <v>Student</v>
      </c>
      <c r="J30" s="93" t="str">
        <f>IFERROR(__xludf.DUMMYFUNCTION("""COMPUTED_VALUE"""),"Food/Litter Donation")</f>
        <v>Food/Litter Donation</v>
      </c>
      <c r="K30" s="100"/>
      <c r="L30" s="101"/>
      <c r="M30" s="100"/>
      <c r="N30" s="94"/>
      <c r="O30" s="93" t="str">
        <f>IFERROR(__xludf.DUMMYFUNCTION("""COMPUTED_VALUE"""),"Fundraising, PR, Membership, TNR, Feeding, Shelter Maintenance")</f>
        <v>Fundraising, PR, Membership, TNR, Feeding, Shelter Maintenance</v>
      </c>
      <c r="P3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0" s="99"/>
    </row>
    <row r="31" ht="13.5" customHeight="1">
      <c r="A31" s="88">
        <f>IFERROR(__xludf.DUMMYFUNCTION("""COMPUTED_VALUE"""),44593.76254974537)</f>
        <v>44593.76255</v>
      </c>
      <c r="B31" s="89" t="b">
        <v>1</v>
      </c>
      <c r="C31" s="90" t="str">
        <f t="shared" si="1"/>
        <v>Spring 2022</v>
      </c>
      <c r="D31" s="91" t="str">
        <f>IFERROR(__xludf.DUMMYFUNCTION("""COMPUTED_VALUE"""),"caroline.carter@mavs.uta.edu")</f>
        <v>caroline.carter@mavs.uta.edu</v>
      </c>
      <c r="E31" s="92" t="str">
        <f>IFERROR(__xludf.DUMMYFUNCTION("""COMPUTED_VALUE"""),"Caroline Carter")</f>
        <v>Caroline Carter</v>
      </c>
      <c r="F31" s="93" t="str">
        <f>IFERROR(__xludf.DUMMYFUNCTION("""COMPUTED_VALUE"""),"Caroline C#3300")</f>
        <v>Caroline C#3300</v>
      </c>
      <c r="G31" s="92"/>
      <c r="H31" s="94" t="str">
        <f>IFERROR(__xludf.DUMMYFUNCTION("""COMPUTED_VALUE"""),"(181) 731-9650")</f>
        <v>(181) 731-9650</v>
      </c>
      <c r="I31" s="94" t="str">
        <f>IFERROR(__xludf.DUMMYFUNCTION("""COMPUTED_VALUE"""),"Student")</f>
        <v>Student</v>
      </c>
      <c r="J31" s="93" t="str">
        <f>IFERROR(__xludf.DUMMYFUNCTION("""COMPUTED_VALUE"""),"Food/Litter Donation")</f>
        <v>Food/Litter Donation</v>
      </c>
      <c r="K31" s="100"/>
      <c r="L31" s="101"/>
      <c r="M31" s="100"/>
      <c r="N31" s="94"/>
      <c r="O31" s="93" t="str">
        <f>IFERROR(__xludf.DUMMYFUNCTION("""COMPUTED_VALUE"""),"Fundraising")</f>
        <v>Fundraising</v>
      </c>
      <c r="P3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1" s="99"/>
    </row>
    <row r="32" ht="13.5" customHeight="1">
      <c r="A32" s="88">
        <f>IFERROR(__xludf.DUMMYFUNCTION("""COMPUTED_VALUE"""),44593.90148945602)</f>
        <v>44593.90149</v>
      </c>
      <c r="B32" s="89" t="b">
        <v>1</v>
      </c>
      <c r="C32" s="90" t="str">
        <f t="shared" si="1"/>
        <v>Spring 2022</v>
      </c>
      <c r="D32" s="91" t="str">
        <f>IFERROR(__xludf.DUMMYFUNCTION("""COMPUTED_VALUE"""),"tnr1037@mavs.uta.edu")</f>
        <v>tnr1037@mavs.uta.edu</v>
      </c>
      <c r="E32" s="92" t="str">
        <f>IFERROR(__xludf.DUMMYFUNCTION("""COMPUTED_VALUE"""),"Taryn Rila-Smith")</f>
        <v>Taryn Rila-Smith</v>
      </c>
      <c r="F32" s="93" t="str">
        <f>IFERROR(__xludf.DUMMYFUNCTION("""COMPUTED_VALUE"""),"Rocktail1202 #8276")</f>
        <v>Rocktail1202 #8276</v>
      </c>
      <c r="G32" s="92"/>
      <c r="H32" s="94" t="str">
        <f>IFERROR(__xludf.DUMMYFUNCTION("""COMPUTED_VALUE"""),"")</f>
        <v/>
      </c>
      <c r="I32" s="94" t="str">
        <f>IFERROR(__xludf.DUMMYFUNCTION("""COMPUTED_VALUE"""),"Student")</f>
        <v>Student</v>
      </c>
      <c r="J32" s="93" t="str">
        <f>IFERROR(__xludf.DUMMYFUNCTION("""COMPUTED_VALUE"""),"$15 Donation, Discord Verification")</f>
        <v>$15 Donation, Discord Verification</v>
      </c>
      <c r="K32" s="100"/>
      <c r="L32" s="101"/>
      <c r="M32" s="100"/>
      <c r="N32" s="94"/>
      <c r="O32" s="93" t="str">
        <f>IFERROR(__xludf.DUMMYFUNCTION("""COMPUTED_VALUE"""),"TNR, Feeding")</f>
        <v>TNR, Feeding</v>
      </c>
      <c r="P3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2" s="99"/>
    </row>
    <row r="33" ht="13.5" customHeight="1">
      <c r="A33" s="88">
        <f>IFERROR(__xludf.DUMMYFUNCTION("""COMPUTED_VALUE"""),44593.94484428241)</f>
        <v>44593.94484</v>
      </c>
      <c r="B33" s="89" t="b">
        <v>1</v>
      </c>
      <c r="C33" s="90" t="str">
        <f t="shared" si="1"/>
        <v>Spring 2022</v>
      </c>
      <c r="D33" s="91" t="str">
        <f>IFERROR(__xludf.DUMMYFUNCTION("""COMPUTED_VALUE"""),"ivone.adame@mavs.uta.edu")</f>
        <v>ivone.adame@mavs.uta.edu</v>
      </c>
      <c r="E33" s="92" t="str">
        <f>IFERROR(__xludf.DUMMYFUNCTION("""COMPUTED_VALUE"""),"Ivone Adame ")</f>
        <v>Ivone Adame </v>
      </c>
      <c r="F33" s="93" t="str">
        <f>IFERROR(__xludf.DUMMYFUNCTION("""COMPUTED_VALUE"""),"Ivone#9713")</f>
        <v>Ivone#9713</v>
      </c>
      <c r="G33" s="92"/>
      <c r="H33" s="94" t="str">
        <f>IFERROR(__xludf.DUMMYFUNCTION("""COMPUTED_VALUE"""),"(214) 677-5805")</f>
        <v>(214) 677-5805</v>
      </c>
      <c r="I33" s="94" t="str">
        <f>IFERROR(__xludf.DUMMYFUNCTION("""COMPUTED_VALUE"""),"Student")</f>
        <v>Student</v>
      </c>
      <c r="J33" s="93" t="str">
        <f>IFERROR(__xludf.DUMMYFUNCTION("""COMPUTED_VALUE"""),"$15 Donation, Discord Verification")</f>
        <v>$15 Donation, Discord Verification</v>
      </c>
      <c r="K33" s="100"/>
      <c r="L33" s="101"/>
      <c r="M33" s="100"/>
      <c r="N33" s="94"/>
      <c r="O33" s="93" t="str">
        <f>IFERROR(__xludf.DUMMYFUNCTION("""COMPUTED_VALUE"""),"Fundraising, TNR")</f>
        <v>Fundraising, TNR</v>
      </c>
      <c r="P3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3" s="99"/>
    </row>
    <row r="34" ht="13.5" customHeight="1">
      <c r="A34" s="88">
        <f>IFERROR(__xludf.DUMMYFUNCTION("""COMPUTED_VALUE"""),44593.95271618056)</f>
        <v>44593.95272</v>
      </c>
      <c r="B34" s="89" t="b">
        <v>1</v>
      </c>
      <c r="C34" s="90" t="str">
        <f t="shared" si="1"/>
        <v>Spring 2022</v>
      </c>
      <c r="D34" s="91" t="str">
        <f>IFERROR(__xludf.DUMMYFUNCTION("""COMPUTED_VALUE"""),"juliet.garrison@mavs.uta.edu")</f>
        <v>juliet.garrison@mavs.uta.edu</v>
      </c>
      <c r="E34" s="92" t="str">
        <f>IFERROR(__xludf.DUMMYFUNCTION("""COMPUTED_VALUE"""),"Juliet Garrison")</f>
        <v>Juliet Garrison</v>
      </c>
      <c r="F34" s="93" t="str">
        <f>IFERROR(__xludf.DUMMYFUNCTION("""COMPUTED_VALUE"""),"Juliet Garrison#0912")</f>
        <v>Juliet Garrison#0912</v>
      </c>
      <c r="G34" s="92"/>
      <c r="H34" s="94" t="str">
        <f>IFERROR(__xludf.DUMMYFUNCTION("""COMPUTED_VALUE"""),"(817) 925-7078")</f>
        <v>(817) 925-7078</v>
      </c>
      <c r="I34" s="94" t="str">
        <f>IFERROR(__xludf.DUMMYFUNCTION("""COMPUTED_VALUE"""),"Student")</f>
        <v>Student</v>
      </c>
      <c r="J34" s="93" t="str">
        <f>IFERROR(__xludf.DUMMYFUNCTION("""COMPUTED_VALUE"""),"$15 Donation, Discord Verification")</f>
        <v>$15 Donation, Discord Verification</v>
      </c>
      <c r="K34" s="100"/>
      <c r="L34" s="101"/>
      <c r="M34" s="100"/>
      <c r="N34" s="94"/>
      <c r="O34" s="93" t="str">
        <f>IFERROR(__xludf.DUMMYFUNCTION("""COMPUTED_VALUE"""),"Fundraising, PR")</f>
        <v>Fundraising, PR</v>
      </c>
      <c r="P3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4" s="99"/>
    </row>
    <row r="35" ht="13.5" customHeight="1">
      <c r="A35" s="88">
        <f>IFERROR(__xludf.DUMMYFUNCTION("""COMPUTED_VALUE"""),44599.40634184028)</f>
        <v>44599.40634</v>
      </c>
      <c r="B35" s="89" t="b">
        <v>1</v>
      </c>
      <c r="C35" s="90" t="str">
        <f t="shared" si="1"/>
        <v>Spring 2022</v>
      </c>
      <c r="D35" s="91" t="str">
        <f>IFERROR(__xludf.DUMMYFUNCTION("""COMPUTED_VALUE"""),"alyssa.gonzalez6@mavs.uta.edu")</f>
        <v>alyssa.gonzalez6@mavs.uta.edu</v>
      </c>
      <c r="E35" s="92" t="str">
        <f>IFERROR(__xludf.DUMMYFUNCTION("""COMPUTED_VALUE"""),"Alyssa V. Gonzalez")</f>
        <v>Alyssa V. Gonzalez</v>
      </c>
      <c r="F35" s="93" t="str">
        <f>IFERROR(__xludf.DUMMYFUNCTION("""COMPUTED_VALUE"""),"AVGforAverage#2818")</f>
        <v>AVGforAverage#2818</v>
      </c>
      <c r="G35" s="92"/>
      <c r="H35" s="94" t="str">
        <f>IFERROR(__xludf.DUMMYFUNCTION("""COMPUTED_VALUE"""),"(214) 240-4043")</f>
        <v>(214) 240-4043</v>
      </c>
      <c r="I35" s="94" t="str">
        <f>IFERROR(__xludf.DUMMYFUNCTION("""COMPUTED_VALUE"""),"Student")</f>
        <v>Student</v>
      </c>
      <c r="J35" s="93" t="str">
        <f>IFERROR(__xludf.DUMMYFUNCTION("""COMPUTED_VALUE"""),"$15 Donation, Discord Verification")</f>
        <v>$15 Donation, Discord Verification</v>
      </c>
      <c r="K35" s="100"/>
      <c r="L35" s="101"/>
      <c r="M35" s="100"/>
      <c r="N35" s="94"/>
      <c r="O35" s="93" t="str">
        <f>IFERROR(__xludf.DUMMYFUNCTION("""COMPUTED_VALUE"""),"Feeding, Shelter Maintenance")</f>
        <v>Feeding, Shelter Maintenance</v>
      </c>
      <c r="P3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5" s="99"/>
    </row>
    <row r="36" ht="13.5" customHeight="1">
      <c r="A36" s="88">
        <f>IFERROR(__xludf.DUMMYFUNCTION("""COMPUTED_VALUE"""),44600.81978478009)</f>
        <v>44600.81978</v>
      </c>
      <c r="B36" s="89" t="b">
        <v>1</v>
      </c>
      <c r="C36" s="90" t="str">
        <f t="shared" si="1"/>
        <v>Spring 2022</v>
      </c>
      <c r="D36" s="91" t="str">
        <f>IFERROR(__xludf.DUMMYFUNCTION("""COMPUTED_VALUE"""),"vgk7073@mavs.uta.edu")</f>
        <v>vgk7073@mavs.uta.edu</v>
      </c>
      <c r="E36" s="92" t="str">
        <f>IFERROR(__xludf.DUMMYFUNCTION("""COMPUTED_VALUE"""),"Vivian Kenny")</f>
        <v>Vivian Kenny</v>
      </c>
      <c r="F36" s="93" t="str">
        <f>IFERROR(__xludf.DUMMYFUNCTION("""COMPUTED_VALUE"""),"Vivenette#7011")</f>
        <v>Vivenette#7011</v>
      </c>
      <c r="G36" s="92"/>
      <c r="H36" s="94" t="str">
        <f>IFERROR(__xludf.DUMMYFUNCTION("""COMPUTED_VALUE"""),"(214) 392-7065")</f>
        <v>(214) 392-7065</v>
      </c>
      <c r="I36" s="94" t="str">
        <f>IFERROR(__xludf.DUMMYFUNCTION("""COMPUTED_VALUE"""),"Student")</f>
        <v>Student</v>
      </c>
      <c r="J36" s="93" t="str">
        <f>IFERROR(__xludf.DUMMYFUNCTION("""COMPUTED_VALUE"""),"$15 Donation, Discord Verification")</f>
        <v>$15 Donation, Discord Verification</v>
      </c>
      <c r="K36" s="100"/>
      <c r="L36" s="101"/>
      <c r="M36" s="100"/>
      <c r="N36" s="94"/>
      <c r="O36" s="93" t="str">
        <f>IFERROR(__xludf.DUMMYFUNCTION("""COMPUTED_VALUE"""),"Fundraising, PR, Membership, Feeding")</f>
        <v>Fundraising, PR, Membership, Feeding</v>
      </c>
      <c r="P3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6" s="99"/>
    </row>
    <row r="37" ht="13.5" customHeight="1">
      <c r="A37" s="88">
        <f>IFERROR(__xludf.DUMMYFUNCTION("""COMPUTED_VALUE"""),44600.94790083333)</f>
        <v>44600.9479</v>
      </c>
      <c r="B37" s="89" t="b">
        <v>1</v>
      </c>
      <c r="C37" s="90" t="str">
        <f t="shared" si="1"/>
        <v>Spring 2022</v>
      </c>
      <c r="D37" s="91" t="str">
        <f>IFERROR(__xludf.DUMMYFUNCTION("""COMPUTED_VALUE"""),"mls8159@mavs.uta.edu")</f>
        <v>mls8159@mavs.uta.edu</v>
      </c>
      <c r="E37" s="92" t="str">
        <f>IFERROR(__xludf.DUMMYFUNCTION("""COMPUTED_VALUE"""),"Madeline Smith")</f>
        <v>Madeline Smith</v>
      </c>
      <c r="F37" s="93" t="str">
        <f>IFERROR(__xludf.DUMMYFUNCTION("""COMPUTED_VALUE"""),"madeline #3044")</f>
        <v>madeline #3044</v>
      </c>
      <c r="G37" s="92"/>
      <c r="H37" s="94" t="str">
        <f>IFERROR(__xludf.DUMMYFUNCTION("""COMPUTED_VALUE"""),"(847) 964-3260")</f>
        <v>(847) 964-3260</v>
      </c>
      <c r="I37" s="94" t="str">
        <f>IFERROR(__xludf.DUMMYFUNCTION("""COMPUTED_VALUE"""),"Student")</f>
        <v>Student</v>
      </c>
      <c r="J37" s="93" t="str">
        <f>IFERROR(__xludf.DUMMYFUNCTION("""COMPUTED_VALUE"""),"$15 Donation, Discord Verification")</f>
        <v>$15 Donation, Discord Verification</v>
      </c>
      <c r="K37" s="100"/>
      <c r="L37" s="101"/>
      <c r="M37" s="100"/>
      <c r="N37" s="94"/>
      <c r="O37" s="93" t="str">
        <f>IFERROR(__xludf.DUMMYFUNCTION("""COMPUTED_VALUE"""),"Feeding, Shelter Maintenance")</f>
        <v>Feeding, Shelter Maintenance</v>
      </c>
      <c r="P3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7" s="99"/>
    </row>
    <row r="38" ht="13.5" customHeight="1">
      <c r="A38" s="88">
        <f>IFERROR(__xludf.DUMMYFUNCTION("""COMPUTED_VALUE"""),44600.97930016204)</f>
        <v>44600.9793</v>
      </c>
      <c r="B38" s="89" t="b">
        <v>1</v>
      </c>
      <c r="C38" s="90" t="str">
        <f t="shared" si="1"/>
        <v>Spring 2022</v>
      </c>
      <c r="D38" s="91" t="str">
        <f>IFERROR(__xludf.DUMMYFUNCTION("""COMPUTED_VALUE"""),"ethnica.mohanty@mavs.uta.edu")</f>
        <v>ethnica.mohanty@mavs.uta.edu</v>
      </c>
      <c r="E38" s="92" t="str">
        <f>IFERROR(__xludf.DUMMYFUNCTION("""COMPUTED_VALUE"""),"Ethnica Mohanty")</f>
        <v>Ethnica Mohanty</v>
      </c>
      <c r="F38" s="93" t="str">
        <f>IFERROR(__xludf.DUMMYFUNCTION("""COMPUTED_VALUE"""),"Ethnica#3603")</f>
        <v>Ethnica#3603</v>
      </c>
      <c r="G38" s="92"/>
      <c r="H38" s="94" t="str">
        <f>IFERROR(__xludf.DUMMYFUNCTION("""COMPUTED_VALUE"""),"(281) 935-7860")</f>
        <v>(281) 935-7860</v>
      </c>
      <c r="I38" s="94" t="str">
        <f>IFERROR(__xludf.DUMMYFUNCTION("""COMPUTED_VALUE"""),"Student")</f>
        <v>Student</v>
      </c>
      <c r="J38" s="93" t="str">
        <f>IFERROR(__xludf.DUMMYFUNCTION("""COMPUTED_VALUE"""),"$15 Donation, Discord Verification")</f>
        <v>$15 Donation, Discord Verification</v>
      </c>
      <c r="K38" s="100"/>
      <c r="L38" s="101"/>
      <c r="M38" s="100"/>
      <c r="N38" s="94"/>
      <c r="O38" s="93" t="str">
        <f>IFERROR(__xludf.DUMMYFUNCTION("""COMPUTED_VALUE"""),"Fundraising, PR")</f>
        <v>Fundraising, PR</v>
      </c>
      <c r="P3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8" s="99"/>
    </row>
    <row r="39" ht="13.5" customHeight="1">
      <c r="A39" s="88">
        <f>IFERROR(__xludf.DUMMYFUNCTION("""COMPUTED_VALUE"""),44601.02656430556)</f>
        <v>44601.02656</v>
      </c>
      <c r="B39" s="89" t="b">
        <v>1</v>
      </c>
      <c r="C39" s="90" t="str">
        <f t="shared" si="1"/>
        <v>Spring 2022</v>
      </c>
      <c r="D39" s="91" t="str">
        <f>IFERROR(__xludf.DUMMYFUNCTION("""COMPUTED_VALUE"""),"katherine.parks@mavs.uta.edu")</f>
        <v>katherine.parks@mavs.uta.edu</v>
      </c>
      <c r="E39" s="92" t="str">
        <f>IFERROR(__xludf.DUMMYFUNCTION("""COMPUTED_VALUE"""),"Katherine Parks")</f>
        <v>Katherine Parks</v>
      </c>
      <c r="F39" s="93" t="str">
        <f>IFERROR(__xludf.DUMMYFUNCTION("""COMPUTED_VALUE"""),"QuietPhoenix#5330")</f>
        <v>QuietPhoenix#5330</v>
      </c>
      <c r="G39" s="92"/>
      <c r="H39" s="94" t="str">
        <f>IFERROR(__xludf.DUMMYFUNCTION("""COMPUTED_VALUE"""),"(469) 822-7849")</f>
        <v>(469) 822-7849</v>
      </c>
      <c r="I39" s="94" t="str">
        <f>IFERROR(__xludf.DUMMYFUNCTION("""COMPUTED_VALUE"""),"Student")</f>
        <v>Student</v>
      </c>
      <c r="J39" s="93" t="str">
        <f>IFERROR(__xludf.DUMMYFUNCTION("""COMPUTED_VALUE"""),"$15 Donation, Discord Verification")</f>
        <v>$15 Donation, Discord Verification</v>
      </c>
      <c r="K39" s="100"/>
      <c r="L39" s="101"/>
      <c r="M39" s="100"/>
      <c r="N39" s="94"/>
      <c r="O39" s="93" t="str">
        <f>IFERROR(__xludf.DUMMYFUNCTION("""COMPUTED_VALUE"""),"I'm not sure yet as I'd like to learn more about all the committees")</f>
        <v>I'm not sure yet as I'd like to learn more about all the committees</v>
      </c>
      <c r="P3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9" s="99"/>
    </row>
    <row r="40" ht="13.5" customHeight="1">
      <c r="A40" s="88">
        <f>IFERROR(__xludf.DUMMYFUNCTION("""COMPUTED_VALUE"""),44601.607265081024)</f>
        <v>44601.60727</v>
      </c>
      <c r="B40" s="89" t="b">
        <v>1</v>
      </c>
      <c r="C40" s="90" t="str">
        <f t="shared" si="1"/>
        <v>Spring 2022</v>
      </c>
      <c r="D40" s="91" t="str">
        <f>IFERROR(__xludf.DUMMYFUNCTION("""COMPUTED_VALUE"""),"zaynab.shaikh@mavs.uta.edu")</f>
        <v>zaynab.shaikh@mavs.uta.edu</v>
      </c>
      <c r="E40" s="92" t="str">
        <f>IFERROR(__xludf.DUMMYFUNCTION("""COMPUTED_VALUE"""),"Zaynab Shaikh")</f>
        <v>Zaynab Shaikh</v>
      </c>
      <c r="F40" s="93" t="str">
        <f>IFERROR(__xludf.DUMMYFUNCTION("""COMPUTED_VALUE"""),"Icebearlikesturtles#0329")</f>
        <v>Icebearlikesturtles#0329</v>
      </c>
      <c r="G40" s="92"/>
      <c r="H40" s="94" t="str">
        <f>IFERROR(__xludf.DUMMYFUNCTION("""COMPUTED_VALUE"""),"")</f>
        <v/>
      </c>
      <c r="I40" s="94" t="str">
        <f>IFERROR(__xludf.DUMMYFUNCTION("""COMPUTED_VALUE"""),"Student")</f>
        <v>Student</v>
      </c>
      <c r="J40" s="93" t="str">
        <f>IFERROR(__xludf.DUMMYFUNCTION("""COMPUTED_VALUE"""),"$15 Donation, Discord Verification")</f>
        <v>$15 Donation, Discord Verification</v>
      </c>
      <c r="K40" s="100"/>
      <c r="L40" s="101"/>
      <c r="M40" s="100"/>
      <c r="N40" s="94"/>
      <c r="O40" s="93" t="str">
        <f>IFERROR(__xludf.DUMMYFUNCTION("""COMPUTED_VALUE"""),"Fundraising, Membership, Feeding")</f>
        <v>Fundraising, Membership, Feeding</v>
      </c>
      <c r="P4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0" s="99"/>
    </row>
    <row r="41" ht="13.5" customHeight="1">
      <c r="A41" s="88">
        <f>IFERROR(__xludf.DUMMYFUNCTION("""COMPUTED_VALUE"""),44606.99112435185)</f>
        <v>44606.99112</v>
      </c>
      <c r="B41" s="89" t="b">
        <v>1</v>
      </c>
      <c r="C41" s="90" t="str">
        <f t="shared" si="1"/>
        <v>Spring 2022</v>
      </c>
      <c r="D41" s="91" t="str">
        <f>IFERROR(__xludf.DUMMYFUNCTION("""COMPUTED_VALUE"""),"jps2697@mavs.uta.edu")</f>
        <v>jps2697@mavs.uta.edu</v>
      </c>
      <c r="E41" s="92" t="str">
        <f>IFERROR(__xludf.DUMMYFUNCTION("""COMPUTED_VALUE"""),"Joseph P. St. Jacques")</f>
        <v>Joseph P. St. Jacques</v>
      </c>
      <c r="F41" s="93" t="str">
        <f>IFERROR(__xludf.DUMMYFUNCTION("""COMPUTED_VALUE"""),"joeystj#6236")</f>
        <v>joeystj#6236</v>
      </c>
      <c r="G41" s="92"/>
      <c r="H41" s="94" t="str">
        <f>IFERROR(__xludf.DUMMYFUNCTION("""COMPUTED_VALUE"""),"(214) 642-0088")</f>
        <v>(214) 642-0088</v>
      </c>
      <c r="I41" s="94" t="str">
        <f>IFERROR(__xludf.DUMMYFUNCTION("""COMPUTED_VALUE"""),"Student")</f>
        <v>Student</v>
      </c>
      <c r="J41" s="93" t="str">
        <f>IFERROR(__xludf.DUMMYFUNCTION("""COMPUTED_VALUE"""),"$15 Donation, Discord Verification")</f>
        <v>$15 Donation, Discord Verification</v>
      </c>
      <c r="K41" s="100"/>
      <c r="L41" s="101"/>
      <c r="M41" s="100"/>
      <c r="N41" s="94"/>
      <c r="O41" s="93" t="str">
        <f>IFERROR(__xludf.DUMMYFUNCTION("""COMPUTED_VALUE"""),"TNR, Overnight TNR, Feeding, Shelter Maintenance")</f>
        <v>TNR, Overnight TNR, Feeding, Shelter Maintenance</v>
      </c>
      <c r="P4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1" s="99"/>
    </row>
    <row r="42" ht="13.5" customHeight="1">
      <c r="A42" s="88">
        <f>IFERROR(__xludf.DUMMYFUNCTION("""COMPUTED_VALUE"""),44608.61212871528)</f>
        <v>44608.61213</v>
      </c>
      <c r="B42" s="89" t="b">
        <v>1</v>
      </c>
      <c r="C42" s="90" t="str">
        <f t="shared" si="1"/>
        <v>Spring 2022</v>
      </c>
      <c r="D42" s="91" t="str">
        <f>IFERROR(__xludf.DUMMYFUNCTION("""COMPUTED_VALUE"""),"scoen@uta.edu")</f>
        <v>scoen@uta.edu</v>
      </c>
      <c r="E42" s="92" t="str">
        <f>IFERROR(__xludf.DUMMYFUNCTION("""COMPUTED_VALUE"""),"Shelby Coen")</f>
        <v>Shelby Coen</v>
      </c>
      <c r="F42" s="93" t="str">
        <f>IFERROR(__xludf.DUMMYFUNCTION("""COMPUTED_VALUE"""),"shelbeelzebub#5349")</f>
        <v>shelbeelzebub#5349</v>
      </c>
      <c r="G42" s="92"/>
      <c r="H42" s="94" t="str">
        <f>IFERROR(__xludf.DUMMYFUNCTION("""COMPUTED_VALUE"""),"(817) 272-2661")</f>
        <v>(817) 272-2661</v>
      </c>
      <c r="I42" s="94" t="str">
        <f>IFERROR(__xludf.DUMMYFUNCTION("""COMPUTED_VALUE"""),"UTA Faculty")</f>
        <v>UTA Faculty</v>
      </c>
      <c r="J42" s="93" t="str">
        <f>IFERROR(__xludf.DUMMYFUNCTION("""COMPUTED_VALUE"""),"$15 Donation, Discord Verification")</f>
        <v>$15 Donation, Discord Verification</v>
      </c>
      <c r="K42" s="100"/>
      <c r="L42" s="101"/>
      <c r="M42" s="100"/>
      <c r="N42" s="94"/>
      <c r="O42" s="93" t="str">
        <f>IFERROR(__xludf.DUMMYFUNCTION("""COMPUTED_VALUE"""),"PR, Membership")</f>
        <v>PR, Membership</v>
      </c>
      <c r="P4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2" s="99"/>
    </row>
    <row r="43" ht="13.5" customHeight="1">
      <c r="A43" s="88">
        <f>IFERROR(__xludf.DUMMYFUNCTION("""COMPUTED_VALUE"""),44610.61055267361)</f>
        <v>44610.61055</v>
      </c>
      <c r="B43" s="89" t="b">
        <v>1</v>
      </c>
      <c r="C43" s="90" t="str">
        <f t="shared" si="1"/>
        <v>Spring 2022</v>
      </c>
      <c r="D43" s="91" t="str">
        <f>IFERROR(__xludf.DUMMYFUNCTION("""COMPUTED_VALUE"""),"aaa4904@mavs.uta.edu")</f>
        <v>aaa4904@mavs.uta.edu</v>
      </c>
      <c r="E43" s="92" t="str">
        <f>IFERROR(__xludf.DUMMYFUNCTION("""COMPUTED_VALUE"""),"Anthony Aiyedun")</f>
        <v>Anthony Aiyedun</v>
      </c>
      <c r="F43" s="93" t="str">
        <f>IFERROR(__xludf.DUMMYFUNCTION("""COMPUTED_VALUE"""),"Anth #3843")</f>
        <v>Anth #3843</v>
      </c>
      <c r="G43" s="92"/>
      <c r="H43" s="94" t="str">
        <f>IFERROR(__xludf.DUMMYFUNCTION("""COMPUTED_VALUE"""),"(469) 600-6587")</f>
        <v>(469) 600-6587</v>
      </c>
      <c r="I43" s="94" t="str">
        <f>IFERROR(__xludf.DUMMYFUNCTION("""COMPUTED_VALUE"""),"Student")</f>
        <v>Student</v>
      </c>
      <c r="J43" s="93" t="str">
        <f>IFERROR(__xludf.DUMMYFUNCTION("""COMPUTED_VALUE"""),"$15 Donation, Discord Verification")</f>
        <v>$15 Donation, Discord Verification</v>
      </c>
      <c r="K43" s="100"/>
      <c r="L43" s="101"/>
      <c r="M43" s="100"/>
      <c r="N43" s="94"/>
      <c r="O43" s="93" t="str">
        <f>IFERROR(__xludf.DUMMYFUNCTION("""COMPUTED_VALUE"""),"Feeding")</f>
        <v>Feeding</v>
      </c>
      <c r="P4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3" s="99"/>
    </row>
    <row r="44" ht="13.5" customHeight="1">
      <c r="A44" s="88">
        <f>IFERROR(__xludf.DUMMYFUNCTION("""COMPUTED_VALUE"""),44613.72720898148)</f>
        <v>44613.72721</v>
      </c>
      <c r="B44" s="89" t="b">
        <v>1</v>
      </c>
      <c r="C44" s="90" t="str">
        <f t="shared" si="1"/>
        <v>Spring 2022</v>
      </c>
      <c r="D44" s="91" t="str">
        <f>IFERROR(__xludf.DUMMYFUNCTION("""COMPUTED_VALUE"""),"kstogsdill2002@gmail.com")</f>
        <v>kstogsdill2002@gmail.com</v>
      </c>
      <c r="E44" s="92" t="str">
        <f>IFERROR(__xludf.DUMMYFUNCTION("""COMPUTED_VALUE"""),"Kara Stogsdill")</f>
        <v>Kara Stogsdill</v>
      </c>
      <c r="F44" s="93" t="str">
        <f>IFERROR(__xludf.DUMMYFUNCTION("""COMPUTED_VALUE"""),"wavenote#4015")</f>
        <v>wavenote#4015</v>
      </c>
      <c r="G44" s="92"/>
      <c r="H44" s="94" t="str">
        <f>IFERROR(__xludf.DUMMYFUNCTION("""COMPUTED_VALUE"""),"(817) 683-9846")</f>
        <v>(817) 683-9846</v>
      </c>
      <c r="I44" s="94" t="str">
        <f>IFERROR(__xludf.DUMMYFUNCTION("""COMPUTED_VALUE"""),"Student")</f>
        <v>Student</v>
      </c>
      <c r="J44" s="93" t="str">
        <f>IFERROR(__xludf.DUMMYFUNCTION("""COMPUTED_VALUE"""),"$15 Donation, Discord Verification")</f>
        <v>$15 Donation, Discord Verification</v>
      </c>
      <c r="K44" s="100"/>
      <c r="L44" s="101"/>
      <c r="M44" s="100"/>
      <c r="N44" s="94"/>
      <c r="O44" s="93" t="str">
        <f>IFERROR(__xludf.DUMMYFUNCTION("""COMPUTED_VALUE"""),"officer ( ͡° ͜ʖ ͡°) ")</f>
        <v>officer ( ͡° ͜ʖ ͡°) </v>
      </c>
      <c r="P4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4" s="99"/>
    </row>
    <row r="45" ht="13.5" customHeight="1">
      <c r="A45" s="88">
        <f>IFERROR(__xludf.DUMMYFUNCTION("""COMPUTED_VALUE"""),44613.72829752315)</f>
        <v>44613.7283</v>
      </c>
      <c r="B45" s="89" t="b">
        <v>1</v>
      </c>
      <c r="C45" s="90" t="str">
        <f t="shared" si="1"/>
        <v>Spring 2022</v>
      </c>
      <c r="D45" s="91" t="str">
        <f>IFERROR(__xludf.DUMMYFUNCTION("""COMPUTED_VALUE"""),"payten.belt@macs.uta.edu")</f>
        <v>payten.belt@macs.uta.edu</v>
      </c>
      <c r="E45" s="92" t="str">
        <f>IFERROR(__xludf.DUMMYFUNCTION("""COMPUTED_VALUE"""),"Payten (Bat) Belt")</f>
        <v>Payten (Bat) Belt</v>
      </c>
      <c r="F45" s="93" t="str">
        <f>IFERROR(__xludf.DUMMYFUNCTION("""COMPUTED_VALUE""")," Bat🖤#5142")</f>
        <v> Bat🖤#5142</v>
      </c>
      <c r="G45" s="92"/>
      <c r="H45" s="94" t="str">
        <f>IFERROR(__xludf.DUMMYFUNCTION("""COMPUTED_VALUE"""),"(281) 221-0208")</f>
        <v>(281) 221-0208</v>
      </c>
      <c r="I45" s="94" t="str">
        <f>IFERROR(__xludf.DUMMYFUNCTION("""COMPUTED_VALUE"""),"Student")</f>
        <v>Student</v>
      </c>
      <c r="J45" s="93" t="str">
        <f>IFERROR(__xludf.DUMMYFUNCTION("""COMPUTED_VALUE"""),"$15 Donation, Discord Verification")</f>
        <v>$15 Donation, Discord Verification</v>
      </c>
      <c r="K45" s="100"/>
      <c r="L45" s="101"/>
      <c r="M45" s="100"/>
      <c r="N45" s="94"/>
      <c r="O45" s="93" t="str">
        <f>IFERROR(__xludf.DUMMYFUNCTION("""COMPUTED_VALUE"""),"Fostering")</f>
        <v>Fostering</v>
      </c>
      <c r="P4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5" s="99"/>
    </row>
    <row r="46" ht="13.5" customHeight="1">
      <c r="A46" s="88">
        <f>IFERROR(__xludf.DUMMYFUNCTION("""COMPUTED_VALUE"""),44624.736503622684)</f>
        <v>44624.7365</v>
      </c>
      <c r="B46" s="89" t="b">
        <v>1</v>
      </c>
      <c r="C46" s="90" t="str">
        <f t="shared" si="1"/>
        <v>Spring 2022</v>
      </c>
      <c r="D46" s="91" t="str">
        <f>IFERROR(__xludf.DUMMYFUNCTION("""COMPUTED_VALUE"""),"bxa7089@mavs.uta.edu")</f>
        <v>bxa7089@mavs.uta.edu</v>
      </c>
      <c r="E46" s="92" t="str">
        <f>IFERROR(__xludf.DUMMYFUNCTION("""COMPUTED_VALUE"""),"Brooke Haley Anderson")</f>
        <v>Brooke Haley Anderson</v>
      </c>
      <c r="F46" s="93" t="str">
        <f>IFERROR(__xludf.DUMMYFUNCTION("""COMPUTED_VALUE"""),"idontlikehavingtomakeusernames#6444")</f>
        <v>idontlikehavingtomakeusernames#6444</v>
      </c>
      <c r="G46" s="92"/>
      <c r="H46" s="94" t="str">
        <f>IFERROR(__xludf.DUMMYFUNCTION("""COMPUTED_VALUE"""),"(214) 287-9451")</f>
        <v>(214) 287-9451</v>
      </c>
      <c r="I46" s="94" t="str">
        <f>IFERROR(__xludf.DUMMYFUNCTION("""COMPUTED_VALUE"""),"Student")</f>
        <v>Student</v>
      </c>
      <c r="J46" s="93" t="str">
        <f>IFERROR(__xludf.DUMMYFUNCTION("""COMPUTED_VALUE"""),"$15 Donation, Discord Verification")</f>
        <v>$15 Donation, Discord Verification</v>
      </c>
      <c r="K46" s="100"/>
      <c r="L46" s="101"/>
      <c r="M46" s="100"/>
      <c r="N46" s="94"/>
      <c r="O46" s="93" t="str">
        <f>IFERROR(__xludf.DUMMYFUNCTION("""COMPUTED_VALUE"""),"Membership, TNR")</f>
        <v>Membership, TNR</v>
      </c>
      <c r="P4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6" s="99"/>
    </row>
    <row r="47" ht="13.5" customHeight="1">
      <c r="A47" s="88">
        <f>IFERROR(__xludf.DUMMYFUNCTION("""COMPUTED_VALUE"""),44643.512073564816)</f>
        <v>44643.51207</v>
      </c>
      <c r="B47" s="89" t="b">
        <v>1</v>
      </c>
      <c r="C47" s="90" t="str">
        <f t="shared" si="1"/>
        <v>Spring 2022</v>
      </c>
      <c r="D47" s="91" t="str">
        <f>IFERROR(__xludf.DUMMYFUNCTION("""COMPUTED_VALUE"""),"jazmine.frazer@mavs.uta.edu")</f>
        <v>jazmine.frazer@mavs.uta.edu</v>
      </c>
      <c r="E47" s="92" t="str">
        <f>IFERROR(__xludf.DUMMYFUNCTION("""COMPUTED_VALUE"""),"Jazmine Frazer")</f>
        <v>Jazmine Frazer</v>
      </c>
      <c r="F47" s="93" t="str">
        <f>IFERROR(__xludf.DUMMYFUNCTION("""COMPUTED_VALUE"""),"Furren#9810")</f>
        <v>Furren#9810</v>
      </c>
      <c r="G47" s="92"/>
      <c r="H47" s="94" t="str">
        <f>IFERROR(__xludf.DUMMYFUNCTION("""COMPUTED_VALUE"""),"(972) 802-9907")</f>
        <v>(972) 802-9907</v>
      </c>
      <c r="I47" s="94" t="str">
        <f>IFERROR(__xludf.DUMMYFUNCTION("""COMPUTED_VALUE"""),"Student")</f>
        <v>Student</v>
      </c>
      <c r="J47" s="93" t="str">
        <f>IFERROR(__xludf.DUMMYFUNCTION("""COMPUTED_VALUE"""),"$15 Donation, Discord Verification")</f>
        <v>$15 Donation, Discord Verification</v>
      </c>
      <c r="K47" s="100"/>
      <c r="L47" s="101"/>
      <c r="M47" s="100"/>
      <c r="N47" s="94"/>
      <c r="O47" s="93" t="str">
        <f>IFERROR(__xludf.DUMMYFUNCTION("""COMPUTED_VALUE"""),"Feeding")</f>
        <v>Feeding</v>
      </c>
      <c r="P4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7" s="99"/>
    </row>
    <row r="48" ht="13.5" customHeight="1">
      <c r="A48" s="88">
        <f>IFERROR(__xludf.DUMMYFUNCTION("""COMPUTED_VALUE"""),44645.62396798611)</f>
        <v>44645.62397</v>
      </c>
      <c r="B48" s="89" t="b">
        <v>1</v>
      </c>
      <c r="C48" s="90" t="str">
        <f t="shared" si="1"/>
        <v>Spring 2022</v>
      </c>
      <c r="D48" s="91" t="str">
        <f>IFERROR(__xludf.DUMMYFUNCTION("""COMPUTED_VALUE"""),"bat4615@mavs.uta.edu")</f>
        <v>bat4615@mavs.uta.edu</v>
      </c>
      <c r="E48" s="92" t="str">
        <f>IFERROR(__xludf.DUMMYFUNCTION("""COMPUTED_VALUE"""),"Brett Teichmann")</f>
        <v>Brett Teichmann</v>
      </c>
      <c r="F48" s="93" t="str">
        <f>IFERROR(__xludf.DUMMYFUNCTION("""COMPUTED_VALUE"""),"Brett#2481")</f>
        <v>Brett#2481</v>
      </c>
      <c r="G48" s="92"/>
      <c r="H48" s="94" t="str">
        <f>IFERROR(__xludf.DUMMYFUNCTION("""COMPUTED_VALUE"""),"(817) 564-6490")</f>
        <v>(817) 564-6490</v>
      </c>
      <c r="I48" s="94" t="str">
        <f>IFERROR(__xludf.DUMMYFUNCTION("""COMPUTED_VALUE"""),"Student")</f>
        <v>Student</v>
      </c>
      <c r="J48" s="93" t="str">
        <f>IFERROR(__xludf.DUMMYFUNCTION("""COMPUTED_VALUE"""),"$15 Donation, Discord Verification")</f>
        <v>$15 Donation, Discord Verification</v>
      </c>
      <c r="K48" s="100"/>
      <c r="L48" s="101"/>
      <c r="M48" s="100"/>
      <c r="N48" s="94"/>
      <c r="O48" s="93" t="str">
        <f>IFERROR(__xludf.DUMMYFUNCTION("""COMPUTED_VALUE"""),"Feeding")</f>
        <v>Feeding</v>
      </c>
      <c r="P4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8" s="99"/>
    </row>
    <row r="49" ht="13.5" customHeight="1">
      <c r="A49" s="88">
        <f>IFERROR(__xludf.DUMMYFUNCTION("""COMPUTED_VALUE"""),44646.45667054398)</f>
        <v>44646.45667</v>
      </c>
      <c r="B49" s="89" t="b">
        <v>1</v>
      </c>
      <c r="C49" s="90" t="str">
        <f t="shared" si="1"/>
        <v>Spring 2022</v>
      </c>
      <c r="D49" s="91" t="str">
        <f>IFERROR(__xludf.DUMMYFUNCTION("""COMPUTED_VALUE"""),"christine.magnuson@mavs.uta.edu")</f>
        <v>christine.magnuson@mavs.uta.edu</v>
      </c>
      <c r="E49" s="92" t="str">
        <f>IFERROR(__xludf.DUMMYFUNCTION("""COMPUTED_VALUE"""),"Christine magnuson")</f>
        <v>Christine magnuson</v>
      </c>
      <c r="F49" s="93" t="str">
        <f>IFERROR(__xludf.DUMMYFUNCTION("""COMPUTED_VALUE"""),"Vinegarooney")</f>
        <v>Vinegarooney</v>
      </c>
      <c r="G49" s="92"/>
      <c r="H49" s="94" t="str">
        <f>IFERROR(__xludf.DUMMYFUNCTION("""COMPUTED_VALUE"""),"(214) 677-5719")</f>
        <v>(214) 677-5719</v>
      </c>
      <c r="I49" s="94" t="str">
        <f>IFERROR(__xludf.DUMMYFUNCTION("""COMPUTED_VALUE"""),"Student")</f>
        <v>Student</v>
      </c>
      <c r="J49" s="93" t="str">
        <f>IFERROR(__xludf.DUMMYFUNCTION("""COMPUTED_VALUE"""),"$15 Donation, Discord Verification")</f>
        <v>$15 Donation, Discord Verification</v>
      </c>
      <c r="K49" s="100"/>
      <c r="L49" s="101"/>
      <c r="M49" s="100"/>
      <c r="N49" s="94"/>
      <c r="O49" s="93" t="str">
        <f>IFERROR(__xludf.DUMMYFUNCTION("""COMPUTED_VALUE"""),"TNR, Feeding")</f>
        <v>TNR, Feeding</v>
      </c>
      <c r="P4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9" s="99"/>
    </row>
    <row r="50" ht="13.5" customHeight="1">
      <c r="A50" s="88">
        <f>IFERROR(__xludf.DUMMYFUNCTION("""COMPUTED_VALUE"""),44651.8694080787)</f>
        <v>44651.86941</v>
      </c>
      <c r="B50" s="89" t="b">
        <v>1</v>
      </c>
      <c r="C50" s="90" t="str">
        <f t="shared" si="1"/>
        <v>Spring 2022</v>
      </c>
      <c r="D50" s="91" t="str">
        <f>IFERROR(__xludf.DUMMYFUNCTION("""COMPUTED_VALUE"""),"claire.sissons@mavs.uta.edu")</f>
        <v>claire.sissons@mavs.uta.edu</v>
      </c>
      <c r="E50" s="92" t="str">
        <f>IFERROR(__xludf.DUMMYFUNCTION("""COMPUTED_VALUE"""),"Claire Sissons")</f>
        <v>Claire Sissons</v>
      </c>
      <c r="F50" s="93" t="str">
        <f>IFERROR(__xludf.DUMMYFUNCTION("""COMPUTED_VALUE"""),"cms5522#4418")</f>
        <v>cms5522#4418</v>
      </c>
      <c r="G50" s="92"/>
      <c r="H50" s="94" t="str">
        <f>IFERROR(__xludf.DUMMYFUNCTION("""COMPUTED_VALUE"""),"(903) 422-5526")</f>
        <v>(903) 422-5526</v>
      </c>
      <c r="I50" s="94" t="str">
        <f>IFERROR(__xludf.DUMMYFUNCTION("""COMPUTED_VALUE"""),"Student")</f>
        <v>Student</v>
      </c>
      <c r="J50" s="93" t="str">
        <f>IFERROR(__xludf.DUMMYFUNCTION("""COMPUTED_VALUE"""),"Food/Litter Donation")</f>
        <v>Food/Litter Donation</v>
      </c>
      <c r="K50" s="100"/>
      <c r="L50" s="101"/>
      <c r="M50" s="100"/>
      <c r="N50" s="94"/>
      <c r="O50" s="93" t="str">
        <f>IFERROR(__xludf.DUMMYFUNCTION("""COMPUTED_VALUE"""),"Fundraising, TNR, Shelter Maintenance")</f>
        <v>Fundraising, TNR, Shelter Maintenance</v>
      </c>
      <c r="P5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0" s="99"/>
    </row>
    <row r="51" ht="13.5" customHeight="1">
      <c r="A51" s="88">
        <f>IFERROR(__xludf.DUMMYFUNCTION("""COMPUTED_VALUE"""),44687.716291979166)</f>
        <v>44687.71629</v>
      </c>
      <c r="B51" s="89" t="b">
        <v>1</v>
      </c>
      <c r="C51" s="90" t="str">
        <f t="shared" si="1"/>
        <v>Spring 2022</v>
      </c>
      <c r="D51" s="91" t="str">
        <f>IFERROR(__xludf.DUMMYFUNCTION("""COMPUTED_VALUE"""),"moo7465@mavs.uta.edu")</f>
        <v>moo7465@mavs.uta.edu</v>
      </c>
      <c r="E51" s="92" t="str">
        <f>IFERROR(__xludf.DUMMYFUNCTION("""COMPUTED_VALUE"""),"Oyindamola Mariam Oyeyemi")</f>
        <v>Oyindamola Mariam Oyeyemi</v>
      </c>
      <c r="F51" s="93" t="str">
        <f>IFERROR(__xludf.DUMMYFUNCTION("""COMPUTED_VALUE"""),"Mariam O#3790")</f>
        <v>Mariam O#3790</v>
      </c>
      <c r="G51" s="92"/>
      <c r="H51" s="94" t="str">
        <f>IFERROR(__xludf.DUMMYFUNCTION("""COMPUTED_VALUE"""),"(682) 222-2298")</f>
        <v>(682) 222-2298</v>
      </c>
      <c r="I51" s="94" t="str">
        <f>IFERROR(__xludf.DUMMYFUNCTION("""COMPUTED_VALUE"""),"Student")</f>
        <v>Student</v>
      </c>
      <c r="J51" s="93" t="str">
        <f>IFERROR(__xludf.DUMMYFUNCTION("""COMPUTED_VALUE"""),"$15 Donation, Discord Verification")</f>
        <v>$15 Donation, Discord Verification</v>
      </c>
      <c r="K51" s="100"/>
      <c r="L51" s="101"/>
      <c r="M51" s="100"/>
      <c r="N51" s="94"/>
      <c r="O51" s="93" t="str">
        <f>IFERROR(__xludf.DUMMYFUNCTION("""COMPUTED_VALUE"""),"Membership, Feeding")</f>
        <v>Membership, Feeding</v>
      </c>
      <c r="P5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1" s="99"/>
    </row>
    <row r="52" ht="13.5" customHeight="1">
      <c r="A52" s="88">
        <f>IFERROR(__xludf.DUMMYFUNCTION("""COMPUTED_VALUE"""),44713.68202766204)</f>
        <v>44713.68203</v>
      </c>
      <c r="B52" s="89" t="b">
        <v>1</v>
      </c>
      <c r="C52" s="90" t="str">
        <f t="shared" si="1"/>
        <v>Fall 2022</v>
      </c>
      <c r="D52" s="91" t="str">
        <f>IFERROR(__xludf.DUMMYFUNCTION("""COMPUTED_VALUE"""),"cjg2340@mavs.uta.edu")</f>
        <v>cjg2340@mavs.uta.edu</v>
      </c>
      <c r="E52" s="92" t="str">
        <f>IFERROR(__xludf.DUMMYFUNCTION("""COMPUTED_VALUE"""),"Neptune Gainer")</f>
        <v>Neptune Gainer</v>
      </c>
      <c r="F52" s="93" t="str">
        <f>IFERROR(__xludf.DUMMYFUNCTION("""COMPUTED_VALUE"""),"Sonny#4501")</f>
        <v>Sonny#4501</v>
      </c>
      <c r="G52" s="92"/>
      <c r="H52" s="94" t="str">
        <f>IFERROR(__xludf.DUMMYFUNCTION("""COMPUTED_VALUE"""),"(254) 644-7896")</f>
        <v>(254) 644-7896</v>
      </c>
      <c r="I52" s="94" t="str">
        <f>IFERROR(__xludf.DUMMYFUNCTION("""COMPUTED_VALUE"""),"Student")</f>
        <v>Student</v>
      </c>
      <c r="J52" s="93" t="str">
        <f>IFERROR(__xludf.DUMMYFUNCTION("""COMPUTED_VALUE"""),"$15 Donation, Discord Verification")</f>
        <v>$15 Donation, Discord Verification</v>
      </c>
      <c r="K52" s="100"/>
      <c r="L52" s="101"/>
      <c r="M52" s="100"/>
      <c r="N52" s="94"/>
      <c r="O52" s="93" t="str">
        <f>IFERROR(__xludf.DUMMYFUNCTION("""COMPUTED_VALUE"""),"TNR, Overnight TNR")</f>
        <v>TNR, Overnight TNR</v>
      </c>
      <c r="P5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2" s="99"/>
    </row>
    <row r="53" ht="13.5" customHeight="1">
      <c r="A53" s="88">
        <f>IFERROR(__xludf.DUMMYFUNCTION("""COMPUTED_VALUE"""),44729.5865772338)</f>
        <v>44729.58658</v>
      </c>
      <c r="B53" s="89" t="b">
        <v>1</v>
      </c>
      <c r="C53" s="90" t="str">
        <f t="shared" si="1"/>
        <v>Fall 2022</v>
      </c>
      <c r="D53" s="91" t="str">
        <f>IFERROR(__xludf.DUMMYFUNCTION("""COMPUTED_VALUE"""),"pmd1523@mavs.uta.edu")</f>
        <v>pmd1523@mavs.uta.edu</v>
      </c>
      <c r="E53" s="92" t="str">
        <f>IFERROR(__xludf.DUMMYFUNCTION("""COMPUTED_VALUE"""),"Phillip Duling-El")</f>
        <v>Phillip Duling-El</v>
      </c>
      <c r="F53" s="93" t="str">
        <f>IFERROR(__xludf.DUMMYFUNCTION("""COMPUTED_VALUE"""),"xoltd#7369")</f>
        <v>xoltd#7369</v>
      </c>
      <c r="G53" s="92"/>
      <c r="H53" s="94" t="str">
        <f>IFERROR(__xludf.DUMMYFUNCTION("""COMPUTED_VALUE"""),"(682) 553-9121")</f>
        <v>(682) 553-9121</v>
      </c>
      <c r="I53" s="94" t="str">
        <f>IFERROR(__xludf.DUMMYFUNCTION("""COMPUTED_VALUE"""),"Student")</f>
        <v>Student</v>
      </c>
      <c r="J53" s="93" t="str">
        <f>IFERROR(__xludf.DUMMYFUNCTION("""COMPUTED_VALUE"""),"$15 Donation, Discord Verification")</f>
        <v>$15 Donation, Discord Verification</v>
      </c>
      <c r="K53" s="100"/>
      <c r="L53" s="101"/>
      <c r="M53" s="100"/>
      <c r="N53" s="94"/>
      <c r="O53" s="93" t="str">
        <f>IFERROR(__xludf.DUMMYFUNCTION("""COMPUTED_VALUE"""),"Fundraising, PR, Shelter Maintenance")</f>
        <v>Fundraising, PR, Shelter Maintenance</v>
      </c>
      <c r="P5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3" s="99"/>
    </row>
    <row r="54" ht="13.5" customHeight="1">
      <c r="A54" s="88">
        <f>IFERROR(__xludf.DUMMYFUNCTION("""COMPUTED_VALUE"""),44754.44758806713)</f>
        <v>44754.44759</v>
      </c>
      <c r="B54" s="89" t="b">
        <v>1</v>
      </c>
      <c r="C54" s="90" t="str">
        <f t="shared" si="1"/>
        <v>Fall 2022</v>
      </c>
      <c r="D54" s="91" t="str">
        <f>IFERROR(__xludf.DUMMYFUNCTION("""COMPUTED_VALUE"""),"jxw1244@mavs.uta.edu")</f>
        <v>jxw1244@mavs.uta.edu</v>
      </c>
      <c r="E54" s="92" t="str">
        <f>IFERROR(__xludf.DUMMYFUNCTION("""COMPUTED_VALUE"""),"Jane Wang")</f>
        <v>Jane Wang</v>
      </c>
      <c r="F54" s="93" t="str">
        <f>IFERROR(__xludf.DUMMYFUNCTION("""COMPUTED_VALUE"""),"Jane_IRL#7185")</f>
        <v>Jane_IRL#7185</v>
      </c>
      <c r="G54" s="92"/>
      <c r="H54" s="94" t="str">
        <f>IFERROR(__xludf.DUMMYFUNCTION("""COMPUTED_VALUE"""),"")</f>
        <v/>
      </c>
      <c r="I54" s="94" t="str">
        <f>IFERROR(__xludf.DUMMYFUNCTION("""COMPUTED_VALUE"""),"Student")</f>
        <v>Student</v>
      </c>
      <c r="J54" s="93" t="str">
        <f>IFERROR(__xludf.DUMMYFUNCTION("""COMPUTED_VALUE"""),"$15 Donation, Discord Verification")</f>
        <v>$15 Donation, Discord Verification</v>
      </c>
      <c r="K54" s="100"/>
      <c r="L54" s="101"/>
      <c r="M54" s="100"/>
      <c r="N54" s="94"/>
      <c r="O54" s="93" t="str">
        <f>IFERROR(__xludf.DUMMYFUNCTION("""COMPUTED_VALUE"""),"TNR, Feeding")</f>
        <v>TNR, Feeding</v>
      </c>
      <c r="P5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4" s="99"/>
    </row>
    <row r="55" ht="13.5" customHeight="1">
      <c r="A55" s="88">
        <f>IFERROR(__xludf.DUMMYFUNCTION("""COMPUTED_VALUE"""),44760.17037069444)</f>
        <v>44760.17037</v>
      </c>
      <c r="B55" s="89" t="b">
        <v>1</v>
      </c>
      <c r="C55" s="90" t="str">
        <f t="shared" si="1"/>
        <v>Fall 2022</v>
      </c>
      <c r="D55" s="91" t="str">
        <f>IFERROR(__xludf.DUMMYFUNCTION("""COMPUTED_VALUE"""),"axr5141@mavs.uta.edu")</f>
        <v>axr5141@mavs.uta.edu</v>
      </c>
      <c r="E55" s="92" t="str">
        <f>IFERROR(__xludf.DUMMYFUNCTION("""COMPUTED_VALUE"""),"Angelica Romero")</f>
        <v>Angelica Romero</v>
      </c>
      <c r="F55" s="93" t="str">
        <f>IFERROR(__xludf.DUMMYFUNCTION("""COMPUTED_VALUE"""),"Angiekin#7816")</f>
        <v>Angiekin#7816</v>
      </c>
      <c r="G55" s="92"/>
      <c r="H55" s="94" t="str">
        <f>IFERROR(__xludf.DUMMYFUNCTION("""COMPUTED_VALUE"""),"(682) 704-7602")</f>
        <v>(682) 704-7602</v>
      </c>
      <c r="I55" s="94" t="str">
        <f>IFERROR(__xludf.DUMMYFUNCTION("""COMPUTED_VALUE"""),"Student")</f>
        <v>Student</v>
      </c>
      <c r="J55" s="93" t="str">
        <f>IFERROR(__xludf.DUMMYFUNCTION("""COMPUTED_VALUE"""),"$15 Donation, Discord Verification")</f>
        <v>$15 Donation, Discord Verification</v>
      </c>
      <c r="K55" s="100"/>
      <c r="L55" s="101"/>
      <c r="M55" s="100"/>
      <c r="N55" s="94"/>
      <c r="O55" s="93" t="str">
        <f>IFERROR(__xludf.DUMMYFUNCTION("""COMPUTED_VALUE"""),"Fundraising, Membership, Feeding, Fostering")</f>
        <v>Fundraising, Membership, Feeding, Fostering</v>
      </c>
      <c r="P5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5" s="99"/>
    </row>
    <row r="56" ht="13.5" customHeight="1">
      <c r="A56" s="88">
        <f>IFERROR(__xludf.DUMMYFUNCTION("""COMPUTED_VALUE"""),44789.73211891204)</f>
        <v>44789.73212</v>
      </c>
      <c r="B56" s="89" t="b">
        <v>1</v>
      </c>
      <c r="C56" s="90" t="str">
        <f t="shared" si="1"/>
        <v>Fall 2022</v>
      </c>
      <c r="D56" s="91" t="str">
        <f>IFERROR(__xludf.DUMMYFUNCTION("""COMPUTED_VALUE"""),"sxz4583@mavs.uta.edu")</f>
        <v>sxz4583@mavs.uta.edu</v>
      </c>
      <c r="E56" s="92" t="str">
        <f>IFERROR(__xludf.DUMMYFUNCTION("""COMPUTED_VALUE"""),"Sarah Zamora")</f>
        <v>Sarah Zamora</v>
      </c>
      <c r="F56" s="93" t="str">
        <f>IFERROR(__xludf.DUMMYFUNCTION("""COMPUTED_VALUE"""),"sarahzamora #2585")</f>
        <v>sarahzamora #2585</v>
      </c>
      <c r="G56" s="92"/>
      <c r="H56" s="94" t="str">
        <f>IFERROR(__xludf.DUMMYFUNCTION("""COMPUTED_VALUE"""),"(214) 500-1670")</f>
        <v>(214) 500-1670</v>
      </c>
      <c r="I56" s="94" t="str">
        <f>IFERROR(__xludf.DUMMYFUNCTION("""COMPUTED_VALUE"""),"Student")</f>
        <v>Student</v>
      </c>
      <c r="J56" s="93" t="str">
        <f>IFERROR(__xludf.DUMMYFUNCTION("""COMPUTED_VALUE"""),"$15 Donation, Discord Verification")</f>
        <v>$15 Donation, Discord Verification</v>
      </c>
      <c r="K56" s="100"/>
      <c r="L56" s="101"/>
      <c r="M56" s="100"/>
      <c r="N56" s="94"/>
      <c r="O56" s="93" t="str">
        <f>IFERROR(__xludf.DUMMYFUNCTION("""COMPUTED_VALUE"""),"Fundraising, Membership, Feeding")</f>
        <v>Fundraising, Membership, Feeding</v>
      </c>
      <c r="P5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6" s="99"/>
    </row>
    <row r="57" ht="13.5" customHeight="1">
      <c r="A57" s="88">
        <f>IFERROR(__xludf.DUMMYFUNCTION("""COMPUTED_VALUE"""),44792.35462597222)</f>
        <v>44792.35463</v>
      </c>
      <c r="B57" s="89" t="b">
        <v>1</v>
      </c>
      <c r="C57" s="90" t="str">
        <f t="shared" si="1"/>
        <v>Fall 2022</v>
      </c>
      <c r="D57" s="91" t="str">
        <f>IFERROR(__xludf.DUMMYFUNCTION("""COMPUTED_VALUE"""),"jxc0776@mavs.uta.edu")</f>
        <v>jxc0776@mavs.uta.edu</v>
      </c>
      <c r="E57" s="92" t="str">
        <f>IFERROR(__xludf.DUMMYFUNCTION("""COMPUTED_VALUE"""),"Jada Carey")</f>
        <v>Jada Carey</v>
      </c>
      <c r="F57" s="93" t="str">
        <f>IFERROR(__xludf.DUMMYFUNCTION("""COMPUTED_VALUE"""),"Judy#4084")</f>
        <v>Judy#4084</v>
      </c>
      <c r="G57" s="92"/>
      <c r="H57" s="94" t="str">
        <f>IFERROR(__xludf.DUMMYFUNCTION("""COMPUTED_VALUE"""),"(682) 785-9626")</f>
        <v>(682) 785-9626</v>
      </c>
      <c r="I57" s="94" t="str">
        <f>IFERROR(__xludf.DUMMYFUNCTION("""COMPUTED_VALUE"""),"Student")</f>
        <v>Student</v>
      </c>
      <c r="J57" s="93" t="str">
        <f>IFERROR(__xludf.DUMMYFUNCTION("""COMPUTED_VALUE"""),"$15 Donation, Discord Verification")</f>
        <v>$15 Donation, Discord Verification</v>
      </c>
      <c r="K57" s="100"/>
      <c r="L57" s="101"/>
      <c r="M57" s="100"/>
      <c r="N57" s="94"/>
      <c r="O57" s="93" t="str">
        <f>IFERROR(__xludf.DUMMYFUNCTION("""COMPUTED_VALUE"""),"Feeding")</f>
        <v>Feeding</v>
      </c>
      <c r="P5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7" s="99"/>
    </row>
    <row r="58" ht="13.5" customHeight="1">
      <c r="A58" s="88">
        <f>IFERROR(__xludf.DUMMYFUNCTION("""COMPUTED_VALUE"""),44792.57267462963)</f>
        <v>44792.57267</v>
      </c>
      <c r="B58" s="89" t="b">
        <v>1</v>
      </c>
      <c r="C58" s="90" t="str">
        <f t="shared" si="1"/>
        <v>Fall 2022</v>
      </c>
      <c r="D58" s="91" t="str">
        <f>IFERROR(__xludf.DUMMYFUNCTION("""COMPUTED_VALUE"""),"ethnica.mohanty@mavs.uta.edu")</f>
        <v>ethnica.mohanty@mavs.uta.edu</v>
      </c>
      <c r="E58" s="92" t="str">
        <f>IFERROR(__xludf.DUMMYFUNCTION("""COMPUTED_VALUE"""),"Ethnica Mohanty")</f>
        <v>Ethnica Mohanty</v>
      </c>
      <c r="F58" s="93" t="str">
        <f>IFERROR(__xludf.DUMMYFUNCTION("""COMPUTED_VALUE"""),"Ethnica #3603")</f>
        <v>Ethnica #3603</v>
      </c>
      <c r="G58" s="92"/>
      <c r="H58" s="94" t="str">
        <f>IFERROR(__xludf.DUMMYFUNCTION("""COMPUTED_VALUE"""),"(281) 935-7860")</f>
        <v>(281) 935-7860</v>
      </c>
      <c r="I58" s="94" t="str">
        <f>IFERROR(__xludf.DUMMYFUNCTION("""COMPUTED_VALUE"""),"Student")</f>
        <v>Student</v>
      </c>
      <c r="J58" s="93" t="str">
        <f>IFERROR(__xludf.DUMMYFUNCTION("""COMPUTED_VALUE"""),"$15 Donation, Discord Verification")</f>
        <v>$15 Donation, Discord Verification</v>
      </c>
      <c r="K58" s="100"/>
      <c r="L58" s="101"/>
      <c r="M58" s="100"/>
      <c r="N58" s="94"/>
      <c r="O58" s="93" t="str">
        <f>IFERROR(__xludf.DUMMYFUNCTION("""COMPUTED_VALUE"""),"Fundraising, PR, Membership")</f>
        <v>Fundraising, PR, Membership</v>
      </c>
      <c r="P5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8" s="99"/>
    </row>
    <row r="59" ht="13.5" customHeight="1">
      <c r="A59" s="88">
        <f>IFERROR(__xludf.DUMMYFUNCTION("""COMPUTED_VALUE"""),44792.96773695602)</f>
        <v>44792.96774</v>
      </c>
      <c r="B59" s="89" t="b">
        <v>1</v>
      </c>
      <c r="C59" s="90" t="str">
        <f t="shared" si="1"/>
        <v>Fall 2022</v>
      </c>
      <c r="D59" s="91" t="str">
        <f>IFERROR(__xludf.DUMMYFUNCTION("""COMPUTED_VALUE"""),"ryan.johnson2@mavs.uta.edu")</f>
        <v>ryan.johnson2@mavs.uta.edu</v>
      </c>
      <c r="E59" s="92" t="str">
        <f>IFERROR(__xludf.DUMMYFUNCTION("""COMPUTED_VALUE"""),"Ryan Johnson")</f>
        <v>Ryan Johnson</v>
      </c>
      <c r="F59" s="93" t="str">
        <f>IFERROR(__xludf.DUMMYFUNCTION("""COMPUTED_VALUE"""),"guppy#7190")</f>
        <v>guppy#7190</v>
      </c>
      <c r="G59" s="92"/>
      <c r="H59" s="94" t="str">
        <f>IFERROR(__xludf.DUMMYFUNCTION("""COMPUTED_VALUE"""),"(409) 466-4015")</f>
        <v>(409) 466-4015</v>
      </c>
      <c r="I59" s="94" t="str">
        <f>IFERROR(__xludf.DUMMYFUNCTION("""COMPUTED_VALUE"""),"Student")</f>
        <v>Student</v>
      </c>
      <c r="J59" s="93" t="str">
        <f>IFERROR(__xludf.DUMMYFUNCTION("""COMPUTED_VALUE"""),"$15 Donation, Discord Verification")</f>
        <v>$15 Donation, Discord Verification</v>
      </c>
      <c r="K59" s="100"/>
      <c r="L59" s="101"/>
      <c r="M59" s="100"/>
      <c r="N59" s="94"/>
      <c r="O59" s="93" t="str">
        <f>IFERROR(__xludf.DUMMYFUNCTION("""COMPUTED_VALUE"""),"TNR, Overnight TNR, Feeding, Shelter Maintenance")</f>
        <v>TNR, Overnight TNR, Feeding, Shelter Maintenance</v>
      </c>
      <c r="P5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9" s="99"/>
    </row>
    <row r="60" ht="13.5" customHeight="1">
      <c r="A60" s="88">
        <f>IFERROR(__xludf.DUMMYFUNCTION("""COMPUTED_VALUE"""),44793.66157361111)</f>
        <v>44793.66157</v>
      </c>
      <c r="B60" s="89" t="b">
        <v>1</v>
      </c>
      <c r="C60" s="90" t="str">
        <f t="shared" si="1"/>
        <v>Fall 2022</v>
      </c>
      <c r="D60" s="91" t="str">
        <f>IFERROR(__xludf.DUMMYFUNCTION("""COMPUTED_VALUE"""),"mcm0218@mavs.uta.edu")</f>
        <v>mcm0218@mavs.uta.edu</v>
      </c>
      <c r="E60" s="92" t="str">
        <f>IFERROR(__xludf.DUMMYFUNCTION("""COMPUTED_VALUE"""),"McKayla Mellen")</f>
        <v>McKayla Mellen</v>
      </c>
      <c r="F60" s="93" t="str">
        <f>IFERROR(__xludf.DUMMYFUNCTION("""COMPUTED_VALUE"""),"nostalgicsapphic#7354")</f>
        <v>nostalgicsapphic#7354</v>
      </c>
      <c r="G60" s="92"/>
      <c r="H60" s="94" t="str">
        <f>IFERROR(__xludf.DUMMYFUNCTION("""COMPUTED_VALUE"""),"(512) 644-2879")</f>
        <v>(512) 644-2879</v>
      </c>
      <c r="I60" s="94" t="str">
        <f>IFERROR(__xludf.DUMMYFUNCTION("""COMPUTED_VALUE"""),"Student")</f>
        <v>Student</v>
      </c>
      <c r="J60" s="93" t="str">
        <f>IFERROR(__xludf.DUMMYFUNCTION("""COMPUTED_VALUE"""),"$15 Donation, Discord Verification")</f>
        <v>$15 Donation, Discord Verification</v>
      </c>
      <c r="K60" s="100"/>
      <c r="L60" s="101"/>
      <c r="M60" s="100"/>
      <c r="N60" s="94"/>
      <c r="O60" s="93" t="str">
        <f>IFERROR(__xludf.DUMMYFUNCTION("""COMPUTED_VALUE"""),"Fundraising")</f>
        <v>Fundraising</v>
      </c>
      <c r="P6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0" s="99"/>
    </row>
    <row r="61" ht="13.5" customHeight="1">
      <c r="A61" s="88">
        <f>IFERROR(__xludf.DUMMYFUNCTION("""COMPUTED_VALUE"""),44794.952529270835)</f>
        <v>44794.95253</v>
      </c>
      <c r="B61" s="89" t="b">
        <v>1</v>
      </c>
      <c r="C61" s="90" t="str">
        <f t="shared" si="1"/>
        <v>Fall 2022</v>
      </c>
      <c r="D61" s="91" t="str">
        <f>IFERROR(__xludf.DUMMYFUNCTION("""COMPUTED_VALUE"""),"ald2369@mavs.uta.edu")</f>
        <v>ald2369@mavs.uta.edu</v>
      </c>
      <c r="E61" s="92" t="str">
        <f>IFERROR(__xludf.DUMMYFUNCTION("""COMPUTED_VALUE"""),"Annabelle Delpin ")</f>
        <v>Annabelle Delpin </v>
      </c>
      <c r="F61" s="93" t="str">
        <f>IFERROR(__xludf.DUMMYFUNCTION("""COMPUTED_VALUE"""),"disneygirl1322#3591")</f>
        <v>disneygirl1322#3591</v>
      </c>
      <c r="G61" s="92"/>
      <c r="H61" s="94" t="str">
        <f>IFERROR(__xludf.DUMMYFUNCTION("""COMPUTED_VALUE"""),"(817) 630-5096")</f>
        <v>(817) 630-5096</v>
      </c>
      <c r="I61" s="94" t="str">
        <f>IFERROR(__xludf.DUMMYFUNCTION("""COMPUTED_VALUE"""),"Student")</f>
        <v>Student</v>
      </c>
      <c r="J61" s="93" t="str">
        <f>IFERROR(__xludf.DUMMYFUNCTION("""COMPUTED_VALUE"""),"$15 Donation, Discord Verification")</f>
        <v>$15 Donation, Discord Verification</v>
      </c>
      <c r="K61" s="100"/>
      <c r="L61" s="101"/>
      <c r="M61" s="100"/>
      <c r="N61" s="94"/>
      <c r="O61" s="93" t="str">
        <f>IFERROR(__xludf.DUMMYFUNCTION("""COMPUTED_VALUE"""),"Feeding")</f>
        <v>Feeding</v>
      </c>
      <c r="P6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1" s="99"/>
    </row>
    <row r="62" ht="13.5" customHeight="1">
      <c r="A62" s="88">
        <f>IFERROR(__xludf.DUMMYFUNCTION("""COMPUTED_VALUE"""),44794.97482311343)</f>
        <v>44794.97482</v>
      </c>
      <c r="B62" s="89" t="b">
        <v>1</v>
      </c>
      <c r="C62" s="90" t="str">
        <f t="shared" si="1"/>
        <v>Fall 2022</v>
      </c>
      <c r="D62" s="91" t="str">
        <f>IFERROR(__xludf.DUMMYFUNCTION("""COMPUTED_VALUE"""),"angieriver508@gmail.com")</f>
        <v>angieriver508@gmail.com</v>
      </c>
      <c r="E62" s="92" t="str">
        <f>IFERROR(__xludf.DUMMYFUNCTION("""COMPUTED_VALUE"""),"Angelina Rivera")</f>
        <v>Angelina Rivera</v>
      </c>
      <c r="F62" s="93" t="str">
        <f>IFERROR(__xludf.DUMMYFUNCTION("""COMPUTED_VALUE"""),"AngRiv#5947")</f>
        <v>AngRiv#5947</v>
      </c>
      <c r="G62" s="92"/>
      <c r="H62" s="94" t="str">
        <f>IFERROR(__xludf.DUMMYFUNCTION("""COMPUTED_VALUE"""),"(254) 205-7492")</f>
        <v>(254) 205-7492</v>
      </c>
      <c r="I62" s="94" t="str">
        <f>IFERROR(__xludf.DUMMYFUNCTION("""COMPUTED_VALUE"""),"Student")</f>
        <v>Student</v>
      </c>
      <c r="J62" s="93" t="str">
        <f>IFERROR(__xludf.DUMMYFUNCTION("""COMPUTED_VALUE"""),"$15 Donation, Discord Verification")</f>
        <v>$15 Donation, Discord Verification</v>
      </c>
      <c r="K62" s="100"/>
      <c r="L62" s="101"/>
      <c r="M62" s="100"/>
      <c r="N62" s="94"/>
      <c r="O62" s="93" t="str">
        <f>IFERROR(__xludf.DUMMYFUNCTION("""COMPUTED_VALUE"""),"Fundraising, PR, Membership, TNR, Feeding, Shelter Maintenance")</f>
        <v>Fundraising, PR, Membership, TNR, Feeding, Shelter Maintenance</v>
      </c>
      <c r="P6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2" s="99"/>
    </row>
    <row r="63" ht="13.5" customHeight="1">
      <c r="A63" s="88">
        <f>IFERROR(__xludf.DUMMYFUNCTION("""COMPUTED_VALUE"""),44795.00702510416)</f>
        <v>44795.00703</v>
      </c>
      <c r="B63" s="89" t="b">
        <v>1</v>
      </c>
      <c r="C63" s="90" t="str">
        <f t="shared" si="1"/>
        <v>Fall 2022</v>
      </c>
      <c r="D63" s="91" t="str">
        <f>IFERROR(__xludf.DUMMYFUNCTION("""COMPUTED_VALUE"""),"ixs2264@mavs.uta.edu")</f>
        <v>ixs2264@mavs.uta.edu</v>
      </c>
      <c r="E63" s="92" t="str">
        <f>IFERROR(__xludf.DUMMYFUNCTION("""COMPUTED_VALUE"""),"Isabel Silva")</f>
        <v>Isabel Silva</v>
      </c>
      <c r="F63" s="93" t="str">
        <f>IFERROR(__xludf.DUMMYFUNCTION("""COMPUTED_VALUE"""),"lemonade #1929")</f>
        <v>lemonade #1929</v>
      </c>
      <c r="G63" s="92"/>
      <c r="H63" s="94" t="str">
        <f>IFERROR(__xludf.DUMMYFUNCTION("""COMPUTED_VALUE"""),"(817) 818-6106")</f>
        <v>(817) 818-6106</v>
      </c>
      <c r="I63" s="94" t="str">
        <f>IFERROR(__xludf.DUMMYFUNCTION("""COMPUTED_VALUE"""),"Student")</f>
        <v>Student</v>
      </c>
      <c r="J63" s="93" t="str">
        <f>IFERROR(__xludf.DUMMYFUNCTION("""COMPUTED_VALUE"""),"$15 Donation, Discord Verification")</f>
        <v>$15 Donation, Discord Verification</v>
      </c>
      <c r="K63" s="100"/>
      <c r="L63" s="101"/>
      <c r="M63" s="100"/>
      <c r="N63" s="94"/>
      <c r="O63" s="93" t="str">
        <f>IFERROR(__xludf.DUMMYFUNCTION("""COMPUTED_VALUE"""),"Feeding")</f>
        <v>Feeding</v>
      </c>
      <c r="P6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3" s="102" t="s">
        <v>47</v>
      </c>
    </row>
    <row r="64" ht="13.5" customHeight="1">
      <c r="A64" s="103">
        <f>IFERROR(__xludf.DUMMYFUNCTION("""COMPUTED_VALUE"""),44795.00846840278)</f>
        <v>44795.00847</v>
      </c>
      <c r="B64" s="89" t="b">
        <v>0</v>
      </c>
      <c r="C64" s="90" t="str">
        <f t="shared" si="1"/>
        <v>Fall 2022</v>
      </c>
      <c r="D64" s="104" t="str">
        <f>IFERROR(__xludf.DUMMYFUNCTION("""COMPUTED_VALUE"""),"sxg4590@mav.uta.edu")</f>
        <v>sxg4590@mav.uta.edu</v>
      </c>
      <c r="E64" s="105" t="str">
        <f>IFERROR(__xludf.DUMMYFUNCTION("""COMPUTED_VALUE"""),"Stammy Gao")</f>
        <v>Stammy Gao</v>
      </c>
      <c r="F64" s="106" t="str">
        <f>IFERROR(__xludf.DUMMYFUNCTION("""COMPUTED_VALUE"""),"Stamberry #2542")</f>
        <v>Stamberry #2542</v>
      </c>
      <c r="G64" s="105"/>
      <c r="H64" s="107" t="str">
        <f>IFERROR(__xludf.DUMMYFUNCTION("""COMPUTED_VALUE"""),"(281) 827-3957")</f>
        <v>(281) 827-3957</v>
      </c>
      <c r="I64" s="107" t="str">
        <f>IFERROR(__xludf.DUMMYFUNCTION("""COMPUTED_VALUE"""),"Student")</f>
        <v>Student</v>
      </c>
      <c r="J64" s="106" t="str">
        <f>IFERROR(__xludf.DUMMYFUNCTION("""COMPUTED_VALUE"""),"$15 Donation, Discord Verification")</f>
        <v>$15 Donation, Discord Verification</v>
      </c>
      <c r="K64" s="108"/>
      <c r="L64" s="109"/>
      <c r="M64" s="108"/>
      <c r="N64" s="107"/>
      <c r="O64" s="106" t="str">
        <f>IFERROR(__xludf.DUMMYFUNCTION("""COMPUTED_VALUE"""),"Fundraising, PR, Feeding, I’m an artist and would be more than happy to help with designs or things to post on the instagram!")</f>
        <v>Fundraising, PR, Feeding, I’m an artist and would be more than happy to help with designs or things to post on the instagram!</v>
      </c>
      <c r="P6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4" s="110"/>
    </row>
    <row r="65" ht="13.5" customHeight="1">
      <c r="A65" s="88">
        <f>IFERROR(__xludf.DUMMYFUNCTION("""COMPUTED_VALUE"""),44795.027411180556)</f>
        <v>44795.02741</v>
      </c>
      <c r="B65" s="89" t="b">
        <v>1</v>
      </c>
      <c r="C65" s="90" t="str">
        <f t="shared" si="1"/>
        <v>Fall 2022</v>
      </c>
      <c r="D65" s="91" t="str">
        <f>IFERROR(__xludf.DUMMYFUNCTION("""COMPUTED_VALUE"""),"sxg4590@mavs.uta.edu")</f>
        <v>sxg4590@mavs.uta.edu</v>
      </c>
      <c r="E65" s="92" t="str">
        <f>IFERROR(__xludf.DUMMYFUNCTION("""COMPUTED_VALUE"""),"Stammy Gao")</f>
        <v>Stammy Gao</v>
      </c>
      <c r="F65" s="93" t="str">
        <f>IFERROR(__xludf.DUMMYFUNCTION("""COMPUTED_VALUE"""),"Stamberry #2542")</f>
        <v>Stamberry #2542</v>
      </c>
      <c r="G65" s="92"/>
      <c r="H65" s="94" t="str">
        <f>IFERROR(__xludf.DUMMYFUNCTION("""COMPUTED_VALUE"""),"(281) 827-3957")</f>
        <v>(281) 827-3957</v>
      </c>
      <c r="I65" s="94" t="str">
        <f>IFERROR(__xludf.DUMMYFUNCTION("""COMPUTED_VALUE"""),"Student")</f>
        <v>Student</v>
      </c>
      <c r="J65" s="93" t="str">
        <f>IFERROR(__xludf.DUMMYFUNCTION("""COMPUTED_VALUE"""),"$15 Donation, Discord Verification")</f>
        <v>$15 Donation, Discord Verification</v>
      </c>
      <c r="K65" s="100"/>
      <c r="L65" s="101"/>
      <c r="M65" s="100"/>
      <c r="N65" s="94"/>
      <c r="O65" s="93" t="str">
        <f>IFERROR(__xludf.DUMMYFUNCTION("""COMPUTED_VALUE"""),"Fundraising, PR, Feeding, I’m an artist willing to draw things for posters or for instagram!")</f>
        <v>Fundraising, PR, Feeding, I’m an artist willing to draw things for posters or for instagram!</v>
      </c>
      <c r="P6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5" s="99"/>
    </row>
    <row r="66" ht="13.5" customHeight="1">
      <c r="A66" s="88">
        <f>IFERROR(__xludf.DUMMYFUNCTION("""COMPUTED_VALUE"""),44795.623315902776)</f>
        <v>44795.62332</v>
      </c>
      <c r="B66" s="89" t="b">
        <v>1</v>
      </c>
      <c r="C66" s="90" t="str">
        <f t="shared" si="1"/>
        <v>Fall 2022</v>
      </c>
      <c r="D66" s="91" t="str">
        <f>IFERROR(__xludf.DUMMYFUNCTION("""COMPUTED_VALUE"""),"slm8241@mavs.uta.edu")</f>
        <v>slm8241@mavs.uta.edu</v>
      </c>
      <c r="E66" s="92" t="str">
        <f>IFERROR(__xludf.DUMMYFUNCTION("""COMPUTED_VALUE"""),"Sophia Myers")</f>
        <v>Sophia Myers</v>
      </c>
      <c r="F66" s="93" t="str">
        <f>IFERROR(__xludf.DUMMYFUNCTION("""COMPUTED_VALUE"""),"soph #0803")</f>
        <v>soph #0803</v>
      </c>
      <c r="G66" s="92"/>
      <c r="H66" s="94" t="str">
        <f>IFERROR(__xludf.DUMMYFUNCTION("""COMPUTED_VALUE"""),"(210)  51-6584")</f>
        <v>(210)  51-6584</v>
      </c>
      <c r="I66" s="94" t="str">
        <f>IFERROR(__xludf.DUMMYFUNCTION("""COMPUTED_VALUE"""),"Student")</f>
        <v>Student</v>
      </c>
      <c r="J66" s="93" t="str">
        <f>IFERROR(__xludf.DUMMYFUNCTION("""COMPUTED_VALUE"""),"$15 Donation, Discord Verification")</f>
        <v>$15 Donation, Discord Verification</v>
      </c>
      <c r="K66" s="100"/>
      <c r="L66" s="101"/>
      <c r="M66" s="100"/>
      <c r="N66" s="94"/>
      <c r="O66" s="93" t="str">
        <f>IFERROR(__xludf.DUMMYFUNCTION("""COMPUTED_VALUE"""),"Feeding")</f>
        <v>Feeding</v>
      </c>
      <c r="P6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6" s="99"/>
    </row>
    <row r="67" ht="13.5" customHeight="1">
      <c r="A67" s="88">
        <f>IFERROR(__xludf.DUMMYFUNCTION("""COMPUTED_VALUE"""),44795.87240951389)</f>
        <v>44795.87241</v>
      </c>
      <c r="B67" s="89" t="b">
        <v>1</v>
      </c>
      <c r="C67" s="90" t="str">
        <f t="shared" si="1"/>
        <v>Fall 2022</v>
      </c>
      <c r="D67" s="91" t="str">
        <f>IFERROR(__xludf.DUMMYFUNCTION("""COMPUTED_VALUE"""),"jch0145@mavs.uta.edu")</f>
        <v>jch0145@mavs.uta.edu</v>
      </c>
      <c r="E67" s="92" t="str">
        <f>IFERROR(__xludf.DUMMYFUNCTION("""COMPUTED_VALUE"""),"Jordan Hunter")</f>
        <v>Jordan Hunter</v>
      </c>
      <c r="F67" s="93" t="str">
        <f>IFERROR(__xludf.DUMMYFUNCTION("""COMPUTED_VALUE"""),"spoiledstrawberrymilk #7430")</f>
        <v>spoiledstrawberrymilk #7430</v>
      </c>
      <c r="G67" s="92"/>
      <c r="H67" s="94" t="str">
        <f>IFERROR(__xludf.DUMMYFUNCTION("""COMPUTED_VALUE"""),"(469) 684-5580")</f>
        <v>(469) 684-5580</v>
      </c>
      <c r="I67" s="94" t="str">
        <f>IFERROR(__xludf.DUMMYFUNCTION("""COMPUTED_VALUE"""),"Student")</f>
        <v>Student</v>
      </c>
      <c r="J67" s="93" t="str">
        <f>IFERROR(__xludf.DUMMYFUNCTION("""COMPUTED_VALUE"""),"$15 Donation, Discord Verification")</f>
        <v>$15 Donation, Discord Verification</v>
      </c>
      <c r="K67" s="100"/>
      <c r="L67" s="101"/>
      <c r="M67" s="100"/>
      <c r="N67" s="94"/>
      <c r="O67" s="93" t="str">
        <f>IFERROR(__xludf.DUMMYFUNCTION("""COMPUTED_VALUE"""),"PR, Feeding")</f>
        <v>PR, Feeding</v>
      </c>
      <c r="P6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7" s="99"/>
    </row>
    <row r="68" ht="13.5" customHeight="1">
      <c r="A68" s="88">
        <f>IFERROR(__xludf.DUMMYFUNCTION("""COMPUTED_VALUE"""),44795.90261518519)</f>
        <v>44795.90262</v>
      </c>
      <c r="B68" s="89" t="b">
        <v>1</v>
      </c>
      <c r="C68" s="90" t="str">
        <f t="shared" si="1"/>
        <v>Fall 2022</v>
      </c>
      <c r="D68" s="91" t="str">
        <f>IFERROR(__xludf.DUMMYFUNCTION("""COMPUTED_VALUE"""),"kendall.hendrix@mavs.uta.edu")</f>
        <v>kendall.hendrix@mavs.uta.edu</v>
      </c>
      <c r="E68" s="92" t="str">
        <f>IFERROR(__xludf.DUMMYFUNCTION("""COMPUTED_VALUE"""),"Kendall Hendrix")</f>
        <v>Kendall Hendrix</v>
      </c>
      <c r="F68" s="93" t="str">
        <f>IFERROR(__xludf.DUMMYFUNCTION("""COMPUTED_VALUE"""),"kendall#5965")</f>
        <v>kendall#5965</v>
      </c>
      <c r="G68" s="92"/>
      <c r="H68" s="94" t="str">
        <f>IFERROR(__xludf.DUMMYFUNCTION("""COMPUTED_VALUE"""),"")</f>
        <v/>
      </c>
      <c r="I68" s="94" t="str">
        <f>IFERROR(__xludf.DUMMYFUNCTION("""COMPUTED_VALUE"""),"Student")</f>
        <v>Student</v>
      </c>
      <c r="J68" s="93" t="str">
        <f>IFERROR(__xludf.DUMMYFUNCTION("""COMPUTED_VALUE"""),"$15 Donation, Discord Verification")</f>
        <v>$15 Donation, Discord Verification</v>
      </c>
      <c r="K68" s="100"/>
      <c r="L68" s="101"/>
      <c r="M68" s="100"/>
      <c r="N68" s="94"/>
      <c r="O68" s="93" t="str">
        <f>IFERROR(__xludf.DUMMYFUNCTION("""COMPUTED_VALUE"""),"Feeding, Shelter Maintenance")</f>
        <v>Feeding, Shelter Maintenance</v>
      </c>
      <c r="P6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8" s="99"/>
    </row>
    <row r="69" ht="13.5" customHeight="1">
      <c r="A69" s="88">
        <f>IFERROR(__xludf.DUMMYFUNCTION("""COMPUTED_VALUE"""),44797.49308060185)</f>
        <v>44797.49308</v>
      </c>
      <c r="B69" s="89" t="b">
        <v>1</v>
      </c>
      <c r="C69" s="90" t="str">
        <f t="shared" si="1"/>
        <v>Fall 2022</v>
      </c>
      <c r="D69" s="91" t="str">
        <f>IFERROR(__xludf.DUMMYFUNCTION("""COMPUTED_VALUE"""),"eag1650@mavs.uta.edu")</f>
        <v>eag1650@mavs.uta.edu</v>
      </c>
      <c r="E69" s="92" t="str">
        <f>IFERROR(__xludf.DUMMYFUNCTION("""COMPUTED_VALUE"""),"Emily Alicia Guadian")</f>
        <v>Emily Alicia Guadian</v>
      </c>
      <c r="F69" s="93" t="str">
        <f>IFERROR(__xludf.DUMMYFUNCTION("""COMPUTED_VALUE"""),"medfast#0689")</f>
        <v>medfast#0689</v>
      </c>
      <c r="G69" s="92"/>
      <c r="H69" s="94" t="str">
        <f>IFERROR(__xludf.DUMMYFUNCTION("""COMPUTED_VALUE"""),"(469) 845-5596")</f>
        <v>(469) 845-5596</v>
      </c>
      <c r="I69" s="94" t="str">
        <f>IFERROR(__xludf.DUMMYFUNCTION("""COMPUTED_VALUE"""),"Student")</f>
        <v>Student</v>
      </c>
      <c r="J69" s="93" t="str">
        <f>IFERROR(__xludf.DUMMYFUNCTION("""COMPUTED_VALUE"""),"$15 Donation, Discord Verification")</f>
        <v>$15 Donation, Discord Verification</v>
      </c>
      <c r="K69" s="100"/>
      <c r="L69" s="101"/>
      <c r="M69" s="100"/>
      <c r="N69" s="94"/>
      <c r="O69" s="93" t="str">
        <f>IFERROR(__xludf.DUMMYFUNCTION("""COMPUTED_VALUE"""),"Fundraising, Feeding, Shelter Maintenance")</f>
        <v>Fundraising, Feeding, Shelter Maintenance</v>
      </c>
      <c r="P6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9" s="99"/>
    </row>
    <row r="70" ht="13.5" customHeight="1">
      <c r="A70" s="88">
        <f>IFERROR(__xludf.DUMMYFUNCTION("""COMPUTED_VALUE"""),44798.01854326389)</f>
        <v>44798.01854</v>
      </c>
      <c r="B70" s="89" t="b">
        <v>1</v>
      </c>
      <c r="C70" s="90" t="str">
        <f t="shared" si="1"/>
        <v>Fall 2022</v>
      </c>
      <c r="D70" s="91" t="str">
        <f>IFERROR(__xludf.DUMMYFUNCTION("""COMPUTED_VALUE"""),"tdi0557@mavs.uta.edu")</f>
        <v>tdi0557@mavs.uta.edu</v>
      </c>
      <c r="E70" s="92" t="str">
        <f>IFERROR(__xludf.DUMMYFUNCTION("""COMPUTED_VALUE"""),"Tristan Inman")</f>
        <v>Tristan Inman</v>
      </c>
      <c r="F70" s="93" t="str">
        <f>IFERROR(__xludf.DUMMYFUNCTION("""COMPUTED_VALUE"""),"Radicrane #8945")</f>
        <v>Radicrane #8945</v>
      </c>
      <c r="G70" s="92"/>
      <c r="H70" s="94" t="str">
        <f>IFERROR(__xludf.DUMMYFUNCTION("""COMPUTED_VALUE"""),"(949) 554-9004")</f>
        <v>(949) 554-9004</v>
      </c>
      <c r="I70" s="94" t="str">
        <f>IFERROR(__xludf.DUMMYFUNCTION("""COMPUTED_VALUE"""),"Student")</f>
        <v>Student</v>
      </c>
      <c r="J70" s="93" t="str">
        <f>IFERROR(__xludf.DUMMYFUNCTION("""COMPUTED_VALUE"""),"$15 Donation, Discord Verification")</f>
        <v>$15 Donation, Discord Verification</v>
      </c>
      <c r="K70" s="100"/>
      <c r="L70" s="101"/>
      <c r="M70" s="100"/>
      <c r="N70" s="94"/>
      <c r="O70" s="93" t="str">
        <f>IFERROR(__xludf.DUMMYFUNCTION("""COMPUTED_VALUE"""),"Feeding")</f>
        <v>Feeding</v>
      </c>
      <c r="P7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0" s="99"/>
    </row>
    <row r="71" ht="13.5" customHeight="1">
      <c r="A71" s="88">
        <f>IFERROR(__xludf.DUMMYFUNCTION("""COMPUTED_VALUE"""),44798.73595690972)</f>
        <v>44798.73596</v>
      </c>
      <c r="B71" s="89" t="b">
        <v>1</v>
      </c>
      <c r="C71" s="90" t="str">
        <f t="shared" si="1"/>
        <v>Fall 2022</v>
      </c>
      <c r="D71" s="91" t="str">
        <f>IFERROR(__xludf.DUMMYFUNCTION("""COMPUTED_VALUE"""),"ddh3117@mavs.uta.edu")</f>
        <v>ddh3117@mavs.uta.edu</v>
      </c>
      <c r="E71" s="92" t="str">
        <f>IFERROR(__xludf.DUMMYFUNCTION("""COMPUTED_VALUE"""),"Delainey Huff")</f>
        <v>Delainey Huff</v>
      </c>
      <c r="F71" s="93" t="str">
        <f>IFERROR(__xludf.DUMMYFUNCTION("""COMPUTED_VALUE"""),"Delainey#5149")</f>
        <v>Delainey#5149</v>
      </c>
      <c r="G71" s="92"/>
      <c r="H71" s="94" t="str">
        <f>IFERROR(__xludf.DUMMYFUNCTION("""COMPUTED_VALUE"""),"(909)  91-2456")</f>
        <v>(909)  91-2456</v>
      </c>
      <c r="I71" s="94" t="str">
        <f>IFERROR(__xludf.DUMMYFUNCTION("""COMPUTED_VALUE"""),"Student")</f>
        <v>Student</v>
      </c>
      <c r="J71" s="93" t="str">
        <f>IFERROR(__xludf.DUMMYFUNCTION("""COMPUTED_VALUE"""),"$15 Donation, Discord Verification")</f>
        <v>$15 Donation, Discord Verification</v>
      </c>
      <c r="K71" s="100"/>
      <c r="L71" s="101"/>
      <c r="M71" s="100"/>
      <c r="N71" s="94"/>
      <c r="O71" s="93" t="str">
        <f>IFERROR(__xludf.DUMMYFUNCTION("""COMPUTED_VALUE"""),"TNR, Feeding, Shelter Maintenance")</f>
        <v>TNR, Feeding, Shelter Maintenance</v>
      </c>
      <c r="P7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1" s="99"/>
    </row>
    <row r="72" ht="13.5" customHeight="1">
      <c r="A72" s="88">
        <f>IFERROR(__xludf.DUMMYFUNCTION("""COMPUTED_VALUE"""),44798.841774699074)</f>
        <v>44798.84177</v>
      </c>
      <c r="B72" s="89" t="b">
        <v>1</v>
      </c>
      <c r="C72" s="90" t="str">
        <f t="shared" si="1"/>
        <v>Fall 2022</v>
      </c>
      <c r="D72" s="91" t="str">
        <f>IFERROR(__xludf.DUMMYFUNCTION("""COMPUTED_VALUE"""),"axp7773@mavs.uta.edu")</f>
        <v>axp7773@mavs.uta.edu</v>
      </c>
      <c r="E72" s="92" t="str">
        <f>IFERROR(__xludf.DUMMYFUNCTION("""COMPUTED_VALUE"""),"Alexis Pedraza")</f>
        <v>Alexis Pedraza</v>
      </c>
      <c r="F72" s="93" t="str">
        <f>IFERROR(__xludf.DUMMYFUNCTION("""COMPUTED_VALUE"""),"☆*.｡.nyehhehheh .｡.*☆#6624")</f>
        <v>☆*.｡.nyehhehheh .｡.*☆#6624</v>
      </c>
      <c r="G72" s="92"/>
      <c r="H72" s="94" t="str">
        <f>IFERROR(__xludf.DUMMYFUNCTION("""COMPUTED_VALUE"""),"")</f>
        <v/>
      </c>
      <c r="I72" s="94" t="str">
        <f>IFERROR(__xludf.DUMMYFUNCTION("""COMPUTED_VALUE"""),"Student")</f>
        <v>Student</v>
      </c>
      <c r="J72" s="93" t="str">
        <f>IFERROR(__xludf.DUMMYFUNCTION("""COMPUTED_VALUE"""),"$15 Donation, Discord Verification")</f>
        <v>$15 Donation, Discord Verification</v>
      </c>
      <c r="K72" s="100"/>
      <c r="L72" s="101"/>
      <c r="M72" s="100"/>
      <c r="N72" s="94"/>
      <c r="O72" s="93" t="str">
        <f>IFERROR(__xludf.DUMMYFUNCTION("""COMPUTED_VALUE"""),"Records Director (current position)")</f>
        <v>Records Director (current position)</v>
      </c>
      <c r="P7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2" s="99"/>
    </row>
    <row r="73" ht="13.5" customHeight="1">
      <c r="A73" s="88">
        <f>IFERROR(__xludf.DUMMYFUNCTION("""COMPUTED_VALUE"""),44799.42293085648)</f>
        <v>44799.42293</v>
      </c>
      <c r="B73" s="89" t="b">
        <v>1</v>
      </c>
      <c r="C73" s="90" t="str">
        <f t="shared" si="1"/>
        <v>Fall 2022</v>
      </c>
      <c r="D73" s="91" t="str">
        <f>IFERROR(__xludf.DUMMYFUNCTION("""COMPUTED_VALUE"""),"mmm0956@mavs.uta.edu")</f>
        <v>mmm0956@mavs.uta.edu</v>
      </c>
      <c r="E73" s="92" t="str">
        <f>IFERROR(__xludf.DUMMYFUNCTION("""COMPUTED_VALUE"""),"Madeline Narcisse Mendoza (Preferred first name: Min)")</f>
        <v>Madeline Narcisse Mendoza (Preferred first name: Min)</v>
      </c>
      <c r="F73" s="93" t="str">
        <f>IFERROR(__xludf.DUMMYFUNCTION("""COMPUTED_VALUE"""),"nebuleii#0729")</f>
        <v>nebuleii#0729</v>
      </c>
      <c r="G73" s="92"/>
      <c r="H73" s="94" t="str">
        <f>IFERROR(__xludf.DUMMYFUNCTION("""COMPUTED_VALUE"""),"(281) 606-9840")</f>
        <v>(281) 606-9840</v>
      </c>
      <c r="I73" s="94" t="str">
        <f>IFERROR(__xludf.DUMMYFUNCTION("""COMPUTED_VALUE"""),"Student")</f>
        <v>Student</v>
      </c>
      <c r="J73" s="93" t="str">
        <f>IFERROR(__xludf.DUMMYFUNCTION("""COMPUTED_VALUE"""),"$15 Donation, Discord Verification")</f>
        <v>$15 Donation, Discord Verification</v>
      </c>
      <c r="K73" s="100"/>
      <c r="L73" s="101"/>
      <c r="M73" s="100"/>
      <c r="N73" s="94"/>
      <c r="O73" s="93" t="str">
        <f>IFERROR(__xludf.DUMMYFUNCTION("""COMPUTED_VALUE"""),"PR, Feeding")</f>
        <v>PR, Feeding</v>
      </c>
      <c r="P7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3" s="99"/>
    </row>
    <row r="74" ht="13.5" customHeight="1">
      <c r="A74" s="88">
        <f>IFERROR(__xludf.DUMMYFUNCTION("""COMPUTED_VALUE"""),44799.42531064815)</f>
        <v>44799.42531</v>
      </c>
      <c r="B74" s="89" t="b">
        <v>1</v>
      </c>
      <c r="C74" s="90" t="str">
        <f t="shared" si="1"/>
        <v>Fall 2022</v>
      </c>
      <c r="D74" s="91" t="str">
        <f>IFERROR(__xludf.DUMMYFUNCTION("""COMPUTED_VALUE"""),"mxh5508@mavs.uta.edu")</f>
        <v>mxh5508@mavs.uta.edu</v>
      </c>
      <c r="E74" s="92" t="str">
        <f>IFERROR(__xludf.DUMMYFUNCTION("""COMPUTED_VALUE"""),"Maritza Hernandez")</f>
        <v>Maritza Hernandez</v>
      </c>
      <c r="F74" s="93" t="str">
        <f>IFERROR(__xludf.DUMMYFUNCTION("""COMPUTED_VALUE"""),"Miiko #6767")</f>
        <v>Miiko #6767</v>
      </c>
      <c r="G74" s="92"/>
      <c r="H74" s="94" t="str">
        <f>IFERROR(__xludf.DUMMYFUNCTION("""COMPUTED_VALUE"""),"(940) 503-7139")</f>
        <v>(940) 503-7139</v>
      </c>
      <c r="I74" s="94" t="str">
        <f>IFERROR(__xludf.DUMMYFUNCTION("""COMPUTED_VALUE"""),"Student")</f>
        <v>Student</v>
      </c>
      <c r="J74" s="93" t="str">
        <f>IFERROR(__xludf.DUMMYFUNCTION("""COMPUTED_VALUE"""),"$15 Donation, Discord Verification")</f>
        <v>$15 Donation, Discord Verification</v>
      </c>
      <c r="K74" s="100"/>
      <c r="L74" s="101"/>
      <c r="M74" s="100"/>
      <c r="N74" s="94"/>
      <c r="O74" s="93" t="str">
        <f>IFERROR(__xludf.DUMMYFUNCTION("""COMPUTED_VALUE"""),"Feeding")</f>
        <v>Feeding</v>
      </c>
      <c r="P7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4" s="99"/>
    </row>
    <row r="75" ht="13.5" customHeight="1">
      <c r="A75" s="88">
        <f>IFERROR(__xludf.DUMMYFUNCTION("""COMPUTED_VALUE"""),44800.52422255787)</f>
        <v>44800.52422</v>
      </c>
      <c r="B75" s="89" t="b">
        <v>1</v>
      </c>
      <c r="C75" s="90" t="str">
        <f t="shared" si="1"/>
        <v>Fall 2022</v>
      </c>
      <c r="D75" s="91" t="str">
        <f>IFERROR(__xludf.DUMMYFUNCTION("""COMPUTED_VALUE"""),"rtp0957@mavs.uta.edu")</f>
        <v>rtp0957@mavs.uta.edu</v>
      </c>
      <c r="E75" s="92" t="str">
        <f>IFERROR(__xludf.DUMMYFUNCTION("""COMPUTED_VALUE"""),"Rey Paolo Tolentino Pecson")</f>
        <v>Rey Paolo Tolentino Pecson</v>
      </c>
      <c r="F75" s="93" t="str">
        <f>IFERROR(__xludf.DUMMYFUNCTION("""COMPUTED_VALUE"""),"tanuki #0729")</f>
        <v>tanuki #0729</v>
      </c>
      <c r="G75" s="92"/>
      <c r="H75" s="94" t="str">
        <f>IFERROR(__xludf.DUMMYFUNCTION("""COMPUTED_VALUE"""),"(345) 955-4726")</f>
        <v>(345) 955-4726</v>
      </c>
      <c r="I75" s="94" t="str">
        <f>IFERROR(__xludf.DUMMYFUNCTION("""COMPUTED_VALUE"""),"Student")</f>
        <v>Student</v>
      </c>
      <c r="J75" s="93" t="str">
        <f>IFERROR(__xludf.DUMMYFUNCTION("""COMPUTED_VALUE"""),"$15 Donation, Discord Verification")</f>
        <v>$15 Donation, Discord Verification</v>
      </c>
      <c r="K75" s="100"/>
      <c r="L75" s="101"/>
      <c r="M75" s="100"/>
      <c r="N75" s="94"/>
      <c r="O75" s="93" t="str">
        <f>IFERROR(__xludf.DUMMYFUNCTION("""COMPUTED_VALUE"""),"PR, Feeding")</f>
        <v>PR, Feeding</v>
      </c>
      <c r="P7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5" s="99"/>
    </row>
    <row r="76" ht="13.5" customHeight="1">
      <c r="A76" s="88">
        <f>IFERROR(__xludf.DUMMYFUNCTION("""COMPUTED_VALUE"""),44800.624772951385)</f>
        <v>44800.62477</v>
      </c>
      <c r="B76" s="89" t="b">
        <v>1</v>
      </c>
      <c r="C76" s="90" t="str">
        <f t="shared" si="1"/>
        <v>Fall 2022</v>
      </c>
      <c r="D76" s="91" t="str">
        <f>IFERROR(__xludf.DUMMYFUNCTION("""COMPUTED_VALUE"""),"ges2494@mavs.uta.edu")</f>
        <v>ges2494@mavs.uta.edu</v>
      </c>
      <c r="E76" s="92" t="str">
        <f>IFERROR(__xludf.DUMMYFUNCTION("""COMPUTED_VALUE"""),"Garrett Schoen")</f>
        <v>Garrett Schoen</v>
      </c>
      <c r="F76" s="93" t="str">
        <f>IFERROR(__xludf.DUMMYFUNCTION("""COMPUTED_VALUE"""),"Tex #4849")</f>
        <v>Tex #4849</v>
      </c>
      <c r="G76" s="92"/>
      <c r="H76" s="94" t="str">
        <f>IFERROR(__xludf.DUMMYFUNCTION("""COMPUTED_VALUE"""),"(832) 603-0591")</f>
        <v>(832) 603-0591</v>
      </c>
      <c r="I76" s="94" t="str">
        <f>IFERROR(__xludf.DUMMYFUNCTION("""COMPUTED_VALUE"""),"Student")</f>
        <v>Student</v>
      </c>
      <c r="J76" s="93" t="str">
        <f>IFERROR(__xludf.DUMMYFUNCTION("""COMPUTED_VALUE"""),"$15 Donation, Discord Verification")</f>
        <v>$15 Donation, Discord Verification</v>
      </c>
      <c r="K76" s="100"/>
      <c r="L76" s="101"/>
      <c r="M76" s="100"/>
      <c r="N76" s="94"/>
      <c r="O76" s="93" t="str">
        <f>IFERROR(__xludf.DUMMYFUNCTION("""COMPUTED_VALUE"""),"PR, Overnight TNR, Feeding")</f>
        <v>PR, Overnight TNR, Feeding</v>
      </c>
      <c r="P7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6" s="99"/>
    </row>
    <row r="77" ht="13.5" customHeight="1">
      <c r="A77" s="88">
        <f>IFERROR(__xludf.DUMMYFUNCTION("""COMPUTED_VALUE"""),44800.67831481481)</f>
        <v>44800.67831</v>
      </c>
      <c r="B77" s="89" t="b">
        <v>1</v>
      </c>
      <c r="C77" s="90" t="str">
        <f t="shared" si="1"/>
        <v>Fall 2022</v>
      </c>
      <c r="D77" s="91" t="str">
        <f>IFERROR(__xludf.DUMMYFUNCTION("""COMPUTED_VALUE"""),"djo4952@mavs.uta.edu")</f>
        <v>djo4952@mavs.uta.edu</v>
      </c>
      <c r="E77" s="92" t="str">
        <f>IFERROR(__xludf.DUMMYFUNCTION("""COMPUTED_VALUE"""),"Kara Oldenhouse")</f>
        <v>Kara Oldenhouse</v>
      </c>
      <c r="F77" s="93" t="str">
        <f>IFERROR(__xludf.DUMMYFUNCTION("""COMPUTED_VALUE"""),"Gracie_Fizz#9875")</f>
        <v>Gracie_Fizz#9875</v>
      </c>
      <c r="G77" s="92"/>
      <c r="H77" s="94" t="str">
        <f>IFERROR(__xludf.DUMMYFUNCTION("""COMPUTED_VALUE"""),"(512) 608-5508")</f>
        <v>(512) 608-5508</v>
      </c>
      <c r="I77" s="94" t="str">
        <f>IFERROR(__xludf.DUMMYFUNCTION("""COMPUTED_VALUE"""),"Student")</f>
        <v>Student</v>
      </c>
      <c r="J77" s="93" t="str">
        <f>IFERROR(__xludf.DUMMYFUNCTION("""COMPUTED_VALUE"""),"$15 Donation, Discord Verification")</f>
        <v>$15 Donation, Discord Verification</v>
      </c>
      <c r="K77" s="100"/>
      <c r="L77" s="101"/>
      <c r="M77" s="100"/>
      <c r="N77" s="94"/>
      <c r="O77" s="93" t="str">
        <f>IFERROR(__xludf.DUMMYFUNCTION("""COMPUTED_VALUE"""),"Fundraising, PR, Membership, TNR, Overnight TNR, Feeding, Fostering, Shelter Maintenance")</f>
        <v>Fundraising, PR, Membership, TNR, Overnight TNR, Feeding, Fostering, Shelter Maintenance</v>
      </c>
      <c r="P7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7" s="99"/>
    </row>
    <row r="78" ht="13.5" customHeight="1">
      <c r="A78" s="88">
        <f>IFERROR(__xludf.DUMMYFUNCTION("""COMPUTED_VALUE"""),44802.02894364583)</f>
        <v>44802.02894</v>
      </c>
      <c r="B78" s="89" t="b">
        <v>1</v>
      </c>
      <c r="C78" s="90" t="str">
        <f t="shared" si="1"/>
        <v>Fall 2022</v>
      </c>
      <c r="D78" s="91" t="str">
        <f>IFERROR(__xludf.DUMMYFUNCTION("""COMPUTED_VALUE"""),"ixn7783@mavs.uta.edu")</f>
        <v>ixn7783@mavs.uta.edu</v>
      </c>
      <c r="E78" s="92" t="str">
        <f>IFERROR(__xludf.DUMMYFUNCTION("""COMPUTED_VALUE"""),"Ian Null")</f>
        <v>Ian Null</v>
      </c>
      <c r="F78" s="93" t="str">
        <f>IFERROR(__xludf.DUMMYFUNCTION("""COMPUTED_VALUE"""),"Godshand#1044")</f>
        <v>Godshand#1044</v>
      </c>
      <c r="G78" s="92"/>
      <c r="H78" s="94" t="str">
        <f>IFERROR(__xludf.DUMMYFUNCTION("""COMPUTED_VALUE"""),"(512) 591-3665")</f>
        <v>(512) 591-3665</v>
      </c>
      <c r="I78" s="94" t="str">
        <f>IFERROR(__xludf.DUMMYFUNCTION("""COMPUTED_VALUE"""),"Student")</f>
        <v>Student</v>
      </c>
      <c r="J78" s="93" t="str">
        <f>IFERROR(__xludf.DUMMYFUNCTION("""COMPUTED_VALUE"""),"Food/Litter Donation")</f>
        <v>Food/Litter Donation</v>
      </c>
      <c r="K78" s="100"/>
      <c r="L78" s="101"/>
      <c r="M78" s="100"/>
      <c r="N78" s="94"/>
      <c r="O78" s="93" t="str">
        <f>IFERROR(__xludf.DUMMYFUNCTION("""COMPUTED_VALUE"""),"Fundraising, PR, Membership")</f>
        <v>Fundraising, PR, Membership</v>
      </c>
      <c r="P7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8" s="99"/>
    </row>
    <row r="79" ht="13.5" customHeight="1">
      <c r="A79" s="88">
        <f>IFERROR(__xludf.DUMMYFUNCTION("""COMPUTED_VALUE"""),44802.60263138889)</f>
        <v>44802.60263</v>
      </c>
      <c r="B79" s="89" t="b">
        <v>1</v>
      </c>
      <c r="C79" s="90" t="str">
        <f t="shared" si="1"/>
        <v>Fall 2022</v>
      </c>
      <c r="D79" s="91" t="str">
        <f>IFERROR(__xludf.DUMMYFUNCTION("""COMPUTED_VALUE"""),"zdm7610@mavs.uta.edu")</f>
        <v>zdm7610@mavs.uta.edu</v>
      </c>
      <c r="E79" s="92" t="str">
        <f>IFERROR(__xludf.DUMMYFUNCTION("""COMPUTED_VALUE"""),"Zachary Markines")</f>
        <v>Zachary Markines</v>
      </c>
      <c r="F79" s="93" t="str">
        <f>IFERROR(__xludf.DUMMYFUNCTION("""COMPUTED_VALUE"""),"mostlyasian#1627")</f>
        <v>mostlyasian#1627</v>
      </c>
      <c r="G79" s="92"/>
      <c r="H79" s="94" t="str">
        <f>IFERROR(__xludf.DUMMYFUNCTION("""COMPUTED_VALUE"""),"(817) 223-0033")</f>
        <v>(817) 223-0033</v>
      </c>
      <c r="I79" s="94" t="str">
        <f>IFERROR(__xludf.DUMMYFUNCTION("""COMPUTED_VALUE"""),"Student")</f>
        <v>Student</v>
      </c>
      <c r="J79" s="93" t="str">
        <f>IFERROR(__xludf.DUMMYFUNCTION("""COMPUTED_VALUE"""),"$15 Donation, Discord Verification")</f>
        <v>$15 Donation, Discord Verification</v>
      </c>
      <c r="K79" s="100"/>
      <c r="L79" s="101"/>
      <c r="M79" s="100"/>
      <c r="N79" s="94"/>
      <c r="O79" s="93" t="str">
        <f>IFERROR(__xludf.DUMMYFUNCTION("""COMPUTED_VALUE"""),"Fundraising, PR, Membership, TNR, Overnight TNR, Feeding, Fostering, Shelter Maintenance")</f>
        <v>Fundraising, PR, Membership, TNR, Overnight TNR, Feeding, Fostering, Shelter Maintenance</v>
      </c>
      <c r="P7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9" s="99"/>
    </row>
    <row r="80" ht="13.5" customHeight="1">
      <c r="A80" s="88">
        <f>IFERROR(__xludf.DUMMYFUNCTION("""COMPUTED_VALUE"""),44802.682296388884)</f>
        <v>44802.6823</v>
      </c>
      <c r="B80" s="89" t="b">
        <v>1</v>
      </c>
      <c r="C80" s="90" t="str">
        <f t="shared" si="1"/>
        <v>Fall 2022</v>
      </c>
      <c r="D80" s="91" t="str">
        <f>IFERROR(__xludf.DUMMYFUNCTION("""COMPUTED_VALUE"""),"jjm8571@mavs.uta.edu")</f>
        <v>jjm8571@mavs.uta.edu</v>
      </c>
      <c r="E80" s="92" t="str">
        <f>IFERROR(__xludf.DUMMYFUNCTION("""COMPUTED_VALUE"""),"Jenifer Martinez ")</f>
        <v>Jenifer Martinez </v>
      </c>
      <c r="F80" s="93" t="str">
        <f>IFERROR(__xludf.DUMMYFUNCTION("""COMPUTED_VALUE"""),"Jenna0614#1706")</f>
        <v>Jenna0614#1706</v>
      </c>
      <c r="G80" s="92"/>
      <c r="H80" s="94" t="str">
        <f>IFERROR(__xludf.DUMMYFUNCTION("""COMPUTED_VALUE"""),"(214) 598-7031")</f>
        <v>(214) 598-7031</v>
      </c>
      <c r="I80" s="94" t="str">
        <f>IFERROR(__xludf.DUMMYFUNCTION("""COMPUTED_VALUE"""),"Student")</f>
        <v>Student</v>
      </c>
      <c r="J80" s="93" t="str">
        <f>IFERROR(__xludf.DUMMYFUNCTION("""COMPUTED_VALUE"""),"$15 Donation, Discord Verification")</f>
        <v>$15 Donation, Discord Verification</v>
      </c>
      <c r="K80" s="100"/>
      <c r="L80" s="101"/>
      <c r="M80" s="100"/>
      <c r="N80" s="94"/>
      <c r="O80" s="93" t="str">
        <f>IFERROR(__xludf.DUMMYFUNCTION("""COMPUTED_VALUE"""),"Fundraising, PR, Membership, Feeding")</f>
        <v>Fundraising, PR, Membership, Feeding</v>
      </c>
      <c r="P8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80" s="99"/>
    </row>
    <row r="81" ht="13.5" customHeight="1">
      <c r="A81" s="88">
        <f>IFERROR(__xludf.DUMMYFUNCTION("""COMPUTED_VALUE"""),44803.997147268514)</f>
        <v>44803.99715</v>
      </c>
      <c r="B81" s="89" t="b">
        <v>1</v>
      </c>
      <c r="C81" s="90" t="str">
        <f t="shared" si="1"/>
        <v>Fall 2022</v>
      </c>
      <c r="D81" s="91" t="str">
        <f>IFERROR(__xludf.DUMMYFUNCTION("""COMPUTED_VALUE"""),"cindylou.skipper@mavs.uta.edu")</f>
        <v>cindylou.skipper@mavs.uta.edu</v>
      </c>
      <c r="E81" s="92" t="str">
        <f>IFERROR(__xludf.DUMMYFUNCTION("""COMPUTED_VALUE"""),"Cindy Lou Skipper")</f>
        <v>Cindy Lou Skipper</v>
      </c>
      <c r="F81" s="93" t="str">
        <f>IFERROR(__xludf.DUMMYFUNCTION("""COMPUTED_VALUE"""),"meiyingcinskip#2026")</f>
        <v>meiyingcinskip#2026</v>
      </c>
      <c r="G81" s="92"/>
      <c r="H81" s="94" t="str">
        <f>IFERROR(__xludf.DUMMYFUNCTION("""COMPUTED_VALUE"""),"(682) 551-7350")</f>
        <v>(682) 551-7350</v>
      </c>
      <c r="I81" s="94" t="str">
        <f>IFERROR(__xludf.DUMMYFUNCTION("""COMPUTED_VALUE"""),"Student")</f>
        <v>Student</v>
      </c>
      <c r="J81" s="93" t="str">
        <f>IFERROR(__xludf.DUMMYFUNCTION("""COMPUTED_VALUE"""),"Food/Litter Donation")</f>
        <v>Food/Litter Donation</v>
      </c>
      <c r="K81" s="100"/>
      <c r="L81" s="101"/>
      <c r="M81" s="100"/>
      <c r="N81" s="94"/>
      <c r="O81" s="93" t="str">
        <f>IFERROR(__xludf.DUMMYFUNCTION("""COMPUTED_VALUE"""),"Feeding")</f>
        <v>Feeding</v>
      </c>
      <c r="P8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81" s="99"/>
    </row>
    <row r="82" ht="13.5" customHeight="1">
      <c r="A82" s="88">
        <f>IFERROR(__xludf.DUMMYFUNCTION("""COMPUTED_VALUE"""),44804.4950583912)</f>
        <v>44804.49506</v>
      </c>
      <c r="B82" s="89" t="b">
        <v>1</v>
      </c>
      <c r="C82" s="90" t="str">
        <f t="shared" si="1"/>
        <v>Fall 2022</v>
      </c>
      <c r="D82" s="91" t="str">
        <f>IFERROR(__xludf.DUMMYFUNCTION("""COMPUTED_VALUE"""),"jlg6712@mavs.uta.edu")</f>
        <v>jlg6712@mavs.uta.edu</v>
      </c>
      <c r="E82" s="92" t="str">
        <f>IFERROR(__xludf.DUMMYFUNCTION("""COMPUTED_VALUE"""),"Josie Geiogue")</f>
        <v>Josie Geiogue</v>
      </c>
      <c r="F82" s="93" t="str">
        <f>IFERROR(__xludf.DUMMYFUNCTION("""COMPUTED_VALUE"""),"CanChanFish #9667")</f>
        <v>CanChanFish #9667</v>
      </c>
      <c r="G82" s="92"/>
      <c r="H82" s="94" t="str">
        <f>IFERROR(__xludf.DUMMYFUNCTION("""COMPUTED_VALUE"""),"(214) 406-1058")</f>
        <v>(214) 406-1058</v>
      </c>
      <c r="I82" s="94" t="str">
        <f>IFERROR(__xludf.DUMMYFUNCTION("""COMPUTED_VALUE"""),"Student")</f>
        <v>Student</v>
      </c>
      <c r="J82" s="93" t="str">
        <f>IFERROR(__xludf.DUMMYFUNCTION("""COMPUTED_VALUE"""),"$15 Donation, Discord Verification")</f>
        <v>$15 Donation, Discord Verification</v>
      </c>
      <c r="K82" s="100"/>
      <c r="L82" s="101"/>
      <c r="M82" s="100"/>
      <c r="N82" s="94"/>
      <c r="O82" s="93" t="str">
        <f>IFERROR(__xludf.DUMMYFUNCTION("""COMPUTED_VALUE"""),"Fundraising, Feeding")</f>
        <v>Fundraising, Feeding</v>
      </c>
      <c r="P8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82" s="99"/>
    </row>
    <row r="83" ht="13.5" customHeight="1">
      <c r="A83" s="88">
        <f>IFERROR(__xludf.DUMMYFUNCTION("""COMPUTED_VALUE"""),44804.547506504634)</f>
        <v>44804.54751</v>
      </c>
      <c r="B83" s="89" t="b">
        <v>1</v>
      </c>
      <c r="C83" s="90" t="str">
        <f t="shared" si="1"/>
        <v>Fall 2022</v>
      </c>
      <c r="D83" s="91" t="str">
        <f>IFERROR(__xludf.DUMMYFUNCTION("""COMPUTED_VALUE"""),"claire.harvey@mavs.uta.edu")</f>
        <v>claire.harvey@mavs.uta.edu</v>
      </c>
      <c r="E83" s="92" t="str">
        <f>IFERROR(__xludf.DUMMYFUNCTION("""COMPUTED_VALUE"""),"Claire Harvey ")</f>
        <v>Claire Harvey </v>
      </c>
      <c r="F83" s="93" t="str">
        <f>IFERROR(__xludf.DUMMYFUNCTION("""COMPUTED_VALUE"""),"Claire.harvey #8038")</f>
        <v>Claire.harvey #8038</v>
      </c>
      <c r="G83" s="92"/>
      <c r="H83" s="94" t="str">
        <f>IFERROR(__xludf.DUMMYFUNCTION("""COMPUTED_VALUE"""),"(817) 471-6638")</f>
        <v>(817) 471-6638</v>
      </c>
      <c r="I83" s="94" t="str">
        <f>IFERROR(__xludf.DUMMYFUNCTION("""COMPUTED_VALUE"""),"Student")</f>
        <v>Student</v>
      </c>
      <c r="J83" s="93" t="str">
        <f>IFERROR(__xludf.DUMMYFUNCTION("""COMPUTED_VALUE"""),"Food/Litter Donation")</f>
        <v>Food/Litter Donation</v>
      </c>
      <c r="K83" s="100"/>
      <c r="L83" s="101"/>
      <c r="M83" s="100"/>
      <c r="N83" s="94"/>
      <c r="O83" s="93" t="str">
        <f>IFERROR(__xludf.DUMMYFUNCTION("""COMPUTED_VALUE"""),"TNR, Fostering, Door to door shot/ vet transportation ")</f>
        <v>TNR, Fostering, Door to door shot/ vet transportation </v>
      </c>
      <c r="P8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83" s="99"/>
    </row>
    <row r="84" ht="13.5" customHeight="1">
      <c r="A84" s="88">
        <f>IFERROR(__xludf.DUMMYFUNCTION("""COMPUTED_VALUE"""),44804.57050202547)</f>
        <v>44804.5705</v>
      </c>
      <c r="B84" s="89" t="b">
        <v>1</v>
      </c>
      <c r="C84" s="90" t="str">
        <f t="shared" si="1"/>
        <v>Fall 2022</v>
      </c>
      <c r="D84" s="91" t="str">
        <f>IFERROR(__xludf.DUMMYFUNCTION("""COMPUTED_VALUE"""),"hnf0740@mavs.uta.edu")</f>
        <v>hnf0740@mavs.uta.edu</v>
      </c>
      <c r="E84" s="92" t="str">
        <f>IFERROR(__xludf.DUMMYFUNCTION("""COMPUTED_VALUE"""),"Hannah Flores")</f>
        <v>Hannah Flores</v>
      </c>
      <c r="F84" s="93" t="str">
        <f>IFERROR(__xludf.DUMMYFUNCTION("""COMPUTED_VALUE"""),"Hamcat #0665")</f>
        <v>Hamcat #0665</v>
      </c>
      <c r="G84" s="92"/>
      <c r="H84" s="94" t="str">
        <f>IFERROR(__xludf.DUMMYFUNCTION("""COMPUTED_VALUE"""),"(361) 960-6665")</f>
        <v>(361) 960-6665</v>
      </c>
      <c r="I84" s="94" t="str">
        <f>IFERROR(__xludf.DUMMYFUNCTION("""COMPUTED_VALUE"""),"Student")</f>
        <v>Student</v>
      </c>
      <c r="J84" s="93" t="str">
        <f>IFERROR(__xludf.DUMMYFUNCTION("""COMPUTED_VALUE"""),"$15 Donation, Discord Verification")</f>
        <v>$15 Donation, Discord Verification</v>
      </c>
      <c r="K84" s="100"/>
      <c r="L84" s="101"/>
      <c r="M84" s="100"/>
      <c r="N84" s="94"/>
      <c r="O84" s="93" t="str">
        <f>IFERROR(__xludf.DUMMYFUNCTION("""COMPUTED_VALUE"""),"Fundraising, Feeding")</f>
        <v>Fundraising, Feeding</v>
      </c>
      <c r="P8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84" s="99"/>
    </row>
    <row r="85" ht="13.5" customHeight="1">
      <c r="A85" s="88">
        <f>IFERROR(__xludf.DUMMYFUNCTION("""COMPUTED_VALUE"""),44804.583375138885)</f>
        <v>44804.58338</v>
      </c>
      <c r="B85" s="89" t="b">
        <v>1</v>
      </c>
      <c r="C85" s="90" t="str">
        <f t="shared" si="1"/>
        <v>Fall 2022</v>
      </c>
      <c r="D85" s="91" t="str">
        <f>IFERROR(__xludf.DUMMYFUNCTION("""COMPUTED_VALUE"""),"dmc9619@mavs.uta.edu")</f>
        <v>dmc9619@mavs.uta.edu</v>
      </c>
      <c r="E85" s="92" t="str">
        <f>IFERROR(__xludf.DUMMYFUNCTION("""COMPUTED_VALUE"""),"Kat Cedullo")</f>
        <v>Kat Cedullo</v>
      </c>
      <c r="F85" s="93" t="str">
        <f>IFERROR(__xludf.DUMMYFUNCTION("""COMPUTED_VALUE"""),"katlovescake#0461")</f>
        <v>katlovescake#0461</v>
      </c>
      <c r="G85" s="92"/>
      <c r="H85" s="94" t="str">
        <f>IFERROR(__xludf.DUMMYFUNCTION("""COMPUTED_VALUE"""),"(978) 594-3163")</f>
        <v>(978) 594-3163</v>
      </c>
      <c r="I85" s="94" t="str">
        <f>IFERROR(__xludf.DUMMYFUNCTION("""COMPUTED_VALUE"""),"Student")</f>
        <v>Student</v>
      </c>
      <c r="J85" s="93" t="str">
        <f>IFERROR(__xludf.DUMMYFUNCTION("""COMPUTED_VALUE"""),"$15 Donation, Discord Verification")</f>
        <v>$15 Donation, Discord Verification</v>
      </c>
      <c r="K85" s="100"/>
      <c r="L85" s="101"/>
      <c r="M85" s="100"/>
      <c r="N85" s="94"/>
      <c r="O85" s="93" t="str">
        <f>IFERROR(__xludf.DUMMYFUNCTION("""COMPUTED_VALUE"""),"Fundraising, TNR, Feeding, Shelter Maintenance")</f>
        <v>Fundraising, TNR, Feeding, Shelter Maintenance</v>
      </c>
      <c r="P8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85" s="99"/>
    </row>
    <row r="86" ht="13.5" customHeight="1">
      <c r="A86" s="88">
        <f>IFERROR(__xludf.DUMMYFUNCTION("""COMPUTED_VALUE"""),44804.638229178236)</f>
        <v>44804.63823</v>
      </c>
      <c r="B86" s="89" t="b">
        <v>1</v>
      </c>
      <c r="C86" s="90" t="str">
        <f t="shared" si="1"/>
        <v>Fall 2022</v>
      </c>
      <c r="D86" s="91" t="str">
        <f>IFERROR(__xludf.DUMMYFUNCTION("""COMPUTED_VALUE"""),"egf6930@mavs.uta.edu")</f>
        <v>egf6930@mavs.uta.edu</v>
      </c>
      <c r="E86" s="92" t="str">
        <f>IFERROR(__xludf.DUMMYFUNCTION("""COMPUTED_VALUE"""),"Elli Ferren")</f>
        <v>Elli Ferren</v>
      </c>
      <c r="F86" s="93" t="str">
        <f>IFERROR(__xludf.DUMMYFUNCTION("""COMPUTED_VALUE"""),"elli😼 #4888")</f>
        <v>elli😼 #4888</v>
      </c>
      <c r="G86" s="92"/>
      <c r="H86" s="94" t="str">
        <f>IFERROR(__xludf.DUMMYFUNCTION("""COMPUTED_VALUE"""),"(214) 763-1495")</f>
        <v>(214) 763-1495</v>
      </c>
      <c r="I86" s="94" t="str">
        <f>IFERROR(__xludf.DUMMYFUNCTION("""COMPUTED_VALUE"""),"Student")</f>
        <v>Student</v>
      </c>
      <c r="J86" s="93" t="str">
        <f>IFERROR(__xludf.DUMMYFUNCTION("""COMPUTED_VALUE"""),"$15 Donation, Discord Verification")</f>
        <v>$15 Donation, Discord Verification</v>
      </c>
      <c r="K86" s="100"/>
      <c r="L86" s="101"/>
      <c r="M86" s="100"/>
      <c r="N86" s="94"/>
      <c r="O86" s="93" t="str">
        <f>IFERROR(__xludf.DUMMYFUNCTION("""COMPUTED_VALUE"""),"Fundraising, TNR, Feeding, Shelter Maintenance")</f>
        <v>Fundraising, TNR, Feeding, Shelter Maintenance</v>
      </c>
      <c r="P8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86" s="99"/>
    </row>
    <row r="87" ht="13.5" customHeight="1">
      <c r="A87" s="88">
        <f>IFERROR(__xludf.DUMMYFUNCTION("""COMPUTED_VALUE"""),44804.6799708912)</f>
        <v>44804.67997</v>
      </c>
      <c r="B87" s="89" t="b">
        <v>1</v>
      </c>
      <c r="C87" s="90" t="str">
        <f t="shared" si="1"/>
        <v>Fall 2022</v>
      </c>
      <c r="D87" s="91" t="str">
        <f>IFERROR(__xludf.DUMMYFUNCTION("""COMPUTED_VALUE"""),"sydney.stumpf@mavs.uta.edu")</f>
        <v>sydney.stumpf@mavs.uta.edu</v>
      </c>
      <c r="E87" s="92" t="str">
        <f>IFERROR(__xludf.DUMMYFUNCTION("""COMPUTED_VALUE"""),"Sydney Stumpf")</f>
        <v>Sydney Stumpf</v>
      </c>
      <c r="F87" s="93" t="str">
        <f>IFERROR(__xludf.DUMMYFUNCTION("""COMPUTED_VALUE"""),"Sydneystumpf")</f>
        <v>Sydneystumpf</v>
      </c>
      <c r="G87" s="92"/>
      <c r="H87" s="94" t="str">
        <f>IFERROR(__xludf.DUMMYFUNCTION("""COMPUTED_VALUE"""),"(972) 571-0727")</f>
        <v>(972) 571-0727</v>
      </c>
      <c r="I87" s="94" t="str">
        <f>IFERROR(__xludf.DUMMYFUNCTION("""COMPUTED_VALUE"""),"Student")</f>
        <v>Student</v>
      </c>
      <c r="J87" s="93" t="str">
        <f>IFERROR(__xludf.DUMMYFUNCTION("""COMPUTED_VALUE"""),"$15 Donation, Discord Verification")</f>
        <v>$15 Donation, Discord Verification</v>
      </c>
      <c r="K87" s="100"/>
      <c r="L87" s="101"/>
      <c r="M87" s="100"/>
      <c r="N87" s="94"/>
      <c r="O87" s="93" t="str">
        <f>IFERROR(__xludf.DUMMYFUNCTION("""COMPUTED_VALUE"""),"Fundraising, PR, Feeding")</f>
        <v>Fundraising, PR, Feeding</v>
      </c>
      <c r="P8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87" s="99"/>
    </row>
    <row r="88" ht="13.5" customHeight="1">
      <c r="A88" s="88">
        <f>IFERROR(__xludf.DUMMYFUNCTION("""COMPUTED_VALUE"""),44804.71232553241)</f>
        <v>44804.71233</v>
      </c>
      <c r="B88" s="89" t="b">
        <v>1</v>
      </c>
      <c r="C88" s="90" t="str">
        <f t="shared" si="1"/>
        <v>Fall 2022</v>
      </c>
      <c r="D88" s="91" t="str">
        <f>IFERROR(__xludf.DUMMYFUNCTION("""COMPUTED_VALUE"""),"njc0039@mavs.uta.edu")</f>
        <v>njc0039@mavs.uta.edu</v>
      </c>
      <c r="E88" s="92" t="str">
        <f>IFERROR(__xludf.DUMMYFUNCTION("""COMPUTED_VALUE"""),"Naijha Coleman")</f>
        <v>Naijha Coleman</v>
      </c>
      <c r="F88" s="93" t="str">
        <f>IFERROR(__xludf.DUMMYFUNCTION("""COMPUTED_VALUE"""),"Naijha Coleman")</f>
        <v>Naijha Coleman</v>
      </c>
      <c r="G88" s="92"/>
      <c r="H88" s="94" t="str">
        <f>IFERROR(__xludf.DUMMYFUNCTION("""COMPUTED_VALUE"""),"(219) 242-7348")</f>
        <v>(219) 242-7348</v>
      </c>
      <c r="I88" s="94" t="str">
        <f>IFERROR(__xludf.DUMMYFUNCTION("""COMPUTED_VALUE"""),"Student")</f>
        <v>Student</v>
      </c>
      <c r="J88" s="93" t="str">
        <f>IFERROR(__xludf.DUMMYFUNCTION("""COMPUTED_VALUE"""),"$15 Donation, Discord Verification")</f>
        <v>$15 Donation, Discord Verification</v>
      </c>
      <c r="K88" s="100"/>
      <c r="L88" s="101"/>
      <c r="M88" s="100"/>
      <c r="N88" s="94"/>
      <c r="O88" s="93" t="str">
        <f>IFERROR(__xludf.DUMMYFUNCTION("""COMPUTED_VALUE"""),"TNR, Overnight TNR, Feeding, Shelter Maintenance")</f>
        <v>TNR, Overnight TNR, Feeding, Shelter Maintenance</v>
      </c>
      <c r="P8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88" s="99"/>
    </row>
    <row r="89" ht="13.5" customHeight="1">
      <c r="A89" s="88">
        <f>IFERROR(__xludf.DUMMYFUNCTION("""COMPUTED_VALUE"""),44805.682418807875)</f>
        <v>44805.68242</v>
      </c>
      <c r="B89" s="89" t="b">
        <v>1</v>
      </c>
      <c r="C89" s="90" t="str">
        <f t="shared" si="1"/>
        <v>Fall 2022</v>
      </c>
      <c r="D89" s="91" t="str">
        <f>IFERROR(__xludf.DUMMYFUNCTION("""COMPUTED_VALUE"""),"kstogsdill2002@gmail.com")</f>
        <v>kstogsdill2002@gmail.com</v>
      </c>
      <c r="E89" s="92" t="str">
        <f>IFERROR(__xludf.DUMMYFUNCTION("""COMPUTED_VALUE"""),"Kara Stogsdill")</f>
        <v>Kara Stogsdill</v>
      </c>
      <c r="F89" s="93" t="str">
        <f>IFERROR(__xludf.DUMMYFUNCTION("""COMPUTED_VALUE"""),"wavenote#4015")</f>
        <v>wavenote#4015</v>
      </c>
      <c r="G89" s="92"/>
      <c r="H89" s="94" t="str">
        <f>IFERROR(__xludf.DUMMYFUNCTION("""COMPUTED_VALUE"""),"(817) 683-9846")</f>
        <v>(817) 683-9846</v>
      </c>
      <c r="I89" s="94" t="str">
        <f>IFERROR(__xludf.DUMMYFUNCTION("""COMPUTED_VALUE"""),"Student")</f>
        <v>Student</v>
      </c>
      <c r="J89" s="93" t="str">
        <f>IFERROR(__xludf.DUMMYFUNCTION("""COMPUTED_VALUE"""),"$15 Donation, Discord Verification")</f>
        <v>$15 Donation, Discord Verification</v>
      </c>
      <c r="K89" s="100"/>
      <c r="L89" s="101"/>
      <c r="M89" s="100"/>
      <c r="N89" s="94"/>
      <c r="O89" s="93" t="str">
        <f>IFERROR(__xludf.DUMMYFUNCTION("""COMPUTED_VALUE"""),"i sure hope im interested in tnr")</f>
        <v>i sure hope im interested in tnr</v>
      </c>
      <c r="P8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89" s="99"/>
    </row>
    <row r="90" ht="13.5" customHeight="1">
      <c r="A90" s="88">
        <f>IFERROR(__xludf.DUMMYFUNCTION("""COMPUTED_VALUE"""),44805.88918246528)</f>
        <v>44805.88918</v>
      </c>
      <c r="B90" s="89" t="b">
        <v>1</v>
      </c>
      <c r="C90" s="90" t="str">
        <f t="shared" si="1"/>
        <v>Fall 2022</v>
      </c>
      <c r="D90" s="91" t="str">
        <f>IFERROR(__xludf.DUMMYFUNCTION("""COMPUTED_VALUE"""),"wmc7672@mavs.uta.edu")</f>
        <v>wmc7672@mavs.uta.edu</v>
      </c>
      <c r="E90" s="92" t="str">
        <f>IFERROR(__xludf.DUMMYFUNCTION("""COMPUTED_VALUE"""),"William Cleland")</f>
        <v>William Cleland</v>
      </c>
      <c r="F90" s="93" t="str">
        <f>IFERROR(__xludf.DUMMYFUNCTION("""COMPUTED_VALUE"""),"kcreepertux04#0404")</f>
        <v>kcreepertux04#0404</v>
      </c>
      <c r="G90" s="92"/>
      <c r="H90" s="94" t="str">
        <f>IFERROR(__xludf.DUMMYFUNCTION("""COMPUTED_VALUE"""),"(972) 765-1536")</f>
        <v>(972) 765-1536</v>
      </c>
      <c r="I90" s="94" t="str">
        <f>IFERROR(__xludf.DUMMYFUNCTION("""COMPUTED_VALUE"""),"Student")</f>
        <v>Student</v>
      </c>
      <c r="J90" s="93" t="str">
        <f>IFERROR(__xludf.DUMMYFUNCTION("""COMPUTED_VALUE"""),"$15 Donation, Discord Verification")</f>
        <v>$15 Donation, Discord Verification</v>
      </c>
      <c r="K90" s="100"/>
      <c r="L90" s="101"/>
      <c r="M90" s="100"/>
      <c r="N90" s="94"/>
      <c r="O90" s="93" t="str">
        <f>IFERROR(__xludf.DUMMYFUNCTION("""COMPUTED_VALUE"""),"Not sure what position yet, gonna interact with the CCC first to see where I would best fit in.")</f>
        <v>Not sure what position yet, gonna interact with the CCC first to see where I would best fit in.</v>
      </c>
      <c r="P9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90" s="99"/>
    </row>
    <row r="91" ht="13.5" customHeight="1">
      <c r="A91" s="88">
        <f>IFERROR(__xludf.DUMMYFUNCTION("""COMPUTED_VALUE"""),44805.90561246528)</f>
        <v>44805.90561</v>
      </c>
      <c r="B91" s="89" t="b">
        <v>1</v>
      </c>
      <c r="C91" s="90" t="str">
        <f t="shared" si="1"/>
        <v>Fall 2022</v>
      </c>
      <c r="D91" s="91" t="str">
        <f>IFERROR(__xludf.DUMMYFUNCTION("""COMPUTED_VALUE"""),"mlh5689@mavs.uta.edu")</f>
        <v>mlh5689@mavs.uta.edu</v>
      </c>
      <c r="E91" s="92" t="str">
        <f>IFERROR(__xludf.DUMMYFUNCTION("""COMPUTED_VALUE"""),"Madison Lynn Devin Harris")</f>
        <v>Madison Lynn Devin Harris</v>
      </c>
      <c r="F91" s="93" t="str">
        <f>IFERROR(__xludf.DUMMYFUNCTION("""COMPUTED_VALUE"""),"Madison#7344")</f>
        <v>Madison#7344</v>
      </c>
      <c r="G91" s="92"/>
      <c r="H91" s="94" t="str">
        <f>IFERROR(__xludf.DUMMYFUNCTION("""COMPUTED_VALUE"""),"(817) 412-9816")</f>
        <v>(817) 412-9816</v>
      </c>
      <c r="I91" s="94" t="str">
        <f>IFERROR(__xludf.DUMMYFUNCTION("""COMPUTED_VALUE"""),"Student")</f>
        <v>Student</v>
      </c>
      <c r="J91" s="93" t="str">
        <f>IFERROR(__xludf.DUMMYFUNCTION("""COMPUTED_VALUE"""),"$15 Donation, Discord Verification")</f>
        <v>$15 Donation, Discord Verification</v>
      </c>
      <c r="K91" s="100"/>
      <c r="L91" s="101"/>
      <c r="M91" s="100"/>
      <c r="N91" s="94"/>
      <c r="O91" s="93" t="str">
        <f>IFERROR(__xludf.DUMMYFUNCTION("""COMPUTED_VALUE"""),"I am officer")</f>
        <v>I am officer</v>
      </c>
      <c r="P9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91" s="99"/>
    </row>
    <row r="92" ht="13.5" customHeight="1">
      <c r="A92" s="88">
        <f>IFERROR(__xludf.DUMMYFUNCTION("""COMPUTED_VALUE"""),44806.87750646991)</f>
        <v>44806.87751</v>
      </c>
      <c r="B92" s="89" t="b">
        <v>1</v>
      </c>
      <c r="C92" s="90" t="str">
        <f t="shared" si="1"/>
        <v>Fall 2022</v>
      </c>
      <c r="D92" s="91" t="str">
        <f>IFERROR(__xludf.DUMMYFUNCTION("""COMPUTED_VALUE"""),"mxc7679@mavs.uta.edu")</f>
        <v>mxc7679@mavs.uta.edu</v>
      </c>
      <c r="E92" s="92" t="str">
        <f>IFERROR(__xludf.DUMMYFUNCTION("""COMPUTED_VALUE"""),"Morgan Conklin")</f>
        <v>Morgan Conklin</v>
      </c>
      <c r="F92" s="93" t="str">
        <f>IFERROR(__xludf.DUMMYFUNCTION("""COMPUTED_VALUE"""),"(•̀ᴗ•́)و#9130")</f>
        <v>(•̀ᴗ•́)و#9130</v>
      </c>
      <c r="G92" s="92"/>
      <c r="H92" s="94" t="str">
        <f>IFERROR(__xludf.DUMMYFUNCTION("""COMPUTED_VALUE"""),"(817) 627-5950")</f>
        <v>(817) 627-5950</v>
      </c>
      <c r="I92" s="94" t="str">
        <f>IFERROR(__xludf.DUMMYFUNCTION("""COMPUTED_VALUE"""),"Student")</f>
        <v>Student</v>
      </c>
      <c r="J92" s="93" t="str">
        <f>IFERROR(__xludf.DUMMYFUNCTION("""COMPUTED_VALUE"""),"$15 Donation, Discord Verification")</f>
        <v>$15 Donation, Discord Verification</v>
      </c>
      <c r="K92" s="100"/>
      <c r="L92" s="101"/>
      <c r="M92" s="100"/>
      <c r="N92" s="94"/>
      <c r="O92" s="93" t="str">
        <f>IFERROR(__xludf.DUMMYFUNCTION("""COMPUTED_VALUE"""),"Feeding, Fostering, Shelter Maintenance")</f>
        <v>Feeding, Fostering, Shelter Maintenance</v>
      </c>
      <c r="P9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92" s="99"/>
    </row>
    <row r="93" ht="13.5" customHeight="1">
      <c r="A93" s="88">
        <f>IFERROR(__xludf.DUMMYFUNCTION("""COMPUTED_VALUE"""),44807.0733295949)</f>
        <v>44807.07333</v>
      </c>
      <c r="B93" s="89" t="b">
        <v>1</v>
      </c>
      <c r="C93" s="90" t="str">
        <f t="shared" si="1"/>
        <v>Fall 2022</v>
      </c>
      <c r="D93" s="91" t="str">
        <f>IFERROR(__xludf.DUMMYFUNCTION("""COMPUTED_VALUE"""),"mdp8918@mavs.uta.edu")</f>
        <v>mdp8918@mavs.uta.edu</v>
      </c>
      <c r="E93" s="92" t="str">
        <f>IFERROR(__xludf.DUMMYFUNCTION("""COMPUTED_VALUE"""),"Merissa Pierce")</f>
        <v>Merissa Pierce</v>
      </c>
      <c r="F93" s="93" t="str">
        <f>IFERROR(__xludf.DUMMYFUNCTION("""COMPUTED_VALUE"""),"merissa#4519")</f>
        <v>merissa#4519</v>
      </c>
      <c r="G93" s="92"/>
      <c r="H93" s="94" t="str">
        <f>IFERROR(__xludf.DUMMYFUNCTION("""COMPUTED_VALUE"""),"(832) 341-9848")</f>
        <v>(832) 341-9848</v>
      </c>
      <c r="I93" s="94" t="str">
        <f>IFERROR(__xludf.DUMMYFUNCTION("""COMPUTED_VALUE"""),"Student")</f>
        <v>Student</v>
      </c>
      <c r="J93" s="93" t="str">
        <f>IFERROR(__xludf.DUMMYFUNCTION("""COMPUTED_VALUE"""),"$15 Donation, Discord Verification")</f>
        <v>$15 Donation, Discord Verification</v>
      </c>
      <c r="K93" s="100"/>
      <c r="L93" s="101"/>
      <c r="M93" s="100"/>
      <c r="N93" s="94"/>
      <c r="O93" s="93" t="str">
        <f>IFERROR(__xludf.DUMMYFUNCTION("""COMPUTED_VALUE"""),"Fundraising, PR, Shelter Maintenance")</f>
        <v>Fundraising, PR, Shelter Maintenance</v>
      </c>
      <c r="P9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93" s="99"/>
    </row>
    <row r="94" ht="13.5" customHeight="1">
      <c r="A94" s="88">
        <f>IFERROR(__xludf.DUMMYFUNCTION("""COMPUTED_VALUE"""),44809.54884497685)</f>
        <v>44809.54884</v>
      </c>
      <c r="B94" s="89" t="b">
        <v>1</v>
      </c>
      <c r="C94" s="90" t="str">
        <f t="shared" si="1"/>
        <v>Fall 2022</v>
      </c>
      <c r="D94" s="91" t="str">
        <f>IFERROR(__xludf.DUMMYFUNCTION("""COMPUTED_VALUE"""),"brandon.isom@mava.uta.edu")</f>
        <v>brandon.isom@mava.uta.edu</v>
      </c>
      <c r="E94" s="92" t="str">
        <f>IFERROR(__xludf.DUMMYFUNCTION("""COMPUTED_VALUE"""),"Brandon Isom")</f>
        <v>Brandon Isom</v>
      </c>
      <c r="F94" s="93" t="str">
        <f>IFERROR(__xludf.DUMMYFUNCTION("""COMPUTED_VALUE"""),"Imp#5991")</f>
        <v>Imp#5991</v>
      </c>
      <c r="G94" s="92"/>
      <c r="H94" s="94" t="str">
        <f>IFERROR(__xludf.DUMMYFUNCTION("""COMPUTED_VALUE"""),"(469) 403-9856")</f>
        <v>(469) 403-9856</v>
      </c>
      <c r="I94" s="94" t="str">
        <f>IFERROR(__xludf.DUMMYFUNCTION("""COMPUTED_VALUE"""),"Student")</f>
        <v>Student</v>
      </c>
      <c r="J94" s="93" t="str">
        <f>IFERROR(__xludf.DUMMYFUNCTION("""COMPUTED_VALUE"""),"$15 Donation, Discord Verification")</f>
        <v>$15 Donation, Discord Verification</v>
      </c>
      <c r="K94" s="100"/>
      <c r="L94" s="101"/>
      <c r="M94" s="100"/>
      <c r="N94" s="94"/>
      <c r="O94" s="93" t="str">
        <f>IFERROR(__xludf.DUMMYFUNCTION("""COMPUTED_VALUE"""),"Fundraising, How do I contact the fundraiser head?")</f>
        <v>Fundraising, How do I contact the fundraiser head?</v>
      </c>
      <c r="P9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94" s="99"/>
    </row>
    <row r="95" ht="13.5" customHeight="1">
      <c r="A95" s="88">
        <f>IFERROR(__xludf.DUMMYFUNCTION("""COMPUTED_VALUE"""),44812.93175503472)</f>
        <v>44812.93176</v>
      </c>
      <c r="B95" s="89" t="b">
        <v>1</v>
      </c>
      <c r="C95" s="90" t="str">
        <f t="shared" si="1"/>
        <v>Fall 2022</v>
      </c>
      <c r="D95" s="91" t="str">
        <f>IFERROR(__xludf.DUMMYFUNCTION("""COMPUTED_VALUE"""),"akh4978@mavs.uta.edu")</f>
        <v>akh4978@mavs.uta.edu</v>
      </c>
      <c r="E95" s="92" t="str">
        <f>IFERROR(__xludf.DUMMYFUNCTION("""COMPUTED_VALUE"""),"Avery Heil")</f>
        <v>Avery Heil</v>
      </c>
      <c r="F95" s="93" t="str">
        <f>IFERROR(__xludf.DUMMYFUNCTION("""COMPUTED_VALUE"""),"av#6778")</f>
        <v>av#6778</v>
      </c>
      <c r="G95" s="92"/>
      <c r="H95" s="94" t="str">
        <f>IFERROR(__xludf.DUMMYFUNCTION("""COMPUTED_VALUE"""),"(512) 954-1836")</f>
        <v>(512) 954-1836</v>
      </c>
      <c r="I95" s="94" t="str">
        <f>IFERROR(__xludf.DUMMYFUNCTION("""COMPUTED_VALUE"""),"Student")</f>
        <v>Student</v>
      </c>
      <c r="J95" s="93" t="str">
        <f>IFERROR(__xludf.DUMMYFUNCTION("""COMPUTED_VALUE"""),"$15 Donation, Discord Verification")</f>
        <v>$15 Donation, Discord Verification</v>
      </c>
      <c r="K95" s="100"/>
      <c r="L95" s="101"/>
      <c r="M95" s="100"/>
      <c r="N95" s="94"/>
      <c r="O95" s="93" t="str">
        <f>IFERROR(__xludf.DUMMYFUNCTION("""COMPUTED_VALUE"""),"Shelter Maintenance")</f>
        <v>Shelter Maintenance</v>
      </c>
      <c r="P9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95" s="99"/>
    </row>
    <row r="96" ht="13.5" customHeight="1">
      <c r="A96" s="88">
        <f>IFERROR(__xludf.DUMMYFUNCTION("""COMPUTED_VALUE"""),44814.76919310185)</f>
        <v>44814.76919</v>
      </c>
      <c r="B96" s="89" t="b">
        <v>1</v>
      </c>
      <c r="C96" s="90" t="str">
        <f t="shared" si="1"/>
        <v>Fall 2022</v>
      </c>
      <c r="D96" s="91" t="str">
        <f>IFERROR(__xludf.DUMMYFUNCTION("""COMPUTED_VALUE"""),"exh4753@mavs.uta.edu")</f>
        <v>exh4753@mavs.uta.edu</v>
      </c>
      <c r="E96" s="92" t="str">
        <f>IFERROR(__xludf.DUMMYFUNCTION("""COMPUTED_VALUE"""),"Emmanuel Herrera")</f>
        <v>Emmanuel Herrera</v>
      </c>
      <c r="F96" s="93" t="str">
        <f>IFERROR(__xludf.DUMMYFUNCTION("""COMPUTED_VALUE"""),"vertigo#8628")</f>
        <v>vertigo#8628</v>
      </c>
      <c r="G96" s="92"/>
      <c r="H96" s="94" t="str">
        <f>IFERROR(__xludf.DUMMYFUNCTION("""COMPUTED_VALUE"""),"(254) 266-4472")</f>
        <v>(254) 266-4472</v>
      </c>
      <c r="I96" s="94" t="str">
        <f>IFERROR(__xludf.DUMMYFUNCTION("""COMPUTED_VALUE"""),"Student")</f>
        <v>Student</v>
      </c>
      <c r="J96" s="93" t="str">
        <f>IFERROR(__xludf.DUMMYFUNCTION("""COMPUTED_VALUE"""),"$15 Donation, Discord Verification")</f>
        <v>$15 Donation, Discord Verification</v>
      </c>
      <c r="K96" s="100"/>
      <c r="L96" s="101"/>
      <c r="M96" s="100"/>
      <c r="N96" s="94"/>
      <c r="O96" s="93" t="str">
        <f>IFERROR(__xludf.DUMMYFUNCTION("""COMPUTED_VALUE"""),"Feeding, Fostering, Shelter Maintenance")</f>
        <v>Feeding, Fostering, Shelter Maintenance</v>
      </c>
      <c r="P9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96" s="99"/>
    </row>
    <row r="97" ht="13.5" customHeight="1">
      <c r="A97" s="88">
        <f>IFERROR(__xludf.DUMMYFUNCTION("""COMPUTED_VALUE"""),44814.783267673614)</f>
        <v>44814.78327</v>
      </c>
      <c r="B97" s="89" t="b">
        <v>1</v>
      </c>
      <c r="C97" s="90" t="str">
        <f t="shared" si="1"/>
        <v>Fall 2022</v>
      </c>
      <c r="D97" s="91" t="str">
        <f>IFERROR(__xludf.DUMMYFUNCTION("""COMPUTED_VALUE"""),"nxs5239@mavs.uta.edu")</f>
        <v>nxs5239@mavs.uta.edu</v>
      </c>
      <c r="E97" s="92" t="str">
        <f>IFERROR(__xludf.DUMMYFUNCTION("""COMPUTED_VALUE"""),"Nuraj Shrestha")</f>
        <v>Nuraj Shrestha</v>
      </c>
      <c r="F97" s="93" t="str">
        <f>IFERROR(__xludf.DUMMYFUNCTION("""COMPUTED_VALUE"""),"Toji#6168")</f>
        <v>Toji#6168</v>
      </c>
      <c r="G97" s="92"/>
      <c r="H97" s="94" t="str">
        <f>IFERROR(__xludf.DUMMYFUNCTION("""COMPUTED_VALUE"""),"(817) 818-6882")</f>
        <v>(817) 818-6882</v>
      </c>
      <c r="I97" s="94" t="str">
        <f>IFERROR(__xludf.DUMMYFUNCTION("""COMPUTED_VALUE"""),"Student")</f>
        <v>Student</v>
      </c>
      <c r="J97" s="93" t="str">
        <f>IFERROR(__xludf.DUMMYFUNCTION("""COMPUTED_VALUE"""),"$15 Donation, Discord Verification")</f>
        <v>$15 Donation, Discord Verification</v>
      </c>
      <c r="K97" s="100"/>
      <c r="L97" s="101"/>
      <c r="M97" s="100"/>
      <c r="N97" s="94"/>
      <c r="O97" s="93" t="str">
        <f>IFERROR(__xludf.DUMMYFUNCTION("""COMPUTED_VALUE"""),"Feeding")</f>
        <v>Feeding</v>
      </c>
      <c r="P9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97" s="99"/>
    </row>
    <row r="98" ht="13.5" customHeight="1">
      <c r="A98" s="88">
        <f>IFERROR(__xludf.DUMMYFUNCTION("""COMPUTED_VALUE"""),44814.84867782408)</f>
        <v>44814.84868</v>
      </c>
      <c r="B98" s="89" t="b">
        <v>1</v>
      </c>
      <c r="C98" s="90" t="str">
        <f t="shared" si="1"/>
        <v>Fall 2022</v>
      </c>
      <c r="D98" s="91" t="str">
        <f>IFERROR(__xludf.DUMMYFUNCTION("""COMPUTED_VALUE"""),"andrea.silva@mavs.uta.edu")</f>
        <v>andrea.silva@mavs.uta.edu</v>
      </c>
      <c r="E98" s="92" t="str">
        <f>IFERROR(__xludf.DUMMYFUNCTION("""COMPUTED_VALUE"""),"Andrea Silva")</f>
        <v>Andrea Silva</v>
      </c>
      <c r="F98" s="93" t="str">
        <f>IFERROR(__xludf.DUMMYFUNCTION("""COMPUTED_VALUE"""),"artemis#0666")</f>
        <v>artemis#0666</v>
      </c>
      <c r="G98" s="92"/>
      <c r="H98" s="94" t="str">
        <f>IFERROR(__xludf.DUMMYFUNCTION("""COMPUTED_VALUE"""),"(682) 472-8171")</f>
        <v>(682) 472-8171</v>
      </c>
      <c r="I98" s="94" t="str">
        <f>IFERROR(__xludf.DUMMYFUNCTION("""COMPUTED_VALUE"""),"Student")</f>
        <v>Student</v>
      </c>
      <c r="J98" s="93" t="str">
        <f>IFERROR(__xludf.DUMMYFUNCTION("""COMPUTED_VALUE"""),"$15 Donation, Discord Verification")</f>
        <v>$15 Donation, Discord Verification</v>
      </c>
      <c r="K98" s="100"/>
      <c r="L98" s="101"/>
      <c r="M98" s="100"/>
      <c r="N98" s="94"/>
      <c r="O98" s="93" t="str">
        <f>IFERROR(__xludf.DUMMYFUNCTION("""COMPUTED_VALUE"""),"Fundraising, Membership, TNR, Overnight TNR, Feeding, Shelter Maintenance")</f>
        <v>Fundraising, Membership, TNR, Overnight TNR, Feeding, Shelter Maintenance</v>
      </c>
      <c r="P9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98" s="102" t="s">
        <v>47</v>
      </c>
    </row>
    <row r="99" ht="13.5" customHeight="1">
      <c r="A99" s="88">
        <f>IFERROR(__xludf.DUMMYFUNCTION("""COMPUTED_VALUE"""),44815.397869259265)</f>
        <v>44815.39787</v>
      </c>
      <c r="B99" s="89" t="b">
        <v>0</v>
      </c>
      <c r="C99" s="90" t="str">
        <f t="shared" si="1"/>
        <v>Fall 2022</v>
      </c>
      <c r="D99" s="91" t="str">
        <f>IFERROR(__xludf.DUMMYFUNCTION("""COMPUTED_VALUE"""),"ibf8392@mavs.uta.edu")</f>
        <v>ibf8392@mavs.uta.edu</v>
      </c>
      <c r="E99" s="92" t="str">
        <f>IFERROR(__xludf.DUMMYFUNCTION("""COMPUTED_VALUE"""),"Isha Fazli")</f>
        <v>Isha Fazli</v>
      </c>
      <c r="F99" s="93" t="str">
        <f>IFERROR(__xludf.DUMMYFUNCTION("""COMPUTED_VALUE"""),"Isha Fazli#7673")</f>
        <v>Isha Fazli#7673</v>
      </c>
      <c r="G99" s="92"/>
      <c r="H99" s="94" t="str">
        <f>IFERROR(__xludf.DUMMYFUNCTION("""COMPUTED_VALUE"""),"(682) 318-6193")</f>
        <v>(682) 318-6193</v>
      </c>
      <c r="I99" s="94" t="str">
        <f>IFERROR(__xludf.DUMMYFUNCTION("""COMPUTED_VALUE"""),"Student")</f>
        <v>Student</v>
      </c>
      <c r="J99" s="93" t="str">
        <f>IFERROR(__xludf.DUMMYFUNCTION("""COMPUTED_VALUE"""),"$15 Donation, Discord Verification")</f>
        <v>$15 Donation, Discord Verification</v>
      </c>
      <c r="K99" s="100"/>
      <c r="L99" s="101"/>
      <c r="M99" s="100"/>
      <c r="N99" s="94"/>
      <c r="O99" s="93" t="str">
        <f>IFERROR(__xludf.DUMMYFUNCTION("""COMPUTED_VALUE"""),"Membership, Feeding")</f>
        <v>Membership, Feeding</v>
      </c>
      <c r="P9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99" s="99"/>
    </row>
    <row r="100" ht="13.5" customHeight="1">
      <c r="A100" s="88">
        <f>IFERROR(__xludf.DUMMYFUNCTION("""COMPUTED_VALUE"""),44815.451008194446)</f>
        <v>44815.45101</v>
      </c>
      <c r="B100" s="89" t="b">
        <v>1</v>
      </c>
      <c r="C100" s="90" t="str">
        <f t="shared" si="1"/>
        <v>Fall 2022</v>
      </c>
      <c r="D100" s="91" t="str">
        <f>IFERROR(__xludf.DUMMYFUNCTION("""COMPUTED_VALUE"""),"sxt2798@mavs.uta.edu")</f>
        <v>sxt2798@mavs.uta.edu</v>
      </c>
      <c r="E100" s="92" t="str">
        <f>IFERROR(__xludf.DUMMYFUNCTION("""COMPUTED_VALUE"""),"Sarah Teel")</f>
        <v>Sarah Teel</v>
      </c>
      <c r="F100" s="93" t="str">
        <f>IFERROR(__xludf.DUMMYFUNCTION("""COMPUTED_VALUE"""),"Tacocat #5010")</f>
        <v>Tacocat #5010</v>
      </c>
      <c r="G100" s="92"/>
      <c r="H100" s="94" t="str">
        <f>IFERROR(__xludf.DUMMYFUNCTION("""COMPUTED_VALUE"""),"(682) 221-2565")</f>
        <v>(682) 221-2565</v>
      </c>
      <c r="I100" s="94" t="str">
        <f>IFERROR(__xludf.DUMMYFUNCTION("""COMPUTED_VALUE"""),"Student")</f>
        <v>Student</v>
      </c>
      <c r="J100" s="93" t="str">
        <f>IFERROR(__xludf.DUMMYFUNCTION("""COMPUTED_VALUE"""),"$15 Donation, Discord Verification")</f>
        <v>$15 Donation, Discord Verification</v>
      </c>
      <c r="K100" s="100"/>
      <c r="L100" s="101"/>
      <c r="M100" s="100"/>
      <c r="N100" s="94"/>
      <c r="O100" s="93" t="str">
        <f>IFERROR(__xludf.DUMMYFUNCTION("""COMPUTED_VALUE"""),"Membership, Feeding, Shelter Maintenance")</f>
        <v>Membership, Feeding, Shelter Maintenance</v>
      </c>
      <c r="P10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00" s="99"/>
    </row>
    <row r="101" ht="13.5" customHeight="1">
      <c r="A101" s="88">
        <f>IFERROR(__xludf.DUMMYFUNCTION("""COMPUTED_VALUE"""),44816.62518645833)</f>
        <v>44816.62519</v>
      </c>
      <c r="B101" s="89" t="b">
        <v>1</v>
      </c>
      <c r="C101" s="90" t="str">
        <f t="shared" si="1"/>
        <v>Fall 2022</v>
      </c>
      <c r="D101" s="91" t="str">
        <f>IFERROR(__xludf.DUMMYFUNCTION("""COMPUTED_VALUE"""),"sap3249@mavs.uta.edu")</f>
        <v>sap3249@mavs.uta.edu</v>
      </c>
      <c r="E101" s="92" t="str">
        <f>IFERROR(__xludf.DUMMYFUNCTION("""COMPUTED_VALUE"""),"Sho Perkins ")</f>
        <v>Sho Perkins </v>
      </c>
      <c r="F101" s="93" t="str">
        <f>IFERROR(__xludf.DUMMYFUNCTION("""COMPUTED_VALUE"""),"Midnightapple#1367")</f>
        <v>Midnightapple#1367</v>
      </c>
      <c r="G101" s="92"/>
      <c r="H101" s="94" t="str">
        <f>IFERROR(__xludf.DUMMYFUNCTION("""COMPUTED_VALUE"""),"(903) 497-2507")</f>
        <v>(903) 497-2507</v>
      </c>
      <c r="I101" s="94" t="str">
        <f>IFERROR(__xludf.DUMMYFUNCTION("""COMPUTED_VALUE"""),"Student")</f>
        <v>Student</v>
      </c>
      <c r="J101" s="93" t="str">
        <f>IFERROR(__xludf.DUMMYFUNCTION("""COMPUTED_VALUE"""),"$15 Donation, Discord Verification")</f>
        <v>$15 Donation, Discord Verification</v>
      </c>
      <c r="K101" s="100"/>
      <c r="L101" s="101"/>
      <c r="M101" s="100"/>
      <c r="N101" s="94"/>
      <c r="O101" s="93" t="str">
        <f>IFERROR(__xludf.DUMMYFUNCTION("""COMPUTED_VALUE"""),"Feeding")</f>
        <v>Feeding</v>
      </c>
      <c r="P10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01" s="99"/>
    </row>
    <row r="102" ht="13.5" customHeight="1">
      <c r="A102" s="88">
        <f>IFERROR(__xludf.DUMMYFUNCTION("""COMPUTED_VALUE"""),44817.4936256713)</f>
        <v>44817.49363</v>
      </c>
      <c r="B102" s="89" t="b">
        <v>1</v>
      </c>
      <c r="C102" s="90" t="str">
        <f t="shared" si="1"/>
        <v>Fall 2022</v>
      </c>
      <c r="D102" s="91" t="str">
        <f>IFERROR(__xludf.DUMMYFUNCTION("""COMPUTED_VALUE"""),"mmb0584@mavs.uta.edu")</f>
        <v>mmb0584@mavs.uta.edu</v>
      </c>
      <c r="E102" s="92" t="str">
        <f>IFERROR(__xludf.DUMMYFUNCTION("""COMPUTED_VALUE"""),"mckenzie brammer")</f>
        <v>mckenzie brammer</v>
      </c>
      <c r="F102" s="93" t="str">
        <f>IFERROR(__xludf.DUMMYFUNCTION("""COMPUTED_VALUE"""),"kenziebrammer#7345")</f>
        <v>kenziebrammer#7345</v>
      </c>
      <c r="G102" s="92"/>
      <c r="H102" s="94" t="str">
        <f>IFERROR(__xludf.DUMMYFUNCTION("""COMPUTED_VALUE"""),"(469) 468-4254")</f>
        <v>(469) 468-4254</v>
      </c>
      <c r="I102" s="94" t="str">
        <f>IFERROR(__xludf.DUMMYFUNCTION("""COMPUTED_VALUE"""),"Student")</f>
        <v>Student</v>
      </c>
      <c r="J102" s="93" t="str">
        <f>IFERROR(__xludf.DUMMYFUNCTION("""COMPUTED_VALUE"""),"$15 Donation, Discord Verification")</f>
        <v>$15 Donation, Discord Verification</v>
      </c>
      <c r="K102" s="100"/>
      <c r="L102" s="101"/>
      <c r="M102" s="100"/>
      <c r="N102" s="94"/>
      <c r="O102" s="93" t="str">
        <f>IFERROR(__xludf.DUMMYFUNCTION("""COMPUTED_VALUE"""),"Membership, Feeding, Shelter Maintenance")</f>
        <v>Membership, Feeding, Shelter Maintenance</v>
      </c>
      <c r="P10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02" s="99"/>
    </row>
    <row r="103" ht="13.5" customHeight="1">
      <c r="A103" s="88">
        <f>IFERROR(__xludf.DUMMYFUNCTION("""COMPUTED_VALUE"""),44817.6523599537)</f>
        <v>44817.65236</v>
      </c>
      <c r="B103" s="89" t="b">
        <v>1</v>
      </c>
      <c r="C103" s="90" t="str">
        <f t="shared" si="1"/>
        <v>Fall 2022</v>
      </c>
      <c r="D103" s="91" t="str">
        <f>IFERROR(__xludf.DUMMYFUNCTION("""COMPUTED_VALUE"""),"mxa1323@mavs.uta.edu")</f>
        <v>mxa1323@mavs.uta.edu</v>
      </c>
      <c r="E103" s="92" t="str">
        <f>IFERROR(__xludf.DUMMYFUNCTION("""COMPUTED_VALUE"""),"Minal Abidi")</f>
        <v>Minal Abidi</v>
      </c>
      <c r="F103" s="93" t="str">
        <f>IFERROR(__xludf.DUMMYFUNCTION("""COMPUTED_VALUE"""),"kiissed#9982")</f>
        <v>kiissed#9982</v>
      </c>
      <c r="G103" s="92"/>
      <c r="H103" s="94" t="str">
        <f>IFERROR(__xludf.DUMMYFUNCTION("""COMPUTED_VALUE"""),"(224) 645-9077")</f>
        <v>(224) 645-9077</v>
      </c>
      <c r="I103" s="94" t="str">
        <f>IFERROR(__xludf.DUMMYFUNCTION("""COMPUTED_VALUE"""),"Student")</f>
        <v>Student</v>
      </c>
      <c r="J103" s="93" t="str">
        <f>IFERROR(__xludf.DUMMYFUNCTION("""COMPUTED_VALUE"""),"$15 Donation, Discord Verification")</f>
        <v>$15 Donation, Discord Verification</v>
      </c>
      <c r="K103" s="100"/>
      <c r="L103" s="101"/>
      <c r="M103" s="100"/>
      <c r="N103" s="94"/>
      <c r="O103" s="93" t="str">
        <f>IFERROR(__xludf.DUMMYFUNCTION("""COMPUTED_VALUE"""),"Fundraising, PR, Membership, TNR, Feeding, Shelter Maintenance")</f>
        <v>Fundraising, PR, Membership, TNR, Feeding, Shelter Maintenance</v>
      </c>
      <c r="P10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03" s="99"/>
    </row>
    <row r="104" ht="13.5" customHeight="1">
      <c r="A104" s="88">
        <f>IFERROR(__xludf.DUMMYFUNCTION("""COMPUTED_VALUE"""),44819.55257017361)</f>
        <v>44819.55257</v>
      </c>
      <c r="B104" s="89" t="b">
        <v>1</v>
      </c>
      <c r="C104" s="90" t="str">
        <f t="shared" si="1"/>
        <v>Fall 2022</v>
      </c>
      <c r="D104" s="91" t="str">
        <f>IFERROR(__xludf.DUMMYFUNCTION("""COMPUTED_VALUE"""),"ost8086@mavs.uta.edu")</f>
        <v>ost8086@mavs.uta.edu</v>
      </c>
      <c r="E104" s="92" t="str">
        <f>IFERROR(__xludf.DUMMYFUNCTION("""COMPUTED_VALUE"""),"Otylia Tenner")</f>
        <v>Otylia Tenner</v>
      </c>
      <c r="F104" s="93" t="str">
        <f>IFERROR(__xludf.DUMMYFUNCTION("""COMPUTED_VALUE"""),"Otyliasemaj#2577")</f>
        <v>Otyliasemaj#2577</v>
      </c>
      <c r="G104" s="92"/>
      <c r="H104" s="94" t="str">
        <f>IFERROR(__xludf.DUMMYFUNCTION("""COMPUTED_VALUE"""),"(682) 227-7658")</f>
        <v>(682) 227-7658</v>
      </c>
      <c r="I104" s="94" t="str">
        <f>IFERROR(__xludf.DUMMYFUNCTION("""COMPUTED_VALUE"""),"Student")</f>
        <v>Student</v>
      </c>
      <c r="J104" s="93" t="str">
        <f>IFERROR(__xludf.DUMMYFUNCTION("""COMPUTED_VALUE"""),"$15 Donation, Discord Verification")</f>
        <v>$15 Donation, Discord Verification</v>
      </c>
      <c r="K104" s="100"/>
      <c r="L104" s="101"/>
      <c r="M104" s="100"/>
      <c r="N104" s="94"/>
      <c r="O104" s="93" t="str">
        <f>IFERROR(__xludf.DUMMYFUNCTION("""COMPUTED_VALUE"""),"Fundraising, PR, Membership, TNR, Overnight TNR, Feeding, Fostering, Shelter Maintenance")</f>
        <v>Fundraising, PR, Membership, TNR, Overnight TNR, Feeding, Fostering, Shelter Maintenance</v>
      </c>
      <c r="P10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04" s="99"/>
    </row>
    <row r="105" ht="13.5" customHeight="1">
      <c r="A105" s="88">
        <f>IFERROR(__xludf.DUMMYFUNCTION("""COMPUTED_VALUE"""),44819.83912415509)</f>
        <v>44819.83912</v>
      </c>
      <c r="B105" s="89" t="b">
        <v>1</v>
      </c>
      <c r="C105" s="90" t="str">
        <f t="shared" si="1"/>
        <v>Fall 2022</v>
      </c>
      <c r="D105" s="91" t="str">
        <f>IFERROR(__xludf.DUMMYFUNCTION("""COMPUTED_VALUE"""),"jxj7241@mavs.uta.edu")</f>
        <v>jxj7241@mavs.uta.edu</v>
      </c>
      <c r="E105" s="92" t="str">
        <f>IFERROR(__xludf.DUMMYFUNCTION("""COMPUTED_VALUE"""),"Joselyn Joseph ")</f>
        <v>Joselyn Joseph </v>
      </c>
      <c r="F105" s="93" t="str">
        <f>IFERROR(__xludf.DUMMYFUNCTION("""COMPUTED_VALUE"""),"Jos#5026")</f>
        <v>Jos#5026</v>
      </c>
      <c r="G105" s="92"/>
      <c r="H105" s="94" t="str">
        <f>IFERROR(__xludf.DUMMYFUNCTION("""COMPUTED_VALUE"""),"(469) 428-1921")</f>
        <v>(469) 428-1921</v>
      </c>
      <c r="I105" s="94" t="str">
        <f>IFERROR(__xludf.DUMMYFUNCTION("""COMPUTED_VALUE"""),"Student")</f>
        <v>Student</v>
      </c>
      <c r="J105" s="93" t="str">
        <f>IFERROR(__xludf.DUMMYFUNCTION("""COMPUTED_VALUE"""),"$15 Donation, Discord Verification")</f>
        <v>$15 Donation, Discord Verification</v>
      </c>
      <c r="K105" s="100"/>
      <c r="L105" s="101"/>
      <c r="M105" s="100"/>
      <c r="N105" s="94"/>
      <c r="O105" s="93" t="str">
        <f>IFERROR(__xludf.DUMMYFUNCTION("""COMPUTED_VALUE"""),"Membership, Feeding, Fostering")</f>
        <v>Membership, Feeding, Fostering</v>
      </c>
      <c r="P10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05" s="99"/>
    </row>
    <row r="106" ht="13.5" customHeight="1">
      <c r="A106" s="88">
        <f>IFERROR(__xludf.DUMMYFUNCTION("""COMPUTED_VALUE"""),44820.508789444444)</f>
        <v>44820.50879</v>
      </c>
      <c r="B106" s="89" t="b">
        <v>1</v>
      </c>
      <c r="C106" s="90" t="str">
        <f t="shared" si="1"/>
        <v>Fall 2022</v>
      </c>
      <c r="D106" s="91" t="str">
        <f>IFERROR(__xludf.DUMMYFUNCTION("""COMPUTED_VALUE"""),"dxp7561@mavs.uta.edu")</f>
        <v>dxp7561@mavs.uta.edu</v>
      </c>
      <c r="E106" s="92" t="str">
        <f>IFERROR(__xludf.DUMMYFUNCTION("""COMPUTED_VALUE"""),"Diana Phim")</f>
        <v>Diana Phim</v>
      </c>
      <c r="F106" s="93" t="str">
        <f>IFERROR(__xludf.DUMMYFUNCTION("""COMPUTED_VALUE"""),"Nyahao#4703")</f>
        <v>Nyahao#4703</v>
      </c>
      <c r="G106" s="92"/>
      <c r="H106" s="94" t="str">
        <f>IFERROR(__xludf.DUMMYFUNCTION("""COMPUTED_VALUE"""),"(817) 495-5663")</f>
        <v>(817) 495-5663</v>
      </c>
      <c r="I106" s="94" t="str">
        <f>IFERROR(__xludf.DUMMYFUNCTION("""COMPUTED_VALUE"""),"Student")</f>
        <v>Student</v>
      </c>
      <c r="J106" s="93" t="str">
        <f>IFERROR(__xludf.DUMMYFUNCTION("""COMPUTED_VALUE"""),"$15 Donation, Discord Verification")</f>
        <v>$15 Donation, Discord Verification</v>
      </c>
      <c r="K106" s="100"/>
      <c r="L106" s="101"/>
      <c r="M106" s="100"/>
      <c r="N106" s="94"/>
      <c r="O106" s="93" t="str">
        <f>IFERROR(__xludf.DUMMYFUNCTION("""COMPUTED_VALUE"""),"Fundraising, TNR, Feeding, Shelter Maintenance")</f>
        <v>Fundraising, TNR, Feeding, Shelter Maintenance</v>
      </c>
      <c r="P10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06" s="99"/>
    </row>
    <row r="107" ht="13.5" customHeight="1">
      <c r="A107" s="88">
        <f>IFERROR(__xludf.DUMMYFUNCTION("""COMPUTED_VALUE"""),44820.63224957176)</f>
        <v>44820.63225</v>
      </c>
      <c r="B107" s="89" t="b">
        <v>1</v>
      </c>
      <c r="C107" s="90" t="str">
        <f t="shared" si="1"/>
        <v>Fall 2022</v>
      </c>
      <c r="D107" s="91" t="str">
        <f>IFERROR(__xludf.DUMMYFUNCTION("""COMPUTED_VALUE"""),"axm6747@mavs.uta.edu")</f>
        <v>axm6747@mavs.uta.edu</v>
      </c>
      <c r="E107" s="92" t="str">
        <f>IFERROR(__xludf.DUMMYFUNCTION("""COMPUTED_VALUE"""),"Adannelly Munoz")</f>
        <v>Adannelly Munoz</v>
      </c>
      <c r="F107" s="93" t="str">
        <f>IFERROR(__xludf.DUMMYFUNCTION("""COMPUTED_VALUE"""),"☆FoxPotato☆#5528")</f>
        <v>☆FoxPotato☆#5528</v>
      </c>
      <c r="G107" s="92"/>
      <c r="H107" s="94" t="str">
        <f>IFERROR(__xludf.DUMMYFUNCTION("""COMPUTED_VALUE"""),"(817) 228-5952")</f>
        <v>(817) 228-5952</v>
      </c>
      <c r="I107" s="94" t="str">
        <f>IFERROR(__xludf.DUMMYFUNCTION("""COMPUTED_VALUE"""),"Student")</f>
        <v>Student</v>
      </c>
      <c r="J107" s="93" t="str">
        <f>IFERROR(__xludf.DUMMYFUNCTION("""COMPUTED_VALUE"""),"$15 Donation, Discord Verification")</f>
        <v>$15 Donation, Discord Verification</v>
      </c>
      <c r="K107" s="100"/>
      <c r="L107" s="101"/>
      <c r="M107" s="100"/>
      <c r="N107" s="94"/>
      <c r="O107" s="93" t="str">
        <f>IFERROR(__xludf.DUMMYFUNCTION("""COMPUTED_VALUE"""),"Fundraising, TNR, Overnight TNR, Feeding, Shelter Maintenance")</f>
        <v>Fundraising, TNR, Overnight TNR, Feeding, Shelter Maintenance</v>
      </c>
      <c r="P10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07" s="99"/>
    </row>
    <row r="108" ht="13.5" customHeight="1">
      <c r="A108" s="88">
        <f>IFERROR(__xludf.DUMMYFUNCTION("""COMPUTED_VALUE"""),44820.74365856481)</f>
        <v>44820.74366</v>
      </c>
      <c r="B108" s="89" t="b">
        <v>1</v>
      </c>
      <c r="C108" s="90" t="str">
        <f t="shared" si="1"/>
        <v>Fall 2022</v>
      </c>
      <c r="D108" s="91" t="str">
        <f>IFERROR(__xludf.DUMMYFUNCTION("""COMPUTED_VALUE"""),"ota0982@mavs.uta.edu")</f>
        <v>ota0982@mavs.uta.edu</v>
      </c>
      <c r="E108" s="92" t="str">
        <f>IFERROR(__xludf.DUMMYFUNCTION("""COMPUTED_VALUE"""),"Oreoluwa Alabi ")</f>
        <v>Oreoluwa Alabi </v>
      </c>
      <c r="F108" s="93" t="str">
        <f>IFERROR(__xludf.DUMMYFUNCTION("""COMPUTED_VALUE"""),"or30#3791")</f>
        <v>or30#3791</v>
      </c>
      <c r="G108" s="92"/>
      <c r="H108" s="94" t="str">
        <f>IFERROR(__xludf.DUMMYFUNCTION("""COMPUTED_VALUE"""),"(701) 729-1738")</f>
        <v>(701) 729-1738</v>
      </c>
      <c r="I108" s="94" t="str">
        <f>IFERROR(__xludf.DUMMYFUNCTION("""COMPUTED_VALUE"""),"Student")</f>
        <v>Student</v>
      </c>
      <c r="J108" s="93" t="str">
        <f>IFERROR(__xludf.DUMMYFUNCTION("""COMPUTED_VALUE"""),"$15 Donation, Discord Verification")</f>
        <v>$15 Donation, Discord Verification</v>
      </c>
      <c r="K108" s="100"/>
      <c r="L108" s="101"/>
      <c r="M108" s="100"/>
      <c r="N108" s="94"/>
      <c r="O108" s="93" t="str">
        <f>IFERROR(__xludf.DUMMYFUNCTION("""COMPUTED_VALUE"""),"Fundraising, PR, Feeding")</f>
        <v>Fundraising, PR, Feeding</v>
      </c>
      <c r="P10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08" s="99"/>
    </row>
    <row r="109" ht="13.5" customHeight="1">
      <c r="A109" s="88">
        <f>IFERROR(__xludf.DUMMYFUNCTION("""COMPUTED_VALUE"""),44820.78993358796)</f>
        <v>44820.78993</v>
      </c>
      <c r="B109" s="89" t="b">
        <v>1</v>
      </c>
      <c r="C109" s="90" t="str">
        <f t="shared" si="1"/>
        <v>Fall 2022</v>
      </c>
      <c r="D109" s="91" t="str">
        <f>IFERROR(__xludf.DUMMYFUNCTION("""COMPUTED_VALUE"""),"nxr9984@mavs.uta.edu")</f>
        <v>nxr9984@mavs.uta.edu</v>
      </c>
      <c r="E109" s="92" t="str">
        <f>IFERROR(__xludf.DUMMYFUNCTION("""COMPUTED_VALUE"""),"Naomi Rodriguez")</f>
        <v>Naomi Rodriguez</v>
      </c>
      <c r="F109" s="93" t="str">
        <f>IFERROR(__xludf.DUMMYFUNCTION("""COMPUTED_VALUE"""),"mimii#9370")</f>
        <v>mimii#9370</v>
      </c>
      <c r="G109" s="92"/>
      <c r="H109" s="94" t="str">
        <f>IFERROR(__xludf.DUMMYFUNCTION("""COMPUTED_VALUE"""),"")</f>
        <v/>
      </c>
      <c r="I109" s="94" t="str">
        <f>IFERROR(__xludf.DUMMYFUNCTION("""COMPUTED_VALUE"""),"Student")</f>
        <v>Student</v>
      </c>
      <c r="J109" s="93" t="str">
        <f>IFERROR(__xludf.DUMMYFUNCTION("""COMPUTED_VALUE"""),"$15 Donation, Discord Verification")</f>
        <v>$15 Donation, Discord Verification</v>
      </c>
      <c r="K109" s="100"/>
      <c r="L109" s="101"/>
      <c r="M109" s="100"/>
      <c r="N109" s="94"/>
      <c r="O109" s="93" t="str">
        <f>IFERROR(__xludf.DUMMYFUNCTION("""COMPUTED_VALUE"""),"Fundraising, Feeding")</f>
        <v>Fundraising, Feeding</v>
      </c>
      <c r="P10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09" s="99"/>
    </row>
    <row r="110" ht="13.5" customHeight="1">
      <c r="A110" s="88">
        <f>IFERROR(__xludf.DUMMYFUNCTION("""COMPUTED_VALUE"""),44821.412786967594)</f>
        <v>44821.41279</v>
      </c>
      <c r="B110" s="89" t="b">
        <v>1</v>
      </c>
      <c r="C110" s="90" t="str">
        <f t="shared" si="1"/>
        <v>Fall 2022</v>
      </c>
      <c r="D110" s="91" t="str">
        <f>IFERROR(__xludf.DUMMYFUNCTION("""COMPUTED_VALUE"""),"gaw8233@mavs.uta.edu")</f>
        <v>gaw8233@mavs.uta.edu</v>
      </c>
      <c r="E110" s="92" t="str">
        <f>IFERROR(__xludf.DUMMYFUNCTION("""COMPUTED_VALUE"""),"Grace Wood")</f>
        <v>Grace Wood</v>
      </c>
      <c r="F110" s="93" t="str">
        <f>IFERROR(__xludf.DUMMYFUNCTION("""COMPUTED_VALUE"""),"GraceWood #6221")</f>
        <v>GraceWood #6221</v>
      </c>
      <c r="G110" s="92"/>
      <c r="H110" s="94" t="str">
        <f>IFERROR(__xludf.DUMMYFUNCTION("""COMPUTED_VALUE"""),"(912) 650-3975")</f>
        <v>(912) 650-3975</v>
      </c>
      <c r="I110" s="94" t="str">
        <f>IFERROR(__xludf.DUMMYFUNCTION("""COMPUTED_VALUE"""),"Student")</f>
        <v>Student</v>
      </c>
      <c r="J110" s="93" t="str">
        <f>IFERROR(__xludf.DUMMYFUNCTION("""COMPUTED_VALUE"""),"$15 Donation, Discord Verification")</f>
        <v>$15 Donation, Discord Verification</v>
      </c>
      <c r="K110" s="100"/>
      <c r="L110" s="101"/>
      <c r="M110" s="100"/>
      <c r="N110" s="94"/>
      <c r="O110" s="93" t="str">
        <f>IFERROR(__xludf.DUMMYFUNCTION("""COMPUTED_VALUE"""),"Fundraising, TNR, Feeding, Shelter Maintenance")</f>
        <v>Fundraising, TNR, Feeding, Shelter Maintenance</v>
      </c>
      <c r="P11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10" s="99"/>
    </row>
    <row r="111" ht="13.5" customHeight="1">
      <c r="A111" s="88">
        <f>IFERROR(__xludf.DUMMYFUNCTION("""COMPUTED_VALUE"""),44822.70995873843)</f>
        <v>44822.70996</v>
      </c>
      <c r="B111" s="89" t="b">
        <v>1</v>
      </c>
      <c r="C111" s="90" t="str">
        <f t="shared" si="1"/>
        <v>Fall 2022</v>
      </c>
      <c r="D111" s="91" t="str">
        <f>IFERROR(__xludf.DUMMYFUNCTION("""COMPUTED_VALUE"""),"lemoinemaclain@gmail.com")</f>
        <v>lemoinemaclain@gmail.com</v>
      </c>
      <c r="E111" s="92" t="str">
        <f>IFERROR(__xludf.DUMMYFUNCTION("""COMPUTED_VALUE"""),"Maclain LeMoine")</f>
        <v>Maclain LeMoine</v>
      </c>
      <c r="F111" s="93" t="str">
        <f>IFERROR(__xludf.DUMMYFUNCTION("""COMPUTED_VALUE"""),"PuddlePrincess#1561")</f>
        <v>PuddlePrincess#1561</v>
      </c>
      <c r="G111" s="92"/>
      <c r="H111" s="94" t="str">
        <f>IFERROR(__xludf.DUMMYFUNCTION("""COMPUTED_VALUE"""),"(817) 233-1119")</f>
        <v>(817) 233-1119</v>
      </c>
      <c r="I111" s="94" t="str">
        <f>IFERROR(__xludf.DUMMYFUNCTION("""COMPUTED_VALUE"""),"Student")</f>
        <v>Student</v>
      </c>
      <c r="J111" s="93" t="str">
        <f>IFERROR(__xludf.DUMMYFUNCTION("""COMPUTED_VALUE"""),"$15 Donation, Discord Verification")</f>
        <v>$15 Donation, Discord Verification</v>
      </c>
      <c r="K111" s="100"/>
      <c r="L111" s="101"/>
      <c r="M111" s="100"/>
      <c r="N111" s="94"/>
      <c r="O111" s="93" t="str">
        <f>IFERROR(__xludf.DUMMYFUNCTION("""COMPUTED_VALUE"""),"already an officer (●'◡'●)")</f>
        <v>already an officer (●'◡'●)</v>
      </c>
      <c r="P11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11" s="99"/>
    </row>
    <row r="112" ht="13.5" customHeight="1">
      <c r="A112" s="88">
        <f>IFERROR(__xludf.DUMMYFUNCTION("""COMPUTED_VALUE"""),44824.36968773148)</f>
        <v>44824.36969</v>
      </c>
      <c r="B112" s="89" t="b">
        <v>1</v>
      </c>
      <c r="C112" s="90" t="str">
        <f t="shared" si="1"/>
        <v>Fall 2022</v>
      </c>
      <c r="D112" s="91" t="str">
        <f>IFERROR(__xludf.DUMMYFUNCTION("""COMPUTED_VALUE"""),"mls8159@mavs.uta.edu")</f>
        <v>mls8159@mavs.uta.edu</v>
      </c>
      <c r="E112" s="92" t="str">
        <f>IFERROR(__xludf.DUMMYFUNCTION("""COMPUTED_VALUE"""),"Madeline Leigh Smith")</f>
        <v>Madeline Leigh Smith</v>
      </c>
      <c r="F112" s="93" t="str">
        <f>IFERROR(__xludf.DUMMYFUNCTION("""COMPUTED_VALUE"""),"madeline#3044")</f>
        <v>madeline#3044</v>
      </c>
      <c r="G112" s="92"/>
      <c r="H112" s="94" t="str">
        <f>IFERROR(__xludf.DUMMYFUNCTION("""COMPUTED_VALUE"""),"(847) 964-3260")</f>
        <v>(847) 964-3260</v>
      </c>
      <c r="I112" s="94" t="str">
        <f>IFERROR(__xludf.DUMMYFUNCTION("""COMPUTED_VALUE"""),"Student")</f>
        <v>Student</v>
      </c>
      <c r="J112" s="93" t="str">
        <f>IFERROR(__xludf.DUMMYFUNCTION("""COMPUTED_VALUE"""),"$15 Donation, Discord Verification")</f>
        <v>$15 Donation, Discord Verification</v>
      </c>
      <c r="K112" s="100"/>
      <c r="L112" s="101"/>
      <c r="M112" s="100"/>
      <c r="N112" s="94"/>
      <c r="O112" s="93" t="str">
        <f>IFERROR(__xludf.DUMMYFUNCTION("""COMPUTED_VALUE"""),"Fundraising, Feeding, I’m a current member! not sure if i’m doing this right")</f>
        <v>Fundraising, Feeding, I’m a current member! not sure if i’m doing this right</v>
      </c>
      <c r="P11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12" s="99"/>
    </row>
    <row r="113" ht="13.5" customHeight="1">
      <c r="A113" s="88">
        <f>IFERROR(__xludf.DUMMYFUNCTION("""COMPUTED_VALUE"""),44824.913057488426)</f>
        <v>44824.91306</v>
      </c>
      <c r="B113" s="89" t="b">
        <v>1</v>
      </c>
      <c r="C113" s="90" t="str">
        <f t="shared" si="1"/>
        <v>Fall 2022</v>
      </c>
      <c r="D113" s="91" t="str">
        <f>IFERROR(__xludf.DUMMYFUNCTION("""COMPUTED_VALUE"""),"jpg6092@mavs.uta.edu")</f>
        <v>jpg6092@mavs.uta.edu</v>
      </c>
      <c r="E113" s="92" t="str">
        <f>IFERROR(__xludf.DUMMYFUNCTION("""COMPUTED_VALUE"""),"Jennifer Garcia")</f>
        <v>Jennifer Garcia</v>
      </c>
      <c r="F113" s="93" t="str">
        <f>IFERROR(__xludf.DUMMYFUNCTION("""COMPUTED_VALUE"""),"Jennifer#2429")</f>
        <v>Jennifer#2429</v>
      </c>
      <c r="G113" s="92"/>
      <c r="H113" s="94" t="str">
        <f>IFERROR(__xludf.DUMMYFUNCTION("""COMPUTED_VALUE"""),"(817) 305-3031")</f>
        <v>(817) 305-3031</v>
      </c>
      <c r="I113" s="94" t="str">
        <f>IFERROR(__xludf.DUMMYFUNCTION("""COMPUTED_VALUE"""),"Student")</f>
        <v>Student</v>
      </c>
      <c r="J113" s="93" t="str">
        <f>IFERROR(__xludf.DUMMYFUNCTION("""COMPUTED_VALUE"""),"$15 Donation, Discord Verification")</f>
        <v>$15 Donation, Discord Verification</v>
      </c>
      <c r="K113" s="100"/>
      <c r="L113" s="101"/>
      <c r="M113" s="100"/>
      <c r="N113" s="94"/>
      <c r="O113" s="93" t="str">
        <f>IFERROR(__xludf.DUMMYFUNCTION("""COMPUTED_VALUE"""),"Membership")</f>
        <v>Membership</v>
      </c>
      <c r="P11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13" s="99"/>
    </row>
    <row r="114" ht="13.5" customHeight="1">
      <c r="A114" s="88">
        <f>IFERROR(__xludf.DUMMYFUNCTION("""COMPUTED_VALUE"""),44825.430939004626)</f>
        <v>44825.43094</v>
      </c>
      <c r="B114" s="89" t="b">
        <v>1</v>
      </c>
      <c r="C114" s="90" t="str">
        <f t="shared" si="1"/>
        <v>Fall 2022</v>
      </c>
      <c r="D114" s="91" t="str">
        <f>IFERROR(__xludf.DUMMYFUNCTION("""COMPUTED_VALUE"""),"angelina.nguyen2@mavs.uta.edu")</f>
        <v>angelina.nguyen2@mavs.uta.edu</v>
      </c>
      <c r="E114" s="92" t="str">
        <f>IFERROR(__xludf.DUMMYFUNCTION("""COMPUTED_VALUE"""),"Angelina Nguyen")</f>
        <v>Angelina Nguyen</v>
      </c>
      <c r="F114" s="93" t="str">
        <f>IFERROR(__xludf.DUMMYFUNCTION("""COMPUTED_VALUE"""),"Anglii #1259")</f>
        <v>Anglii #1259</v>
      </c>
      <c r="G114" s="92"/>
      <c r="H114" s="94" t="str">
        <f>IFERROR(__xludf.DUMMYFUNCTION("""COMPUTED_VALUE"""),"(682) 551-5588")</f>
        <v>(682) 551-5588</v>
      </c>
      <c r="I114" s="94" t="str">
        <f>IFERROR(__xludf.DUMMYFUNCTION("""COMPUTED_VALUE"""),"Student")</f>
        <v>Student</v>
      </c>
      <c r="J114" s="93" t="str">
        <f>IFERROR(__xludf.DUMMYFUNCTION("""COMPUTED_VALUE"""),"$15 Donation, Discord Verification")</f>
        <v>$15 Donation, Discord Verification</v>
      </c>
      <c r="K114" s="100"/>
      <c r="L114" s="101"/>
      <c r="M114" s="100"/>
      <c r="N114" s="94"/>
      <c r="O114" s="93" t="str">
        <f>IFERROR(__xludf.DUMMYFUNCTION("""COMPUTED_VALUE"""),"general member")</f>
        <v>general member</v>
      </c>
      <c r="P11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14" s="99"/>
    </row>
    <row r="115" ht="13.5" customHeight="1">
      <c r="A115" s="88">
        <f>IFERROR(__xludf.DUMMYFUNCTION("""COMPUTED_VALUE"""),44825.52713652777)</f>
        <v>44825.52714</v>
      </c>
      <c r="B115" s="89" t="b">
        <v>1</v>
      </c>
      <c r="C115" s="90" t="str">
        <f t="shared" si="1"/>
        <v>Fall 2022</v>
      </c>
      <c r="D115" s="91" t="str">
        <f>IFERROR(__xludf.DUMMYFUNCTION("""COMPUTED_VALUE"""),"aks7513@mavs.uta.edu")</f>
        <v>aks7513@mavs.uta.edu</v>
      </c>
      <c r="E115" s="92" t="str">
        <f>IFERROR(__xludf.DUMMYFUNCTION("""COMPUTED_VALUE"""),"Alfred Kalaniminoaka Balajadia Salisbury ")</f>
        <v>Alfred Kalaniminoaka Balajadia Salisbury </v>
      </c>
      <c r="F115" s="93" t="str">
        <f>IFERROR(__xludf.DUMMYFUNCTION("""COMPUTED_VALUE"""),"Steak671 (Shawty)#2829")</f>
        <v>Steak671 (Shawty)#2829</v>
      </c>
      <c r="G115" s="92"/>
      <c r="H115" s="94" t="str">
        <f>IFERROR(__xludf.DUMMYFUNCTION("""COMPUTED_VALUE"""),"(972) 765-3550")</f>
        <v>(972) 765-3550</v>
      </c>
      <c r="I115" s="94" t="str">
        <f>IFERROR(__xludf.DUMMYFUNCTION("""COMPUTED_VALUE"""),"Student")</f>
        <v>Student</v>
      </c>
      <c r="J115" s="93" t="str">
        <f>IFERROR(__xludf.DUMMYFUNCTION("""COMPUTED_VALUE"""),"$15 Donation, Discord Verification")</f>
        <v>$15 Donation, Discord Verification</v>
      </c>
      <c r="K115" s="100"/>
      <c r="L115" s="101"/>
      <c r="M115" s="100"/>
      <c r="N115" s="94"/>
      <c r="O115" s="93" t="str">
        <f>IFERROR(__xludf.DUMMYFUNCTION("""COMPUTED_VALUE"""),"Fundraising, PR, Membership, TNR, Overnight TNR, Feeding, Fostering, Shelter Maintenance")</f>
        <v>Fundraising, PR, Membership, TNR, Overnight TNR, Feeding, Fostering, Shelter Maintenance</v>
      </c>
      <c r="P11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15" s="99"/>
    </row>
    <row r="116" ht="13.5" customHeight="1">
      <c r="A116" s="88">
        <f>IFERROR(__xludf.DUMMYFUNCTION("""COMPUTED_VALUE"""),44826.031032314815)</f>
        <v>44826.03103</v>
      </c>
      <c r="B116" s="89" t="b">
        <v>1</v>
      </c>
      <c r="C116" s="90" t="str">
        <f t="shared" si="1"/>
        <v>Fall 2022</v>
      </c>
      <c r="D116" s="91" t="str">
        <f>IFERROR(__xludf.DUMMYFUNCTION("""COMPUTED_VALUE"""),"zaynab.shaikh@mavs.uta.edu")</f>
        <v>zaynab.shaikh@mavs.uta.edu</v>
      </c>
      <c r="E116" s="92" t="str">
        <f>IFERROR(__xludf.DUMMYFUNCTION("""COMPUTED_VALUE"""),"Zaynab Shaikh")</f>
        <v>Zaynab Shaikh</v>
      </c>
      <c r="F116" s="93" t="str">
        <f>IFERROR(__xludf.DUMMYFUNCTION("""COMPUTED_VALUE"""),"Icebearlikesturtles#0329")</f>
        <v>Icebearlikesturtles#0329</v>
      </c>
      <c r="G116" s="92"/>
      <c r="H116" s="94" t="str">
        <f>IFERROR(__xludf.DUMMYFUNCTION("""COMPUTED_VALUE"""),"(972) 922-1016")</f>
        <v>(972) 922-1016</v>
      </c>
      <c r="I116" s="94" t="str">
        <f>IFERROR(__xludf.DUMMYFUNCTION("""COMPUTED_VALUE"""),"Student")</f>
        <v>Student</v>
      </c>
      <c r="J116" s="93" t="str">
        <f>IFERROR(__xludf.DUMMYFUNCTION("""COMPUTED_VALUE"""),"$15 Donation, Discord Verification")</f>
        <v>$15 Donation, Discord Verification</v>
      </c>
      <c r="K116" s="100"/>
      <c r="L116" s="101"/>
      <c r="M116" s="100"/>
      <c r="N116" s="94"/>
      <c r="O116" s="93" t="str">
        <f>IFERROR(__xludf.DUMMYFUNCTION("""COMPUTED_VALUE"""),"Membership, Feeding")</f>
        <v>Membership, Feeding</v>
      </c>
      <c r="P11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16" s="99"/>
    </row>
    <row r="117" ht="13.5" customHeight="1">
      <c r="A117" s="88">
        <f>IFERROR(__xludf.DUMMYFUNCTION("""COMPUTED_VALUE"""),44826.379147789354)</f>
        <v>44826.37915</v>
      </c>
      <c r="B117" s="89" t="b">
        <v>1</v>
      </c>
      <c r="C117" s="90" t="str">
        <f t="shared" si="1"/>
        <v>Fall 2022</v>
      </c>
      <c r="D117" s="91" t="str">
        <f>IFERROR(__xludf.DUMMYFUNCTION("""COMPUTED_VALUE"""),"caroline.carter@mavs.uta.edu")</f>
        <v>caroline.carter@mavs.uta.edu</v>
      </c>
      <c r="E117" s="92" t="str">
        <f>IFERROR(__xludf.DUMMYFUNCTION("""COMPUTED_VALUE"""),"Caroline Carter")</f>
        <v>Caroline Carter</v>
      </c>
      <c r="F117" s="93" t="str">
        <f>IFERROR(__xludf.DUMMYFUNCTION("""COMPUTED_VALUE"""),"Carolinec#3300")</f>
        <v>Carolinec#3300</v>
      </c>
      <c r="G117" s="92"/>
      <c r="H117" s="94" t="str">
        <f>IFERROR(__xludf.DUMMYFUNCTION("""COMPUTED_VALUE"""),"(181) 731-9650")</f>
        <v>(181) 731-9650</v>
      </c>
      <c r="I117" s="94" t="str">
        <f>IFERROR(__xludf.DUMMYFUNCTION("""COMPUTED_VALUE"""),"Student")</f>
        <v>Student</v>
      </c>
      <c r="J117" s="93" t="str">
        <f>IFERROR(__xludf.DUMMYFUNCTION("""COMPUTED_VALUE"""),"$15 Donation, Discord Verification")</f>
        <v>$15 Donation, Discord Verification</v>
      </c>
      <c r="K117" s="100"/>
      <c r="L117" s="101"/>
      <c r="M117" s="100"/>
      <c r="N117" s="94"/>
      <c r="O117" s="93" t="str">
        <f>IFERROR(__xludf.DUMMYFUNCTION("""COMPUTED_VALUE"""),"Fundraising")</f>
        <v>Fundraising</v>
      </c>
      <c r="P11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17" s="99"/>
    </row>
    <row r="118" ht="13.5" customHeight="1">
      <c r="A118" s="88">
        <f>IFERROR(__xludf.DUMMYFUNCTION("""COMPUTED_VALUE"""),44827.51236503472)</f>
        <v>44827.51237</v>
      </c>
      <c r="B118" s="89" t="b">
        <v>1</v>
      </c>
      <c r="C118" s="90" t="str">
        <f t="shared" si="1"/>
        <v>Fall 2022</v>
      </c>
      <c r="D118" s="91" t="str">
        <f>IFERROR(__xludf.DUMMYFUNCTION("""COMPUTED_VALUE"""),"allison.duran4@mavs.uta.edu")</f>
        <v>allison.duran4@mavs.uta.edu</v>
      </c>
      <c r="E118" s="92" t="str">
        <f>IFERROR(__xludf.DUMMYFUNCTION("""COMPUTED_VALUE"""),"Allison Duran")</f>
        <v>Allison Duran</v>
      </c>
      <c r="F118" s="93" t="str">
        <f>IFERROR(__xludf.DUMMYFUNCTION("""COMPUTED_VALUE"""),"allisonduran#1689")</f>
        <v>allisonduran#1689</v>
      </c>
      <c r="G118" s="92"/>
      <c r="H118" s="94" t="str">
        <f>IFERROR(__xludf.DUMMYFUNCTION("""COMPUTED_VALUE"""),"(817) 371-0771")</f>
        <v>(817) 371-0771</v>
      </c>
      <c r="I118" s="94" t="str">
        <f>IFERROR(__xludf.DUMMYFUNCTION("""COMPUTED_VALUE"""),"Student")</f>
        <v>Student</v>
      </c>
      <c r="J118" s="93" t="str">
        <f>IFERROR(__xludf.DUMMYFUNCTION("""COMPUTED_VALUE"""),"$15 Donation, Discord Verification")</f>
        <v>$15 Donation, Discord Verification</v>
      </c>
      <c r="K118" s="100"/>
      <c r="L118" s="101"/>
      <c r="M118" s="100"/>
      <c r="N118" s="94"/>
      <c r="O118" s="93" t="str">
        <f>IFERROR(__xludf.DUMMYFUNCTION("""COMPUTED_VALUE"""),"Fundraising, TNR, Feeding, Shelter Maintenance")</f>
        <v>Fundraising, TNR, Feeding, Shelter Maintenance</v>
      </c>
      <c r="P11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18" s="99"/>
    </row>
    <row r="119" ht="13.5" customHeight="1">
      <c r="A119" s="88">
        <f>IFERROR(__xludf.DUMMYFUNCTION("""COMPUTED_VALUE"""),44829.68641422453)</f>
        <v>44829.68641</v>
      </c>
      <c r="B119" s="89" t="b">
        <v>1</v>
      </c>
      <c r="C119" s="90" t="str">
        <f t="shared" si="1"/>
        <v>Fall 2022</v>
      </c>
      <c r="D119" s="91" t="str">
        <f>IFERROR(__xludf.DUMMYFUNCTION("""COMPUTED_VALUE"""),"jag8933@mavs.uta.edu")</f>
        <v>jag8933@mavs.uta.edu</v>
      </c>
      <c r="E119" s="92" t="str">
        <f>IFERROR(__xludf.DUMMYFUNCTION("""COMPUTED_VALUE"""),"Jacob Goff ")</f>
        <v>Jacob Goff </v>
      </c>
      <c r="F119" s="93" t="str">
        <f>IFERROR(__xludf.DUMMYFUNCTION("""COMPUTED_VALUE"""),"Moron 69")</f>
        <v>Moron 69</v>
      </c>
      <c r="G119" s="92"/>
      <c r="H119" s="94" t="str">
        <f>IFERROR(__xludf.DUMMYFUNCTION("""COMPUTED_VALUE"""),"(682) 373-6099")</f>
        <v>(682) 373-6099</v>
      </c>
      <c r="I119" s="94" t="str">
        <f>IFERROR(__xludf.DUMMYFUNCTION("""COMPUTED_VALUE"""),"Student")</f>
        <v>Student</v>
      </c>
      <c r="J119" s="93" t="str">
        <f>IFERROR(__xludf.DUMMYFUNCTION("""COMPUTED_VALUE"""),"$15 Donation, Discord Verification")</f>
        <v>$15 Donation, Discord Verification</v>
      </c>
      <c r="K119" s="100"/>
      <c r="L119" s="101"/>
      <c r="M119" s="100"/>
      <c r="N119" s="94"/>
      <c r="O119" s="93" t="str">
        <f>IFERROR(__xludf.DUMMYFUNCTION("""COMPUTED_VALUE"""),"Fundraising, TNR")</f>
        <v>Fundraising, TNR</v>
      </c>
      <c r="P11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19" s="99"/>
    </row>
    <row r="120" ht="13.5" customHeight="1">
      <c r="A120" s="88">
        <f>IFERROR(__xludf.DUMMYFUNCTION("""COMPUTED_VALUE"""),44830.600399953706)</f>
        <v>44830.6004</v>
      </c>
      <c r="B120" s="89" t="b">
        <v>1</v>
      </c>
      <c r="C120" s="90" t="str">
        <f t="shared" si="1"/>
        <v>Fall 2022</v>
      </c>
      <c r="D120" s="91" t="str">
        <f>IFERROR(__xludf.DUMMYFUNCTION("""COMPUTED_VALUE"""),"exb7401@mavs.uta.edu")</f>
        <v>exb7401@mavs.uta.edu</v>
      </c>
      <c r="E120" s="92" t="str">
        <f>IFERROR(__xludf.DUMMYFUNCTION("""COMPUTED_VALUE"""),"Eduardo Barrera")</f>
        <v>Eduardo Barrera</v>
      </c>
      <c r="F120" s="93" t="str">
        <f>IFERROR(__xludf.DUMMYFUNCTION("""COMPUTED_VALUE"""),"diaxart#7947")</f>
        <v>diaxart#7947</v>
      </c>
      <c r="G120" s="92"/>
      <c r="H120" s="94" t="str">
        <f>IFERROR(__xludf.DUMMYFUNCTION("""COMPUTED_VALUE"""),"(682) 320-1972")</f>
        <v>(682) 320-1972</v>
      </c>
      <c r="I120" s="94" t="str">
        <f>IFERROR(__xludf.DUMMYFUNCTION("""COMPUTED_VALUE"""),"Student")</f>
        <v>Student</v>
      </c>
      <c r="J120" s="93" t="str">
        <f>IFERROR(__xludf.DUMMYFUNCTION("""COMPUTED_VALUE"""),"$15 Donation, Discord Verification")</f>
        <v>$15 Donation, Discord Verification</v>
      </c>
      <c r="K120" s="100"/>
      <c r="L120" s="101"/>
      <c r="M120" s="100"/>
      <c r="N120" s="94"/>
      <c r="O120" s="93" t="str">
        <f>IFERROR(__xludf.DUMMYFUNCTION("""COMPUTED_VALUE"""),"Fundraising, Feeding")</f>
        <v>Fundraising, Feeding</v>
      </c>
      <c r="P12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20" s="99"/>
    </row>
    <row r="121" ht="13.5" customHeight="1">
      <c r="A121" s="88">
        <f>IFERROR(__xludf.DUMMYFUNCTION("""COMPUTED_VALUE"""),44842.01477854166)</f>
        <v>44842.01478</v>
      </c>
      <c r="B121" s="89" t="b">
        <v>1</v>
      </c>
      <c r="C121" s="90" t="str">
        <f t="shared" si="1"/>
        <v>Fall 2022</v>
      </c>
      <c r="D121" s="91" t="str">
        <f>IFERROR(__xludf.DUMMYFUNCTION("""COMPUTED_VALUE"""),"ixa8551@mavs.uta.edu")</f>
        <v>ixa8551@mavs.uta.edu</v>
      </c>
      <c r="E121" s="92" t="str">
        <f>IFERROR(__xludf.DUMMYFUNCTION("""COMPUTED_VALUE"""),"Isaac Arredondo")</f>
        <v>Isaac Arredondo</v>
      </c>
      <c r="F121" s="93" t="str">
        <f>IFERROR(__xludf.DUMMYFUNCTION("""COMPUTED_VALUE"""),"Crnker #9424")</f>
        <v>Crnker #9424</v>
      </c>
      <c r="G121" s="92"/>
      <c r="H121" s="94" t="str">
        <f>IFERROR(__xludf.DUMMYFUNCTION("""COMPUTED_VALUE"""),"(972) 975-2511")</f>
        <v>(972) 975-2511</v>
      </c>
      <c r="I121" s="94" t="str">
        <f>IFERROR(__xludf.DUMMYFUNCTION("""COMPUTED_VALUE"""),"Student")</f>
        <v>Student</v>
      </c>
      <c r="J121" s="93" t="str">
        <f>IFERROR(__xludf.DUMMYFUNCTION("""COMPUTED_VALUE"""),"$15 Donation, Discord Verification")</f>
        <v>$15 Donation, Discord Verification</v>
      </c>
      <c r="K121" s="100"/>
      <c r="L121" s="101"/>
      <c r="M121" s="100"/>
      <c r="N121" s="94"/>
      <c r="O121" s="93" t="str">
        <f>IFERROR(__xludf.DUMMYFUNCTION("""COMPUTED_VALUE"""),"Feeding")</f>
        <v>Feeding</v>
      </c>
      <c r="P12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21" s="99"/>
    </row>
    <row r="122" ht="13.5" customHeight="1">
      <c r="A122" s="88">
        <f>IFERROR(__xludf.DUMMYFUNCTION("""COMPUTED_VALUE"""),44846.849260069444)</f>
        <v>44846.84926</v>
      </c>
      <c r="B122" s="89" t="b">
        <v>1</v>
      </c>
      <c r="C122" s="90" t="str">
        <f t="shared" si="1"/>
        <v>Fall 2022</v>
      </c>
      <c r="D122" s="91" t="str">
        <f>IFERROR(__xludf.DUMMYFUNCTION("""COMPUTED_VALUE"""),"lsh6876@mavs.uta.edu")</f>
        <v>lsh6876@mavs.uta.edu</v>
      </c>
      <c r="E122" s="92" t="str">
        <f>IFERROR(__xludf.DUMMYFUNCTION("""COMPUTED_VALUE"""),"Nick Hatcher")</f>
        <v>Nick Hatcher</v>
      </c>
      <c r="F122" s="93" t="str">
        <f>IFERROR(__xludf.DUMMYFUNCTION("""COMPUTED_VALUE"""),"darkberrydrpee#7741")</f>
        <v>darkberrydrpee#7741</v>
      </c>
      <c r="G122" s="92"/>
      <c r="H122" s="94" t="str">
        <f>IFERROR(__xludf.DUMMYFUNCTION("""COMPUTED_VALUE"""),"(936) 355-6238")</f>
        <v>(936) 355-6238</v>
      </c>
      <c r="I122" s="94" t="str">
        <f>IFERROR(__xludf.DUMMYFUNCTION("""COMPUTED_VALUE"""),"Student")</f>
        <v>Student</v>
      </c>
      <c r="J122" s="93" t="str">
        <f>IFERROR(__xludf.DUMMYFUNCTION("""COMPUTED_VALUE"""),"Food/Litter Donation")</f>
        <v>Food/Litter Donation</v>
      </c>
      <c r="K122" s="100"/>
      <c r="L122" s="101"/>
      <c r="M122" s="100"/>
      <c r="N122" s="94"/>
      <c r="O122" s="93" t="str">
        <f>IFERROR(__xludf.DUMMYFUNCTION("""COMPUTED_VALUE"""),"Fundraising, PR, Feeding, Shelter Maintenance")</f>
        <v>Fundraising, PR, Feeding, Shelter Maintenance</v>
      </c>
      <c r="P12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22" s="99"/>
    </row>
    <row r="123" ht="13.5" customHeight="1">
      <c r="A123" s="88">
        <f>IFERROR(__xludf.DUMMYFUNCTION("""COMPUTED_VALUE"""),44849.87945069444)</f>
        <v>44849.87945</v>
      </c>
      <c r="B123" s="89" t="b">
        <v>1</v>
      </c>
      <c r="C123" s="90" t="str">
        <f t="shared" si="1"/>
        <v>Fall 2022</v>
      </c>
      <c r="D123" s="91" t="str">
        <f>IFERROR(__xludf.DUMMYFUNCTION("""COMPUTED_VALUE"""),"kmm3210@mavs.uta.edu")</f>
        <v>kmm3210@mavs.uta.edu</v>
      </c>
      <c r="E123" s="92" t="str">
        <f>IFERROR(__xludf.DUMMYFUNCTION("""COMPUTED_VALUE"""),"Kyle Moore")</f>
        <v>Kyle Moore</v>
      </c>
      <c r="F123" s="93" t="str">
        <f>IFERROR(__xludf.DUMMYFUNCTION("""COMPUTED_VALUE"""),"KM#1248")</f>
        <v>KM#1248</v>
      </c>
      <c r="G123" s="92"/>
      <c r="H123" s="94" t="str">
        <f>IFERROR(__xludf.DUMMYFUNCTION("""COMPUTED_VALUE"""),"(214) 364-5690")</f>
        <v>(214) 364-5690</v>
      </c>
      <c r="I123" s="94" t="str">
        <f>IFERROR(__xludf.DUMMYFUNCTION("""COMPUTED_VALUE"""),"Student")</f>
        <v>Student</v>
      </c>
      <c r="J123" s="93" t="str">
        <f>IFERROR(__xludf.DUMMYFUNCTION("""COMPUTED_VALUE"""),"$15 Donation, Discord Verification")</f>
        <v>$15 Donation, Discord Verification</v>
      </c>
      <c r="K123" s="100"/>
      <c r="L123" s="101"/>
      <c r="M123" s="100"/>
      <c r="N123" s="94"/>
      <c r="O123" s="93" t="str">
        <f>IFERROR(__xludf.DUMMYFUNCTION("""COMPUTED_VALUE"""),"Feeding, Shelter Maintenance")</f>
        <v>Feeding, Shelter Maintenance</v>
      </c>
      <c r="P12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23" s="99"/>
    </row>
    <row r="124" ht="13.5" customHeight="1">
      <c r="A124" s="88">
        <f>IFERROR(__xludf.DUMMYFUNCTION("""COMPUTED_VALUE"""),44850.66238844907)</f>
        <v>44850.66239</v>
      </c>
      <c r="B124" s="89" t="b">
        <v>1</v>
      </c>
      <c r="C124" s="90" t="str">
        <f t="shared" si="1"/>
        <v>Fall 2022</v>
      </c>
      <c r="D124" s="91" t="str">
        <f>IFERROR(__xludf.DUMMYFUNCTION("""COMPUTED_VALUE"""),"ekw0702@mavs.uta.edu")</f>
        <v>ekw0702@mavs.uta.edu</v>
      </c>
      <c r="E124" s="92" t="str">
        <f>IFERROR(__xludf.DUMMYFUNCTION("""COMPUTED_VALUE"""),"Ellen Wick")</f>
        <v>Ellen Wick</v>
      </c>
      <c r="F124" s="93" t="str">
        <f>IFERROR(__xludf.DUMMYFUNCTION("""COMPUTED_VALUE"""),"resplendentcicada#0497")</f>
        <v>resplendentcicada#0497</v>
      </c>
      <c r="G124" s="92"/>
      <c r="H124" s="94" t="str">
        <f>IFERROR(__xludf.DUMMYFUNCTION("""COMPUTED_VALUE"""),"(415) 630-0349")</f>
        <v>(415) 630-0349</v>
      </c>
      <c r="I124" s="94" t="str">
        <f>IFERROR(__xludf.DUMMYFUNCTION("""COMPUTED_VALUE"""),"Student")</f>
        <v>Student</v>
      </c>
      <c r="J124" s="93" t="str">
        <f>IFERROR(__xludf.DUMMYFUNCTION("""COMPUTED_VALUE"""),"Food/Litter Donation")</f>
        <v>Food/Litter Donation</v>
      </c>
      <c r="K124" s="100"/>
      <c r="L124" s="101"/>
      <c r="M124" s="100"/>
      <c r="N124" s="94"/>
      <c r="O124" s="93" t="str">
        <f>IFERROR(__xludf.DUMMYFUNCTION("""COMPUTED_VALUE"""),"Feeding")</f>
        <v>Feeding</v>
      </c>
      <c r="P12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24" s="99"/>
    </row>
    <row r="125" ht="13.5" customHeight="1">
      <c r="A125" s="88">
        <f>IFERROR(__xludf.DUMMYFUNCTION("""COMPUTED_VALUE"""),44853.5398790162)</f>
        <v>44853.53988</v>
      </c>
      <c r="B125" s="89" t="b">
        <v>1</v>
      </c>
      <c r="C125" s="90" t="str">
        <f t="shared" si="1"/>
        <v>Fall 2022</v>
      </c>
      <c r="D125" s="91" t="str">
        <f>IFERROR(__xludf.DUMMYFUNCTION("""COMPUTED_VALUE"""),"fiw2359@mavs.uta.edu")</f>
        <v>fiw2359@mavs.uta.edu</v>
      </c>
      <c r="E125" s="92" t="str">
        <f>IFERROR(__xludf.DUMMYFUNCTION("""COMPUTED_VALUE"""),"Fiona Wilson")</f>
        <v>Fiona Wilson</v>
      </c>
      <c r="F125" s="93" t="str">
        <f>IFERROR(__xludf.DUMMYFUNCTION("""COMPUTED_VALUE"""),"Cress#0534")</f>
        <v>Cress#0534</v>
      </c>
      <c r="G125" s="92"/>
      <c r="H125" s="94" t="str">
        <f>IFERROR(__xludf.DUMMYFUNCTION("""COMPUTED_VALUE"""),"(512) 599-2790")</f>
        <v>(512) 599-2790</v>
      </c>
      <c r="I125" s="94" t="str">
        <f>IFERROR(__xludf.DUMMYFUNCTION("""COMPUTED_VALUE"""),"Student")</f>
        <v>Student</v>
      </c>
      <c r="J125" s="93" t="str">
        <f>IFERROR(__xludf.DUMMYFUNCTION("""COMPUTED_VALUE"""),"$15 Donation, Discord Verification")</f>
        <v>$15 Donation, Discord Verification</v>
      </c>
      <c r="K125" s="100"/>
      <c r="L125" s="101"/>
      <c r="M125" s="100"/>
      <c r="N125" s="94"/>
      <c r="O125" s="93" t="str">
        <f>IFERROR(__xludf.DUMMYFUNCTION("""COMPUTED_VALUE"""),"Feeding")</f>
        <v>Feeding</v>
      </c>
      <c r="P12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25" s="99"/>
    </row>
    <row r="126" ht="13.5" customHeight="1">
      <c r="A126" s="88">
        <f>IFERROR(__xludf.DUMMYFUNCTION("""COMPUTED_VALUE"""),44871.38341877315)</f>
        <v>44871.38342</v>
      </c>
      <c r="B126" s="89" t="b">
        <v>1</v>
      </c>
      <c r="C126" s="90" t="str">
        <f t="shared" si="1"/>
        <v>Fall 2022</v>
      </c>
      <c r="D126" s="91" t="str">
        <f>IFERROR(__xludf.DUMMYFUNCTION("""COMPUTED_VALUE"""),"lxb8153@mavs.uta.edu")</f>
        <v>lxb8153@mavs.uta.edu</v>
      </c>
      <c r="E126" s="92" t="str">
        <f>IFERROR(__xludf.DUMMYFUNCTION("""COMPUTED_VALUE"""),"Luca Babineaux")</f>
        <v>Luca Babineaux</v>
      </c>
      <c r="F126" s="93" t="str">
        <f>IFERROR(__xludf.DUMMYFUNCTION("""COMPUTED_VALUE"""),"Catboy #6994")</f>
        <v>Catboy #6994</v>
      </c>
      <c r="G126" s="92"/>
      <c r="H126" s="94" t="str">
        <f>IFERROR(__xludf.DUMMYFUNCTION("""COMPUTED_VALUE"""),"(214) 738-4693")</f>
        <v>(214) 738-4693</v>
      </c>
      <c r="I126" s="94" t="str">
        <f>IFERROR(__xludf.DUMMYFUNCTION("""COMPUTED_VALUE"""),"Student")</f>
        <v>Student</v>
      </c>
      <c r="J126" s="93" t="str">
        <f>IFERROR(__xludf.DUMMYFUNCTION("""COMPUTED_VALUE"""),"$15 Donation, Discord Verification")</f>
        <v>$15 Donation, Discord Verification</v>
      </c>
      <c r="K126" s="100"/>
      <c r="L126" s="101"/>
      <c r="M126" s="100"/>
      <c r="N126" s="94"/>
      <c r="O126" s="93" t="str">
        <f>IFERROR(__xludf.DUMMYFUNCTION("""COMPUTED_VALUE"""),"Fundraising, Membership, TNR, Overnight TNR, Feeding, Fostering, Shelter Maintenance")</f>
        <v>Fundraising, Membership, TNR, Overnight TNR, Feeding, Fostering, Shelter Maintenance</v>
      </c>
      <c r="P12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26" s="99"/>
    </row>
    <row r="127" ht="13.5" customHeight="1">
      <c r="A127" s="88">
        <f>IFERROR(__xludf.DUMMYFUNCTION("""COMPUTED_VALUE"""),44871.953466122686)</f>
        <v>44871.95347</v>
      </c>
      <c r="B127" s="89" t="b">
        <v>1</v>
      </c>
      <c r="C127" s="90" t="str">
        <f t="shared" si="1"/>
        <v>Fall 2022</v>
      </c>
      <c r="D127" s="91" t="str">
        <f>IFERROR(__xludf.DUMMYFUNCTION("""COMPUTED_VALUE"""),"nxr7988@mavs.uta.edu")</f>
        <v>nxr7988@mavs.uta.edu</v>
      </c>
      <c r="E127" s="92" t="str">
        <f>IFERROR(__xludf.DUMMYFUNCTION("""COMPUTED_VALUE"""),"Nikhila Rangineni")</f>
        <v>Nikhila Rangineni</v>
      </c>
      <c r="F127" s="93" t="str">
        <f>IFERROR(__xludf.DUMMYFUNCTION("""COMPUTED_VALUE"""),"nikhila_rangineni#2301")</f>
        <v>nikhila_rangineni#2301</v>
      </c>
      <c r="G127" s="92"/>
      <c r="H127" s="94" t="str">
        <f>IFERROR(__xludf.DUMMYFUNCTION("""COMPUTED_VALUE"""),"(469) 469-0409")</f>
        <v>(469) 469-0409</v>
      </c>
      <c r="I127" s="94" t="str">
        <f>IFERROR(__xludf.DUMMYFUNCTION("""COMPUTED_VALUE"""),"Community Member")</f>
        <v>Community Member</v>
      </c>
      <c r="J127" s="93" t="str">
        <f>IFERROR(__xludf.DUMMYFUNCTION("""COMPUTED_VALUE"""),"$15 Donation, Discord Verification")</f>
        <v>$15 Donation, Discord Verification</v>
      </c>
      <c r="K127" s="100"/>
      <c r="L127" s="101"/>
      <c r="M127" s="100"/>
      <c r="N127" s="94"/>
      <c r="O127" s="93" t="str">
        <f>IFERROR(__xludf.DUMMYFUNCTION("""COMPUTED_VALUE"""),"Fostering")</f>
        <v>Fostering</v>
      </c>
      <c r="P12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27" s="102" t="s">
        <v>47</v>
      </c>
    </row>
    <row r="128" ht="13.5" customHeight="1">
      <c r="A128" s="88">
        <f>IFERROR(__xludf.DUMMYFUNCTION("""COMPUTED_VALUE"""),44882.66485023148)</f>
        <v>44882.66485</v>
      </c>
      <c r="B128" s="89" t="b">
        <v>0</v>
      </c>
      <c r="C128" s="90" t="str">
        <f t="shared" si="1"/>
        <v>Fall 2022</v>
      </c>
      <c r="D128" s="91" t="str">
        <f>IFERROR(__xludf.DUMMYFUNCTION("""COMPUTED_VALUE"""),"sxh1639@mavs.uta.edu")</f>
        <v>sxh1639@mavs.uta.edu</v>
      </c>
      <c r="E128" s="92" t="str">
        <f>IFERROR(__xludf.DUMMYFUNCTION("""COMPUTED_VALUE"""),"Samantha Huddleston ")</f>
        <v>Samantha Huddleston </v>
      </c>
      <c r="F128" s="93" t="str">
        <f>IFERROR(__xludf.DUMMYFUNCTION("""COMPUTED_VALUE"""),"Slotham#7022")</f>
        <v>Slotham#7022</v>
      </c>
      <c r="G128" s="92"/>
      <c r="H128" s="94" t="str">
        <f>IFERROR(__xludf.DUMMYFUNCTION("""COMPUTED_VALUE"""),"(682) 241-8392")</f>
        <v>(682) 241-8392</v>
      </c>
      <c r="I128" s="94" t="str">
        <f>IFERROR(__xludf.DUMMYFUNCTION("""COMPUTED_VALUE"""),"Student")</f>
        <v>Student</v>
      </c>
      <c r="J128" s="93" t="str">
        <f>IFERROR(__xludf.DUMMYFUNCTION("""COMPUTED_VALUE"""),"$15 Donation, Discord Verification")</f>
        <v>$15 Donation, Discord Verification</v>
      </c>
      <c r="K128" s="100"/>
      <c r="L128" s="101"/>
      <c r="M128" s="100"/>
      <c r="N128" s="94"/>
      <c r="O128" s="93" t="str">
        <f>IFERROR(__xludf.DUMMYFUNCTION("""COMPUTED_VALUE"""),"Fundraising, PR, Membership, Marketing the organization online or through tabling if thats an option would be something im interested in. Im currently a marketing intern for work so I have past experience.")</f>
        <v>Fundraising, PR, Membership, Marketing the organization online or through tabling if thats an option would be something im interested in. Im currently a marketing intern for work so I have past experience.</v>
      </c>
      <c r="P12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28" s="99"/>
    </row>
    <row r="129" ht="13.5" customHeight="1">
      <c r="A129" s="88">
        <f>IFERROR(__xludf.DUMMYFUNCTION("""COMPUTED_VALUE"""),45070.5783375)</f>
        <v>45070.57834</v>
      </c>
      <c r="B129" s="89" t="b">
        <v>1</v>
      </c>
      <c r="C129" s="90" t="str">
        <f t="shared" si="1"/>
        <v>Spring 2023</v>
      </c>
      <c r="D129" s="91" t="str">
        <f>IFERROR(__xludf.DUMMYFUNCTION("""COMPUTED_VALUE"""),"maddie.hunter@mavs.uta.edu")</f>
        <v>maddie.hunter@mavs.uta.edu</v>
      </c>
      <c r="E129" s="92" t="str">
        <f>IFERROR(__xludf.DUMMYFUNCTION("""COMPUTED_VALUE"""),"Maddie collier")</f>
        <v>Maddie collier</v>
      </c>
      <c r="F129" s="93" t="str">
        <f>IFERROR(__xludf.DUMMYFUNCTION("""COMPUTED_VALUE"""),"Hayesboat#4204")</f>
        <v>Hayesboat#4204</v>
      </c>
      <c r="G129" s="92"/>
      <c r="H129" s="94" t="str">
        <f>IFERROR(__xludf.DUMMYFUNCTION("""COMPUTED_VALUE"""),"")</f>
        <v/>
      </c>
      <c r="I129" s="94" t="str">
        <f>IFERROR(__xludf.DUMMYFUNCTION("""COMPUTED_VALUE"""),"Student")</f>
        <v>Student</v>
      </c>
      <c r="J129" s="93" t="str">
        <f>IFERROR(__xludf.DUMMYFUNCTION("""COMPUTED_VALUE"""),"$15 Donation, Discord Verification")</f>
        <v>$15 Donation, Discord Verification</v>
      </c>
      <c r="K129" s="100"/>
      <c r="L129" s="101"/>
      <c r="M129" s="100"/>
      <c r="N129" s="94"/>
      <c r="O129" s="93" t="str">
        <f>IFERROR(__xludf.DUMMYFUNCTION("""COMPUTED_VALUE"""),"Fostering")</f>
        <v>Fostering</v>
      </c>
      <c r="P12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29" s="99"/>
    </row>
    <row r="130" ht="13.5" customHeight="1">
      <c r="A130" s="88">
        <f>IFERROR(__xludf.DUMMYFUNCTION("""COMPUTED_VALUE"""),45159.445153252316)</f>
        <v>45159.44515</v>
      </c>
      <c r="B130" s="89" t="b">
        <v>1</v>
      </c>
      <c r="C130" s="90" t="str">
        <f t="shared" si="1"/>
        <v>Fall 2023</v>
      </c>
      <c r="D130" s="91" t="str">
        <f>IFERROR(__xludf.DUMMYFUNCTION("""COMPUTED_VALUE"""),"cmm4522@mavs.uta.edu")</f>
        <v>cmm4522@mavs.uta.edu</v>
      </c>
      <c r="E130" s="92" t="str">
        <f>IFERROR(__xludf.DUMMYFUNCTION("""COMPUTED_VALUE"""),"Cecelia Murphy")</f>
        <v>Cecelia Murphy</v>
      </c>
      <c r="F130" s="93" t="str">
        <f>IFERROR(__xludf.DUMMYFUNCTION("""COMPUTED_VALUE"""),"Cecemurphy14")</f>
        <v>Cecemurphy14</v>
      </c>
      <c r="G130" s="92"/>
      <c r="H130" s="94" t="str">
        <f>IFERROR(__xludf.DUMMYFUNCTION("""COMPUTED_VALUE"""),"(214) 551-7505")</f>
        <v>(214) 551-7505</v>
      </c>
      <c r="I130" s="94" t="str">
        <f>IFERROR(__xludf.DUMMYFUNCTION("""COMPUTED_VALUE"""),"Student")</f>
        <v>Student</v>
      </c>
      <c r="J130" s="93" t="str">
        <f>IFERROR(__xludf.DUMMYFUNCTION("""COMPUTED_VALUE"""),"$15 Donation, Discord Verification")</f>
        <v>$15 Donation, Discord Verification</v>
      </c>
      <c r="K130" s="100"/>
      <c r="L130" s="101"/>
      <c r="M130" s="100"/>
      <c r="N130" s="94"/>
      <c r="O130" s="93" t="str">
        <f>IFERROR(__xludf.DUMMYFUNCTION("""COMPUTED_VALUE"""),"Fundraising, Feeding, Fostering, Shelter Maintenance")</f>
        <v>Fundraising, Feeding, Fostering, Shelter Maintenance</v>
      </c>
      <c r="P13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30" s="99"/>
    </row>
    <row r="131" ht="13.5" customHeight="1">
      <c r="A131" s="88">
        <f>IFERROR(__xludf.DUMMYFUNCTION("""COMPUTED_VALUE"""),45159.811571122686)</f>
        <v>45159.81157</v>
      </c>
      <c r="B131" s="89" t="b">
        <v>1</v>
      </c>
      <c r="C131" s="90" t="str">
        <f t="shared" si="1"/>
        <v>Fall 2023</v>
      </c>
      <c r="D131" s="91" t="str">
        <f>IFERROR(__xludf.DUMMYFUNCTION("""COMPUTED_VALUE"""),"cxp1485@mavs.uta.edu")</f>
        <v>cxp1485@mavs.uta.edu</v>
      </c>
      <c r="E131" s="92" t="str">
        <f>IFERROR(__xludf.DUMMYFUNCTION("""COMPUTED_VALUE"""),"Calico Poage")</f>
        <v>Calico Poage</v>
      </c>
      <c r="F131" s="93" t="str">
        <f>IFERROR(__xludf.DUMMYFUNCTION("""COMPUTED_VALUE"""),"dietSprigatito")</f>
        <v>dietSprigatito</v>
      </c>
      <c r="G131" s="92"/>
      <c r="H131" s="94" t="str">
        <f>IFERROR(__xludf.DUMMYFUNCTION("""COMPUTED_VALUE"""),"(512) 366-2185")</f>
        <v>(512) 366-2185</v>
      </c>
      <c r="I131" s="94" t="str">
        <f>IFERROR(__xludf.DUMMYFUNCTION("""COMPUTED_VALUE"""),"Student")</f>
        <v>Student</v>
      </c>
      <c r="J131" s="93" t="str">
        <f>IFERROR(__xludf.DUMMYFUNCTION("""COMPUTED_VALUE"""),"Food/Litter Donation")</f>
        <v>Food/Litter Donation</v>
      </c>
      <c r="K131" s="100"/>
      <c r="L131" s="101"/>
      <c r="M131" s="100"/>
      <c r="N131" s="94"/>
      <c r="O131" s="93" t="str">
        <f>IFERROR(__xludf.DUMMYFUNCTION("""COMPUTED_VALUE"""),"Feeding, Shelter Maintenance")</f>
        <v>Feeding, Shelter Maintenance</v>
      </c>
      <c r="P13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31" s="99"/>
    </row>
    <row r="132" ht="13.5" customHeight="1">
      <c r="A132" s="88">
        <f>IFERROR(__xludf.DUMMYFUNCTION("""COMPUTED_VALUE"""),45159.901764062495)</f>
        <v>45159.90176</v>
      </c>
      <c r="B132" s="89" t="b">
        <v>1</v>
      </c>
      <c r="C132" s="90" t="str">
        <f t="shared" si="1"/>
        <v>Fall 2023</v>
      </c>
      <c r="D132" s="91" t="str">
        <f>IFERROR(__xludf.DUMMYFUNCTION("""COMPUTED_VALUE"""),"axr5141@mavs.uta.edu")</f>
        <v>axr5141@mavs.uta.edu</v>
      </c>
      <c r="E132" s="92" t="str">
        <f>IFERROR(__xludf.DUMMYFUNCTION("""COMPUTED_VALUE"""),"Angelica Romero")</f>
        <v>Angelica Romero</v>
      </c>
      <c r="F132" s="93" t="str">
        <f>IFERROR(__xludf.DUMMYFUNCTION("""COMPUTED_VALUE"""),"Lilinkstain ")</f>
        <v>Lilinkstain </v>
      </c>
      <c r="G132" s="92"/>
      <c r="H132" s="94" t="str">
        <f>IFERROR(__xludf.DUMMYFUNCTION("""COMPUTED_VALUE"""),"(682) 704-7602")</f>
        <v>(682) 704-7602</v>
      </c>
      <c r="I132" s="94" t="str">
        <f>IFERROR(__xludf.DUMMYFUNCTION("""COMPUTED_VALUE"""),"Student")</f>
        <v>Student</v>
      </c>
      <c r="J132" s="93" t="str">
        <f>IFERROR(__xludf.DUMMYFUNCTION("""COMPUTED_VALUE"""),"$15 Donation, Discord Verification")</f>
        <v>$15 Donation, Discord Verification</v>
      </c>
      <c r="K132" s="100"/>
      <c r="L132" s="101"/>
      <c r="M132" s="100"/>
      <c r="N132" s="94"/>
      <c r="O132" s="93" t="str">
        <f>IFERROR(__xludf.DUMMYFUNCTION("""COMPUTED_VALUE"""),"PR")</f>
        <v>PR</v>
      </c>
      <c r="P13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32" s="99"/>
    </row>
    <row r="133" ht="13.5" customHeight="1">
      <c r="A133" s="88">
        <f>IFERROR(__xludf.DUMMYFUNCTION("""COMPUTED_VALUE"""),45160.39155800926)</f>
        <v>45160.39156</v>
      </c>
      <c r="B133" s="89" t="b">
        <v>1</v>
      </c>
      <c r="C133" s="90" t="str">
        <f t="shared" si="1"/>
        <v>Fall 2023</v>
      </c>
      <c r="D133" s="91" t="str">
        <f>IFERROR(__xludf.DUMMYFUNCTION("""COMPUTED_VALUE"""),"ddh3117@mavs.uta.edu")</f>
        <v>ddh3117@mavs.uta.edu</v>
      </c>
      <c r="E133" s="92" t="str">
        <f>IFERROR(__xludf.DUMMYFUNCTION("""COMPUTED_VALUE"""),"Delainey Huff")</f>
        <v>Delainey Huff</v>
      </c>
      <c r="F133" s="93" t="str">
        <f>IFERROR(__xludf.DUMMYFUNCTION("""COMPUTED_VALUE"""),"delainey_")</f>
        <v>delainey_</v>
      </c>
      <c r="G133" s="92"/>
      <c r="H133" s="94" t="str">
        <f>IFERROR(__xludf.DUMMYFUNCTION("""COMPUTED_VALUE"""),"(909)  91-2456")</f>
        <v>(909)  91-2456</v>
      </c>
      <c r="I133" s="94" t="str">
        <f>IFERROR(__xludf.DUMMYFUNCTION("""COMPUTED_VALUE"""),"Student")</f>
        <v>Student</v>
      </c>
      <c r="J133" s="93" t="str">
        <f>IFERROR(__xludf.DUMMYFUNCTION("""COMPUTED_VALUE"""),"$15 Donation, Discord Verification")</f>
        <v>$15 Donation, Discord Verification</v>
      </c>
      <c r="K133" s="100"/>
      <c r="L133" s="101"/>
      <c r="M133" s="100"/>
      <c r="N133" s="94"/>
      <c r="O133" s="93" t="str">
        <f>IFERROR(__xludf.DUMMYFUNCTION("""COMPUTED_VALUE"""),"Feeding")</f>
        <v>Feeding</v>
      </c>
      <c r="P13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33" s="99"/>
    </row>
    <row r="134" ht="13.5" customHeight="1">
      <c r="A134" s="88">
        <f>IFERROR(__xludf.DUMMYFUNCTION("""COMPUTED_VALUE"""),45160.49492538194)</f>
        <v>45160.49493</v>
      </c>
      <c r="B134" s="89" t="b">
        <v>1</v>
      </c>
      <c r="C134" s="90" t="str">
        <f t="shared" si="1"/>
        <v>Fall 2023</v>
      </c>
      <c r="D134" s="91" t="str">
        <f>IFERROR(__xludf.DUMMYFUNCTION("""COMPUTED_VALUE"""),"vjr5727@mavs.uta.edu")</f>
        <v>vjr5727@mavs.uta.edu</v>
      </c>
      <c r="E134" s="92" t="str">
        <f>IFERROR(__xludf.DUMMYFUNCTION("""COMPUTED_VALUE"""),"Vanesa Rodriguez")</f>
        <v>Vanesa Rodriguez</v>
      </c>
      <c r="F134" s="93" t="str">
        <f>IFERROR(__xludf.DUMMYFUNCTION("""COMPUTED_VALUE"""),"vjrp2002")</f>
        <v>vjrp2002</v>
      </c>
      <c r="G134" s="92"/>
      <c r="H134" s="94" t="str">
        <f>IFERROR(__xludf.DUMMYFUNCTION("""COMPUTED_VALUE"""),"(214) 516-9548")</f>
        <v>(214) 516-9548</v>
      </c>
      <c r="I134" s="94" t="str">
        <f>IFERROR(__xludf.DUMMYFUNCTION("""COMPUTED_VALUE"""),"Student")</f>
        <v>Student</v>
      </c>
      <c r="J134" s="93" t="str">
        <f>IFERROR(__xludf.DUMMYFUNCTION("""COMPUTED_VALUE"""),"Food/Litter Donation")</f>
        <v>Food/Litter Donation</v>
      </c>
      <c r="K134" s="100"/>
      <c r="L134" s="101"/>
      <c r="M134" s="100"/>
      <c r="N134" s="94"/>
      <c r="O134" s="93" t="str">
        <f>IFERROR(__xludf.DUMMYFUNCTION("""COMPUTED_VALUE"""),"Fundraising, PR, Feeding")</f>
        <v>Fundraising, PR, Feeding</v>
      </c>
      <c r="P13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34" s="99"/>
    </row>
    <row r="135" ht="13.5" customHeight="1">
      <c r="A135" s="88">
        <f>IFERROR(__xludf.DUMMYFUNCTION("""COMPUTED_VALUE"""),45160.51481142361)</f>
        <v>45160.51481</v>
      </c>
      <c r="B135" s="89" t="b">
        <v>1</v>
      </c>
      <c r="C135" s="90" t="str">
        <f t="shared" si="1"/>
        <v>Fall 2023</v>
      </c>
      <c r="D135" s="91" t="str">
        <f>IFERROR(__xludf.DUMMYFUNCTION("""COMPUTED_VALUE"""),"gew2861@mavs.uta.edu")</f>
        <v>gew2861@mavs.uta.edu</v>
      </c>
      <c r="E135" s="92" t="str">
        <f>IFERROR(__xludf.DUMMYFUNCTION("""COMPUTED_VALUE"""),"Gray Walker")</f>
        <v>Gray Walker</v>
      </c>
      <c r="F135" s="93" t="str">
        <f>IFERROR(__xludf.DUMMYFUNCTION("""COMPUTED_VALUE"""),"sleepyseraph")</f>
        <v>sleepyseraph</v>
      </c>
      <c r="G135" s="92"/>
      <c r="H135" s="94" t="str">
        <f>IFERROR(__xludf.DUMMYFUNCTION("""COMPUTED_VALUE"""),"(817) 901-9338")</f>
        <v>(817) 901-9338</v>
      </c>
      <c r="I135" s="94" t="str">
        <f>IFERROR(__xludf.DUMMYFUNCTION("""COMPUTED_VALUE"""),"Student")</f>
        <v>Student</v>
      </c>
      <c r="J135" s="93" t="str">
        <f>IFERROR(__xludf.DUMMYFUNCTION("""COMPUTED_VALUE"""),"$15 Donation, Discord Verification")</f>
        <v>$15 Donation, Discord Verification</v>
      </c>
      <c r="K135" s="100"/>
      <c r="L135" s="101"/>
      <c r="M135" s="100"/>
      <c r="N135" s="94"/>
      <c r="O135" s="93" t="str">
        <f>IFERROR(__xludf.DUMMYFUNCTION("""COMPUTED_VALUE"""),"Feeding, Shelter Maintenance")</f>
        <v>Feeding, Shelter Maintenance</v>
      </c>
      <c r="P13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35" s="99"/>
    </row>
    <row r="136" ht="13.5" customHeight="1">
      <c r="A136" s="88">
        <f>IFERROR(__xludf.DUMMYFUNCTION("""COMPUTED_VALUE"""),45160.61909231481)</f>
        <v>45160.61909</v>
      </c>
      <c r="B136" s="89" t="b">
        <v>1</v>
      </c>
      <c r="C136" s="90" t="str">
        <f t="shared" si="1"/>
        <v>Fall 2023</v>
      </c>
      <c r="D136" s="91" t="str">
        <f>IFERROR(__xludf.DUMMYFUNCTION("""COMPUTED_VALUE"""),"zdm7610@mavs.uta.edu")</f>
        <v>zdm7610@mavs.uta.edu</v>
      </c>
      <c r="E136" s="92" t="str">
        <f>IFERROR(__xludf.DUMMYFUNCTION("""COMPUTED_VALUE"""),"Zachary Markines")</f>
        <v>Zachary Markines</v>
      </c>
      <c r="F136" s="93" t="str">
        <f>IFERROR(__xludf.DUMMYFUNCTION("""COMPUTED_VALUE"""),"mostlyasian.whomp.whomp")</f>
        <v>mostlyasian.whomp.whomp</v>
      </c>
      <c r="G136" s="92"/>
      <c r="H136" s="94" t="str">
        <f>IFERROR(__xludf.DUMMYFUNCTION("""COMPUTED_VALUE"""),"(817) 223-0033")</f>
        <v>(817) 223-0033</v>
      </c>
      <c r="I136" s="94" t="str">
        <f>IFERROR(__xludf.DUMMYFUNCTION("""COMPUTED_VALUE"""),"Student")</f>
        <v>Student</v>
      </c>
      <c r="J136" s="93" t="str">
        <f>IFERROR(__xludf.DUMMYFUNCTION("""COMPUTED_VALUE"""),"$15 Donation, Discord Verification")</f>
        <v>$15 Donation, Discord Verification</v>
      </c>
      <c r="K136" s="100"/>
      <c r="L136" s="101"/>
      <c r="M136" s="100"/>
      <c r="N136" s="94"/>
      <c r="O136" s="93" t="str">
        <f>IFERROR(__xludf.DUMMYFUNCTION("""COMPUTED_VALUE"""),"iam head feeding guy  !")</f>
        <v>iam head feeding guy  !</v>
      </c>
      <c r="P13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36" s="99"/>
    </row>
    <row r="137" ht="13.5" customHeight="1">
      <c r="A137" s="88">
        <f>IFERROR(__xludf.DUMMYFUNCTION("""COMPUTED_VALUE"""),45160.66395292824)</f>
        <v>45160.66395</v>
      </c>
      <c r="B137" s="89" t="b">
        <v>1</v>
      </c>
      <c r="C137" s="90" t="str">
        <f t="shared" si="1"/>
        <v>Fall 2023</v>
      </c>
      <c r="D137" s="91" t="str">
        <f>IFERROR(__xludf.DUMMYFUNCTION("""COMPUTED_VALUE"""),"artbyhayes@gmail.com")</f>
        <v>artbyhayes@gmail.com</v>
      </c>
      <c r="E137" s="92" t="str">
        <f>IFERROR(__xludf.DUMMYFUNCTION("""COMPUTED_VALUE"""),"Maddie collier")</f>
        <v>Maddie collier</v>
      </c>
      <c r="F137" s="93" t="str">
        <f>IFERROR(__xludf.DUMMYFUNCTION("""COMPUTED_VALUE"""),"Hayesboat")</f>
        <v>Hayesboat</v>
      </c>
      <c r="G137" s="92"/>
      <c r="H137" s="94" t="str">
        <f>IFERROR(__xludf.DUMMYFUNCTION("""COMPUTED_VALUE"""),"(903) 880-2270")</f>
        <v>(903) 880-2270</v>
      </c>
      <c r="I137" s="94" t="str">
        <f>IFERROR(__xludf.DUMMYFUNCTION("""COMPUTED_VALUE"""),"Community Member")</f>
        <v>Community Member</v>
      </c>
      <c r="J137" s="93" t="str">
        <f>IFERROR(__xludf.DUMMYFUNCTION("""COMPUTED_VALUE"""),"$15 Donation, Discord Verification")</f>
        <v>$15 Donation, Discord Verification</v>
      </c>
      <c r="K137" s="100"/>
      <c r="L137" s="101"/>
      <c r="M137" s="100"/>
      <c r="N137" s="94"/>
      <c r="O137" s="93" t="str">
        <f>IFERROR(__xludf.DUMMYFUNCTION("""COMPUTED_VALUE"""),"Feeding")</f>
        <v>Feeding</v>
      </c>
      <c r="P13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37" s="99"/>
    </row>
    <row r="138" ht="13.5" customHeight="1">
      <c r="A138" s="88">
        <f>IFERROR(__xludf.DUMMYFUNCTION("""COMPUTED_VALUE"""),45160.73594450232)</f>
        <v>45160.73594</v>
      </c>
      <c r="B138" s="89" t="b">
        <v>1</v>
      </c>
      <c r="C138" s="90" t="str">
        <f t="shared" si="1"/>
        <v>Fall 2023</v>
      </c>
      <c r="D138" s="91" t="str">
        <f>IFERROR(__xludf.DUMMYFUNCTION("""COMPUTED_VALUE"""),"exs0399@mavs.uta.edu")</f>
        <v>exs0399@mavs.uta.edu</v>
      </c>
      <c r="E138" s="92" t="str">
        <f>IFERROR(__xludf.DUMMYFUNCTION("""COMPUTED_VALUE"""),"Elijah Smith")</f>
        <v>Elijah Smith</v>
      </c>
      <c r="F138" s="93" t="str">
        <f>IFERROR(__xludf.DUMMYFUNCTION("""COMPUTED_VALUE"""),"Jxst.ej")</f>
        <v>Jxst.ej</v>
      </c>
      <c r="G138" s="92"/>
      <c r="H138" s="94" t="str">
        <f>IFERROR(__xludf.DUMMYFUNCTION("""COMPUTED_VALUE"""),"(469) 987-0121")</f>
        <v>(469) 987-0121</v>
      </c>
      <c r="I138" s="94" t="str">
        <f>IFERROR(__xludf.DUMMYFUNCTION("""COMPUTED_VALUE"""),"Student")</f>
        <v>Student</v>
      </c>
      <c r="J138" s="93" t="str">
        <f>IFERROR(__xludf.DUMMYFUNCTION("""COMPUTED_VALUE"""),"$15 Donation, Discord Verification")</f>
        <v>$15 Donation, Discord Verification</v>
      </c>
      <c r="K138" s="100"/>
      <c r="L138" s="101"/>
      <c r="M138" s="100"/>
      <c r="N138" s="94"/>
      <c r="O138" s="93" t="str">
        <f>IFERROR(__xludf.DUMMYFUNCTION("""COMPUTED_VALUE"""),"Fundraising, PR, Membership, TNR, Overnight TNR, Feeding, Fostering, Shelter Maintenance")</f>
        <v>Fundraising, PR, Membership, TNR, Overnight TNR, Feeding, Fostering, Shelter Maintenance</v>
      </c>
      <c r="P13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38" s="99"/>
    </row>
    <row r="139" ht="13.5" customHeight="1">
      <c r="A139" s="88">
        <f>IFERROR(__xludf.DUMMYFUNCTION("""COMPUTED_VALUE"""),45160.94411971065)</f>
        <v>45160.94412</v>
      </c>
      <c r="B139" s="89" t="b">
        <v>1</v>
      </c>
      <c r="C139" s="90" t="str">
        <f t="shared" si="1"/>
        <v>Fall 2023</v>
      </c>
      <c r="D139" s="91" t="str">
        <f>IFERROR(__xludf.DUMMYFUNCTION("""COMPUTED_VALUE"""),"akm6129@mavs.uta.edu")</f>
        <v>akm6129@mavs.uta.edu</v>
      </c>
      <c r="E139" s="92" t="str">
        <f>IFERROR(__xludf.DUMMYFUNCTION("""COMPUTED_VALUE"""),"Amanda Karime Morales")</f>
        <v>Amanda Karime Morales</v>
      </c>
      <c r="F139" s="93" t="str">
        <f>IFERROR(__xludf.DUMMYFUNCTION("""COMPUTED_VALUE"""),"amkheartyt")</f>
        <v>amkheartyt</v>
      </c>
      <c r="G139" s="92"/>
      <c r="H139" s="94" t="str">
        <f>IFERROR(__xludf.DUMMYFUNCTION("""COMPUTED_VALUE"""),"(469) 412-1354")</f>
        <v>(469) 412-1354</v>
      </c>
      <c r="I139" s="94" t="str">
        <f>IFERROR(__xludf.DUMMYFUNCTION("""COMPUTED_VALUE"""),"Student")</f>
        <v>Student</v>
      </c>
      <c r="J139" s="93" t="str">
        <f>IFERROR(__xludf.DUMMYFUNCTION("""COMPUTED_VALUE"""),"$15 Donation, Discord Verification")</f>
        <v>$15 Donation, Discord Verification</v>
      </c>
      <c r="K139" s="100"/>
      <c r="L139" s="101"/>
      <c r="M139" s="100"/>
      <c r="N139" s="94"/>
      <c r="O139" s="93" t="str">
        <f>IFERROR(__xludf.DUMMYFUNCTION("""COMPUTED_VALUE"""),"Membership, Feeding")</f>
        <v>Membership, Feeding</v>
      </c>
      <c r="P13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39" s="99"/>
    </row>
    <row r="140" ht="13.5" customHeight="1">
      <c r="A140" s="88">
        <f>IFERROR(__xludf.DUMMYFUNCTION("""COMPUTED_VALUE"""),45161.29678716435)</f>
        <v>45161.29679</v>
      </c>
      <c r="B140" s="89" t="b">
        <v>1</v>
      </c>
      <c r="C140" s="90" t="str">
        <f t="shared" si="1"/>
        <v>Fall 2023</v>
      </c>
      <c r="D140" s="91" t="str">
        <f>IFERROR(__xludf.DUMMYFUNCTION("""COMPUTED_VALUE"""),"mag9071@mavs.uta.edu")</f>
        <v>mag9071@mavs.uta.edu</v>
      </c>
      <c r="E140" s="92" t="str">
        <f>IFERROR(__xludf.DUMMYFUNCTION("""COMPUTED_VALUE"""),"Mary Abby Goss")</f>
        <v>Mary Abby Goss</v>
      </c>
      <c r="F140" s="93" t="str">
        <f>IFERROR(__xludf.DUMMYFUNCTION("""COMPUTED_VALUE"""),"maryabbygoss")</f>
        <v>maryabbygoss</v>
      </c>
      <c r="G140" s="92"/>
      <c r="H140" s="94" t="str">
        <f>IFERROR(__xludf.DUMMYFUNCTION("""COMPUTED_VALUE"""),"")</f>
        <v/>
      </c>
      <c r="I140" s="94" t="str">
        <f>IFERROR(__xludf.DUMMYFUNCTION("""COMPUTED_VALUE"""),"Student")</f>
        <v>Student</v>
      </c>
      <c r="J140" s="93" t="str">
        <f>IFERROR(__xludf.DUMMYFUNCTION("""COMPUTED_VALUE"""),"$15 Donation, Discord Verification")</f>
        <v>$15 Donation, Discord Verification</v>
      </c>
      <c r="K140" s="100"/>
      <c r="L140" s="101"/>
      <c r="M140" s="100"/>
      <c r="N140" s="94"/>
      <c r="O140" s="93" t="str">
        <f>IFERROR(__xludf.DUMMYFUNCTION("""COMPUTED_VALUE"""),"Fundraising, Feeding, Shelter Maintenance")</f>
        <v>Fundraising, Feeding, Shelter Maintenance</v>
      </c>
      <c r="P14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40" s="99"/>
    </row>
    <row r="141" ht="13.5" customHeight="1">
      <c r="A141" s="88">
        <f>IFERROR(__xludf.DUMMYFUNCTION("""COMPUTED_VALUE"""),45161.58393123843)</f>
        <v>45161.58393</v>
      </c>
      <c r="B141" s="89" t="b">
        <v>1</v>
      </c>
      <c r="C141" s="90" t="str">
        <f t="shared" si="1"/>
        <v>Fall 2023</v>
      </c>
      <c r="D141" s="91" t="str">
        <f>IFERROR(__xludf.DUMMYFUNCTION("""COMPUTED_VALUE"""),"kendall.hendrix@mavs.uta.edu")</f>
        <v>kendall.hendrix@mavs.uta.edu</v>
      </c>
      <c r="E141" s="92" t="str">
        <f>IFERROR(__xludf.DUMMYFUNCTION("""COMPUTED_VALUE"""),"Kendall Hendrix")</f>
        <v>Kendall Hendrix</v>
      </c>
      <c r="F141" s="93" t="str">
        <f>IFERROR(__xludf.DUMMYFUNCTION("""COMPUTED_VALUE"""),"kendallhx")</f>
        <v>kendallhx</v>
      </c>
      <c r="G141" s="92"/>
      <c r="H141" s="94" t="str">
        <f>IFERROR(__xludf.DUMMYFUNCTION("""COMPUTED_VALUE"""),"")</f>
        <v/>
      </c>
      <c r="I141" s="94" t="str">
        <f>IFERROR(__xludf.DUMMYFUNCTION("""COMPUTED_VALUE"""),"Student")</f>
        <v>Student</v>
      </c>
      <c r="J141" s="93" t="str">
        <f>IFERROR(__xludf.DUMMYFUNCTION("""COMPUTED_VALUE"""),"$15 Donation, Discord Verification")</f>
        <v>$15 Donation, Discord Verification</v>
      </c>
      <c r="K141" s="100"/>
      <c r="L141" s="101"/>
      <c r="M141" s="100"/>
      <c r="N141" s="94"/>
      <c r="O141" s="93" t="str">
        <f>IFERROR(__xludf.DUMMYFUNCTION("""COMPUTED_VALUE"""),"Fundraising, Feeding")</f>
        <v>Fundraising, Feeding</v>
      </c>
      <c r="P14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41" s="99"/>
    </row>
    <row r="142" ht="13.5" customHeight="1">
      <c r="A142" s="88">
        <f>IFERROR(__xludf.DUMMYFUNCTION("""COMPUTED_VALUE"""),45162.60940799769)</f>
        <v>45162.60941</v>
      </c>
      <c r="B142" s="89" t="b">
        <v>1</v>
      </c>
      <c r="C142" s="90" t="str">
        <f t="shared" si="1"/>
        <v>Fall 2023</v>
      </c>
      <c r="D142" s="91" t="str">
        <f>IFERROR(__xludf.DUMMYFUNCTION("""COMPUTED_VALUE"""),"ccp5606@mavs.uta.edu")</f>
        <v>ccp5606@mavs.uta.edu</v>
      </c>
      <c r="E142" s="92" t="str">
        <f>IFERROR(__xludf.DUMMYFUNCTION("""COMPUTED_VALUE"""),"Carmen Perez")</f>
        <v>Carmen Perez</v>
      </c>
      <c r="F142" s="93" t="str">
        <f>IFERROR(__xludf.DUMMYFUNCTION("""COMPUTED_VALUE"""),"carmenluvscats #2855")</f>
        <v>carmenluvscats #2855</v>
      </c>
      <c r="G142" s="92"/>
      <c r="H142" s="94" t="str">
        <f>IFERROR(__xludf.DUMMYFUNCTION("""COMPUTED_VALUE"""),"(979) 997-2444")</f>
        <v>(979) 997-2444</v>
      </c>
      <c r="I142" s="94" t="str">
        <f>IFERROR(__xludf.DUMMYFUNCTION("""COMPUTED_VALUE"""),"Student")</f>
        <v>Student</v>
      </c>
      <c r="J142" s="93" t="str">
        <f>IFERROR(__xludf.DUMMYFUNCTION("""COMPUTED_VALUE"""),"$15 Donation, Discord Verification")</f>
        <v>$15 Donation, Discord Verification</v>
      </c>
      <c r="K142" s="100"/>
      <c r="L142" s="101"/>
      <c r="M142" s="100"/>
      <c r="N142" s="94"/>
      <c r="O142" s="93" t="str">
        <f>IFERROR(__xludf.DUMMYFUNCTION("""COMPUTED_VALUE"""),"Feeding")</f>
        <v>Feeding</v>
      </c>
      <c r="P14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42" s="99"/>
    </row>
    <row r="143" ht="13.5" customHeight="1">
      <c r="A143" s="88">
        <f>IFERROR(__xludf.DUMMYFUNCTION("""COMPUTED_VALUE"""),45162.61091883102)</f>
        <v>45162.61092</v>
      </c>
      <c r="B143" s="89" t="b">
        <v>1</v>
      </c>
      <c r="C143" s="90" t="str">
        <f t="shared" si="1"/>
        <v>Fall 2023</v>
      </c>
      <c r="D143" s="91" t="str">
        <f>IFERROR(__xludf.DUMMYFUNCTION("""COMPUTED_VALUE"""),"mxc3220@mavs.uta.edu")</f>
        <v>mxc3220@mavs.uta.edu</v>
      </c>
      <c r="E143" s="92" t="str">
        <f>IFERROR(__xludf.DUMMYFUNCTION("""COMPUTED_VALUE"""),"Maria Castillo")</f>
        <v>Maria Castillo</v>
      </c>
      <c r="F143" s="93" t="str">
        <f>IFERROR(__xludf.DUMMYFUNCTION("""COMPUTED_VALUE"""),"vqporized (Formerly maria ur MOM#1209)")</f>
        <v>vqporized (Formerly maria ur MOM#1209)</v>
      </c>
      <c r="G143" s="92"/>
      <c r="H143" s="94" t="str">
        <f>IFERROR(__xludf.DUMMYFUNCTION("""COMPUTED_VALUE"""),"(512) 627-2959")</f>
        <v>(512) 627-2959</v>
      </c>
      <c r="I143" s="94" t="str">
        <f>IFERROR(__xludf.DUMMYFUNCTION("""COMPUTED_VALUE"""),"Student")</f>
        <v>Student</v>
      </c>
      <c r="J143" s="93" t="str">
        <f>IFERROR(__xludf.DUMMYFUNCTION("""COMPUTED_VALUE"""),"Food/Litter Donation")</f>
        <v>Food/Litter Donation</v>
      </c>
      <c r="K143" s="100"/>
      <c r="L143" s="101"/>
      <c r="M143" s="100"/>
      <c r="N143" s="94"/>
      <c r="O143" s="93" t="str">
        <f>IFERROR(__xludf.DUMMYFUNCTION("""COMPUTED_VALUE"""),"TNR, Feeding, Shelter Maintenance")</f>
        <v>TNR, Feeding, Shelter Maintenance</v>
      </c>
      <c r="P14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43" s="99"/>
    </row>
    <row r="144" ht="13.5" customHeight="1">
      <c r="A144" s="88">
        <f>IFERROR(__xludf.DUMMYFUNCTION("""COMPUTED_VALUE"""),45162.62707212963)</f>
        <v>45162.62707</v>
      </c>
      <c r="B144" s="89" t="b">
        <v>1</v>
      </c>
      <c r="C144" s="90" t="str">
        <f t="shared" si="1"/>
        <v>Fall 2023</v>
      </c>
      <c r="D144" s="91" t="str">
        <f>IFERROR(__xludf.DUMMYFUNCTION("""COMPUTED_VALUE"""),"ixl7007@mavs.uta.edu")</f>
        <v>ixl7007@mavs.uta.edu</v>
      </c>
      <c r="E144" s="92" t="str">
        <f>IFERROR(__xludf.DUMMYFUNCTION("""COMPUTED_VALUE"""),"Ian Llaguno-Juarez")</f>
        <v>Ian Llaguno-Juarez</v>
      </c>
      <c r="F144" s="93" t="str">
        <f>IFERROR(__xludf.DUMMYFUNCTION("""COMPUTED_VALUE"""),"Biggiecheese8916")</f>
        <v>Biggiecheese8916</v>
      </c>
      <c r="G144" s="92"/>
      <c r="H144" s="94" t="str">
        <f>IFERROR(__xludf.DUMMYFUNCTION("""COMPUTED_VALUE"""),"(214)  55-8 89")</f>
        <v>(214)  55-8 89</v>
      </c>
      <c r="I144" s="94" t="str">
        <f>IFERROR(__xludf.DUMMYFUNCTION("""COMPUTED_VALUE"""),"Student")</f>
        <v>Student</v>
      </c>
      <c r="J144" s="93" t="str">
        <f>IFERROR(__xludf.DUMMYFUNCTION("""COMPUTED_VALUE"""),"Food/Litter Donation")</f>
        <v>Food/Litter Donation</v>
      </c>
      <c r="K144" s="100"/>
      <c r="L144" s="101"/>
      <c r="M144" s="100"/>
      <c r="N144" s="94"/>
      <c r="O144" s="93" t="str">
        <f>IFERROR(__xludf.DUMMYFUNCTION("""COMPUTED_VALUE"""),"Fundraising, PR, Membership, TNR, Feeding, Shelter Maintenance")</f>
        <v>Fundraising, PR, Membership, TNR, Feeding, Shelter Maintenance</v>
      </c>
      <c r="P14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44" s="99"/>
    </row>
    <row r="145" ht="13.5" customHeight="1">
      <c r="A145" s="88">
        <f>IFERROR(__xludf.DUMMYFUNCTION("""COMPUTED_VALUE"""),45162.64485813657)</f>
        <v>45162.64486</v>
      </c>
      <c r="B145" s="89" t="b">
        <v>1</v>
      </c>
      <c r="C145" s="90" t="str">
        <f t="shared" si="1"/>
        <v>Fall 2023</v>
      </c>
      <c r="D145" s="91" t="str">
        <f>IFERROR(__xludf.DUMMYFUNCTION("""COMPUTED_VALUE"""),"jtn1598@mavs.uta.edu")</f>
        <v>jtn1598@mavs.uta.edu</v>
      </c>
      <c r="E145" s="92" t="str">
        <f>IFERROR(__xludf.DUMMYFUNCTION("""COMPUTED_VALUE"""),"Julie Nguyen")</f>
        <v>Julie Nguyen</v>
      </c>
      <c r="F145" s="93" t="str">
        <f>IFERROR(__xludf.DUMMYFUNCTION("""COMPUTED_VALUE"""),"avocadomonkey09")</f>
        <v>avocadomonkey09</v>
      </c>
      <c r="G145" s="92"/>
      <c r="H145" s="94" t="str">
        <f>IFERROR(__xludf.DUMMYFUNCTION("""COMPUTED_VALUE"""),"(682) 250-9411")</f>
        <v>(682) 250-9411</v>
      </c>
      <c r="I145" s="94" t="str">
        <f>IFERROR(__xludf.DUMMYFUNCTION("""COMPUTED_VALUE"""),"Student")</f>
        <v>Student</v>
      </c>
      <c r="J145" s="93" t="str">
        <f>IFERROR(__xludf.DUMMYFUNCTION("""COMPUTED_VALUE"""),"Food/Litter Donation")</f>
        <v>Food/Litter Donation</v>
      </c>
      <c r="K145" s="100"/>
      <c r="L145" s="101"/>
      <c r="M145" s="100"/>
      <c r="N145" s="94"/>
      <c r="O145" s="93" t="str">
        <f>IFERROR(__xludf.DUMMYFUNCTION("""COMPUTED_VALUE"""),"Fundraising, PR, Membership, Feeding, Shelter Maintenance")</f>
        <v>Fundraising, PR, Membership, Feeding, Shelter Maintenance</v>
      </c>
      <c r="P14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45" s="99"/>
    </row>
    <row r="146" ht="13.5" customHeight="1">
      <c r="A146" s="88">
        <f>IFERROR(__xludf.DUMMYFUNCTION("""COMPUTED_VALUE"""),45162.65672287037)</f>
        <v>45162.65672</v>
      </c>
      <c r="B146" s="89" t="b">
        <v>1</v>
      </c>
      <c r="C146" s="90" t="str">
        <f t="shared" si="1"/>
        <v>Fall 2023</v>
      </c>
      <c r="D146" s="91" t="str">
        <f>IFERROR(__xludf.DUMMYFUNCTION("""COMPUTED_VALUE"""),"ctm4778@mavs.uta.edu")</f>
        <v>ctm4778@mavs.uta.edu</v>
      </c>
      <c r="E146" s="92" t="str">
        <f>IFERROR(__xludf.DUMMYFUNCTION("""COMPUTED_VALUE"""),"Christine Mai")</f>
        <v>Christine Mai</v>
      </c>
      <c r="F146" s="93" t="str">
        <f>IFERROR(__xludf.DUMMYFUNCTION("""COMPUTED_VALUE"""),"tinetann")</f>
        <v>tinetann</v>
      </c>
      <c r="G146" s="92"/>
      <c r="H146" s="94" t="str">
        <f>IFERROR(__xludf.DUMMYFUNCTION("""COMPUTED_VALUE"""),"(469) 900-6916")</f>
        <v>(469) 900-6916</v>
      </c>
      <c r="I146" s="94" t="str">
        <f>IFERROR(__xludf.DUMMYFUNCTION("""COMPUTED_VALUE"""),"Student")</f>
        <v>Student</v>
      </c>
      <c r="J146" s="93" t="str">
        <f>IFERROR(__xludf.DUMMYFUNCTION("""COMPUTED_VALUE"""),"$15 Donation, Discord Verification")</f>
        <v>$15 Donation, Discord Verification</v>
      </c>
      <c r="K146" s="100"/>
      <c r="L146" s="101"/>
      <c r="M146" s="100"/>
      <c r="N146" s="94"/>
      <c r="O146" s="93" t="str">
        <f>IFERROR(__xludf.DUMMYFUNCTION("""COMPUTED_VALUE"""),"im not sure which team i want to be in. can y’all go in depth on what each team does?")</f>
        <v>im not sure which team i want to be in. can y’all go in depth on what each team does?</v>
      </c>
      <c r="P14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46" s="99"/>
    </row>
    <row r="147" ht="13.5" customHeight="1">
      <c r="A147" s="88">
        <f>IFERROR(__xludf.DUMMYFUNCTION("""COMPUTED_VALUE"""),45162.65695209491)</f>
        <v>45162.65695</v>
      </c>
      <c r="B147" s="89" t="b">
        <v>1</v>
      </c>
      <c r="C147" s="90" t="str">
        <f t="shared" si="1"/>
        <v>Fall 2023</v>
      </c>
      <c r="D147" s="91" t="str">
        <f>IFERROR(__xludf.DUMMYFUNCTION("""COMPUTED_VALUE"""),"nja0873@mavs.uta.edu")</f>
        <v>nja0873@mavs.uta.edu</v>
      </c>
      <c r="E147" s="92" t="str">
        <f>IFERROR(__xludf.DUMMYFUNCTION("""COMPUTED_VALUE"""),"Nicole Avalos")</f>
        <v>Nicole Avalos</v>
      </c>
      <c r="F147" s="93" t="str">
        <f>IFERROR(__xludf.DUMMYFUNCTION("""COMPUTED_VALUE"""),"I don’t have discord")</f>
        <v>I don’t have discord</v>
      </c>
      <c r="G147" s="92"/>
      <c r="H147" s="94" t="str">
        <f>IFERROR(__xludf.DUMMYFUNCTION("""COMPUTED_VALUE"""),"(469) 324-8719")</f>
        <v>(469) 324-8719</v>
      </c>
      <c r="I147" s="94" t="str">
        <f>IFERROR(__xludf.DUMMYFUNCTION("""COMPUTED_VALUE"""),"Student")</f>
        <v>Student</v>
      </c>
      <c r="J147" s="93" t="str">
        <f>IFERROR(__xludf.DUMMYFUNCTION("""COMPUTED_VALUE"""),"$15 Donation, Discord Verification")</f>
        <v>$15 Donation, Discord Verification</v>
      </c>
      <c r="K147" s="100"/>
      <c r="L147" s="101"/>
      <c r="M147" s="100"/>
      <c r="N147" s="94"/>
      <c r="O147" s="93" t="str">
        <f>IFERROR(__xludf.DUMMYFUNCTION("""COMPUTED_VALUE"""),"Feeding")</f>
        <v>Feeding</v>
      </c>
      <c r="P14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47" s="99"/>
    </row>
    <row r="148" ht="13.5" customHeight="1">
      <c r="A148" s="88">
        <f>IFERROR(__xludf.DUMMYFUNCTION("""COMPUTED_VALUE"""),45162.66013210648)</f>
        <v>45162.66013</v>
      </c>
      <c r="B148" s="89" t="b">
        <v>1</v>
      </c>
      <c r="C148" s="90" t="str">
        <f t="shared" si="1"/>
        <v>Fall 2023</v>
      </c>
      <c r="D148" s="91" t="str">
        <f>IFERROR(__xludf.DUMMYFUNCTION("""COMPUTED_VALUE"""),"jtn4576@mavs.uta.edu")</f>
        <v>jtn4576@mavs.uta.edu</v>
      </c>
      <c r="E148" s="92" t="str">
        <f>IFERROR(__xludf.DUMMYFUNCTION("""COMPUTED_VALUE"""),"Jenny Thai Nguyen")</f>
        <v>Jenny Thai Nguyen</v>
      </c>
      <c r="F148" s="93" t="str">
        <f>IFERROR(__xludf.DUMMYFUNCTION("""COMPUTED_VALUE"""),"nonanihere")</f>
        <v>nonanihere</v>
      </c>
      <c r="G148" s="92"/>
      <c r="H148" s="94" t="str">
        <f>IFERROR(__xludf.DUMMYFUNCTION("""COMPUTED_VALUE"""),"(469) 441-4801")</f>
        <v>(469) 441-4801</v>
      </c>
      <c r="I148" s="94" t="str">
        <f>IFERROR(__xludf.DUMMYFUNCTION("""COMPUTED_VALUE"""),"Student")</f>
        <v>Student</v>
      </c>
      <c r="J148" s="93" t="str">
        <f>IFERROR(__xludf.DUMMYFUNCTION("""COMPUTED_VALUE"""),"$15 Donation, Discord Verification")</f>
        <v>$15 Donation, Discord Verification</v>
      </c>
      <c r="K148" s="100"/>
      <c r="L148" s="101"/>
      <c r="M148" s="100"/>
      <c r="N148" s="94"/>
      <c r="O148" s="93" t="str">
        <f>IFERROR(__xludf.DUMMYFUNCTION("""COMPUTED_VALUE"""),"Fundraising, Membership")</f>
        <v>Fundraising, Membership</v>
      </c>
      <c r="P14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48" s="99"/>
    </row>
    <row r="149" ht="13.5" customHeight="1">
      <c r="A149" s="88">
        <f>IFERROR(__xludf.DUMMYFUNCTION("""COMPUTED_VALUE"""),45162.798601076385)</f>
        <v>45162.7986</v>
      </c>
      <c r="B149" s="89" t="b">
        <v>1</v>
      </c>
      <c r="C149" s="90" t="str">
        <f t="shared" si="1"/>
        <v>Fall 2023</v>
      </c>
      <c r="D149" s="91" t="str">
        <f>IFERROR(__xludf.DUMMYFUNCTION("""COMPUTED_VALUE"""),"tnw5063@mavs.uta.edu")</f>
        <v>tnw5063@mavs.uta.edu</v>
      </c>
      <c r="E149" s="92" t="str">
        <f>IFERROR(__xludf.DUMMYFUNCTION("""COMPUTED_VALUE"""),"Trinity Walters")</f>
        <v>Trinity Walters</v>
      </c>
      <c r="F149" s="93" t="str">
        <f>IFERROR(__xludf.DUMMYFUNCTION("""COMPUTED_VALUE"""),"orchids27")</f>
        <v>orchids27</v>
      </c>
      <c r="G149" s="92"/>
      <c r="H149" s="94" t="str">
        <f>IFERROR(__xludf.DUMMYFUNCTION("""COMPUTED_VALUE"""),"(713) 806-5445")</f>
        <v>(713) 806-5445</v>
      </c>
      <c r="I149" s="94" t="str">
        <f>IFERROR(__xludf.DUMMYFUNCTION("""COMPUTED_VALUE"""),"Student")</f>
        <v>Student</v>
      </c>
      <c r="J149" s="93" t="str">
        <f>IFERROR(__xludf.DUMMYFUNCTION("""COMPUTED_VALUE"""),"$15 Donation, Discord Verification")</f>
        <v>$15 Donation, Discord Verification</v>
      </c>
      <c r="K149" s="100"/>
      <c r="L149" s="101"/>
      <c r="M149" s="100"/>
      <c r="N149" s="94"/>
      <c r="O149" s="93" t="str">
        <f>IFERROR(__xludf.DUMMYFUNCTION("""COMPUTED_VALUE"""),"PR, Feeding, Shelter Maintenance")</f>
        <v>PR, Feeding, Shelter Maintenance</v>
      </c>
      <c r="P14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49" s="99"/>
    </row>
    <row r="150" ht="13.5" customHeight="1">
      <c r="A150" s="88">
        <f>IFERROR(__xludf.DUMMYFUNCTION("""COMPUTED_VALUE"""),45162.80691730324)</f>
        <v>45162.80692</v>
      </c>
      <c r="B150" s="89" t="b">
        <v>1</v>
      </c>
      <c r="C150" s="90" t="str">
        <f t="shared" si="1"/>
        <v>Fall 2023</v>
      </c>
      <c r="D150" s="91" t="str">
        <f>IFERROR(__xludf.DUMMYFUNCTION("""COMPUTED_VALUE"""),"ygm8111@mavs.uta.edu")</f>
        <v>ygm8111@mavs.uta.edu</v>
      </c>
      <c r="E150" s="92" t="str">
        <f>IFERROR(__xludf.DUMMYFUNCTION("""COMPUTED_VALUE"""),"Yolanda Gardenia Marquez")</f>
        <v>Yolanda Gardenia Marquez</v>
      </c>
      <c r="F150" s="93" t="str">
        <f>IFERROR(__xludf.DUMMYFUNCTION("""COMPUTED_VALUE"""),"mystic_sushi")</f>
        <v>mystic_sushi</v>
      </c>
      <c r="G150" s="92"/>
      <c r="H150" s="94" t="str">
        <f>IFERROR(__xludf.DUMMYFUNCTION("""COMPUTED_VALUE"""),"(915) 642-3005")</f>
        <v>(915) 642-3005</v>
      </c>
      <c r="I150" s="94" t="str">
        <f>IFERROR(__xludf.DUMMYFUNCTION("""COMPUTED_VALUE"""),"Student")</f>
        <v>Student</v>
      </c>
      <c r="J150" s="93" t="str">
        <f>IFERROR(__xludf.DUMMYFUNCTION("""COMPUTED_VALUE"""),"Food/Litter Donation")</f>
        <v>Food/Litter Donation</v>
      </c>
      <c r="K150" s="100"/>
      <c r="L150" s="101"/>
      <c r="M150" s="100"/>
      <c r="N150" s="94"/>
      <c r="O150" s="93" t="str">
        <f>IFERROR(__xludf.DUMMYFUNCTION("""COMPUTED_VALUE"""),"TNR, Overnight TNR, Feeding, Fostering, Shelter Maintenance")</f>
        <v>TNR, Overnight TNR, Feeding, Fostering, Shelter Maintenance</v>
      </c>
      <c r="P15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50" s="99"/>
    </row>
    <row r="151" ht="13.5" customHeight="1">
      <c r="A151" s="88">
        <f>IFERROR(__xludf.DUMMYFUNCTION("""COMPUTED_VALUE"""),45162.906419618055)</f>
        <v>45162.90642</v>
      </c>
      <c r="B151" s="89" t="b">
        <v>1</v>
      </c>
      <c r="C151" s="90" t="str">
        <f t="shared" si="1"/>
        <v>Fall 2023</v>
      </c>
      <c r="D151" s="91" t="str">
        <f>IFERROR(__xludf.DUMMYFUNCTION("""COMPUTED_VALUE"""),"brb3049@mavs.uta.edu")</f>
        <v>brb3049@mavs.uta.edu</v>
      </c>
      <c r="E151" s="92" t="str">
        <f>IFERROR(__xludf.DUMMYFUNCTION("""COMPUTED_VALUE"""),"Bella Bufis")</f>
        <v>Bella Bufis</v>
      </c>
      <c r="F151" s="93" t="str">
        <f>IFERROR(__xludf.DUMMYFUNCTION("""COMPUTED_VALUE"""),"justfeedme#9363")</f>
        <v>justfeedme#9363</v>
      </c>
      <c r="G151" s="92"/>
      <c r="H151" s="94" t="str">
        <f>IFERROR(__xludf.DUMMYFUNCTION("""COMPUTED_VALUE"""),"(682) 500-9702")</f>
        <v>(682) 500-9702</v>
      </c>
      <c r="I151" s="94" t="str">
        <f>IFERROR(__xludf.DUMMYFUNCTION("""COMPUTED_VALUE"""),"Student")</f>
        <v>Student</v>
      </c>
      <c r="J151" s="93" t="str">
        <f>IFERROR(__xludf.DUMMYFUNCTION("""COMPUTED_VALUE"""),"Food/Litter Donation")</f>
        <v>Food/Litter Donation</v>
      </c>
      <c r="K151" s="100"/>
      <c r="L151" s="101"/>
      <c r="M151" s="100"/>
      <c r="N151" s="94"/>
      <c r="O151" s="93" t="str">
        <f>IFERROR(__xludf.DUMMYFUNCTION("""COMPUTED_VALUE"""),"TNR, Feeding, Shelter Maintenance")</f>
        <v>TNR, Feeding, Shelter Maintenance</v>
      </c>
      <c r="P15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51" s="99"/>
    </row>
    <row r="152" ht="13.5" customHeight="1">
      <c r="A152" s="88">
        <f>IFERROR(__xludf.DUMMYFUNCTION("""COMPUTED_VALUE"""),45162.91501060185)</f>
        <v>45162.91501</v>
      </c>
      <c r="B152" s="89" t="b">
        <v>1</v>
      </c>
      <c r="C152" s="90" t="str">
        <f t="shared" si="1"/>
        <v>Fall 2023</v>
      </c>
      <c r="D152" s="91" t="str">
        <f>IFERROR(__xludf.DUMMYFUNCTION("""COMPUTED_VALUE"""),"deb3777@mavs.uta.edu")</f>
        <v>deb3777@mavs.uta.edu</v>
      </c>
      <c r="E152" s="92" t="str">
        <f>IFERROR(__xludf.DUMMYFUNCTION("""COMPUTED_VALUE"""),"Daniel Brown")</f>
        <v>Daniel Brown</v>
      </c>
      <c r="F152" s="93" t="str">
        <f>IFERROR(__xludf.DUMMYFUNCTION("""COMPUTED_VALUE"""),"Astro_DB #9185")</f>
        <v>Astro_DB #9185</v>
      </c>
      <c r="G152" s="92"/>
      <c r="H152" s="94" t="str">
        <f>IFERROR(__xludf.DUMMYFUNCTION("""COMPUTED_VALUE"""),"(682) 404-9943")</f>
        <v>(682) 404-9943</v>
      </c>
      <c r="I152" s="94" t="str">
        <f>IFERROR(__xludf.DUMMYFUNCTION("""COMPUTED_VALUE"""),"Student")</f>
        <v>Student</v>
      </c>
      <c r="J152" s="93" t="str">
        <f>IFERROR(__xludf.DUMMYFUNCTION("""COMPUTED_VALUE"""),"$15 Donation, Discord Verification")</f>
        <v>$15 Donation, Discord Verification</v>
      </c>
      <c r="K152" s="100"/>
      <c r="L152" s="101"/>
      <c r="M152" s="100"/>
      <c r="N152" s="94"/>
      <c r="O152" s="93" t="str">
        <f>IFERROR(__xludf.DUMMYFUNCTION("""COMPUTED_VALUE"""),"Membership, Feeding, Shelter Maintenance")</f>
        <v>Membership, Feeding, Shelter Maintenance</v>
      </c>
      <c r="P15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52" s="99"/>
    </row>
    <row r="153" ht="13.5" customHeight="1">
      <c r="A153" s="88">
        <f>IFERROR(__xludf.DUMMYFUNCTION("""COMPUTED_VALUE"""),45162.95822216435)</f>
        <v>45162.95822</v>
      </c>
      <c r="B153" s="89" t="b">
        <v>1</v>
      </c>
      <c r="C153" s="90" t="str">
        <f t="shared" si="1"/>
        <v>Fall 2023</v>
      </c>
      <c r="D153" s="91" t="str">
        <f>IFERROR(__xludf.DUMMYFUNCTION("""COMPUTED_VALUE"""),"hkr1485@mavs.uta.edu")</f>
        <v>hkr1485@mavs.uta.edu</v>
      </c>
      <c r="E153" s="92" t="str">
        <f>IFERROR(__xludf.DUMMYFUNCTION("""COMPUTED_VALUE"""),"Heather Reed")</f>
        <v>Heather Reed</v>
      </c>
      <c r="F153" s="93" t="str">
        <f>IFERROR(__xludf.DUMMYFUNCTION("""COMPUTED_VALUE"""),"Himicore")</f>
        <v>Himicore</v>
      </c>
      <c r="G153" s="92"/>
      <c r="H153" s="94" t="str">
        <f>IFERROR(__xludf.DUMMYFUNCTION("""COMPUTED_VALUE"""),"(682) 718-2808")</f>
        <v>(682) 718-2808</v>
      </c>
      <c r="I153" s="94" t="str">
        <f>IFERROR(__xludf.DUMMYFUNCTION("""COMPUTED_VALUE"""),"Student")</f>
        <v>Student</v>
      </c>
      <c r="J153" s="93" t="str">
        <f>IFERROR(__xludf.DUMMYFUNCTION("""COMPUTED_VALUE"""),"$15 Donation, Discord Verification")</f>
        <v>$15 Donation, Discord Verification</v>
      </c>
      <c r="K153" s="100"/>
      <c r="L153" s="101"/>
      <c r="M153" s="100"/>
      <c r="N153" s="94"/>
      <c r="O153" s="93" t="str">
        <f>IFERROR(__xludf.DUMMYFUNCTION("""COMPUTED_VALUE"""),"Feeding")</f>
        <v>Feeding</v>
      </c>
      <c r="P15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53" s="99"/>
    </row>
    <row r="154" ht="13.5" customHeight="1">
      <c r="A154" s="88">
        <f>IFERROR(__xludf.DUMMYFUNCTION("""COMPUTED_VALUE"""),45163.29908305556)</f>
        <v>45163.29908</v>
      </c>
      <c r="B154" s="89" t="b">
        <v>1</v>
      </c>
      <c r="C154" s="90" t="str">
        <f t="shared" si="1"/>
        <v>Fall 2023</v>
      </c>
      <c r="D154" s="91" t="str">
        <f>IFERROR(__xludf.DUMMYFUNCTION("""COMPUTED_VALUE"""),"arh3770@mavs.uta.edu")</f>
        <v>arh3770@mavs.uta.edu</v>
      </c>
      <c r="E154" s="92" t="str">
        <f>IFERROR(__xludf.DUMMYFUNCTION("""COMPUTED_VALUE"""),"Alanna Harris")</f>
        <v>Alanna Harris</v>
      </c>
      <c r="F154" s="93" t="str">
        <f>IFERROR(__xludf.DUMMYFUNCTION("""COMPUTED_VALUE"""),"alanna.r.harris")</f>
        <v>alanna.r.harris</v>
      </c>
      <c r="G154" s="92"/>
      <c r="H154" s="94" t="str">
        <f>IFERROR(__xludf.DUMMYFUNCTION("""COMPUTED_VALUE"""),"(214) 794-6390")</f>
        <v>(214) 794-6390</v>
      </c>
      <c r="I154" s="94" t="str">
        <f>IFERROR(__xludf.DUMMYFUNCTION("""COMPUTED_VALUE"""),"Student")</f>
        <v>Student</v>
      </c>
      <c r="J154" s="93" t="str">
        <f>IFERROR(__xludf.DUMMYFUNCTION("""COMPUTED_VALUE"""),"$15 Donation, Discord Verification")</f>
        <v>$15 Donation, Discord Verification</v>
      </c>
      <c r="K154" s="100"/>
      <c r="L154" s="101"/>
      <c r="M154" s="100"/>
      <c r="N154" s="94"/>
      <c r="O154" s="93" t="str">
        <f>IFERROR(__xludf.DUMMYFUNCTION("""COMPUTED_VALUE"""),"Fundraising, PR, Membership, TNR, Feeding, Fostering, Shelter Maintenance")</f>
        <v>Fundraising, PR, Membership, TNR, Feeding, Fostering, Shelter Maintenance</v>
      </c>
      <c r="P15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54" s="99"/>
    </row>
    <row r="155" ht="13.5" customHeight="1">
      <c r="A155" s="88">
        <f>IFERROR(__xludf.DUMMYFUNCTION("""COMPUTED_VALUE"""),45163.633160428246)</f>
        <v>45163.63316</v>
      </c>
      <c r="B155" s="89" t="b">
        <v>1</v>
      </c>
      <c r="C155" s="90" t="str">
        <f t="shared" si="1"/>
        <v>Fall 2023</v>
      </c>
      <c r="D155" s="91" t="str">
        <f>IFERROR(__xludf.DUMMYFUNCTION("""COMPUTED_VALUE"""),"Nkg1263@mavs.uta.edu")</f>
        <v>Nkg1263@mavs.uta.edu</v>
      </c>
      <c r="E155" s="92" t="str">
        <f>IFERROR(__xludf.DUMMYFUNCTION("""COMPUTED_VALUE"""),"Nathan Goode")</f>
        <v>Nathan Goode</v>
      </c>
      <c r="F155" s="93" t="str">
        <f>IFERROR(__xludf.DUMMYFUNCTION("""COMPUTED_VALUE"""),"Legon#7880")</f>
        <v>Legon#7880</v>
      </c>
      <c r="G155" s="92"/>
      <c r="H155" s="94" t="str">
        <f>IFERROR(__xludf.DUMMYFUNCTION("""COMPUTED_VALUE"""),"(512) 539-6238")</f>
        <v>(512) 539-6238</v>
      </c>
      <c r="I155" s="94" t="str">
        <f>IFERROR(__xludf.DUMMYFUNCTION("""COMPUTED_VALUE"""),"Student")</f>
        <v>Student</v>
      </c>
      <c r="J155" s="93" t="str">
        <f>IFERROR(__xludf.DUMMYFUNCTION("""COMPUTED_VALUE"""),"$15 Donation, Discord Verification")</f>
        <v>$15 Donation, Discord Verification</v>
      </c>
      <c r="K155" s="100"/>
      <c r="L155" s="101"/>
      <c r="M155" s="100"/>
      <c r="N155" s="94"/>
      <c r="O155" s="93" t="str">
        <f>IFERROR(__xludf.DUMMYFUNCTION("""COMPUTED_VALUE"""),"Membership, Feeding, Fostering, Shelter Maintenance")</f>
        <v>Membership, Feeding, Fostering, Shelter Maintenance</v>
      </c>
      <c r="P15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55" s="99"/>
    </row>
    <row r="156" ht="13.5" customHeight="1">
      <c r="A156" s="88">
        <f>IFERROR(__xludf.DUMMYFUNCTION("""COMPUTED_VALUE"""),45165.686925312504)</f>
        <v>45165.68693</v>
      </c>
      <c r="B156" s="89" t="b">
        <v>1</v>
      </c>
      <c r="C156" s="90" t="str">
        <f t="shared" si="1"/>
        <v>Fall 2023</v>
      </c>
      <c r="D156" s="91" t="str">
        <f>IFERROR(__xludf.DUMMYFUNCTION("""COMPUTED_VALUE"""),"dxp7561@mavs.uta.edu")</f>
        <v>dxp7561@mavs.uta.edu</v>
      </c>
      <c r="E156" s="92" t="str">
        <f>IFERROR(__xludf.DUMMYFUNCTION("""COMPUTED_VALUE"""),"Diana Phim")</f>
        <v>Diana Phim</v>
      </c>
      <c r="F156" s="93" t="str">
        <f>IFERROR(__xludf.DUMMYFUNCTION("""COMPUTED_VALUE"""),"Nyahao")</f>
        <v>Nyahao</v>
      </c>
      <c r="G156" s="92"/>
      <c r="H156" s="94" t="str">
        <f>IFERROR(__xludf.DUMMYFUNCTION("""COMPUTED_VALUE"""),"(817) 495-5663")</f>
        <v>(817) 495-5663</v>
      </c>
      <c r="I156" s="94" t="str">
        <f>IFERROR(__xludf.DUMMYFUNCTION("""COMPUTED_VALUE"""),"Student")</f>
        <v>Student</v>
      </c>
      <c r="J156" s="93" t="str">
        <f>IFERROR(__xludf.DUMMYFUNCTION("""COMPUTED_VALUE"""),"$15 Donation, Discord Verification")</f>
        <v>$15 Donation, Discord Verification</v>
      </c>
      <c r="K156" s="100"/>
      <c r="L156" s="101"/>
      <c r="M156" s="100"/>
      <c r="N156" s="94"/>
      <c r="O156" s="93" t="str">
        <f>IFERROR(__xludf.DUMMYFUNCTION("""COMPUTED_VALUE"""),"Fundraising, PR, Membership, Feeding")</f>
        <v>Fundraising, PR, Membership, Feeding</v>
      </c>
      <c r="P15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56" s="99"/>
    </row>
    <row r="157" ht="13.5" customHeight="1">
      <c r="A157" s="88">
        <f>IFERROR(__xludf.DUMMYFUNCTION("""COMPUTED_VALUE"""),45165.70446224537)</f>
        <v>45165.70446</v>
      </c>
      <c r="B157" s="89" t="b">
        <v>1</v>
      </c>
      <c r="C157" s="90" t="str">
        <f t="shared" si="1"/>
        <v>Fall 2023</v>
      </c>
      <c r="D157" s="91" t="str">
        <f>IFERROR(__xludf.DUMMYFUNCTION("""COMPUTED_VALUE"""),"bjb8409@mavs.uta.edu")</f>
        <v>bjb8409@mavs.uta.edu</v>
      </c>
      <c r="E157" s="92" t="str">
        <f>IFERROR(__xludf.DUMMYFUNCTION("""COMPUTED_VALUE"""),"Brandi Briner")</f>
        <v>Brandi Briner</v>
      </c>
      <c r="F157" s="93" t="str">
        <f>IFERROR(__xludf.DUMMYFUNCTION("""COMPUTED_VALUE"""),"branflakes56")</f>
        <v>branflakes56</v>
      </c>
      <c r="G157" s="92"/>
      <c r="H157" s="94" t="str">
        <f>IFERROR(__xludf.DUMMYFUNCTION("""COMPUTED_VALUE"""),"(214) 864-1313")</f>
        <v>(214) 864-1313</v>
      </c>
      <c r="I157" s="94" t="str">
        <f>IFERROR(__xludf.DUMMYFUNCTION("""COMPUTED_VALUE"""),"Student")</f>
        <v>Student</v>
      </c>
      <c r="J157" s="93" t="str">
        <f>IFERROR(__xludf.DUMMYFUNCTION("""COMPUTED_VALUE"""),"$15 Donation, Discord Verification")</f>
        <v>$15 Donation, Discord Verification</v>
      </c>
      <c r="K157" s="100"/>
      <c r="L157" s="101"/>
      <c r="M157" s="100"/>
      <c r="N157" s="94"/>
      <c r="O157" s="93" t="str">
        <f>IFERROR(__xludf.DUMMYFUNCTION("""COMPUTED_VALUE"""),"I'm not really sure what I'd be interested in since I am a new member but I suppose I will find out at the next meeting! I just know that I will not be able to foster in my apartment.")</f>
        <v>I'm not really sure what I'd be interested in since I am a new member but I suppose I will find out at the next meeting! I just know that I will not be able to foster in my apartment.</v>
      </c>
      <c r="P15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57" s="99"/>
    </row>
    <row r="158" ht="13.5" customHeight="1">
      <c r="A158" s="88">
        <f>IFERROR(__xludf.DUMMYFUNCTION("""COMPUTED_VALUE"""),45165.93388765046)</f>
        <v>45165.93389</v>
      </c>
      <c r="B158" s="89" t="b">
        <v>1</v>
      </c>
      <c r="C158" s="90" t="str">
        <f t="shared" si="1"/>
        <v>Fall 2023</v>
      </c>
      <c r="D158" s="91" t="str">
        <f>IFERROR(__xludf.DUMMYFUNCTION("""COMPUTED_VALUE"""),"jxw1244@mavs.uta.edu")</f>
        <v>jxw1244@mavs.uta.edu</v>
      </c>
      <c r="E158" s="92" t="str">
        <f>IFERROR(__xludf.DUMMYFUNCTION("""COMPUTED_VALUE"""),"Jane Wang")</f>
        <v>Jane Wang</v>
      </c>
      <c r="F158" s="93" t="str">
        <f>IFERROR(__xludf.DUMMYFUNCTION("""COMPUTED_VALUE"""),"janeirl")</f>
        <v>janeirl</v>
      </c>
      <c r="G158" s="92"/>
      <c r="H158" s="94" t="str">
        <f>IFERROR(__xludf.DUMMYFUNCTION("""COMPUTED_VALUE"""),"")</f>
        <v/>
      </c>
      <c r="I158" s="94" t="str">
        <f>IFERROR(__xludf.DUMMYFUNCTION("""COMPUTED_VALUE"""),"Student")</f>
        <v>Student</v>
      </c>
      <c r="J158" s="93" t="str">
        <f>IFERROR(__xludf.DUMMYFUNCTION("""COMPUTED_VALUE"""),"$15 Donation, Discord Verification")</f>
        <v>$15 Donation, Discord Verification</v>
      </c>
      <c r="K158" s="100"/>
      <c r="L158" s="101"/>
      <c r="M158" s="100"/>
      <c r="N158" s="94"/>
      <c r="O158" s="93" t="str">
        <f>IFERROR(__xludf.DUMMYFUNCTION("""COMPUTED_VALUE"""),"TNR, Feeding")</f>
        <v>TNR, Feeding</v>
      </c>
      <c r="P15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58" s="99"/>
    </row>
    <row r="159" ht="13.5" customHeight="1">
      <c r="A159" s="88">
        <f>IFERROR(__xludf.DUMMYFUNCTION("""COMPUTED_VALUE"""),45166.588614293985)</f>
        <v>45166.58861</v>
      </c>
      <c r="B159" s="89" t="b">
        <v>1</v>
      </c>
      <c r="C159" s="90" t="str">
        <f t="shared" si="1"/>
        <v>Fall 2023</v>
      </c>
      <c r="D159" s="91" t="str">
        <f>IFERROR(__xludf.DUMMYFUNCTION("""COMPUTED_VALUE"""),"amw3542@mavs.uta.edu")</f>
        <v>amw3542@mavs.uta.edu</v>
      </c>
      <c r="E159" s="92" t="str">
        <f>IFERROR(__xludf.DUMMYFUNCTION("""COMPUTED_VALUE"""),"Allyson Williams")</f>
        <v>Allyson Williams</v>
      </c>
      <c r="F159" s="93" t="str">
        <f>IFERROR(__xludf.DUMMYFUNCTION("""COMPUTED_VALUE"""),"padparad5cha")</f>
        <v>padparad5cha</v>
      </c>
      <c r="G159" s="92"/>
      <c r="H159" s="94" t="str">
        <f>IFERROR(__xludf.DUMMYFUNCTION("""COMPUTED_VALUE"""),"(512) 988-9305")</f>
        <v>(512) 988-9305</v>
      </c>
      <c r="I159" s="94" t="str">
        <f>IFERROR(__xludf.DUMMYFUNCTION("""COMPUTED_VALUE"""),"Student")</f>
        <v>Student</v>
      </c>
      <c r="J159" s="93" t="str">
        <f>IFERROR(__xludf.DUMMYFUNCTION("""COMPUTED_VALUE"""),"$15 Donation, Discord Verification")</f>
        <v>$15 Donation, Discord Verification</v>
      </c>
      <c r="K159" s="100"/>
      <c r="L159" s="101"/>
      <c r="M159" s="100"/>
      <c r="N159" s="94"/>
      <c r="O159" s="93" t="str">
        <f>IFERROR(__xludf.DUMMYFUNCTION("""COMPUTED_VALUE"""),"Shelter Maintenance")</f>
        <v>Shelter Maintenance</v>
      </c>
      <c r="P15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59" s="99"/>
    </row>
    <row r="160" ht="13.5" customHeight="1">
      <c r="A160" s="88">
        <f>IFERROR(__xludf.DUMMYFUNCTION("""COMPUTED_VALUE"""),45166.66693931713)</f>
        <v>45166.66694</v>
      </c>
      <c r="B160" s="89" t="b">
        <v>1</v>
      </c>
      <c r="C160" s="90" t="str">
        <f t="shared" si="1"/>
        <v>Fall 2023</v>
      </c>
      <c r="D160" s="91" t="str">
        <f>IFERROR(__xludf.DUMMYFUNCTION("""COMPUTED_VALUE"""),"jjn1435@mavs.uta.edu")</f>
        <v>jjn1435@mavs.uta.edu</v>
      </c>
      <c r="E160" s="92" t="str">
        <f>IFERROR(__xludf.DUMMYFUNCTION("""COMPUTED_VALUE"""),"Jose ")</f>
        <v>Jose </v>
      </c>
      <c r="F160" s="93" t="str">
        <f>IFERROR(__xludf.DUMMYFUNCTION("""COMPUTED_VALUE"""),"N/A")</f>
        <v>N/A</v>
      </c>
      <c r="G160" s="92"/>
      <c r="H160" s="94" t="str">
        <f>IFERROR(__xludf.DUMMYFUNCTION("""COMPUTED_VALUE"""),"(972) 684-4222")</f>
        <v>(972) 684-4222</v>
      </c>
      <c r="I160" s="94" t="str">
        <f>IFERROR(__xludf.DUMMYFUNCTION("""COMPUTED_VALUE"""),"Student")</f>
        <v>Student</v>
      </c>
      <c r="J160" s="93" t="str">
        <f>IFERROR(__xludf.DUMMYFUNCTION("""COMPUTED_VALUE"""),"Food/Litter Donation")</f>
        <v>Food/Litter Donation</v>
      </c>
      <c r="K160" s="100"/>
      <c r="L160" s="101"/>
      <c r="M160" s="100"/>
      <c r="N160" s="94"/>
      <c r="O160" s="93" t="str">
        <f>IFERROR(__xludf.DUMMYFUNCTION("""COMPUTED_VALUE"""),"Membership, TNR, Feeding, Fostering, Shelter Maintenance")</f>
        <v>Membership, TNR, Feeding, Fostering, Shelter Maintenance</v>
      </c>
      <c r="P16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60" s="99"/>
    </row>
    <row r="161" ht="13.5" customHeight="1">
      <c r="A161" s="88">
        <f>IFERROR(__xludf.DUMMYFUNCTION("""COMPUTED_VALUE"""),45166.858258692126)</f>
        <v>45166.85826</v>
      </c>
      <c r="B161" s="89" t="b">
        <v>1</v>
      </c>
      <c r="C161" s="90" t="str">
        <f t="shared" si="1"/>
        <v>Fall 2023</v>
      </c>
      <c r="D161" s="91" t="str">
        <f>IFERROR(__xludf.DUMMYFUNCTION("""COMPUTED_VALUE"""),"mnc6746@mavs.uta.edu")</f>
        <v>mnc6746@mavs.uta.edu</v>
      </c>
      <c r="E161" s="92" t="str">
        <f>IFERROR(__xludf.DUMMYFUNCTION("""COMPUTED_VALUE"""),"Mariah Carrillo")</f>
        <v>Mariah Carrillo</v>
      </c>
      <c r="F161" s="93" t="str">
        <f>IFERROR(__xludf.DUMMYFUNCTION("""COMPUTED_VALUE"""),"amethyst.retrograde")</f>
        <v>amethyst.retrograde</v>
      </c>
      <c r="G161" s="92"/>
      <c r="H161" s="94" t="str">
        <f>IFERROR(__xludf.DUMMYFUNCTION("""COMPUTED_VALUE"""),"(682) 582-5384")</f>
        <v>(682) 582-5384</v>
      </c>
      <c r="I161" s="94" t="str">
        <f>IFERROR(__xludf.DUMMYFUNCTION("""COMPUTED_VALUE"""),"Student")</f>
        <v>Student</v>
      </c>
      <c r="J161" s="93" t="str">
        <f>IFERROR(__xludf.DUMMYFUNCTION("""COMPUTED_VALUE"""),"$15 Donation, Discord Verification")</f>
        <v>$15 Donation, Discord Verification</v>
      </c>
      <c r="K161" s="100"/>
      <c r="L161" s="101"/>
      <c r="M161" s="100"/>
      <c r="N161" s="94"/>
      <c r="O161" s="93" t="str">
        <f>IFERROR(__xludf.DUMMYFUNCTION("""COMPUTED_VALUE"""),"Feeding, Shelter Maintenance")</f>
        <v>Feeding, Shelter Maintenance</v>
      </c>
      <c r="P16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61" s="99"/>
    </row>
    <row r="162" ht="13.5" customHeight="1">
      <c r="A162" s="88">
        <f>IFERROR(__xludf.DUMMYFUNCTION("""COMPUTED_VALUE"""),45167.98845159722)</f>
        <v>45167.98845</v>
      </c>
      <c r="B162" s="89" t="b">
        <v>1</v>
      </c>
      <c r="C162" s="90" t="str">
        <f t="shared" si="1"/>
        <v>Fall 2023</v>
      </c>
      <c r="D162" s="91" t="str">
        <f>IFERROR(__xludf.DUMMYFUNCTION("""COMPUTED_VALUE"""),"ajb1480@mavs.uta.edu")</f>
        <v>ajb1480@mavs.uta.edu</v>
      </c>
      <c r="E162" s="92" t="str">
        <f>IFERROR(__xludf.DUMMYFUNCTION("""COMPUTED_VALUE"""),"Austin Brown")</f>
        <v>Austin Brown</v>
      </c>
      <c r="F162" s="93" t="str">
        <f>IFERROR(__xludf.DUMMYFUNCTION("""COMPUTED_VALUE"""),"austinbaustinb")</f>
        <v>austinbaustinb</v>
      </c>
      <c r="G162" s="92"/>
      <c r="H162" s="94" t="str">
        <f>IFERROR(__xludf.DUMMYFUNCTION("""COMPUTED_VALUE"""),"(815) 278-3496")</f>
        <v>(815) 278-3496</v>
      </c>
      <c r="I162" s="94" t="str">
        <f>IFERROR(__xludf.DUMMYFUNCTION("""COMPUTED_VALUE"""),"Student")</f>
        <v>Student</v>
      </c>
      <c r="J162" s="93" t="str">
        <f>IFERROR(__xludf.DUMMYFUNCTION("""COMPUTED_VALUE"""),"$15 Donation, Discord Verification")</f>
        <v>$15 Donation, Discord Verification</v>
      </c>
      <c r="K162" s="100"/>
      <c r="L162" s="101"/>
      <c r="M162" s="100"/>
      <c r="N162" s="94"/>
      <c r="O162" s="93" t="str">
        <f>IFERROR(__xludf.DUMMYFUNCTION("""COMPUTED_VALUE"""),"Membership, TNR, Overnight TNR, Feeding, Shelter Maintenance")</f>
        <v>Membership, TNR, Overnight TNR, Feeding, Shelter Maintenance</v>
      </c>
      <c r="P16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62" s="99"/>
    </row>
    <row r="163" ht="13.5" customHeight="1">
      <c r="A163" s="88">
        <f>IFERROR(__xludf.DUMMYFUNCTION("""COMPUTED_VALUE"""),45168.422713402775)</f>
        <v>45168.42271</v>
      </c>
      <c r="B163" s="89" t="b">
        <v>1</v>
      </c>
      <c r="C163" s="90" t="str">
        <f t="shared" si="1"/>
        <v>Fall 2023</v>
      </c>
      <c r="D163" s="91" t="str">
        <f>IFERROR(__xludf.DUMMYFUNCTION("""COMPUTED_VALUE"""),"kxe1433@mavs.uta.edu")</f>
        <v>kxe1433@mavs.uta.edu</v>
      </c>
      <c r="E163" s="92" t="str">
        <f>IFERROR(__xludf.DUMMYFUNCTION("""COMPUTED_VALUE"""),"Karyna Espinoza")</f>
        <v>Karyna Espinoza</v>
      </c>
      <c r="F163" s="93" t="str">
        <f>IFERROR(__xludf.DUMMYFUNCTION("""COMPUTED_VALUE"""),"Karyna4405#8641")</f>
        <v>Karyna4405#8641</v>
      </c>
      <c r="G163" s="92"/>
      <c r="H163" s="94" t="str">
        <f>IFERROR(__xludf.DUMMYFUNCTION("""COMPUTED_VALUE"""),"(806) 215-8041")</f>
        <v>(806) 215-8041</v>
      </c>
      <c r="I163" s="94" t="str">
        <f>IFERROR(__xludf.DUMMYFUNCTION("""COMPUTED_VALUE"""),"Student")</f>
        <v>Student</v>
      </c>
      <c r="J163" s="93" t="str">
        <f>IFERROR(__xludf.DUMMYFUNCTION("""COMPUTED_VALUE"""),"$15 Donation, Discord Verification")</f>
        <v>$15 Donation, Discord Verification</v>
      </c>
      <c r="K163" s="100"/>
      <c r="L163" s="101"/>
      <c r="M163" s="100"/>
      <c r="N163" s="94"/>
      <c r="O163" s="93" t="str">
        <f>IFERROR(__xludf.DUMMYFUNCTION("""COMPUTED_VALUE"""),"Membership, Feeding, Shelter Maintenance")</f>
        <v>Membership, Feeding, Shelter Maintenance</v>
      </c>
      <c r="P16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63" s="99"/>
    </row>
    <row r="164" ht="13.5" customHeight="1">
      <c r="A164" s="88">
        <f>IFERROR(__xludf.DUMMYFUNCTION("""COMPUTED_VALUE"""),45168.48401598379)</f>
        <v>45168.48402</v>
      </c>
      <c r="B164" s="89" t="b">
        <v>1</v>
      </c>
      <c r="C164" s="90" t="str">
        <f t="shared" si="1"/>
        <v>Fall 2023</v>
      </c>
      <c r="D164" s="91" t="str">
        <f>IFERROR(__xludf.DUMMYFUNCTION("""COMPUTED_VALUE"""),"nxd5981@mavs.uta.edu")</f>
        <v>nxd5981@mavs.uta.edu</v>
      </c>
      <c r="E164" s="92" t="str">
        <f>IFERROR(__xludf.DUMMYFUNCTION("""COMPUTED_VALUE"""),"Nick Rendon")</f>
        <v>Nick Rendon</v>
      </c>
      <c r="F164" s="93" t="str">
        <f>IFERROR(__xludf.DUMMYFUNCTION("""COMPUTED_VALUE"""),"bobdapanda74 (nickname: Nick Rendon)")</f>
        <v>bobdapanda74 (nickname: Nick Rendon)</v>
      </c>
      <c r="G164" s="92"/>
      <c r="H164" s="94" t="str">
        <f>IFERROR(__xludf.DUMMYFUNCTION("""COMPUTED_VALUE"""),"(817) 909-3416")</f>
        <v>(817) 909-3416</v>
      </c>
      <c r="I164" s="94" t="str">
        <f>IFERROR(__xludf.DUMMYFUNCTION("""COMPUTED_VALUE"""),"Student")</f>
        <v>Student</v>
      </c>
      <c r="J164" s="93" t="str">
        <f>IFERROR(__xludf.DUMMYFUNCTION("""COMPUTED_VALUE"""),"$15 Donation, Discord Verification")</f>
        <v>$15 Donation, Discord Verification</v>
      </c>
      <c r="K164" s="100"/>
      <c r="L164" s="101"/>
      <c r="M164" s="100"/>
      <c r="N164" s="94"/>
      <c r="O164" s="93" t="str">
        <f>IFERROR(__xludf.DUMMYFUNCTION("""COMPUTED_VALUE"""),"PR, Feeding, Shelter Maintenance")</f>
        <v>PR, Feeding, Shelter Maintenance</v>
      </c>
      <c r="P16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64" s="99"/>
    </row>
    <row r="165" ht="13.5" customHeight="1">
      <c r="A165" s="88">
        <f>IFERROR(__xludf.DUMMYFUNCTION("""COMPUTED_VALUE"""),45168.54987743056)</f>
        <v>45168.54988</v>
      </c>
      <c r="B165" s="89" t="b">
        <v>1</v>
      </c>
      <c r="C165" s="90" t="str">
        <f t="shared" si="1"/>
        <v>Fall 2023</v>
      </c>
      <c r="D165" s="91" t="str">
        <f>IFERROR(__xludf.DUMMYFUNCTION("""COMPUTED_VALUE"""),"mio6628@mavs.uta.edu")</f>
        <v>mio6628@mavs.uta.edu</v>
      </c>
      <c r="E165" s="92" t="str">
        <f>IFERROR(__xludf.DUMMYFUNCTION("""COMPUTED_VALUE"""),"Melissa Otalora ")</f>
        <v>Melissa Otalora </v>
      </c>
      <c r="F165" s="93" t="str">
        <f>IFERROR(__xludf.DUMMYFUNCTION("""COMPUTED_VALUE"""),"s2pidtroll #9809")</f>
        <v>s2pidtroll #9809</v>
      </c>
      <c r="G165" s="92"/>
      <c r="H165" s="94" t="str">
        <f>IFERROR(__xludf.DUMMYFUNCTION("""COMPUTED_VALUE"""),"(346) 213-6696")</f>
        <v>(346) 213-6696</v>
      </c>
      <c r="I165" s="94" t="str">
        <f>IFERROR(__xludf.DUMMYFUNCTION("""COMPUTED_VALUE"""),"Student")</f>
        <v>Student</v>
      </c>
      <c r="J165" s="93" t="str">
        <f>IFERROR(__xludf.DUMMYFUNCTION("""COMPUTED_VALUE"""),"$15 Donation, Discord Verification")</f>
        <v>$15 Donation, Discord Verification</v>
      </c>
      <c r="K165" s="100"/>
      <c r="L165" s="101"/>
      <c r="M165" s="100"/>
      <c r="N165" s="94"/>
      <c r="O165" s="93" t="str">
        <f>IFERROR(__xludf.DUMMYFUNCTION("""COMPUTED_VALUE"""),"TNR, Feeding")</f>
        <v>TNR, Feeding</v>
      </c>
      <c r="P16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65" s="99"/>
    </row>
    <row r="166" ht="13.5" customHeight="1">
      <c r="A166" s="88">
        <f>IFERROR(__xludf.DUMMYFUNCTION("""COMPUTED_VALUE"""),45168.569675439816)</f>
        <v>45168.56968</v>
      </c>
      <c r="B166" s="89" t="b">
        <v>1</v>
      </c>
      <c r="C166" s="90" t="str">
        <f t="shared" si="1"/>
        <v>Fall 2023</v>
      </c>
      <c r="D166" s="91" t="str">
        <f>IFERROR(__xludf.DUMMYFUNCTION("""COMPUTED_VALUE"""),"jhn6040@mavs.uta.edu")</f>
        <v>jhn6040@mavs.uta.edu</v>
      </c>
      <c r="E166" s="92" t="str">
        <f>IFERROR(__xludf.DUMMYFUNCTION("""COMPUTED_VALUE"""),"Josephine Nguyen")</f>
        <v>Josephine Nguyen</v>
      </c>
      <c r="F166" s="93" t="str">
        <f>IFERROR(__xludf.DUMMYFUNCTION("""COMPUTED_VALUE"""),"josephroggs")</f>
        <v>josephroggs</v>
      </c>
      <c r="G166" s="92"/>
      <c r="H166" s="94" t="str">
        <f>IFERROR(__xludf.DUMMYFUNCTION("""COMPUTED_VALUE"""),"(469) 216-5012")</f>
        <v>(469) 216-5012</v>
      </c>
      <c r="I166" s="94" t="str">
        <f>IFERROR(__xludf.DUMMYFUNCTION("""COMPUTED_VALUE"""),"Student")</f>
        <v>Student</v>
      </c>
      <c r="J166" s="93" t="str">
        <f>IFERROR(__xludf.DUMMYFUNCTION("""COMPUTED_VALUE"""),"Food/Litter Donation")</f>
        <v>Food/Litter Donation</v>
      </c>
      <c r="K166" s="100"/>
      <c r="L166" s="101"/>
      <c r="M166" s="100"/>
      <c r="N166" s="94"/>
      <c r="O166" s="93" t="str">
        <f>IFERROR(__xludf.DUMMYFUNCTION("""COMPUTED_VALUE"""),"Fundraising, PR")</f>
        <v>Fundraising, PR</v>
      </c>
      <c r="P16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66" s="99"/>
    </row>
    <row r="167" ht="13.5" customHeight="1">
      <c r="A167" s="88">
        <f>IFERROR(__xludf.DUMMYFUNCTION("""COMPUTED_VALUE"""),45168.598097615744)</f>
        <v>45168.5981</v>
      </c>
      <c r="B167" s="89" t="b">
        <v>1</v>
      </c>
      <c r="C167" s="90" t="str">
        <f t="shared" si="1"/>
        <v>Fall 2023</v>
      </c>
      <c r="D167" s="91" t="str">
        <f>IFERROR(__xludf.DUMMYFUNCTION("""COMPUTED_VALUE"""),"dam6994@mavs.uta.edu")</f>
        <v>dam6994@mavs.uta.edu</v>
      </c>
      <c r="E167" s="92" t="str">
        <f>IFERROR(__xludf.DUMMYFUNCTION("""COMPUTED_VALUE"""),"Diego Maldonado ")</f>
        <v>Diego Maldonado </v>
      </c>
      <c r="F167" s="93" t="str">
        <f>IFERROR(__xludf.DUMMYFUNCTION("""COMPUTED_VALUE"""),"lostintranslation #2928")</f>
        <v>lostintranslation #2928</v>
      </c>
      <c r="G167" s="92"/>
      <c r="H167" s="94" t="str">
        <f>IFERROR(__xludf.DUMMYFUNCTION("""COMPUTED_VALUE"""),"(214) 293-3120")</f>
        <v>(214) 293-3120</v>
      </c>
      <c r="I167" s="94" t="str">
        <f>IFERROR(__xludf.DUMMYFUNCTION("""COMPUTED_VALUE"""),"Student")</f>
        <v>Student</v>
      </c>
      <c r="J167" s="93" t="str">
        <f>IFERROR(__xludf.DUMMYFUNCTION("""COMPUTED_VALUE"""),"Food/Litter Donation")</f>
        <v>Food/Litter Donation</v>
      </c>
      <c r="K167" s="100"/>
      <c r="L167" s="101"/>
      <c r="M167" s="100"/>
      <c r="N167" s="94"/>
      <c r="O167" s="93" t="str">
        <f>IFERROR(__xludf.DUMMYFUNCTION("""COMPUTED_VALUE"""),"TNR, Feeding, Fostering, Shelter Maintenance")</f>
        <v>TNR, Feeding, Fostering, Shelter Maintenance</v>
      </c>
      <c r="P16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67" s="99"/>
    </row>
    <row r="168" ht="13.5" customHeight="1">
      <c r="A168" s="88">
        <f>IFERROR(__xludf.DUMMYFUNCTION("""COMPUTED_VALUE"""),45169.359604212965)</f>
        <v>45169.3596</v>
      </c>
      <c r="B168" s="89" t="b">
        <v>1</v>
      </c>
      <c r="C168" s="90" t="str">
        <f t="shared" si="1"/>
        <v>Fall 2023</v>
      </c>
      <c r="D168" s="91" t="str">
        <f>IFERROR(__xludf.DUMMYFUNCTION("""COMPUTED_VALUE"""),"kma2385@mavs.uta.edu")</f>
        <v>kma2385@mavs.uta.edu</v>
      </c>
      <c r="E168" s="92" t="str">
        <f>IFERROR(__xludf.DUMMYFUNCTION("""COMPUTED_VALUE"""),"Kaiya Ajiboye")</f>
        <v>Kaiya Ajiboye</v>
      </c>
      <c r="F168" s="93" t="str">
        <f>IFERROR(__xludf.DUMMYFUNCTION("""COMPUTED_VALUE"""),"Kaiya_a")</f>
        <v>Kaiya_a</v>
      </c>
      <c r="G168" s="92"/>
      <c r="H168" s="94" t="str">
        <f>IFERROR(__xludf.DUMMYFUNCTION("""COMPUTED_VALUE"""),"(214) 836-4809")</f>
        <v>(214) 836-4809</v>
      </c>
      <c r="I168" s="94" t="str">
        <f>IFERROR(__xludf.DUMMYFUNCTION("""COMPUTED_VALUE"""),"Student")</f>
        <v>Student</v>
      </c>
      <c r="J168" s="93" t="str">
        <f>IFERROR(__xludf.DUMMYFUNCTION("""COMPUTED_VALUE"""),"$15 Donation, Discord Verification")</f>
        <v>$15 Donation, Discord Verification</v>
      </c>
      <c r="K168" s="100"/>
      <c r="L168" s="101"/>
      <c r="M168" s="100"/>
      <c r="N168" s="94"/>
      <c r="O168" s="93" t="str">
        <f>IFERROR(__xludf.DUMMYFUNCTION("""COMPUTED_VALUE"""),"Fundraising, PR, Feeding, Fostering, Shelter Maintenance")</f>
        <v>Fundraising, PR, Feeding, Fostering, Shelter Maintenance</v>
      </c>
      <c r="P16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68" s="99"/>
    </row>
    <row r="169" ht="13.5" customHeight="1">
      <c r="A169" s="88">
        <f>IFERROR(__xludf.DUMMYFUNCTION("""COMPUTED_VALUE"""),45169.37874028935)</f>
        <v>45169.37874</v>
      </c>
      <c r="B169" s="89" t="b">
        <v>1</v>
      </c>
      <c r="C169" s="90" t="str">
        <f t="shared" si="1"/>
        <v>Fall 2023</v>
      </c>
      <c r="D169" s="91" t="str">
        <f>IFERROR(__xludf.DUMMYFUNCTION("""COMPUTED_VALUE"""),"exc7070@mavs.uta.edu")</f>
        <v>exc7070@mavs.uta.edu</v>
      </c>
      <c r="E169" s="92" t="str">
        <f>IFERROR(__xludf.DUMMYFUNCTION("""COMPUTED_VALUE"""),"Elliott Cummings (Bess)")</f>
        <v>Elliott Cummings (Bess)</v>
      </c>
      <c r="F169" s="93" t="str">
        <f>IFERROR(__xludf.DUMMYFUNCTION("""COMPUTED_VALUE"""),"xpunk.puppyx")</f>
        <v>xpunk.puppyx</v>
      </c>
      <c r="G169" s="92"/>
      <c r="H169" s="94" t="str">
        <f>IFERROR(__xludf.DUMMYFUNCTION("""COMPUTED_VALUE"""),"(385) 529-9479")</f>
        <v>(385) 529-9479</v>
      </c>
      <c r="I169" s="94" t="str">
        <f>IFERROR(__xludf.DUMMYFUNCTION("""COMPUTED_VALUE"""),"Student")</f>
        <v>Student</v>
      </c>
      <c r="J169" s="93" t="str">
        <f>IFERROR(__xludf.DUMMYFUNCTION("""COMPUTED_VALUE"""),"$15 Donation, Discord Verification")</f>
        <v>$15 Donation, Discord Verification</v>
      </c>
      <c r="K169" s="100"/>
      <c r="L169" s="101"/>
      <c r="M169" s="100"/>
      <c r="N169" s="94"/>
      <c r="O169" s="93" t="str">
        <f>IFERROR(__xludf.DUMMYFUNCTION("""COMPUTED_VALUE"""),"Fundraising, Overnight TNR, Feeding, Shelter Maintenance")</f>
        <v>Fundraising, Overnight TNR, Feeding, Shelter Maintenance</v>
      </c>
      <c r="P16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69" s="99"/>
    </row>
    <row r="170" ht="13.5" customHeight="1">
      <c r="A170" s="88">
        <f>IFERROR(__xludf.DUMMYFUNCTION("""COMPUTED_VALUE"""),45169.40188549769)</f>
        <v>45169.40189</v>
      </c>
      <c r="B170" s="89" t="b">
        <v>1</v>
      </c>
      <c r="C170" s="90" t="str">
        <f t="shared" si="1"/>
        <v>Fall 2023</v>
      </c>
      <c r="D170" s="91" t="str">
        <f>IFERROR(__xludf.DUMMYFUNCTION("""COMPUTED_VALUE"""),"mhh6112@mavs.uta.edu")</f>
        <v>mhh6112@mavs.uta.edu</v>
      </c>
      <c r="E170" s="92" t="str">
        <f>IFERROR(__xludf.DUMMYFUNCTION("""COMPUTED_VALUE"""),"Mallory Haven Hernandez")</f>
        <v>Mallory Haven Hernandez</v>
      </c>
      <c r="F170" s="93" t="str">
        <f>IFERROR(__xludf.DUMMYFUNCTION("""COMPUTED_VALUE"""),"malloryhaven #4338")</f>
        <v>malloryhaven #4338</v>
      </c>
      <c r="G170" s="92"/>
      <c r="H170" s="94" t="str">
        <f>IFERROR(__xludf.DUMMYFUNCTION("""COMPUTED_VALUE"""),"(972) 351-7218")</f>
        <v>(972) 351-7218</v>
      </c>
      <c r="I170" s="94" t="str">
        <f>IFERROR(__xludf.DUMMYFUNCTION("""COMPUTED_VALUE"""),"Student")</f>
        <v>Student</v>
      </c>
      <c r="J170" s="93" t="str">
        <f>IFERROR(__xludf.DUMMYFUNCTION("""COMPUTED_VALUE"""),"$15 Donation, Discord Verification")</f>
        <v>$15 Donation, Discord Verification</v>
      </c>
      <c r="K170" s="100"/>
      <c r="L170" s="101"/>
      <c r="M170" s="100"/>
      <c r="N170" s="94"/>
      <c r="O170" s="93" t="str">
        <f>IFERROR(__xludf.DUMMYFUNCTION("""COMPUTED_VALUE"""),"Membership, TNR, Feeding, Fostering, Shelter Maintenance")</f>
        <v>Membership, TNR, Feeding, Fostering, Shelter Maintenance</v>
      </c>
      <c r="P17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70" s="99"/>
    </row>
    <row r="171" ht="13.5" customHeight="1">
      <c r="A171" s="88">
        <f>IFERROR(__xludf.DUMMYFUNCTION("""COMPUTED_VALUE"""),45169.42112633101)</f>
        <v>45169.42113</v>
      </c>
      <c r="B171" s="89" t="b">
        <v>1</v>
      </c>
      <c r="C171" s="90" t="str">
        <f t="shared" si="1"/>
        <v>Fall 2023</v>
      </c>
      <c r="D171" s="91" t="str">
        <f>IFERROR(__xludf.DUMMYFUNCTION("""COMPUTED_VALUE"""),"oak1215@mavs.uta.edu")</f>
        <v>oak1215@mavs.uta.edu</v>
      </c>
      <c r="E171" s="92" t="str">
        <f>IFERROR(__xludf.DUMMYFUNCTION("""COMPUTED_VALUE"""),"Olivia kurtzeborn-sowell")</f>
        <v>Olivia kurtzeborn-sowell</v>
      </c>
      <c r="F171" s="93" t="str">
        <f>IFERROR(__xludf.DUMMYFUNCTION("""COMPUTED_VALUE"""),"Oliviak0692")</f>
        <v>Oliviak0692</v>
      </c>
      <c r="G171" s="92"/>
      <c r="H171" s="94" t="str">
        <f>IFERROR(__xludf.DUMMYFUNCTION("""COMPUTED_VALUE"""),"(817) 675-4558")</f>
        <v>(817) 675-4558</v>
      </c>
      <c r="I171" s="94" t="str">
        <f>IFERROR(__xludf.DUMMYFUNCTION("""COMPUTED_VALUE"""),"Student")</f>
        <v>Student</v>
      </c>
      <c r="J171" s="93" t="str">
        <f>IFERROR(__xludf.DUMMYFUNCTION("""COMPUTED_VALUE"""),"$15 Donation, Discord Verification")</f>
        <v>$15 Donation, Discord Verification</v>
      </c>
      <c r="K171" s="100"/>
      <c r="L171" s="101"/>
      <c r="M171" s="100"/>
      <c r="N171" s="94"/>
      <c r="O171" s="93" t="str">
        <f>IFERROR(__xludf.DUMMYFUNCTION("""COMPUTED_VALUE"""),"Membership, Feeding")</f>
        <v>Membership, Feeding</v>
      </c>
      <c r="P17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71" s="99"/>
    </row>
    <row r="172" ht="13.5" customHeight="1">
      <c r="A172" s="88">
        <f>IFERROR(__xludf.DUMMYFUNCTION("""COMPUTED_VALUE"""),45169.456543796296)</f>
        <v>45169.45654</v>
      </c>
      <c r="B172" s="89" t="b">
        <v>1</v>
      </c>
      <c r="C172" s="90" t="str">
        <f t="shared" si="1"/>
        <v>Fall 2023</v>
      </c>
      <c r="D172" s="91" t="str">
        <f>IFERROR(__xludf.DUMMYFUNCTION("""COMPUTED_VALUE"""),"cal6812@mavs.uta.edu")</f>
        <v>cal6812@mavs.uta.edu</v>
      </c>
      <c r="E172" s="92" t="str">
        <f>IFERROR(__xludf.DUMMYFUNCTION("""COMPUTED_VALUE"""),"Cristian Andres Lara")</f>
        <v>Cristian Andres Lara</v>
      </c>
      <c r="F172" s="93" t="str">
        <f>IFERROR(__xludf.DUMMYFUNCTION("""COMPUTED_VALUE"""),"@Honkazonk")</f>
        <v>@Honkazonk</v>
      </c>
      <c r="G172" s="92"/>
      <c r="H172" s="94" t="str">
        <f>IFERROR(__xludf.DUMMYFUNCTION("""COMPUTED_VALUE"""),"(469) 500-8108")</f>
        <v>(469) 500-8108</v>
      </c>
      <c r="I172" s="94" t="str">
        <f>IFERROR(__xludf.DUMMYFUNCTION("""COMPUTED_VALUE"""),"Student")</f>
        <v>Student</v>
      </c>
      <c r="J172" s="93" t="str">
        <f>IFERROR(__xludf.DUMMYFUNCTION("""COMPUTED_VALUE"""),"$15 Donation, Discord Verification")</f>
        <v>$15 Donation, Discord Verification</v>
      </c>
      <c r="K172" s="100"/>
      <c r="L172" s="101"/>
      <c r="M172" s="100"/>
      <c r="N172" s="94"/>
      <c r="O172" s="93" t="str">
        <f>IFERROR(__xludf.DUMMYFUNCTION("""COMPUTED_VALUE"""),"Feeding, Fostering, Shelter Maintenance")</f>
        <v>Feeding, Fostering, Shelter Maintenance</v>
      </c>
      <c r="P17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72" s="99"/>
    </row>
    <row r="173" ht="13.5" customHeight="1">
      <c r="A173" s="88">
        <f>IFERROR(__xludf.DUMMYFUNCTION("""COMPUTED_VALUE"""),45170.02145637732)</f>
        <v>45170.02146</v>
      </c>
      <c r="B173" s="89" t="b">
        <v>1</v>
      </c>
      <c r="C173" s="90" t="str">
        <f t="shared" si="1"/>
        <v>Fall 2023</v>
      </c>
      <c r="D173" s="91" t="str">
        <f>IFERROR(__xludf.DUMMYFUNCTION("""COMPUTED_VALUE"""),"dpr8014@mavs.uta.edu")</f>
        <v>dpr8014@mavs.uta.edu</v>
      </c>
      <c r="E173" s="92" t="str">
        <f>IFERROR(__xludf.DUMMYFUNCTION("""COMPUTED_VALUE"""),"Danna Rico")</f>
        <v>Danna Rico</v>
      </c>
      <c r="F173" s="93" t="str">
        <f>IFERROR(__xludf.DUMMYFUNCTION("""COMPUTED_VALUE"""),"Ughdany#3766")</f>
        <v>Ughdany#3766</v>
      </c>
      <c r="G173" s="92"/>
      <c r="H173" s="94" t="str">
        <f>IFERROR(__xludf.DUMMYFUNCTION("""COMPUTED_VALUE"""),"(682) 560-8257")</f>
        <v>(682) 560-8257</v>
      </c>
      <c r="I173" s="94" t="str">
        <f>IFERROR(__xludf.DUMMYFUNCTION("""COMPUTED_VALUE"""),"Student")</f>
        <v>Student</v>
      </c>
      <c r="J173" s="93" t="str">
        <f>IFERROR(__xludf.DUMMYFUNCTION("""COMPUTED_VALUE"""),"$15 Donation, Discord Verification")</f>
        <v>$15 Donation, Discord Verification</v>
      </c>
      <c r="K173" s="100"/>
      <c r="L173" s="101"/>
      <c r="M173" s="100"/>
      <c r="N173" s="94"/>
      <c r="O173" s="93" t="str">
        <f>IFERROR(__xludf.DUMMYFUNCTION("""COMPUTED_VALUE"""),"Fundraising, Membership, Feeding")</f>
        <v>Fundraising, Membership, Feeding</v>
      </c>
      <c r="P17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73" s="99"/>
    </row>
    <row r="174" ht="13.5" customHeight="1">
      <c r="A174" s="88">
        <f>IFERROR(__xludf.DUMMYFUNCTION("""COMPUTED_VALUE"""),45170.33627127315)</f>
        <v>45170.33627</v>
      </c>
      <c r="B174" s="89" t="b">
        <v>1</v>
      </c>
      <c r="C174" s="90" t="str">
        <f t="shared" si="1"/>
        <v>Fall 2023</v>
      </c>
      <c r="D174" s="91" t="str">
        <f>IFERROR(__xludf.DUMMYFUNCTION("""COMPUTED_VALUE"""),"jcc1890@mavs.uta.edu")</f>
        <v>jcc1890@mavs.uta.edu</v>
      </c>
      <c r="E174" s="92" t="str">
        <f>IFERROR(__xludf.DUMMYFUNCTION("""COMPUTED_VALUE"""),"Jacob Casperaites")</f>
        <v>Jacob Casperaites</v>
      </c>
      <c r="F174" s="93" t="str">
        <f>IFERROR(__xludf.DUMMYFUNCTION("""COMPUTED_VALUE"""),"Jaja0680")</f>
        <v>Jaja0680</v>
      </c>
      <c r="G174" s="92"/>
      <c r="H174" s="94" t="str">
        <f>IFERROR(__xludf.DUMMYFUNCTION("""COMPUTED_VALUE"""),"(817) 584-0680")</f>
        <v>(817) 584-0680</v>
      </c>
      <c r="I174" s="94" t="str">
        <f>IFERROR(__xludf.DUMMYFUNCTION("""COMPUTED_VALUE"""),"Student")</f>
        <v>Student</v>
      </c>
      <c r="J174" s="93" t="str">
        <f>IFERROR(__xludf.DUMMYFUNCTION("""COMPUTED_VALUE"""),"$15 Donation, Discord Verification")</f>
        <v>$15 Donation, Discord Verification</v>
      </c>
      <c r="K174" s="100"/>
      <c r="L174" s="101"/>
      <c r="M174" s="100"/>
      <c r="N174" s="94"/>
      <c r="O174" s="93" t="str">
        <f>IFERROR(__xludf.DUMMYFUNCTION("""COMPUTED_VALUE"""),"Fundraising, Feeding")</f>
        <v>Fundraising, Feeding</v>
      </c>
      <c r="P17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74" s="99"/>
    </row>
    <row r="175" ht="13.5" customHeight="1">
      <c r="A175" s="88">
        <f>IFERROR(__xludf.DUMMYFUNCTION("""COMPUTED_VALUE"""),45170.42151994213)</f>
        <v>45170.42152</v>
      </c>
      <c r="B175" s="89" t="b">
        <v>1</v>
      </c>
      <c r="C175" s="90" t="str">
        <f t="shared" si="1"/>
        <v>Fall 2023</v>
      </c>
      <c r="D175" s="91" t="str">
        <f>IFERROR(__xludf.DUMMYFUNCTION("""COMPUTED_VALUE"""),"jxe0232@mavs.uta.edu")</f>
        <v>jxe0232@mavs.uta.edu</v>
      </c>
      <c r="E175" s="92" t="str">
        <f>IFERROR(__xludf.DUMMYFUNCTION("""COMPUTED_VALUE"""),"Jasmin Escamilla Reyes")</f>
        <v>Jasmin Escamilla Reyes</v>
      </c>
      <c r="F175" s="93" t="str">
        <f>IFERROR(__xludf.DUMMYFUNCTION("""COMPUTED_VALUE"""),"I don’t have discord sorry :(")</f>
        <v>I don’t have discord sorry :(</v>
      </c>
      <c r="G175" s="92"/>
      <c r="H175" s="94" t="str">
        <f>IFERROR(__xludf.DUMMYFUNCTION("""COMPUTED_VALUE"""),"(972) 670-6258")</f>
        <v>(972) 670-6258</v>
      </c>
      <c r="I175" s="94" t="str">
        <f>IFERROR(__xludf.DUMMYFUNCTION("""COMPUTED_VALUE"""),"Student")</f>
        <v>Student</v>
      </c>
      <c r="J175" s="93" t="str">
        <f>IFERROR(__xludf.DUMMYFUNCTION("""COMPUTED_VALUE"""),"Food/Litter Donation")</f>
        <v>Food/Litter Donation</v>
      </c>
      <c r="K175" s="100"/>
      <c r="L175" s="101"/>
      <c r="M175" s="100"/>
      <c r="N175" s="94"/>
      <c r="O175" s="93" t="str">
        <f>IFERROR(__xludf.DUMMYFUNCTION("""COMPUTED_VALUE"""),"Fundraising, Feeding, Shelter Maintenance")</f>
        <v>Fundraising, Feeding, Shelter Maintenance</v>
      </c>
      <c r="P17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75" s="99"/>
    </row>
    <row r="176" ht="13.5" customHeight="1">
      <c r="A176" s="88">
        <f>IFERROR(__xludf.DUMMYFUNCTION("""COMPUTED_VALUE"""),45170.444049212965)</f>
        <v>45170.44405</v>
      </c>
      <c r="B176" s="89" t="b">
        <v>1</v>
      </c>
      <c r="C176" s="90" t="str">
        <f t="shared" si="1"/>
        <v>Fall 2023</v>
      </c>
      <c r="D176" s="91" t="str">
        <f>IFERROR(__xludf.DUMMYFUNCTION("""COMPUTED_VALUE"""),"med3041@mavs.uta.edu")</f>
        <v>med3041@mavs.uta.edu</v>
      </c>
      <c r="E176" s="92" t="str">
        <f>IFERROR(__xludf.DUMMYFUNCTION("""COMPUTED_VALUE"""),"Megan Digiovanni")</f>
        <v>Megan Digiovanni</v>
      </c>
      <c r="F176" s="93" t="str">
        <f>IFERROR(__xludf.DUMMYFUNCTION("""COMPUTED_VALUE"""),"m_digio")</f>
        <v>m_digio</v>
      </c>
      <c r="G176" s="92"/>
      <c r="H176" s="94" t="str">
        <f>IFERROR(__xludf.DUMMYFUNCTION("""COMPUTED_VALUE"""),"(409) 223-3257")</f>
        <v>(409) 223-3257</v>
      </c>
      <c r="I176" s="94" t="str">
        <f>IFERROR(__xludf.DUMMYFUNCTION("""COMPUTED_VALUE"""),"Student")</f>
        <v>Student</v>
      </c>
      <c r="J176" s="93" t="str">
        <f>IFERROR(__xludf.DUMMYFUNCTION("""COMPUTED_VALUE"""),"$15 Donation, Discord Verification")</f>
        <v>$15 Donation, Discord Verification</v>
      </c>
      <c r="K176" s="100"/>
      <c r="L176" s="101"/>
      <c r="M176" s="100"/>
      <c r="N176" s="94"/>
      <c r="O176" s="93" t="str">
        <f>IFERROR(__xludf.DUMMYFUNCTION("""COMPUTED_VALUE"""),"Fundraising, Membership, Feeding")</f>
        <v>Fundraising, Membership, Feeding</v>
      </c>
      <c r="P17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76" s="99"/>
    </row>
    <row r="177" ht="13.5" customHeight="1">
      <c r="A177" s="88">
        <f>IFERROR(__xludf.DUMMYFUNCTION("""COMPUTED_VALUE"""),45170.52614869213)</f>
        <v>45170.52615</v>
      </c>
      <c r="B177" s="89" t="b">
        <v>1</v>
      </c>
      <c r="C177" s="90" t="str">
        <f t="shared" si="1"/>
        <v>Fall 2023</v>
      </c>
      <c r="D177" s="91" t="str">
        <f>IFERROR(__xludf.DUMMYFUNCTION("""COMPUTED_VALUE"""),"bmb6678@mavs.uta.edu")</f>
        <v>bmb6678@mavs.uta.edu</v>
      </c>
      <c r="E177" s="92" t="str">
        <f>IFERROR(__xludf.DUMMYFUNCTION("""COMPUTED_VALUE"""),"Brett M Boggs")</f>
        <v>Brett M Boggs</v>
      </c>
      <c r="F177" s="93" t="str">
        <f>IFERROR(__xludf.DUMMYFUNCTION("""COMPUTED_VALUE"""),"breadbooks")</f>
        <v>breadbooks</v>
      </c>
      <c r="G177" s="92"/>
      <c r="H177" s="94" t="str">
        <f>IFERROR(__xludf.DUMMYFUNCTION("""COMPUTED_VALUE"""),"(325) 428-8177")</f>
        <v>(325) 428-8177</v>
      </c>
      <c r="I177" s="94" t="str">
        <f>IFERROR(__xludf.DUMMYFUNCTION("""COMPUTED_VALUE"""),"Student")</f>
        <v>Student</v>
      </c>
      <c r="J177" s="93" t="str">
        <f>IFERROR(__xludf.DUMMYFUNCTION("""COMPUTED_VALUE"""),"Food/Litter Donation")</f>
        <v>Food/Litter Donation</v>
      </c>
      <c r="K177" s="100"/>
      <c r="L177" s="101"/>
      <c r="M177" s="100"/>
      <c r="N177" s="94"/>
      <c r="O177" s="93" t="str">
        <f>IFERROR(__xludf.DUMMYFUNCTION("""COMPUTED_VALUE"""),"Feeding, Fostering")</f>
        <v>Feeding, Fostering</v>
      </c>
      <c r="P17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77" s="99"/>
    </row>
    <row r="178" ht="13.5" customHeight="1">
      <c r="A178" s="88">
        <f>IFERROR(__xludf.DUMMYFUNCTION("""COMPUTED_VALUE"""),45170.61219568287)</f>
        <v>45170.6122</v>
      </c>
      <c r="B178" s="89" t="b">
        <v>1</v>
      </c>
      <c r="C178" s="90" t="str">
        <f t="shared" si="1"/>
        <v>Fall 2023</v>
      </c>
      <c r="D178" s="91" t="str">
        <f>IFERROR(__xludf.DUMMYFUNCTION("""COMPUTED_VALUE"""),"ack5292@mavs.uta.edu")</f>
        <v>ack5292@mavs.uta.edu</v>
      </c>
      <c r="E178" s="92" t="str">
        <f>IFERROR(__xludf.DUMMYFUNCTION("""COMPUTED_VALUE"""),"Asher Red Karssen")</f>
        <v>Asher Red Karssen</v>
      </c>
      <c r="F178" s="93" t="str">
        <f>IFERROR(__xludf.DUMMYFUNCTION("""COMPUTED_VALUE"""),"frontsales")</f>
        <v>frontsales</v>
      </c>
      <c r="G178" s="92"/>
      <c r="H178" s="94" t="str">
        <f>IFERROR(__xludf.DUMMYFUNCTION("""COMPUTED_VALUE"""),"(469) 826-5836")</f>
        <v>(469) 826-5836</v>
      </c>
      <c r="I178" s="94" t="str">
        <f>IFERROR(__xludf.DUMMYFUNCTION("""COMPUTED_VALUE"""),"Student")</f>
        <v>Student</v>
      </c>
      <c r="J178" s="93" t="str">
        <f>IFERROR(__xludf.DUMMYFUNCTION("""COMPUTED_VALUE"""),"$15 Donation, Discord Verification")</f>
        <v>$15 Donation, Discord Verification</v>
      </c>
      <c r="K178" s="100"/>
      <c r="L178" s="101"/>
      <c r="M178" s="100"/>
      <c r="N178" s="94"/>
      <c r="O178" s="93" t="str">
        <f>IFERROR(__xludf.DUMMYFUNCTION("""COMPUTED_VALUE"""),"Feeding, Shelter Maintenance")</f>
        <v>Feeding, Shelter Maintenance</v>
      </c>
      <c r="P17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78" s="99"/>
    </row>
    <row r="179" ht="13.5" customHeight="1">
      <c r="A179" s="88">
        <f>IFERROR(__xludf.DUMMYFUNCTION("""COMPUTED_VALUE"""),45170.62408300926)</f>
        <v>45170.62408</v>
      </c>
      <c r="B179" s="89" t="b">
        <v>1</v>
      </c>
      <c r="C179" s="90" t="str">
        <f t="shared" si="1"/>
        <v>Fall 2023</v>
      </c>
      <c r="D179" s="91" t="str">
        <f>IFERROR(__xludf.DUMMYFUNCTION("""COMPUTED_VALUE"""),"els6695@mavs.uta.edu")</f>
        <v>els6695@mavs.uta.edu</v>
      </c>
      <c r="E179" s="92" t="str">
        <f>IFERROR(__xludf.DUMMYFUNCTION("""COMPUTED_VALUE"""),"Eryn Bedford")</f>
        <v>Eryn Bedford</v>
      </c>
      <c r="F179" s="93" t="str">
        <f>IFERROR(__xludf.DUMMYFUNCTION("""COMPUTED_VALUE"""),"fluffycatsandmagichats")</f>
        <v>fluffycatsandmagichats</v>
      </c>
      <c r="G179" s="92"/>
      <c r="H179" s="94" t="str">
        <f>IFERROR(__xludf.DUMMYFUNCTION("""COMPUTED_VALUE"""),"(817) 946-2012")</f>
        <v>(817) 946-2012</v>
      </c>
      <c r="I179" s="94" t="str">
        <f>IFERROR(__xludf.DUMMYFUNCTION("""COMPUTED_VALUE"""),"Student")</f>
        <v>Student</v>
      </c>
      <c r="J179" s="93" t="str">
        <f>IFERROR(__xludf.DUMMYFUNCTION("""COMPUTED_VALUE"""),"$15 Donation, Discord Verification")</f>
        <v>$15 Donation, Discord Verification</v>
      </c>
      <c r="K179" s="100"/>
      <c r="L179" s="101"/>
      <c r="M179" s="100"/>
      <c r="N179" s="94"/>
      <c r="O179" s="93" t="str">
        <f>IFERROR(__xludf.DUMMYFUNCTION("""COMPUTED_VALUE"""),"Fundraising, TNR, Feeding, Fostering, Shelter Maintenance")</f>
        <v>Fundraising, TNR, Feeding, Fostering, Shelter Maintenance</v>
      </c>
      <c r="P17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79" s="99"/>
    </row>
    <row r="180" ht="13.5" customHeight="1">
      <c r="A180" s="88">
        <f>IFERROR(__xludf.DUMMYFUNCTION("""COMPUTED_VALUE"""),45170.63911362269)</f>
        <v>45170.63911</v>
      </c>
      <c r="B180" s="89" t="b">
        <v>1</v>
      </c>
      <c r="C180" s="90" t="str">
        <f t="shared" si="1"/>
        <v>Fall 2023</v>
      </c>
      <c r="D180" s="91" t="str">
        <f>IFERROR(__xludf.DUMMYFUNCTION("""COMPUTED_VALUE"""),"fvl6126@mavs.uta.edu")</f>
        <v>fvl6126@mavs.uta.edu</v>
      </c>
      <c r="E180" s="92" t="str">
        <f>IFERROR(__xludf.DUMMYFUNCTION("""COMPUTED_VALUE"""),"V Lake")</f>
        <v>V Lake</v>
      </c>
      <c r="F180" s="93" t="str">
        <f>IFERROR(__xludf.DUMMYFUNCTION("""COMPUTED_VALUE"""),"exuberant_monkey_59482")</f>
        <v>exuberant_monkey_59482</v>
      </c>
      <c r="G180" s="92"/>
      <c r="H180" s="94" t="str">
        <f>IFERROR(__xludf.DUMMYFUNCTION("""COMPUTED_VALUE"""),"(682) 561-6502")</f>
        <v>(682) 561-6502</v>
      </c>
      <c r="I180" s="94" t="str">
        <f>IFERROR(__xludf.DUMMYFUNCTION("""COMPUTED_VALUE"""),"Student")</f>
        <v>Student</v>
      </c>
      <c r="J180" s="93" t="str">
        <f>IFERROR(__xludf.DUMMYFUNCTION("""COMPUTED_VALUE"""),"$15 Donation, Discord Verification")</f>
        <v>$15 Donation, Discord Verification</v>
      </c>
      <c r="K180" s="100"/>
      <c r="L180" s="101"/>
      <c r="M180" s="100"/>
      <c r="N180" s="94"/>
      <c r="O180" s="93" t="str">
        <f>IFERROR(__xludf.DUMMYFUNCTION("""COMPUTED_VALUE"""),"PR, Membership, TNR")</f>
        <v>PR, Membership, TNR</v>
      </c>
      <c r="P18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80" s="99"/>
    </row>
    <row r="181" ht="13.5" customHeight="1">
      <c r="A181" s="88">
        <f>IFERROR(__xludf.DUMMYFUNCTION("""COMPUTED_VALUE"""),45170.652978136575)</f>
        <v>45170.65298</v>
      </c>
      <c r="B181" s="89" t="b">
        <v>1</v>
      </c>
      <c r="C181" s="90" t="str">
        <f t="shared" si="1"/>
        <v>Fall 2023</v>
      </c>
      <c r="D181" s="91" t="str">
        <f>IFERROR(__xludf.DUMMYFUNCTION("""COMPUTED_VALUE"""),"kmm3210@mavs.uta.edu")</f>
        <v>kmm3210@mavs.uta.edu</v>
      </c>
      <c r="E181" s="92" t="str">
        <f>IFERROR(__xludf.DUMMYFUNCTION("""COMPUTED_VALUE"""),"Kyle Moore")</f>
        <v>Kyle Moore</v>
      </c>
      <c r="F181" s="93" t="str">
        <f>IFERROR(__xludf.DUMMYFUNCTION("""COMPUTED_VALUE"""),"km#1248")</f>
        <v>km#1248</v>
      </c>
      <c r="G181" s="92"/>
      <c r="H181" s="94" t="str">
        <f>IFERROR(__xludf.DUMMYFUNCTION("""COMPUTED_VALUE"""),"(214) 364-5690")</f>
        <v>(214) 364-5690</v>
      </c>
      <c r="I181" s="94" t="str">
        <f>IFERROR(__xludf.DUMMYFUNCTION("""COMPUTED_VALUE"""),"Student")</f>
        <v>Student</v>
      </c>
      <c r="J181" s="93" t="str">
        <f>IFERROR(__xludf.DUMMYFUNCTION("""COMPUTED_VALUE"""),"$15 Donation, Discord Verification")</f>
        <v>$15 Donation, Discord Verification</v>
      </c>
      <c r="K181" s="100"/>
      <c r="L181" s="101"/>
      <c r="M181" s="100"/>
      <c r="N181" s="94"/>
      <c r="O181" s="93" t="str">
        <f>IFERROR(__xludf.DUMMYFUNCTION("""COMPUTED_VALUE"""),"Feeding")</f>
        <v>Feeding</v>
      </c>
      <c r="P18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81" s="99"/>
    </row>
    <row r="182" ht="13.5" customHeight="1">
      <c r="A182" s="88">
        <f>IFERROR(__xludf.DUMMYFUNCTION("""COMPUTED_VALUE"""),45170.71582628472)</f>
        <v>45170.71583</v>
      </c>
      <c r="B182" s="89" t="b">
        <v>1</v>
      </c>
      <c r="C182" s="90" t="str">
        <f t="shared" si="1"/>
        <v>Fall 2023</v>
      </c>
      <c r="D182" s="91" t="str">
        <f>IFERROR(__xludf.DUMMYFUNCTION("""COMPUTED_VALUE"""),"edb7679@mavs.uta.edu")</f>
        <v>edb7679@mavs.uta.edu</v>
      </c>
      <c r="E182" s="92" t="str">
        <f>IFERROR(__xludf.DUMMYFUNCTION("""COMPUTED_VALUE"""),"Kiwi Buchheim")</f>
        <v>Kiwi Buchheim</v>
      </c>
      <c r="F182" s="93" t="str">
        <f>IFERROR(__xludf.DUMMYFUNCTION("""COMPUTED_VALUE"""),"NotSoKiwi #4921")</f>
        <v>NotSoKiwi #4921</v>
      </c>
      <c r="G182" s="92"/>
      <c r="H182" s="94" t="str">
        <f>IFERROR(__xludf.DUMMYFUNCTION("""COMPUTED_VALUE"""),"(183) 290-4200")</f>
        <v>(183) 290-4200</v>
      </c>
      <c r="I182" s="94" t="str">
        <f>IFERROR(__xludf.DUMMYFUNCTION("""COMPUTED_VALUE"""),"Student")</f>
        <v>Student</v>
      </c>
      <c r="J182" s="93" t="str">
        <f>IFERROR(__xludf.DUMMYFUNCTION("""COMPUTED_VALUE"""),"$15 Donation, Discord Verification")</f>
        <v>$15 Donation, Discord Verification</v>
      </c>
      <c r="K182" s="100"/>
      <c r="L182" s="101"/>
      <c r="M182" s="100"/>
      <c r="N182" s="94"/>
      <c r="O182" s="93" t="str">
        <f>IFERROR(__xludf.DUMMYFUNCTION("""COMPUTED_VALUE"""),"Feeding")</f>
        <v>Feeding</v>
      </c>
      <c r="P18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82" s="99"/>
    </row>
    <row r="183" ht="13.5" customHeight="1">
      <c r="A183" s="88">
        <f>IFERROR(__xludf.DUMMYFUNCTION("""COMPUTED_VALUE"""),45170.72258984954)</f>
        <v>45170.72259</v>
      </c>
      <c r="B183" s="89" t="b">
        <v>1</v>
      </c>
      <c r="C183" s="90" t="str">
        <f t="shared" si="1"/>
        <v>Fall 2023</v>
      </c>
      <c r="D183" s="91" t="str">
        <f>IFERROR(__xludf.DUMMYFUNCTION("""COMPUTED_VALUE"""),"slm8241@mavs.uta.edu")</f>
        <v>slm8241@mavs.uta.edu</v>
      </c>
      <c r="E183" s="92" t="str">
        <f>IFERROR(__xludf.DUMMYFUNCTION("""COMPUTED_VALUE"""),"Sophia Myers")</f>
        <v>Sophia Myers</v>
      </c>
      <c r="F183" s="93" t="str">
        <f>IFERROR(__xludf.DUMMYFUNCTION("""COMPUTED_VALUE"""),"sophinabox0212")</f>
        <v>sophinabox0212</v>
      </c>
      <c r="G183" s="92"/>
      <c r="H183" s="94" t="str">
        <f>IFERROR(__xludf.DUMMYFUNCTION("""COMPUTED_VALUE"""),"")</f>
        <v/>
      </c>
      <c r="I183" s="94" t="str">
        <f>IFERROR(__xludf.DUMMYFUNCTION("""COMPUTED_VALUE"""),"Student")</f>
        <v>Student</v>
      </c>
      <c r="J183" s="93" t="str">
        <f>IFERROR(__xludf.DUMMYFUNCTION("""COMPUTED_VALUE"""),"$15 Donation, Discord Verification")</f>
        <v>$15 Donation, Discord Verification</v>
      </c>
      <c r="K183" s="100"/>
      <c r="L183" s="101"/>
      <c r="M183" s="100"/>
      <c r="N183" s="94"/>
      <c r="O183" s="93" t="str">
        <f>IFERROR(__xludf.DUMMYFUNCTION("""COMPUTED_VALUE"""),"Feeding")</f>
        <v>Feeding</v>
      </c>
      <c r="P18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83" s="99"/>
    </row>
    <row r="184" ht="13.5" customHeight="1">
      <c r="A184" s="88">
        <f>IFERROR(__xludf.DUMMYFUNCTION("""COMPUTED_VALUE"""),45170.73173172453)</f>
        <v>45170.73173</v>
      </c>
      <c r="B184" s="89" t="b">
        <v>1</v>
      </c>
      <c r="C184" s="90" t="str">
        <f t="shared" si="1"/>
        <v>Fall 2023</v>
      </c>
      <c r="D184" s="91" t="str">
        <f>IFERROR(__xludf.DUMMYFUNCTION("""COMPUTED_VALUE"""),"irw2470@mavs.uta.edu")</f>
        <v>irw2470@mavs.uta.edu</v>
      </c>
      <c r="E184" s="92" t="str">
        <f>IFERROR(__xludf.DUMMYFUNCTION("""COMPUTED_VALUE"""),"Isabella Wingate")</f>
        <v>Isabella Wingate</v>
      </c>
      <c r="F184" s="93" t="str">
        <f>IFERROR(__xludf.DUMMYFUNCTION("""COMPUTED_VALUE"""),"_izzyrose #2206")</f>
        <v>_izzyrose #2206</v>
      </c>
      <c r="G184" s="92"/>
      <c r="H184" s="94" t="str">
        <f>IFERROR(__xludf.DUMMYFUNCTION("""COMPUTED_VALUE"""),"(682) 247-4192")</f>
        <v>(682) 247-4192</v>
      </c>
      <c r="I184" s="94" t="str">
        <f>IFERROR(__xludf.DUMMYFUNCTION("""COMPUTED_VALUE"""),"Student")</f>
        <v>Student</v>
      </c>
      <c r="J184" s="93" t="str">
        <f>IFERROR(__xludf.DUMMYFUNCTION("""COMPUTED_VALUE"""),"$15 Donation, Discord Verification")</f>
        <v>$15 Donation, Discord Verification</v>
      </c>
      <c r="K184" s="100"/>
      <c r="L184" s="101"/>
      <c r="M184" s="100"/>
      <c r="N184" s="94"/>
      <c r="O184" s="93" t="str">
        <f>IFERROR(__xludf.DUMMYFUNCTION("""COMPUTED_VALUE"""),"Fundraising, Feeding, Shelter Maintenance")</f>
        <v>Fundraising, Feeding, Shelter Maintenance</v>
      </c>
      <c r="P18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84" s="99"/>
    </row>
    <row r="185" ht="13.5" customHeight="1">
      <c r="A185" s="88">
        <f>IFERROR(__xludf.DUMMYFUNCTION("""COMPUTED_VALUE"""),45170.76615660879)</f>
        <v>45170.76616</v>
      </c>
      <c r="B185" s="89" t="b">
        <v>1</v>
      </c>
      <c r="C185" s="90" t="str">
        <f t="shared" si="1"/>
        <v>Fall 2023</v>
      </c>
      <c r="D185" s="91" t="str">
        <f>IFERROR(__xludf.DUMMYFUNCTION("""COMPUTED_VALUE"""),"axm6747@mavs.uta.edu")</f>
        <v>axm6747@mavs.uta.edu</v>
      </c>
      <c r="E185" s="92" t="str">
        <f>IFERROR(__xludf.DUMMYFUNCTION("""COMPUTED_VALUE"""),"Adannelly Munoz")</f>
        <v>Adannelly Munoz</v>
      </c>
      <c r="F185" s="93" t="str">
        <f>IFERROR(__xludf.DUMMYFUNCTION("""COMPUTED_VALUE"""),"orchids.png")</f>
        <v>orchids.png</v>
      </c>
      <c r="G185" s="92"/>
      <c r="H185" s="94" t="str">
        <f>IFERROR(__xludf.DUMMYFUNCTION("""COMPUTED_VALUE"""),"(817) 228-5952")</f>
        <v>(817) 228-5952</v>
      </c>
      <c r="I185" s="94" t="str">
        <f>IFERROR(__xludf.DUMMYFUNCTION("""COMPUTED_VALUE"""),"Student")</f>
        <v>Student</v>
      </c>
      <c r="J185" s="93" t="str">
        <f>IFERROR(__xludf.DUMMYFUNCTION("""COMPUTED_VALUE"""),"$15 Donation, Discord Verification")</f>
        <v>$15 Donation, Discord Verification</v>
      </c>
      <c r="K185" s="100"/>
      <c r="L185" s="101"/>
      <c r="M185" s="100"/>
      <c r="N185" s="94"/>
      <c r="O185" s="93" t="str">
        <f>IFERROR(__xludf.DUMMYFUNCTION("""COMPUTED_VALUE"""),"TNR, Feeding")</f>
        <v>TNR, Feeding</v>
      </c>
      <c r="P18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85" s="99"/>
    </row>
    <row r="186" ht="13.5" customHeight="1">
      <c r="A186" s="88">
        <f>IFERROR(__xludf.DUMMYFUNCTION("""COMPUTED_VALUE"""),45170.79148979166)</f>
        <v>45170.79149</v>
      </c>
      <c r="B186" s="89" t="b">
        <v>1</v>
      </c>
      <c r="C186" s="90" t="str">
        <f t="shared" si="1"/>
        <v>Fall 2023</v>
      </c>
      <c r="D186" s="91" t="str">
        <f>IFERROR(__xludf.DUMMYFUNCTION("""COMPUTED_VALUE"""),"jem3027@mavs.uta.edu")</f>
        <v>jem3027@mavs.uta.edu</v>
      </c>
      <c r="E186" s="92" t="str">
        <f>IFERROR(__xludf.DUMMYFUNCTION("""COMPUTED_VALUE"""),"Juliette Matzner")</f>
        <v>Juliette Matzner</v>
      </c>
      <c r="F186" s="93" t="str">
        <f>IFERROR(__xludf.DUMMYFUNCTION("""COMPUTED_VALUE"""),"LikeAboss#7191")</f>
        <v>LikeAboss#7191</v>
      </c>
      <c r="G186" s="92"/>
      <c r="H186" s="94" t="str">
        <f>IFERROR(__xludf.DUMMYFUNCTION("""COMPUTED_VALUE"""),"(512) 665-3889")</f>
        <v>(512) 665-3889</v>
      </c>
      <c r="I186" s="94" t="str">
        <f>IFERROR(__xludf.DUMMYFUNCTION("""COMPUTED_VALUE"""),"Student")</f>
        <v>Student</v>
      </c>
      <c r="J186" s="93" t="str">
        <f>IFERROR(__xludf.DUMMYFUNCTION("""COMPUTED_VALUE"""),"$15 Donation, Discord Verification")</f>
        <v>$15 Donation, Discord Verification</v>
      </c>
      <c r="K186" s="100"/>
      <c r="L186" s="101"/>
      <c r="M186" s="100"/>
      <c r="N186" s="94"/>
      <c r="O186" s="93" t="str">
        <f>IFERROR(__xludf.DUMMYFUNCTION("""COMPUTED_VALUE"""),"PR, Feeding")</f>
        <v>PR, Feeding</v>
      </c>
      <c r="P18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86" s="99"/>
    </row>
    <row r="187" ht="13.5" customHeight="1">
      <c r="A187" s="88">
        <f>IFERROR(__xludf.DUMMYFUNCTION("""COMPUTED_VALUE"""),45170.87310163194)</f>
        <v>45170.8731</v>
      </c>
      <c r="B187" s="89" t="b">
        <v>1</v>
      </c>
      <c r="C187" s="90" t="str">
        <f t="shared" si="1"/>
        <v>Fall 2023</v>
      </c>
      <c r="D187" s="91" t="str">
        <f>IFERROR(__xludf.DUMMYFUNCTION("""COMPUTED_VALUE"""),"sxa0800@mavs.uta.edu")</f>
        <v>sxa0800@mavs.uta.edu</v>
      </c>
      <c r="E187" s="92" t="str">
        <f>IFERROR(__xludf.DUMMYFUNCTION("""COMPUTED_VALUE"""),"Samaah aamir ")</f>
        <v>Samaah aamir </v>
      </c>
      <c r="F187" s="93" t="str">
        <f>IFERROR(__xludf.DUMMYFUNCTION("""COMPUTED_VALUE"""),"samaah_aamir")</f>
        <v>samaah_aamir</v>
      </c>
      <c r="G187" s="92"/>
      <c r="H187" s="94" t="str">
        <f>IFERROR(__xludf.DUMMYFUNCTION("""COMPUTED_VALUE"""),"(425) 240-2313")</f>
        <v>(425) 240-2313</v>
      </c>
      <c r="I187" s="94" t="str">
        <f>IFERROR(__xludf.DUMMYFUNCTION("""COMPUTED_VALUE"""),"Student")</f>
        <v>Student</v>
      </c>
      <c r="J187" s="93" t="str">
        <f>IFERROR(__xludf.DUMMYFUNCTION("""COMPUTED_VALUE"""),"$15 Donation, Discord Verification")</f>
        <v>$15 Donation, Discord Verification</v>
      </c>
      <c r="K187" s="100"/>
      <c r="L187" s="101"/>
      <c r="M187" s="100"/>
      <c r="N187" s="94"/>
      <c r="O187" s="93" t="str">
        <f>IFERROR(__xludf.DUMMYFUNCTION("""COMPUTED_VALUE"""),"Fundraising, PR, Membership, Feeding")</f>
        <v>Fundraising, PR, Membership, Feeding</v>
      </c>
      <c r="P18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87" s="99"/>
    </row>
    <row r="188" ht="13.5" customHeight="1">
      <c r="A188" s="88">
        <f>IFERROR(__xludf.DUMMYFUNCTION("""COMPUTED_VALUE"""),45170.892512314815)</f>
        <v>45170.89251</v>
      </c>
      <c r="B188" s="89" t="b">
        <v>1</v>
      </c>
      <c r="C188" s="90" t="str">
        <f t="shared" si="1"/>
        <v>Fall 2023</v>
      </c>
      <c r="D188" s="91" t="str">
        <f>IFERROR(__xludf.DUMMYFUNCTION("""COMPUTED_VALUE"""),"cef6117@mavs.uta.edu")</f>
        <v>cef6117@mavs.uta.edu</v>
      </c>
      <c r="E188" s="92" t="str">
        <f>IFERROR(__xludf.DUMMYFUNCTION("""COMPUTED_VALUE"""),"Colette Ford ")</f>
        <v>Colette Ford </v>
      </c>
      <c r="F188" s="93" t="str">
        <f>IFERROR(__xludf.DUMMYFUNCTION("""COMPUTED_VALUE"""),"cinnamon_coco")</f>
        <v>cinnamon_coco</v>
      </c>
      <c r="G188" s="92"/>
      <c r="H188" s="94" t="str">
        <f>IFERROR(__xludf.DUMMYFUNCTION("""COMPUTED_VALUE"""),"(817) 932-0547")</f>
        <v>(817) 932-0547</v>
      </c>
      <c r="I188" s="94" t="str">
        <f>IFERROR(__xludf.DUMMYFUNCTION("""COMPUTED_VALUE"""),"Student")</f>
        <v>Student</v>
      </c>
      <c r="J188" s="93" t="str">
        <f>IFERROR(__xludf.DUMMYFUNCTION("""COMPUTED_VALUE"""),"$15 Donation, Discord Verification")</f>
        <v>$15 Donation, Discord Verification</v>
      </c>
      <c r="K188" s="100"/>
      <c r="L188" s="101"/>
      <c r="M188" s="100"/>
      <c r="N188" s="94"/>
      <c r="O188" s="93" t="str">
        <f>IFERROR(__xludf.DUMMYFUNCTION("""COMPUTED_VALUE"""),"Overnight TNR, Feeding")</f>
        <v>Overnight TNR, Feeding</v>
      </c>
      <c r="P18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88" s="99"/>
    </row>
    <row r="189" ht="13.5" customHeight="1">
      <c r="A189" s="88">
        <f>IFERROR(__xludf.DUMMYFUNCTION("""COMPUTED_VALUE"""),45171.45557116898)</f>
        <v>45171.45557</v>
      </c>
      <c r="B189" s="89" t="b">
        <v>1</v>
      </c>
      <c r="C189" s="90" t="str">
        <f t="shared" si="1"/>
        <v>Fall 2023</v>
      </c>
      <c r="D189" s="91" t="str">
        <f>IFERROR(__xludf.DUMMYFUNCTION("""COMPUTED_VALUE"""),"kgl3013@mavs.uta.edu")</f>
        <v>kgl3013@mavs.uta.edu</v>
      </c>
      <c r="E189" s="92" t="str">
        <f>IFERROR(__xludf.DUMMYFUNCTION("""COMPUTED_VALUE"""),"Kaleigh Lopez")</f>
        <v>Kaleigh Lopez</v>
      </c>
      <c r="F189" s="93" t="str">
        <f>IFERROR(__xludf.DUMMYFUNCTION("""COMPUTED_VALUE"""),"duckatic ")</f>
        <v>duckatic </v>
      </c>
      <c r="G189" s="92"/>
      <c r="H189" s="94" t="str">
        <f>IFERROR(__xludf.DUMMYFUNCTION("""COMPUTED_VALUE"""),"(214) 998-6771")</f>
        <v>(214) 998-6771</v>
      </c>
      <c r="I189" s="94" t="str">
        <f>IFERROR(__xludf.DUMMYFUNCTION("""COMPUTED_VALUE"""),"Student")</f>
        <v>Student</v>
      </c>
      <c r="J189" s="93" t="str">
        <f>IFERROR(__xludf.DUMMYFUNCTION("""COMPUTED_VALUE"""),"Food/Litter Donation")</f>
        <v>Food/Litter Donation</v>
      </c>
      <c r="K189" s="100"/>
      <c r="L189" s="101"/>
      <c r="M189" s="100"/>
      <c r="N189" s="94"/>
      <c r="O189" s="93" t="str">
        <f>IFERROR(__xludf.DUMMYFUNCTION("""COMPUTED_VALUE"""),"Feeding, Shelter Maintenance")</f>
        <v>Feeding, Shelter Maintenance</v>
      </c>
      <c r="P18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89" s="99"/>
    </row>
    <row r="190" ht="13.5" customHeight="1">
      <c r="A190" s="88">
        <f>IFERROR(__xludf.DUMMYFUNCTION("""COMPUTED_VALUE"""),45173.44811799769)</f>
        <v>45173.44812</v>
      </c>
      <c r="B190" s="89" t="b">
        <v>1</v>
      </c>
      <c r="C190" s="90" t="str">
        <f t="shared" si="1"/>
        <v>Fall 2023</v>
      </c>
      <c r="D190" s="91" t="str">
        <f>IFERROR(__xludf.DUMMYFUNCTION("""COMPUTED_VALUE"""),"emb2589@mavs.uta.edu")</f>
        <v>emb2589@mavs.uta.edu</v>
      </c>
      <c r="E190" s="92" t="str">
        <f>IFERROR(__xludf.DUMMYFUNCTION("""COMPUTED_VALUE"""),"Emma Barela")</f>
        <v>Emma Barela</v>
      </c>
      <c r="F190" s="93" t="str">
        <f>IFERROR(__xludf.DUMMYFUNCTION("""COMPUTED_VALUE"""),"emoo_14")</f>
        <v>emoo_14</v>
      </c>
      <c r="G190" s="92"/>
      <c r="H190" s="94" t="str">
        <f>IFERROR(__xludf.DUMMYFUNCTION("""COMPUTED_VALUE"""),"(214) 417-5011")</f>
        <v>(214) 417-5011</v>
      </c>
      <c r="I190" s="94" t="str">
        <f>IFERROR(__xludf.DUMMYFUNCTION("""COMPUTED_VALUE"""),"Student")</f>
        <v>Student</v>
      </c>
      <c r="J190" s="93" t="str">
        <f>IFERROR(__xludf.DUMMYFUNCTION("""COMPUTED_VALUE"""),"Food/Litter Donation")</f>
        <v>Food/Litter Donation</v>
      </c>
      <c r="K190" s="100"/>
      <c r="L190" s="101"/>
      <c r="M190" s="100"/>
      <c r="N190" s="94"/>
      <c r="O190" s="93" t="str">
        <f>IFERROR(__xludf.DUMMYFUNCTION("""COMPUTED_VALUE"""),"Fundraising, PR, Feeding, Shelter Maintenance")</f>
        <v>Fundraising, PR, Feeding, Shelter Maintenance</v>
      </c>
      <c r="P19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90" s="99"/>
    </row>
    <row r="191" ht="13.5" customHeight="1">
      <c r="A191" s="88">
        <f>IFERROR(__xludf.DUMMYFUNCTION("""COMPUTED_VALUE"""),45174.52563898148)</f>
        <v>45174.52564</v>
      </c>
      <c r="B191" s="89" t="b">
        <v>1</v>
      </c>
      <c r="C191" s="90" t="str">
        <f t="shared" si="1"/>
        <v>Fall 2023</v>
      </c>
      <c r="D191" s="91" t="str">
        <f>IFERROR(__xludf.DUMMYFUNCTION("""COMPUTED_VALUE"""),"ryan.johnson2@mavs.uta.edu")</f>
        <v>ryan.johnson2@mavs.uta.edu</v>
      </c>
      <c r="E191" s="92" t="str">
        <f>IFERROR(__xludf.DUMMYFUNCTION("""COMPUTED_VALUE"""),"Ryan Johnson")</f>
        <v>Ryan Johnson</v>
      </c>
      <c r="F191" s="93" t="str">
        <f>IFERROR(__xludf.DUMMYFUNCTION("""COMPUTED_VALUE"""),"gupguppy")</f>
        <v>gupguppy</v>
      </c>
      <c r="G191" s="92"/>
      <c r="H191" s="94" t="str">
        <f>IFERROR(__xludf.DUMMYFUNCTION("""COMPUTED_VALUE"""),"(409) 233-7926")</f>
        <v>(409) 233-7926</v>
      </c>
      <c r="I191" s="94" t="str">
        <f>IFERROR(__xludf.DUMMYFUNCTION("""COMPUTED_VALUE"""),"Community Member")</f>
        <v>Community Member</v>
      </c>
      <c r="J191" s="93" t="str">
        <f>IFERROR(__xludf.DUMMYFUNCTION("""COMPUTED_VALUE"""),"$15 Donation, Discord Verification")</f>
        <v>$15 Donation, Discord Verification</v>
      </c>
      <c r="K191" s="100"/>
      <c r="L191" s="101"/>
      <c r="M191" s="100"/>
      <c r="N191" s="94"/>
      <c r="O191" s="93" t="str">
        <f>IFERROR(__xludf.DUMMYFUNCTION("""COMPUTED_VALUE"""),"TNR, Overnight TNR, Feeding, Fostering, Shelter Maintenance")</f>
        <v>TNR, Overnight TNR, Feeding, Fostering, Shelter Maintenance</v>
      </c>
      <c r="P19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91" s="99"/>
    </row>
    <row r="192" ht="13.5" customHeight="1">
      <c r="A192" s="88">
        <f>IFERROR(__xludf.DUMMYFUNCTION("""COMPUTED_VALUE"""),45174.78274952546)</f>
        <v>45174.78275</v>
      </c>
      <c r="B192" s="89" t="b">
        <v>1</v>
      </c>
      <c r="C192" s="90" t="str">
        <f t="shared" si="1"/>
        <v>Fall 2023</v>
      </c>
      <c r="D192" s="91" t="str">
        <f>IFERROR(__xludf.DUMMYFUNCTION("""COMPUTED_VALUE"""),"nbt8588@mavs.uta.edu")</f>
        <v>nbt8588@mavs.uta.edu</v>
      </c>
      <c r="E192" s="92" t="str">
        <f>IFERROR(__xludf.DUMMYFUNCTION("""COMPUTED_VALUE"""),"Nicole Thomas")</f>
        <v>Nicole Thomas</v>
      </c>
      <c r="F192" s="93" t="str">
        <f>IFERROR(__xludf.DUMMYFUNCTION("""COMPUTED_VALUE"""),"saltinefrogs_")</f>
        <v>saltinefrogs_</v>
      </c>
      <c r="G192" s="92"/>
      <c r="H192" s="94" t="str">
        <f>IFERROR(__xludf.DUMMYFUNCTION("""COMPUTED_VALUE"""),"(972) 598-3845")</f>
        <v>(972) 598-3845</v>
      </c>
      <c r="I192" s="94" t="str">
        <f>IFERROR(__xludf.DUMMYFUNCTION("""COMPUTED_VALUE"""),"Student")</f>
        <v>Student</v>
      </c>
      <c r="J192" s="93" t="str">
        <f>IFERROR(__xludf.DUMMYFUNCTION("""COMPUTED_VALUE"""),"$15 Donation, Discord Verification")</f>
        <v>$15 Donation, Discord Verification</v>
      </c>
      <c r="K192" s="100"/>
      <c r="L192" s="101"/>
      <c r="M192" s="100"/>
      <c r="N192" s="94"/>
      <c r="O192" s="93" t="str">
        <f>IFERROR(__xludf.DUMMYFUNCTION("""COMPUTED_VALUE"""),"Membership")</f>
        <v>Membership</v>
      </c>
      <c r="P19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92" s="99"/>
    </row>
    <row r="193" ht="13.5" customHeight="1">
      <c r="A193" s="88">
        <f>IFERROR(__xludf.DUMMYFUNCTION("""COMPUTED_VALUE"""),45175.48199868055)</f>
        <v>45175.482</v>
      </c>
      <c r="B193" s="89" t="b">
        <v>1</v>
      </c>
      <c r="C193" s="90" t="str">
        <f t="shared" si="1"/>
        <v>Fall 2023</v>
      </c>
      <c r="D193" s="91" t="str">
        <f>IFERROR(__xludf.DUMMYFUNCTION("""COMPUTED_VALUE"""),"reh5015@mavs.uta.edu")</f>
        <v>reh5015@mavs.uta.edu</v>
      </c>
      <c r="E193" s="92" t="str">
        <f>IFERROR(__xludf.DUMMYFUNCTION("""COMPUTED_VALUE"""),"Robert Hudson")</f>
        <v>Robert Hudson</v>
      </c>
      <c r="F193" s="93" t="str">
        <f>IFERROR(__xludf.DUMMYFUNCTION("""COMPUTED_VALUE"""),"robertcoppy")</f>
        <v>robertcoppy</v>
      </c>
      <c r="G193" s="92"/>
      <c r="H193" s="94" t="str">
        <f>IFERROR(__xludf.DUMMYFUNCTION("""COMPUTED_VALUE"""),"(512) 808-6248")</f>
        <v>(512) 808-6248</v>
      </c>
      <c r="I193" s="94" t="str">
        <f>IFERROR(__xludf.DUMMYFUNCTION("""COMPUTED_VALUE"""),"Student")</f>
        <v>Student</v>
      </c>
      <c r="J193" s="93" t="str">
        <f>IFERROR(__xludf.DUMMYFUNCTION("""COMPUTED_VALUE"""),"$15 Donation, Discord Verification")</f>
        <v>$15 Donation, Discord Verification</v>
      </c>
      <c r="K193" s="100"/>
      <c r="L193" s="101"/>
      <c r="M193" s="100"/>
      <c r="N193" s="94"/>
      <c r="O193" s="93" t="str">
        <f>IFERROR(__xludf.DUMMYFUNCTION("""COMPUTED_VALUE"""),"Fundraising, Membership, TNR, Shelter Maintenance")</f>
        <v>Fundraising, Membership, TNR, Shelter Maintenance</v>
      </c>
      <c r="P19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93" s="99"/>
    </row>
    <row r="194" ht="13.5" customHeight="1">
      <c r="A194" s="88">
        <f>IFERROR(__xludf.DUMMYFUNCTION("""COMPUTED_VALUE"""),45175.48499832176)</f>
        <v>45175.485</v>
      </c>
      <c r="B194" s="89" t="b">
        <v>1</v>
      </c>
      <c r="C194" s="90" t="str">
        <f t="shared" si="1"/>
        <v>Fall 2023</v>
      </c>
      <c r="D194" s="91" t="str">
        <f>IFERROR(__xludf.DUMMYFUNCTION("""COMPUTED_VALUE"""),"rxa5804@mavs.uta.edu")</f>
        <v>rxa5804@mavs.uta.edu</v>
      </c>
      <c r="E194" s="92" t="str">
        <f>IFERROR(__xludf.DUMMYFUNCTION("""COMPUTED_VALUE"""),"Rayhan Arfah")</f>
        <v>Rayhan Arfah</v>
      </c>
      <c r="F194" s="93" t="str">
        <f>IFERROR(__xludf.DUMMYFUNCTION("""COMPUTED_VALUE"""),"Papasmurf3479")</f>
        <v>Papasmurf3479</v>
      </c>
      <c r="G194" s="92"/>
      <c r="H194" s="94" t="str">
        <f>IFERROR(__xludf.DUMMYFUNCTION("""COMPUTED_VALUE"""),"(903) 357-1096")</f>
        <v>(903) 357-1096</v>
      </c>
      <c r="I194" s="94" t="str">
        <f>IFERROR(__xludf.DUMMYFUNCTION("""COMPUTED_VALUE"""),"Student")</f>
        <v>Student</v>
      </c>
      <c r="J194" s="93" t="str">
        <f>IFERROR(__xludf.DUMMYFUNCTION("""COMPUTED_VALUE"""),"$15 Donation, Discord Verification")</f>
        <v>$15 Donation, Discord Verification</v>
      </c>
      <c r="K194" s="100"/>
      <c r="L194" s="101"/>
      <c r="M194" s="100"/>
      <c r="N194" s="94"/>
      <c r="O194" s="93" t="str">
        <f>IFERROR(__xludf.DUMMYFUNCTION("""COMPUTED_VALUE"""),"PR, Membership, Feeding")</f>
        <v>PR, Membership, Feeding</v>
      </c>
      <c r="P19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94" s="99"/>
    </row>
    <row r="195" ht="13.5" customHeight="1">
      <c r="A195" s="88">
        <f>IFERROR(__xludf.DUMMYFUNCTION("""COMPUTED_VALUE"""),45175.597972268515)</f>
        <v>45175.59797</v>
      </c>
      <c r="B195" s="89" t="b">
        <v>1</v>
      </c>
      <c r="C195" s="90" t="str">
        <f t="shared" si="1"/>
        <v>Fall 2023</v>
      </c>
      <c r="D195" s="91" t="str">
        <f>IFERROR(__xludf.DUMMYFUNCTION("""COMPUTED_VALUE"""),"vxc9126@mavs.uta.edu")</f>
        <v>vxc9126@mavs.uta.edu</v>
      </c>
      <c r="E195" s="92" t="str">
        <f>IFERROR(__xludf.DUMMYFUNCTION("""COMPUTED_VALUE"""),"Vinay Datta Chenimineni")</f>
        <v>Vinay Datta Chenimineni</v>
      </c>
      <c r="F195" s="93" t="str">
        <f>IFERROR(__xludf.DUMMYFUNCTION("""COMPUTED_VALUE"""),"glitterflirt")</f>
        <v>glitterflirt</v>
      </c>
      <c r="G195" s="92"/>
      <c r="H195" s="94" t="str">
        <f>IFERROR(__xludf.DUMMYFUNCTION("""COMPUTED_VALUE"""),"(682) 414-6086")</f>
        <v>(682) 414-6086</v>
      </c>
      <c r="I195" s="94" t="str">
        <f>IFERROR(__xludf.DUMMYFUNCTION("""COMPUTED_VALUE"""),"Student")</f>
        <v>Student</v>
      </c>
      <c r="J195" s="93" t="str">
        <f>IFERROR(__xludf.DUMMYFUNCTION("""COMPUTED_VALUE"""),"$15 Donation, Discord Verification")</f>
        <v>$15 Donation, Discord Verification</v>
      </c>
      <c r="K195" s="100"/>
      <c r="L195" s="101"/>
      <c r="M195" s="100"/>
      <c r="N195" s="94"/>
      <c r="O195" s="93" t="str">
        <f>IFERROR(__xludf.DUMMYFUNCTION("""COMPUTED_VALUE"""),"Membership, TNR, Overnight TNR, Feeding")</f>
        <v>Membership, TNR, Overnight TNR, Feeding</v>
      </c>
      <c r="P19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95" s="99"/>
    </row>
    <row r="196" ht="13.5" customHeight="1">
      <c r="A196" s="88">
        <f>IFERROR(__xludf.DUMMYFUNCTION("""COMPUTED_VALUE"""),45175.62741321759)</f>
        <v>45175.62741</v>
      </c>
      <c r="B196" s="89" t="b">
        <v>1</v>
      </c>
      <c r="C196" s="90" t="str">
        <f t="shared" si="1"/>
        <v>Fall 2023</v>
      </c>
      <c r="D196" s="91" t="str">
        <f>IFERROR(__xludf.DUMMYFUNCTION("""COMPUTED_VALUE"""),"meagan.watkins@mavs.uta.edu")</f>
        <v>meagan.watkins@mavs.uta.edu</v>
      </c>
      <c r="E196" s="92" t="str">
        <f>IFERROR(__xludf.DUMMYFUNCTION("""COMPUTED_VALUE"""),"Meagan Watkins")</f>
        <v>Meagan Watkins</v>
      </c>
      <c r="F196" s="93" t="str">
        <f>IFERROR(__xludf.DUMMYFUNCTION("""COMPUTED_VALUE"""),"Meagan 💕 #0822")</f>
        <v>Meagan 💕 #0822</v>
      </c>
      <c r="G196" s="92"/>
      <c r="H196" s="94" t="str">
        <f>IFERROR(__xludf.DUMMYFUNCTION("""COMPUTED_VALUE"""),"(806)  31-6941")</f>
        <v>(806)  31-6941</v>
      </c>
      <c r="I196" s="94" t="str">
        <f>IFERROR(__xludf.DUMMYFUNCTION("""COMPUTED_VALUE"""),"Student")</f>
        <v>Student</v>
      </c>
      <c r="J196" s="93" t="str">
        <f>IFERROR(__xludf.DUMMYFUNCTION("""COMPUTED_VALUE"""),"$15 Donation, Discord Verification")</f>
        <v>$15 Donation, Discord Verification</v>
      </c>
      <c r="K196" s="100"/>
      <c r="L196" s="101"/>
      <c r="M196" s="100"/>
      <c r="N196" s="94"/>
      <c r="O196" s="93" t="str">
        <f>IFERROR(__xludf.DUMMYFUNCTION("""COMPUTED_VALUE"""),"PR, TNR")</f>
        <v>PR, TNR</v>
      </c>
      <c r="P19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96" s="99"/>
    </row>
    <row r="197" ht="13.5" customHeight="1">
      <c r="A197" s="88">
        <f>IFERROR(__xludf.DUMMYFUNCTION("""COMPUTED_VALUE"""),45176.538419930555)</f>
        <v>45176.53842</v>
      </c>
      <c r="B197" s="89" t="b">
        <v>1</v>
      </c>
      <c r="C197" s="90" t="str">
        <f t="shared" si="1"/>
        <v>Fall 2023</v>
      </c>
      <c r="D197" s="91" t="str">
        <f>IFERROR(__xludf.DUMMYFUNCTION("""COMPUTED_VALUE"""),"brb4177@mavs.uta.edu")</f>
        <v>brb4177@mavs.uta.edu</v>
      </c>
      <c r="E197" s="92" t="str">
        <f>IFERROR(__xludf.DUMMYFUNCTION("""COMPUTED_VALUE"""),"Baylee Balderas")</f>
        <v>Baylee Balderas</v>
      </c>
      <c r="F197" s="93" t="str">
        <f>IFERROR(__xludf.DUMMYFUNCTION("""COMPUTED_VALUE"""),"Bxayleeee#4957")</f>
        <v>Bxayleeee#4957</v>
      </c>
      <c r="G197" s="92"/>
      <c r="H197" s="94" t="str">
        <f>IFERROR(__xludf.DUMMYFUNCTION("""COMPUTED_VALUE"""),"(817) 713-4104")</f>
        <v>(817) 713-4104</v>
      </c>
      <c r="I197" s="94" t="str">
        <f>IFERROR(__xludf.DUMMYFUNCTION("""COMPUTED_VALUE"""),"Student")</f>
        <v>Student</v>
      </c>
      <c r="J197" s="93" t="str">
        <f>IFERROR(__xludf.DUMMYFUNCTION("""COMPUTED_VALUE"""),"Food/Litter Donation")</f>
        <v>Food/Litter Donation</v>
      </c>
      <c r="K197" s="100"/>
      <c r="L197" s="101"/>
      <c r="M197" s="100"/>
      <c r="N197" s="94"/>
      <c r="O197" s="93" t="str">
        <f>IFERROR(__xludf.DUMMYFUNCTION("""COMPUTED_VALUE"""),"Fundraising, PR, Membership, Feeding, Fostering, Shelter Maintenance")</f>
        <v>Fundraising, PR, Membership, Feeding, Fostering, Shelter Maintenance</v>
      </c>
      <c r="P19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97" s="99"/>
    </row>
    <row r="198" ht="13.5" customHeight="1">
      <c r="A198" s="88">
        <f>IFERROR(__xludf.DUMMYFUNCTION("""COMPUTED_VALUE"""),45176.79563258102)</f>
        <v>45176.79563</v>
      </c>
      <c r="B198" s="89" t="b">
        <v>1</v>
      </c>
      <c r="C198" s="90" t="str">
        <f t="shared" si="1"/>
        <v>Fall 2023</v>
      </c>
      <c r="D198" s="91" t="str">
        <f>IFERROR(__xludf.DUMMYFUNCTION("""COMPUTED_VALUE"""),"dxs7542@mavs.uta.edu")</f>
        <v>dxs7542@mavs.uta.edu</v>
      </c>
      <c r="E198" s="92" t="str">
        <f>IFERROR(__xludf.DUMMYFUNCTION("""COMPUTED_VALUE"""),"Danyelle  Schofield")</f>
        <v>Danyelle  Schofield</v>
      </c>
      <c r="F198" s="93" t="str">
        <f>IFERROR(__xludf.DUMMYFUNCTION("""COMPUTED_VALUE"""),"slayc127")</f>
        <v>slayc127</v>
      </c>
      <c r="G198" s="92"/>
      <c r="H198" s="94" t="str">
        <f>IFERROR(__xludf.DUMMYFUNCTION("""COMPUTED_VALUE"""),"(940) 443-9586")</f>
        <v>(940) 443-9586</v>
      </c>
      <c r="I198" s="94" t="str">
        <f>IFERROR(__xludf.DUMMYFUNCTION("""COMPUTED_VALUE"""),"Student")</f>
        <v>Student</v>
      </c>
      <c r="J198" s="93" t="str">
        <f>IFERROR(__xludf.DUMMYFUNCTION("""COMPUTED_VALUE"""),"$15 Donation, Discord Verification")</f>
        <v>$15 Donation, Discord Verification</v>
      </c>
      <c r="K198" s="100"/>
      <c r="L198" s="101"/>
      <c r="M198" s="100"/>
      <c r="N198" s="94"/>
      <c r="O198" s="93" t="str">
        <f>IFERROR(__xludf.DUMMYFUNCTION("""COMPUTED_VALUE"""),"Feeding, Shelter Maintenance")</f>
        <v>Feeding, Shelter Maintenance</v>
      </c>
      <c r="P19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98" s="99"/>
    </row>
    <row r="199" ht="13.5" customHeight="1">
      <c r="A199" s="88">
        <f>IFERROR(__xludf.DUMMYFUNCTION("""COMPUTED_VALUE"""),45176.956199039356)</f>
        <v>45176.9562</v>
      </c>
      <c r="B199" s="89" t="b">
        <v>1</v>
      </c>
      <c r="C199" s="90" t="str">
        <f t="shared" si="1"/>
        <v>Fall 2023</v>
      </c>
      <c r="D199" s="91" t="str">
        <f>IFERROR(__xludf.DUMMYFUNCTION("""COMPUTED_VALUE"""),"eds0523@mavs.uta.edu")</f>
        <v>eds0523@mavs.uta.edu</v>
      </c>
      <c r="E199" s="92" t="str">
        <f>IFERROR(__xludf.DUMMYFUNCTION("""COMPUTED_VALUE"""),"Evan Starnes")</f>
        <v>Evan Starnes</v>
      </c>
      <c r="F199" s="93" t="str">
        <f>IFERROR(__xludf.DUMMYFUNCTION("""COMPUTED_VALUE"""),"EvanLizardWiz")</f>
        <v>EvanLizardWiz</v>
      </c>
      <c r="G199" s="92"/>
      <c r="H199" s="94" t="str">
        <f>IFERROR(__xludf.DUMMYFUNCTION("""COMPUTED_VALUE"""),"(737) 703-8717")</f>
        <v>(737) 703-8717</v>
      </c>
      <c r="I199" s="94" t="str">
        <f>IFERROR(__xludf.DUMMYFUNCTION("""COMPUTED_VALUE"""),"Student")</f>
        <v>Student</v>
      </c>
      <c r="J199" s="93" t="str">
        <f>IFERROR(__xludf.DUMMYFUNCTION("""COMPUTED_VALUE"""),"$15 Donation, Discord Verification")</f>
        <v>$15 Donation, Discord Verification</v>
      </c>
      <c r="K199" s="100"/>
      <c r="L199" s="101"/>
      <c r="M199" s="100"/>
      <c r="N199" s="94"/>
      <c r="O199" s="93" t="str">
        <f>IFERROR(__xludf.DUMMYFUNCTION("""COMPUTED_VALUE"""),"TNR, Feeding")</f>
        <v>TNR, Feeding</v>
      </c>
      <c r="P19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199" s="99"/>
    </row>
    <row r="200" ht="13.5" customHeight="1">
      <c r="A200" s="88">
        <f>IFERROR(__xludf.DUMMYFUNCTION("""COMPUTED_VALUE"""),45177.69320837963)</f>
        <v>45177.69321</v>
      </c>
      <c r="B200" s="89" t="b">
        <v>1</v>
      </c>
      <c r="C200" s="90" t="str">
        <f t="shared" si="1"/>
        <v>Fall 2023</v>
      </c>
      <c r="D200" s="91" t="str">
        <f>IFERROR(__xludf.DUMMYFUNCTION("""COMPUTED_VALUE"""),"amn0551@mavs.uta.edu")</f>
        <v>amn0551@mavs.uta.edu</v>
      </c>
      <c r="E200" s="92" t="str">
        <f>IFERROR(__xludf.DUMMYFUNCTION("""COMPUTED_VALUE"""),"Addie Nowak")</f>
        <v>Addie Nowak</v>
      </c>
      <c r="F200" s="93" t="str">
        <f>IFERROR(__xludf.DUMMYFUNCTION("""COMPUTED_VALUE"""),"addie")</f>
        <v>addie</v>
      </c>
      <c r="G200" s="92"/>
      <c r="H200" s="94" t="str">
        <f>IFERROR(__xludf.DUMMYFUNCTION("""COMPUTED_VALUE"""),"(281) 299-7992")</f>
        <v>(281) 299-7992</v>
      </c>
      <c r="I200" s="94" t="str">
        <f>IFERROR(__xludf.DUMMYFUNCTION("""COMPUTED_VALUE"""),"Student")</f>
        <v>Student</v>
      </c>
      <c r="J200" s="93" t="str">
        <f>IFERROR(__xludf.DUMMYFUNCTION("""COMPUTED_VALUE"""),"$15 Donation, Discord Verification")</f>
        <v>$15 Donation, Discord Verification</v>
      </c>
      <c r="K200" s="100"/>
      <c r="L200" s="101"/>
      <c r="M200" s="100"/>
      <c r="N200" s="94"/>
      <c r="O200" s="93" t="str">
        <f>IFERROR(__xludf.DUMMYFUNCTION("""COMPUTED_VALUE"""),"Fundraising, Feeding, Although i have a demandinf course load, im willing to help anywhere i can!")</f>
        <v>Fundraising, Feeding, Although i have a demandinf course load, im willing to help anywhere i can!</v>
      </c>
      <c r="P20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00" s="99"/>
    </row>
    <row r="201" ht="13.5" customHeight="1">
      <c r="A201" s="88">
        <f>IFERROR(__xludf.DUMMYFUNCTION("""COMPUTED_VALUE"""),45178.87570746528)</f>
        <v>45178.87571</v>
      </c>
      <c r="B201" s="89" t="b">
        <v>1</v>
      </c>
      <c r="C201" s="90" t="str">
        <f t="shared" si="1"/>
        <v>Fall 2023</v>
      </c>
      <c r="D201" s="91" t="str">
        <f>IFERROR(__xludf.DUMMYFUNCTION("""COMPUTED_VALUE"""),"zjm1262@mavs.uta.edu")</f>
        <v>zjm1262@mavs.uta.edu</v>
      </c>
      <c r="E201" s="92" t="str">
        <f>IFERROR(__xludf.DUMMYFUNCTION("""COMPUTED_VALUE"""),"Ziraya Mitchell")</f>
        <v>Ziraya Mitchell</v>
      </c>
      <c r="F201" s="93" t="str">
        <f>IFERROR(__xludf.DUMMYFUNCTION("""COMPUTED_VALUE"""),"ziraya_m")</f>
        <v>ziraya_m</v>
      </c>
      <c r="G201" s="92"/>
      <c r="H201" s="94" t="str">
        <f>IFERROR(__xludf.DUMMYFUNCTION("""COMPUTED_VALUE"""),"(480) 667-4242")</f>
        <v>(480) 667-4242</v>
      </c>
      <c r="I201" s="94" t="str">
        <f>IFERROR(__xludf.DUMMYFUNCTION("""COMPUTED_VALUE"""),"Student")</f>
        <v>Student</v>
      </c>
      <c r="J201" s="93" t="str">
        <f>IFERROR(__xludf.DUMMYFUNCTION("""COMPUTED_VALUE"""),"$15 Donation, Discord Verification")</f>
        <v>$15 Donation, Discord Verification</v>
      </c>
      <c r="K201" s="100"/>
      <c r="L201" s="101"/>
      <c r="M201" s="100"/>
      <c r="N201" s="94"/>
      <c r="O201" s="93" t="str">
        <f>IFERROR(__xludf.DUMMYFUNCTION("""COMPUTED_VALUE"""),"Feeding, Shelter Maintenance, Any Volunteer Work for Events")</f>
        <v>Feeding, Shelter Maintenance, Any Volunteer Work for Events</v>
      </c>
      <c r="P20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01" s="99"/>
    </row>
    <row r="202" ht="13.5" customHeight="1">
      <c r="A202" s="88">
        <f>IFERROR(__xludf.DUMMYFUNCTION("""COMPUTED_VALUE"""),45181.32659967593)</f>
        <v>45181.3266</v>
      </c>
      <c r="B202" s="89" t="b">
        <v>1</v>
      </c>
      <c r="C202" s="90" t="str">
        <f t="shared" si="1"/>
        <v>Fall 2023</v>
      </c>
      <c r="D202" s="91" t="str">
        <f>IFERROR(__xludf.DUMMYFUNCTION("""COMPUTED_VALUE"""),"jrg5489@mavs.uta.edu")</f>
        <v>jrg5489@mavs.uta.edu</v>
      </c>
      <c r="E202" s="92" t="str">
        <f>IFERROR(__xludf.DUMMYFUNCTION("""COMPUTED_VALUE"""),"Janeth Kyle Go")</f>
        <v>Janeth Kyle Go</v>
      </c>
      <c r="F202" s="93" t="str">
        <f>IFERROR(__xludf.DUMMYFUNCTION("""COMPUTED_VALUE"""),"Jane.kyli#9832")</f>
        <v>Jane.kyli#9832</v>
      </c>
      <c r="G202" s="92"/>
      <c r="H202" s="94" t="str">
        <f>IFERROR(__xludf.DUMMYFUNCTION("""COMPUTED_VALUE"""),"(325) 518-6331")</f>
        <v>(325) 518-6331</v>
      </c>
      <c r="I202" s="94" t="str">
        <f>IFERROR(__xludf.DUMMYFUNCTION("""COMPUTED_VALUE"""),"Student")</f>
        <v>Student</v>
      </c>
      <c r="J202" s="93" t="str">
        <f>IFERROR(__xludf.DUMMYFUNCTION("""COMPUTED_VALUE"""),"Food/Litter Donation")</f>
        <v>Food/Litter Donation</v>
      </c>
      <c r="K202" s="100"/>
      <c r="L202" s="101"/>
      <c r="M202" s="100"/>
      <c r="N202" s="94"/>
      <c r="O202" s="93" t="str">
        <f>IFERROR(__xludf.DUMMYFUNCTION("""COMPUTED_VALUE"""),"Feeding, Fostering, Shelter Maintenance")</f>
        <v>Feeding, Fostering, Shelter Maintenance</v>
      </c>
      <c r="P20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02" s="99"/>
    </row>
    <row r="203" ht="13.5" customHeight="1">
      <c r="A203" s="88">
        <f>IFERROR(__xludf.DUMMYFUNCTION("""COMPUTED_VALUE"""),45181.61443074074)</f>
        <v>45181.61443</v>
      </c>
      <c r="B203" s="89" t="b">
        <v>1</v>
      </c>
      <c r="C203" s="90" t="str">
        <f t="shared" si="1"/>
        <v>Fall 2023</v>
      </c>
      <c r="D203" s="91" t="str">
        <f>IFERROR(__xludf.DUMMYFUNCTION("""COMPUTED_VALUE"""),"arh3770@mavs.uta.edu")</f>
        <v>arh3770@mavs.uta.edu</v>
      </c>
      <c r="E203" s="92" t="str">
        <f>IFERROR(__xludf.DUMMYFUNCTION("""COMPUTED_VALUE"""),"Alanna Harris")</f>
        <v>Alanna Harris</v>
      </c>
      <c r="F203" s="93" t="str">
        <f>IFERROR(__xludf.DUMMYFUNCTION("""COMPUTED_VALUE"""),"alanna#3553")</f>
        <v>alanna#3553</v>
      </c>
      <c r="G203" s="92"/>
      <c r="H203" s="94" t="str">
        <f>IFERROR(__xludf.DUMMYFUNCTION("""COMPUTED_VALUE"""),"(214) 794-6390")</f>
        <v>(214) 794-6390</v>
      </c>
      <c r="I203" s="94" t="str">
        <f>IFERROR(__xludf.DUMMYFUNCTION("""COMPUTED_VALUE"""),"Student")</f>
        <v>Student</v>
      </c>
      <c r="J203" s="93" t="str">
        <f>IFERROR(__xludf.DUMMYFUNCTION("""COMPUTED_VALUE"""),"$15 Donation, Discord Verification")</f>
        <v>$15 Donation, Discord Verification</v>
      </c>
      <c r="K203" s="100"/>
      <c r="L203" s="101"/>
      <c r="M203" s="100"/>
      <c r="N203" s="94"/>
      <c r="O203" s="93" t="str">
        <f>IFERROR(__xludf.DUMMYFUNCTION("""COMPUTED_VALUE"""),"Fundraising, PR, Membership, TNR, Overnight TNR, Feeding, Fostering, Shelter Maintenance")</f>
        <v>Fundraising, PR, Membership, TNR, Overnight TNR, Feeding, Fostering, Shelter Maintenance</v>
      </c>
      <c r="P20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03" s="99"/>
    </row>
    <row r="204" ht="13.5" customHeight="1">
      <c r="A204" s="88">
        <f>IFERROR(__xludf.DUMMYFUNCTION("""COMPUTED_VALUE"""),45182.42213908565)</f>
        <v>45182.42214</v>
      </c>
      <c r="B204" s="89" t="b">
        <v>1</v>
      </c>
      <c r="C204" s="90" t="str">
        <f t="shared" si="1"/>
        <v>Fall 2023</v>
      </c>
      <c r="D204" s="91" t="str">
        <f>IFERROR(__xludf.DUMMYFUNCTION("""COMPUTED_VALUE"""),"johnjoseph.sanchez@mavs.uta.edu")</f>
        <v>johnjoseph.sanchez@mavs.uta.edu</v>
      </c>
      <c r="E204" s="92" t="str">
        <f>IFERROR(__xludf.DUMMYFUNCTION("""COMPUTED_VALUE"""),"John Joseph Sanchez")</f>
        <v>John Joseph Sanchez</v>
      </c>
      <c r="F204" s="93" t="str">
        <f>IFERROR(__xludf.DUMMYFUNCTION("""COMPUTED_VALUE"""),"skizzle#3589")</f>
        <v>skizzle#3589</v>
      </c>
      <c r="G204" s="92"/>
      <c r="H204" s="94" t="str">
        <f>IFERROR(__xludf.DUMMYFUNCTION("""COMPUTED_VALUE"""),"(972) 345-8258")</f>
        <v>(972) 345-8258</v>
      </c>
      <c r="I204" s="94" t="str">
        <f>IFERROR(__xludf.DUMMYFUNCTION("""COMPUTED_VALUE"""),"Student")</f>
        <v>Student</v>
      </c>
      <c r="J204" s="93" t="str">
        <f>IFERROR(__xludf.DUMMYFUNCTION("""COMPUTED_VALUE"""),"$15 Donation, Discord Verification")</f>
        <v>$15 Donation, Discord Verification</v>
      </c>
      <c r="K204" s="100"/>
      <c r="L204" s="101"/>
      <c r="M204" s="100"/>
      <c r="N204" s="94"/>
      <c r="O204" s="93" t="str">
        <f>IFERROR(__xludf.DUMMYFUNCTION("""COMPUTED_VALUE"""),"TNR, Overnight TNR, Feeding, Fostering, Shelter Maintenance")</f>
        <v>TNR, Overnight TNR, Feeding, Fostering, Shelter Maintenance</v>
      </c>
      <c r="P20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04" s="99"/>
    </row>
    <row r="205" ht="13.5" customHeight="1">
      <c r="A205" s="88">
        <f>IFERROR(__xludf.DUMMYFUNCTION("""COMPUTED_VALUE"""),45182.49195472222)</f>
        <v>45182.49195</v>
      </c>
      <c r="B205" s="89" t="b">
        <v>1</v>
      </c>
      <c r="C205" s="90" t="str">
        <f t="shared" si="1"/>
        <v>Fall 2023</v>
      </c>
      <c r="D205" s="91" t="str">
        <f>IFERROR(__xludf.DUMMYFUNCTION("""COMPUTED_VALUE"""),"nxd2879@mavs.uta.edu")</f>
        <v>nxd2879@mavs.uta.edu</v>
      </c>
      <c r="E205" s="92" t="str">
        <f>IFERROR(__xludf.DUMMYFUNCTION("""COMPUTED_VALUE"""),"Nha Uyen Dang")</f>
        <v>Nha Uyen Dang</v>
      </c>
      <c r="F205" s="93" t="str">
        <f>IFERROR(__xludf.DUMMYFUNCTION("""COMPUTED_VALUE"""),"aubrey")</f>
        <v>aubrey</v>
      </c>
      <c r="G205" s="92"/>
      <c r="H205" s="94" t="str">
        <f>IFERROR(__xludf.DUMMYFUNCTION("""COMPUTED_VALUE"""),"(682) 551-3053")</f>
        <v>(682) 551-3053</v>
      </c>
      <c r="I205" s="94" t="str">
        <f>IFERROR(__xludf.DUMMYFUNCTION("""COMPUTED_VALUE"""),"Student")</f>
        <v>Student</v>
      </c>
      <c r="J205" s="93" t="str">
        <f>IFERROR(__xludf.DUMMYFUNCTION("""COMPUTED_VALUE"""),"$15 Donation, Discord Verification")</f>
        <v>$15 Donation, Discord Verification</v>
      </c>
      <c r="K205" s="100"/>
      <c r="L205" s="101"/>
      <c r="M205" s="100"/>
      <c r="N205" s="94"/>
      <c r="O205" s="93" t="str">
        <f>IFERROR(__xludf.DUMMYFUNCTION("""COMPUTED_VALUE"""),"Feeding, Fostering, Shelter Maintenance")</f>
        <v>Feeding, Fostering, Shelter Maintenance</v>
      </c>
      <c r="P20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05" s="99"/>
    </row>
    <row r="206" ht="13.5" customHeight="1">
      <c r="A206" s="88">
        <f>IFERROR(__xludf.DUMMYFUNCTION("""COMPUTED_VALUE"""),45182.53238842593)</f>
        <v>45182.53239</v>
      </c>
      <c r="B206" s="89" t="b">
        <v>1</v>
      </c>
      <c r="C206" s="90" t="str">
        <f t="shared" si="1"/>
        <v>Fall 2023</v>
      </c>
      <c r="D206" s="91" t="str">
        <f>IFERROR(__xludf.DUMMYFUNCTION("""COMPUTED_VALUE"""),"lsh6876@mavs.uta.edu")</f>
        <v>lsh6876@mavs.uta.edu</v>
      </c>
      <c r="E206" s="92" t="str">
        <f>IFERROR(__xludf.DUMMYFUNCTION("""COMPUTED_VALUE"""),"Nick Hatcher")</f>
        <v>Nick Hatcher</v>
      </c>
      <c r="F206" s="93" t="str">
        <f>IFERROR(__xludf.DUMMYFUNCTION("""COMPUTED_VALUE"""),"darkberrydrpee")</f>
        <v>darkberrydrpee</v>
      </c>
      <c r="G206" s="92"/>
      <c r="H206" s="94" t="str">
        <f>IFERROR(__xludf.DUMMYFUNCTION("""COMPUTED_VALUE"""),"(936) 355-6238")</f>
        <v>(936) 355-6238</v>
      </c>
      <c r="I206" s="94" t="str">
        <f>IFERROR(__xludf.DUMMYFUNCTION("""COMPUTED_VALUE"""),"Student")</f>
        <v>Student</v>
      </c>
      <c r="J206" s="93" t="str">
        <f>IFERROR(__xludf.DUMMYFUNCTION("""COMPUTED_VALUE"""),"$15 Donation, Discord Verification")</f>
        <v>$15 Donation, Discord Verification</v>
      </c>
      <c r="K206" s="100"/>
      <c r="L206" s="101"/>
      <c r="M206" s="100"/>
      <c r="N206" s="94"/>
      <c r="O206" s="93" t="str">
        <f>IFERROR(__xludf.DUMMYFUNCTION("""COMPUTED_VALUE"""),"the stink brigade")</f>
        <v>the stink brigade</v>
      </c>
      <c r="P20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06" s="99"/>
    </row>
    <row r="207" ht="13.5" customHeight="1">
      <c r="A207" s="88">
        <f>IFERROR(__xludf.DUMMYFUNCTION("""COMPUTED_VALUE"""),45182.54663034722)</f>
        <v>45182.54663</v>
      </c>
      <c r="B207" s="89" t="b">
        <v>1</v>
      </c>
      <c r="C207" s="90" t="str">
        <f t="shared" si="1"/>
        <v>Fall 2023</v>
      </c>
      <c r="D207" s="91" t="str">
        <f>IFERROR(__xludf.DUMMYFUNCTION("""COMPUTED_VALUE"""),"sxp5484@mavs.uta.edu")</f>
        <v>sxp5484@mavs.uta.edu</v>
      </c>
      <c r="E207" s="92" t="str">
        <f>IFERROR(__xludf.DUMMYFUNCTION("""COMPUTED_VALUE"""),"Subhiksha paulraj ")</f>
        <v>Subhiksha paulraj </v>
      </c>
      <c r="F207" s="93" t="str">
        <f>IFERROR(__xludf.DUMMYFUNCTION("""COMPUTED_VALUE"""),"N/a")</f>
        <v>N/a</v>
      </c>
      <c r="G207" s="92"/>
      <c r="H207" s="94" t="str">
        <f>IFERROR(__xludf.DUMMYFUNCTION("""COMPUTED_VALUE"""),"(682) 247-6164")</f>
        <v>(682) 247-6164</v>
      </c>
      <c r="I207" s="94" t="str">
        <f>IFERROR(__xludf.DUMMYFUNCTION("""COMPUTED_VALUE"""),"Student")</f>
        <v>Student</v>
      </c>
      <c r="J207" s="93" t="str">
        <f>IFERROR(__xludf.DUMMYFUNCTION("""COMPUTED_VALUE"""),"Food/Litter Donation")</f>
        <v>Food/Litter Donation</v>
      </c>
      <c r="K207" s="100"/>
      <c r="L207" s="101"/>
      <c r="M207" s="100"/>
      <c r="N207" s="94"/>
      <c r="O207" s="93" t="str">
        <f>IFERROR(__xludf.DUMMYFUNCTION("""COMPUTED_VALUE"""),"Fundraising, PR, Overnight TNR, Feeding, Fostering")</f>
        <v>Fundraising, PR, Overnight TNR, Feeding, Fostering</v>
      </c>
      <c r="P20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07" s="99"/>
    </row>
    <row r="208" ht="13.5" customHeight="1">
      <c r="A208" s="88">
        <f>IFERROR(__xludf.DUMMYFUNCTION("""COMPUTED_VALUE"""),45183.5384183912)</f>
        <v>45183.53842</v>
      </c>
      <c r="B208" s="89" t="b">
        <v>1</v>
      </c>
      <c r="C208" s="90" t="str">
        <f t="shared" si="1"/>
        <v>Fall 2023</v>
      </c>
      <c r="D208" s="91" t="str">
        <f>IFERROR(__xludf.DUMMYFUNCTION("""COMPUTED_VALUE"""),"dmb8055@mavs.uta.edu")</f>
        <v>dmb8055@mavs.uta.edu</v>
      </c>
      <c r="E208" s="92" t="str">
        <f>IFERROR(__xludf.DUMMYFUNCTION("""COMPUTED_VALUE"""),"Zee Baker")</f>
        <v>Zee Baker</v>
      </c>
      <c r="F208" s="93" t="str">
        <f>IFERROR(__xludf.DUMMYFUNCTION("""COMPUTED_VALUE"""),"zeebug #6184")</f>
        <v>zeebug #6184</v>
      </c>
      <c r="G208" s="92"/>
      <c r="H208" s="94" t="str">
        <f>IFERROR(__xludf.DUMMYFUNCTION("""COMPUTED_VALUE"""),"(936) 224-1650")</f>
        <v>(936) 224-1650</v>
      </c>
      <c r="I208" s="94" t="str">
        <f>IFERROR(__xludf.DUMMYFUNCTION("""COMPUTED_VALUE"""),"Student")</f>
        <v>Student</v>
      </c>
      <c r="J208" s="93" t="str">
        <f>IFERROR(__xludf.DUMMYFUNCTION("""COMPUTED_VALUE"""),"$15 Donation, Discord Verification")</f>
        <v>$15 Donation, Discord Verification</v>
      </c>
      <c r="K208" s="100"/>
      <c r="L208" s="101"/>
      <c r="M208" s="100"/>
      <c r="N208" s="94"/>
      <c r="O208" s="93" t="str">
        <f>IFERROR(__xludf.DUMMYFUNCTION("""COMPUTED_VALUE"""),"Fundraising, Feeding, Shelter Maintenance")</f>
        <v>Fundraising, Feeding, Shelter Maintenance</v>
      </c>
      <c r="P20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08" s="99"/>
    </row>
    <row r="209" ht="13.5" customHeight="1">
      <c r="A209" s="88">
        <f>IFERROR(__xludf.DUMMYFUNCTION("""COMPUTED_VALUE"""),45183.60250846065)</f>
        <v>45183.60251</v>
      </c>
      <c r="B209" s="89" t="b">
        <v>1</v>
      </c>
      <c r="C209" s="90" t="str">
        <f t="shared" si="1"/>
        <v>Fall 2023</v>
      </c>
      <c r="D209" s="91" t="str">
        <f>IFERROR(__xludf.DUMMYFUNCTION("""COMPUTED_VALUE"""),"brandon.brangdon@gmail.com")</f>
        <v>brandon.brangdon@gmail.com</v>
      </c>
      <c r="E209" s="92" t="str">
        <f>IFERROR(__xludf.DUMMYFUNCTION("""COMPUTED_VALUE"""),"Brandon Hageland ")</f>
        <v>Brandon Hageland </v>
      </c>
      <c r="F209" s="93" t="str">
        <f>IFERROR(__xludf.DUMMYFUNCTION("""COMPUTED_VALUE"""),"Eggroll_#5317")</f>
        <v>Eggroll_#5317</v>
      </c>
      <c r="G209" s="92"/>
      <c r="H209" s="94" t="str">
        <f>IFERROR(__xludf.DUMMYFUNCTION("""COMPUTED_VALUE"""),"(469) 901-6338")</f>
        <v>(469) 901-6338</v>
      </c>
      <c r="I209" s="94" t="str">
        <f>IFERROR(__xludf.DUMMYFUNCTION("""COMPUTED_VALUE"""),"Student")</f>
        <v>Student</v>
      </c>
      <c r="J209" s="93" t="str">
        <f>IFERROR(__xludf.DUMMYFUNCTION("""COMPUTED_VALUE"""),"$15 Donation, Discord Verification")</f>
        <v>$15 Donation, Discord Verification</v>
      </c>
      <c r="K209" s="100"/>
      <c r="L209" s="101"/>
      <c r="M209" s="100"/>
      <c r="N209" s="94"/>
      <c r="O209" s="93" t="str">
        <f>IFERROR(__xludf.DUMMYFUNCTION("""COMPUTED_VALUE"""),"Fundraising, PR, Membership, TNR, Feeding, Shelter Maintenance")</f>
        <v>Fundraising, PR, Membership, TNR, Feeding, Shelter Maintenance</v>
      </c>
      <c r="P20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09" s="99"/>
    </row>
    <row r="210" ht="13.5" customHeight="1">
      <c r="A210" s="88">
        <f>IFERROR(__xludf.DUMMYFUNCTION("""COMPUTED_VALUE"""),45186.76176824074)</f>
        <v>45186.76177</v>
      </c>
      <c r="B210" s="89" t="b">
        <v>1</v>
      </c>
      <c r="C210" s="90" t="str">
        <f t="shared" si="1"/>
        <v>Fall 2023</v>
      </c>
      <c r="D210" s="91" t="str">
        <f>IFERROR(__xludf.DUMMYFUNCTION("""COMPUTED_VALUE"""),"Bryant.soltero@mavs.uta.edu")</f>
        <v>Bryant.soltero@mavs.uta.edu</v>
      </c>
      <c r="E210" s="92" t="str">
        <f>IFERROR(__xludf.DUMMYFUNCTION("""COMPUTED_VALUE"""),"Bryant Soltero")</f>
        <v>Bryant Soltero</v>
      </c>
      <c r="F210" s="93" t="str">
        <f>IFERROR(__xludf.DUMMYFUNCTION("""COMPUTED_VALUE"""),"brysoltero")</f>
        <v>brysoltero</v>
      </c>
      <c r="G210" s="92"/>
      <c r="H210" s="94" t="str">
        <f>IFERROR(__xludf.DUMMYFUNCTION("""COMPUTED_VALUE"""),"(214) 863-8764")</f>
        <v>(214) 863-8764</v>
      </c>
      <c r="I210" s="94" t="str">
        <f>IFERROR(__xludf.DUMMYFUNCTION("""COMPUTED_VALUE"""),"Student")</f>
        <v>Student</v>
      </c>
      <c r="J210" s="93" t="str">
        <f>IFERROR(__xludf.DUMMYFUNCTION("""COMPUTED_VALUE"""),"$15 Donation, Discord Verification")</f>
        <v>$15 Donation, Discord Verification</v>
      </c>
      <c r="K210" s="100"/>
      <c r="L210" s="101"/>
      <c r="M210" s="100"/>
      <c r="N210" s="94"/>
      <c r="O210" s="93" t="str">
        <f>IFERROR(__xludf.DUMMYFUNCTION("""COMPUTED_VALUE"""),"TNR, Overnight TNR, Feeding")</f>
        <v>TNR, Overnight TNR, Feeding</v>
      </c>
      <c r="P21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10" s="99"/>
    </row>
    <row r="211" ht="13.5" customHeight="1">
      <c r="A211" s="88">
        <f>IFERROR(__xludf.DUMMYFUNCTION("""COMPUTED_VALUE"""),45188.67002612269)</f>
        <v>45188.67003</v>
      </c>
      <c r="B211" s="89" t="b">
        <v>1</v>
      </c>
      <c r="C211" s="90" t="str">
        <f t="shared" si="1"/>
        <v>Fall 2023</v>
      </c>
      <c r="D211" s="91" t="str">
        <f>IFERROR(__xludf.DUMMYFUNCTION("""COMPUTED_VALUE"""),"lxg0344@mavs.uta.edu")</f>
        <v>lxg0344@mavs.uta.edu</v>
      </c>
      <c r="E211" s="92" t="str">
        <f>IFERROR(__xludf.DUMMYFUNCTION("""COMPUTED_VALUE"""),"Leslie Gonzalez")</f>
        <v>Leslie Gonzalez</v>
      </c>
      <c r="F211" s="93" t="str">
        <f>IFERROR(__xludf.DUMMYFUNCTION("""COMPUTED_VALUE""")," ")</f>
        <v> </v>
      </c>
      <c r="G211" s="92"/>
      <c r="H211" s="94" t="str">
        <f>IFERROR(__xludf.DUMMYFUNCTION("""COMPUTED_VALUE"""),"(817) 781-8989")</f>
        <v>(817) 781-8989</v>
      </c>
      <c r="I211" s="94" t="str">
        <f>IFERROR(__xludf.DUMMYFUNCTION("""COMPUTED_VALUE"""),"Student")</f>
        <v>Student</v>
      </c>
      <c r="J211" s="93" t="str">
        <f>IFERROR(__xludf.DUMMYFUNCTION("""COMPUTED_VALUE"""),"$15 Donation, Discord Verification")</f>
        <v>$15 Donation, Discord Verification</v>
      </c>
      <c r="K211" s="100"/>
      <c r="L211" s="101"/>
      <c r="M211" s="100"/>
      <c r="N211" s="94"/>
      <c r="O211" s="93" t="str">
        <f>IFERROR(__xludf.DUMMYFUNCTION("""COMPUTED_VALUE"""),"Membership, Feeding, Shelter Maintenance")</f>
        <v>Membership, Feeding, Shelter Maintenance</v>
      </c>
      <c r="P21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11" s="99"/>
    </row>
    <row r="212" ht="13.5" customHeight="1">
      <c r="A212" s="88">
        <f>IFERROR(__xludf.DUMMYFUNCTION("""COMPUTED_VALUE"""),45188.85194869213)</f>
        <v>45188.85195</v>
      </c>
      <c r="B212" s="89" t="b">
        <v>1</v>
      </c>
      <c r="C212" s="90" t="str">
        <f t="shared" si="1"/>
        <v>Fall 2023</v>
      </c>
      <c r="D212" s="91" t="str">
        <f>IFERROR(__xludf.DUMMYFUNCTION("""COMPUTED_VALUE"""),"sydney.stumpf@mavs.uta.edu")</f>
        <v>sydney.stumpf@mavs.uta.edu</v>
      </c>
      <c r="E212" s="92" t="str">
        <f>IFERROR(__xludf.DUMMYFUNCTION("""COMPUTED_VALUE"""),"Sydney Stumpf")</f>
        <v>Sydney Stumpf</v>
      </c>
      <c r="F212" s="93" t="str">
        <f>IFERROR(__xludf.DUMMYFUNCTION("""COMPUTED_VALUE"""),"Sydneystumpf")</f>
        <v>Sydneystumpf</v>
      </c>
      <c r="G212" s="92"/>
      <c r="H212" s="94" t="str">
        <f>IFERROR(__xludf.DUMMYFUNCTION("""COMPUTED_VALUE"""),"(972) 571-0727")</f>
        <v>(972) 571-0727</v>
      </c>
      <c r="I212" s="94" t="str">
        <f>IFERROR(__xludf.DUMMYFUNCTION("""COMPUTED_VALUE"""),"Student")</f>
        <v>Student</v>
      </c>
      <c r="J212" s="93" t="str">
        <f>IFERROR(__xludf.DUMMYFUNCTION("""COMPUTED_VALUE"""),"$15 Donation, Discord Verification")</f>
        <v>$15 Donation, Discord Verification</v>
      </c>
      <c r="K212" s="100"/>
      <c r="L212" s="101"/>
      <c r="M212" s="100"/>
      <c r="N212" s="94"/>
      <c r="O212" s="93" t="str">
        <f>IFERROR(__xludf.DUMMYFUNCTION("""COMPUTED_VALUE"""),"Fundraising, PR")</f>
        <v>Fundraising, PR</v>
      </c>
      <c r="P21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12" s="99"/>
    </row>
    <row r="213" ht="13.5" customHeight="1">
      <c r="A213" s="88">
        <f>IFERROR(__xludf.DUMMYFUNCTION("""COMPUTED_VALUE"""),45189.521435567134)</f>
        <v>45189.52144</v>
      </c>
      <c r="B213" s="89" t="b">
        <v>1</v>
      </c>
      <c r="C213" s="90" t="str">
        <f t="shared" si="1"/>
        <v>Fall 2023</v>
      </c>
      <c r="D213" s="91" t="str">
        <f>IFERROR(__xludf.DUMMYFUNCTION("""COMPUTED_VALUE"""),"ssi4241@mavs.uta.edu")</f>
        <v>ssi4241@mavs.uta.edu</v>
      </c>
      <c r="E213" s="92" t="str">
        <f>IFERROR(__xludf.DUMMYFUNCTION("""COMPUTED_VALUE"""),"Seja Ismail")</f>
        <v>Seja Ismail</v>
      </c>
      <c r="F213" s="93" t="str">
        <f>IFERROR(__xludf.DUMMYFUNCTION("""COMPUTED_VALUE"""),".s3j")</f>
        <v>.s3j</v>
      </c>
      <c r="G213" s="92"/>
      <c r="H213" s="94" t="str">
        <f>IFERROR(__xludf.DUMMYFUNCTION("""COMPUTED_VALUE"""),"(210) 608-9994")</f>
        <v>(210) 608-9994</v>
      </c>
      <c r="I213" s="94" t="str">
        <f>IFERROR(__xludf.DUMMYFUNCTION("""COMPUTED_VALUE"""),"Student")</f>
        <v>Student</v>
      </c>
      <c r="J213" s="93" t="str">
        <f>IFERROR(__xludf.DUMMYFUNCTION("""COMPUTED_VALUE"""),"$15 Donation, Discord Verification")</f>
        <v>$15 Donation, Discord Verification</v>
      </c>
      <c r="K213" s="100"/>
      <c r="L213" s="101"/>
      <c r="M213" s="100"/>
      <c r="N213" s="94"/>
      <c r="O213" s="93" t="str">
        <f>IFERROR(__xludf.DUMMYFUNCTION("""COMPUTED_VALUE"""),"Fundraising, Membership, Feeding")</f>
        <v>Fundraising, Membership, Feeding</v>
      </c>
      <c r="P21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13" s="99"/>
    </row>
    <row r="214" ht="13.5" customHeight="1">
      <c r="A214" s="88">
        <f>IFERROR(__xludf.DUMMYFUNCTION("""COMPUTED_VALUE"""),45189.554823530096)</f>
        <v>45189.55482</v>
      </c>
      <c r="B214" s="89" t="b">
        <v>1</v>
      </c>
      <c r="C214" s="90" t="str">
        <f t="shared" si="1"/>
        <v>Fall 2023</v>
      </c>
      <c r="D214" s="91" t="str">
        <f>IFERROR(__xludf.DUMMYFUNCTION("""COMPUTED_VALUE"""),"shd1128@mavs.uta.edu")</f>
        <v>shd1128@mavs.uta.edu</v>
      </c>
      <c r="E214" s="92" t="str">
        <f>IFERROR(__xludf.DUMMYFUNCTION("""COMPUTED_VALUE"""),"Sarah (Marcel) Dawaseh")</f>
        <v>Sarah (Marcel) Dawaseh</v>
      </c>
      <c r="F214" s="93" t="str">
        <f>IFERROR(__xludf.DUMMYFUNCTION("""COMPUTED_VALUE"""),"@shoebillguy")</f>
        <v>@shoebillguy</v>
      </c>
      <c r="G214" s="92"/>
      <c r="H214" s="94" t="str">
        <f>IFERROR(__xludf.DUMMYFUNCTION("""COMPUTED_VALUE"""),"(254) 640-1103")</f>
        <v>(254) 640-1103</v>
      </c>
      <c r="I214" s="94" t="str">
        <f>IFERROR(__xludf.DUMMYFUNCTION("""COMPUTED_VALUE"""),"Student")</f>
        <v>Student</v>
      </c>
      <c r="J214" s="93" t="str">
        <f>IFERROR(__xludf.DUMMYFUNCTION("""COMPUTED_VALUE"""),"$15 Donation, Discord Verification")</f>
        <v>$15 Donation, Discord Verification</v>
      </c>
      <c r="K214" s="100"/>
      <c r="L214" s="101"/>
      <c r="M214" s="100"/>
      <c r="N214" s="94"/>
      <c r="O214" s="93" t="str">
        <f>IFERROR(__xludf.DUMMYFUNCTION("""COMPUTED_VALUE"""),"Fundraising, PR, Membership, Feeding, Shelter Maintenance")</f>
        <v>Fundraising, PR, Membership, Feeding, Shelter Maintenance</v>
      </c>
      <c r="P21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14" s="99"/>
    </row>
    <row r="215" ht="13.5" customHeight="1">
      <c r="A215" s="88">
        <f>IFERROR(__xludf.DUMMYFUNCTION("""COMPUTED_VALUE"""),45189.67179128472)</f>
        <v>45189.67179</v>
      </c>
      <c r="B215" s="89" t="b">
        <v>1</v>
      </c>
      <c r="C215" s="90" t="str">
        <f t="shared" si="1"/>
        <v>Fall 2023</v>
      </c>
      <c r="D215" s="91" t="str">
        <f>IFERROR(__xludf.DUMMYFUNCTION("""COMPUTED_VALUE"""),"bnh1658@mavs.uta.edu")</f>
        <v>bnh1658@mavs.uta.edu</v>
      </c>
      <c r="E215" s="92" t="str">
        <f>IFERROR(__xludf.DUMMYFUNCTION("""COMPUTED_VALUE"""),"Brandon Hageland ")</f>
        <v>Brandon Hageland </v>
      </c>
      <c r="F215" s="93" t="str">
        <f>IFERROR(__xludf.DUMMYFUNCTION("""COMPUTED_VALUE"""),"Eggroll_#5317")</f>
        <v>Eggroll_#5317</v>
      </c>
      <c r="G215" s="92"/>
      <c r="H215" s="94" t="str">
        <f>IFERROR(__xludf.DUMMYFUNCTION("""COMPUTED_VALUE"""),"(469) 901-6338")</f>
        <v>(469) 901-6338</v>
      </c>
      <c r="I215" s="94" t="str">
        <f>IFERROR(__xludf.DUMMYFUNCTION("""COMPUTED_VALUE"""),"Student")</f>
        <v>Student</v>
      </c>
      <c r="J215" s="93" t="str">
        <f>IFERROR(__xludf.DUMMYFUNCTION("""COMPUTED_VALUE"""),"$15 Donation, Discord Verification")</f>
        <v>$15 Donation, Discord Verification</v>
      </c>
      <c r="K215" s="100"/>
      <c r="L215" s="101"/>
      <c r="M215" s="100"/>
      <c r="N215" s="94"/>
      <c r="O215" s="93" t="str">
        <f>IFERROR(__xludf.DUMMYFUNCTION("""COMPUTED_VALUE"""),"Fundraising, PR, Membership, TNR, Feeding, Shelter Maintenance")</f>
        <v>Fundraising, PR, Membership, TNR, Feeding, Shelter Maintenance</v>
      </c>
      <c r="P21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15" s="99"/>
    </row>
    <row r="216" ht="13.5" customHeight="1">
      <c r="A216" s="88">
        <f>IFERROR(__xludf.DUMMYFUNCTION("""COMPUTED_VALUE"""),45189.69637871528)</f>
        <v>45189.69638</v>
      </c>
      <c r="B216" s="89" t="b">
        <v>1</v>
      </c>
      <c r="C216" s="90" t="str">
        <f t="shared" si="1"/>
        <v>Fall 2023</v>
      </c>
      <c r="D216" s="91" t="str">
        <f>IFERROR(__xludf.DUMMYFUNCTION("""COMPUTED_VALUE"""),"pla1767@mavs.uta.edu")</f>
        <v>pla1767@mavs.uta.edu</v>
      </c>
      <c r="E216" s="92" t="str">
        <f>IFERROR(__xludf.DUMMYFUNCTION("""COMPUTED_VALUE"""),"Paige Axelrod")</f>
        <v>Paige Axelrod</v>
      </c>
      <c r="F216" s="93" t="str">
        <f>IFERROR(__xludf.DUMMYFUNCTION("""COMPUTED_VALUE"""),"Paige A #paigeaxelrod")</f>
        <v>Paige A #paigeaxelrod</v>
      </c>
      <c r="G216" s="92"/>
      <c r="H216" s="94" t="str">
        <f>IFERROR(__xludf.DUMMYFUNCTION("""COMPUTED_VALUE"""),"(469) 850-9987")</f>
        <v>(469) 850-9987</v>
      </c>
      <c r="I216" s="94" t="str">
        <f>IFERROR(__xludf.DUMMYFUNCTION("""COMPUTED_VALUE"""),"Student")</f>
        <v>Student</v>
      </c>
      <c r="J216" s="93" t="str">
        <f>IFERROR(__xludf.DUMMYFUNCTION("""COMPUTED_VALUE"""),"$15 Donation, Discord Verification")</f>
        <v>$15 Donation, Discord Verification</v>
      </c>
      <c r="K216" s="100"/>
      <c r="L216" s="101"/>
      <c r="M216" s="100"/>
      <c r="N216" s="94"/>
      <c r="O216" s="93" t="str">
        <f>IFERROR(__xludf.DUMMYFUNCTION("""COMPUTED_VALUE"""),"Fundraising, PR, Feeding, Shelter Maintenance")</f>
        <v>Fundraising, PR, Feeding, Shelter Maintenance</v>
      </c>
      <c r="P21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16" s="99"/>
    </row>
    <row r="217" ht="13.5" customHeight="1">
      <c r="A217" s="88">
        <f>IFERROR(__xludf.DUMMYFUNCTION("""COMPUTED_VALUE"""),45189.69705453704)</f>
        <v>45189.69705</v>
      </c>
      <c r="B217" s="89" t="b">
        <v>1</v>
      </c>
      <c r="C217" s="90" t="str">
        <f t="shared" si="1"/>
        <v>Fall 2023</v>
      </c>
      <c r="D217" s="91" t="str">
        <f>IFERROR(__xludf.DUMMYFUNCTION("""COMPUTED_VALUE"""),"dsf1084@mavs.uta.edu")</f>
        <v>dsf1084@mavs.uta.edu</v>
      </c>
      <c r="E217" s="92" t="str">
        <f>IFERROR(__xludf.DUMMYFUNCTION("""COMPUTED_VALUE"""),"Derek Santiago Fuentes")</f>
        <v>Derek Santiago Fuentes</v>
      </c>
      <c r="F217" s="93" t="str">
        <f>IFERROR(__xludf.DUMMYFUNCTION("""COMPUTED_VALUE"""),"a1darek")</f>
        <v>a1darek</v>
      </c>
      <c r="G217" s="92"/>
      <c r="H217" s="94" t="str">
        <f>IFERROR(__xludf.DUMMYFUNCTION("""COMPUTED_VALUE"""),"(682) 203-0235")</f>
        <v>(682) 203-0235</v>
      </c>
      <c r="I217" s="94" t="str">
        <f>IFERROR(__xludf.DUMMYFUNCTION("""COMPUTED_VALUE"""),"Student")</f>
        <v>Student</v>
      </c>
      <c r="J217" s="93" t="str">
        <f>IFERROR(__xludf.DUMMYFUNCTION("""COMPUTED_VALUE"""),"$15 Donation, Discord Verification")</f>
        <v>$15 Donation, Discord Verification</v>
      </c>
      <c r="K217" s="100"/>
      <c r="L217" s="101"/>
      <c r="M217" s="100"/>
      <c r="N217" s="94"/>
      <c r="O217" s="93" t="str">
        <f>IFERROR(__xludf.DUMMYFUNCTION("""COMPUTED_VALUE"""),"TNR, Overnight TNR, Feeding, Shelter Maintenance")</f>
        <v>TNR, Overnight TNR, Feeding, Shelter Maintenance</v>
      </c>
      <c r="P21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17" s="99"/>
    </row>
    <row r="218" ht="13.5" customHeight="1">
      <c r="A218" s="88">
        <f>IFERROR(__xludf.DUMMYFUNCTION("""COMPUTED_VALUE"""),45189.77432482639)</f>
        <v>45189.77432</v>
      </c>
      <c r="B218" s="89" t="b">
        <v>1</v>
      </c>
      <c r="C218" s="90" t="str">
        <f t="shared" si="1"/>
        <v>Fall 2023</v>
      </c>
      <c r="D218" s="91" t="str">
        <f>IFERROR(__xludf.DUMMYFUNCTION("""COMPUTED_VALUE"""),"hdr0331@mavs.uta.edu")</f>
        <v>hdr0331@mavs.uta.edu</v>
      </c>
      <c r="E218" s="92" t="str">
        <f>IFERROR(__xludf.DUMMYFUNCTION("""COMPUTED_VALUE"""),"Hansini Raol")</f>
        <v>Hansini Raol</v>
      </c>
      <c r="F218" s="93" t="str">
        <f>IFERROR(__xludf.DUMMYFUNCTION("""COMPUTED_VALUE"""),"hansini_14494")</f>
        <v>hansini_14494</v>
      </c>
      <c r="G218" s="92"/>
      <c r="H218" s="94" t="str">
        <f>IFERROR(__xludf.DUMMYFUNCTION("""COMPUTED_VALUE"""),"(254) 217-7452")</f>
        <v>(254) 217-7452</v>
      </c>
      <c r="I218" s="94" t="str">
        <f>IFERROR(__xludf.DUMMYFUNCTION("""COMPUTED_VALUE"""),"Student")</f>
        <v>Student</v>
      </c>
      <c r="J218" s="93" t="str">
        <f>IFERROR(__xludf.DUMMYFUNCTION("""COMPUTED_VALUE"""),"$15 Donation, Discord Verification")</f>
        <v>$15 Donation, Discord Verification</v>
      </c>
      <c r="K218" s="100"/>
      <c r="L218" s="101"/>
      <c r="M218" s="100"/>
      <c r="N218" s="94"/>
      <c r="O218" s="93" t="str">
        <f>IFERROR(__xludf.DUMMYFUNCTION("""COMPUTED_VALUE"""),"Membership, Feeding")</f>
        <v>Membership, Feeding</v>
      </c>
      <c r="P21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18" s="99"/>
    </row>
    <row r="219" ht="13.5" customHeight="1">
      <c r="A219" s="88">
        <f>IFERROR(__xludf.DUMMYFUNCTION("""COMPUTED_VALUE"""),45189.820401689816)</f>
        <v>45189.8204</v>
      </c>
      <c r="B219" s="89" t="b">
        <v>1</v>
      </c>
      <c r="C219" s="90" t="str">
        <f t="shared" si="1"/>
        <v>Fall 2023</v>
      </c>
      <c r="D219" s="91" t="str">
        <f>IFERROR(__xludf.DUMMYFUNCTION("""COMPUTED_VALUE"""),"jrs6179@mavs.uta.edu")</f>
        <v>jrs6179@mavs.uta.edu</v>
      </c>
      <c r="E219" s="92" t="str">
        <f>IFERROR(__xludf.DUMMYFUNCTION("""COMPUTED_VALUE"""),"jacob Sandoval")</f>
        <v>jacob Sandoval</v>
      </c>
      <c r="F219" s="93" t="str">
        <f>IFERROR(__xludf.DUMMYFUNCTION("""COMPUTED_VALUE"""),"Rambone#4198 or _rambone_")</f>
        <v>Rambone#4198 or _rambone_</v>
      </c>
      <c r="G219" s="92"/>
      <c r="H219" s="94" t="str">
        <f>IFERROR(__xludf.DUMMYFUNCTION("""COMPUTED_VALUE"""),"(972) 730-7809")</f>
        <v>(972) 730-7809</v>
      </c>
      <c r="I219" s="94" t="str">
        <f>IFERROR(__xludf.DUMMYFUNCTION("""COMPUTED_VALUE"""),"Student")</f>
        <v>Student</v>
      </c>
      <c r="J219" s="93" t="str">
        <f>IFERROR(__xludf.DUMMYFUNCTION("""COMPUTED_VALUE"""),"$15 Donation, Discord Verification")</f>
        <v>$15 Donation, Discord Verification</v>
      </c>
      <c r="K219" s="100"/>
      <c r="L219" s="101"/>
      <c r="M219" s="100"/>
      <c r="N219" s="94"/>
      <c r="O219" s="93" t="str">
        <f>IFERROR(__xludf.DUMMYFUNCTION("""COMPUTED_VALUE"""),"Fundraising, Shelter Maintenance")</f>
        <v>Fundraising, Shelter Maintenance</v>
      </c>
      <c r="P21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19" s="99"/>
    </row>
    <row r="220" ht="13.5" customHeight="1">
      <c r="A220" s="88">
        <f>IFERROR(__xludf.DUMMYFUNCTION("""COMPUTED_VALUE"""),45189.837766261575)</f>
        <v>45189.83777</v>
      </c>
      <c r="B220" s="89" t="b">
        <v>1</v>
      </c>
      <c r="C220" s="90" t="str">
        <f t="shared" si="1"/>
        <v>Fall 2023</v>
      </c>
      <c r="D220" s="91" t="str">
        <f>IFERROR(__xludf.DUMMYFUNCTION("""COMPUTED_VALUE"""),"cindylouskipper@yahoo.com")</f>
        <v>cindylouskipper@yahoo.com</v>
      </c>
      <c r="E220" s="92" t="str">
        <f>IFERROR(__xludf.DUMMYFUNCTION("""COMPUTED_VALUE"""),"Cindy Lou Skipper")</f>
        <v>Cindy Lou Skipper</v>
      </c>
      <c r="F220" s="93" t="str">
        <f>IFERROR(__xludf.DUMMYFUNCTION("""COMPUTED_VALUE"""),"meiyingcinskip")</f>
        <v>meiyingcinskip</v>
      </c>
      <c r="G220" s="92"/>
      <c r="H220" s="94" t="str">
        <f>IFERROR(__xludf.DUMMYFUNCTION("""COMPUTED_VALUE"""),"(682) 551-7350")</f>
        <v>(682) 551-7350</v>
      </c>
      <c r="I220" s="94" t="str">
        <f>IFERROR(__xludf.DUMMYFUNCTION("""COMPUTED_VALUE"""),"Student")</f>
        <v>Student</v>
      </c>
      <c r="J220" s="93" t="str">
        <f>IFERROR(__xludf.DUMMYFUNCTION("""COMPUTED_VALUE"""),"Food/Litter Donation")</f>
        <v>Food/Litter Donation</v>
      </c>
      <c r="K220" s="100"/>
      <c r="L220" s="101"/>
      <c r="M220" s="100"/>
      <c r="N220" s="94"/>
      <c r="O220" s="93" t="str">
        <f>IFERROR(__xludf.DUMMYFUNCTION("""COMPUTED_VALUE"""),"Feeding")</f>
        <v>Feeding</v>
      </c>
      <c r="P22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20" s="99"/>
    </row>
    <row r="221" ht="13.5" customHeight="1">
      <c r="A221" s="88">
        <f>IFERROR(__xludf.DUMMYFUNCTION("""COMPUTED_VALUE"""),45189.913081203704)</f>
        <v>45189.91308</v>
      </c>
      <c r="B221" s="89" t="b">
        <v>1</v>
      </c>
      <c r="C221" s="90" t="str">
        <f t="shared" si="1"/>
        <v>Fall 2023</v>
      </c>
      <c r="D221" s="91" t="str">
        <f>IFERROR(__xludf.DUMMYFUNCTION("""COMPUTED_VALUE"""),"fls7839@mavs.uta.edu")</f>
        <v>fls7839@mavs.uta.edu</v>
      </c>
      <c r="E221" s="92" t="str">
        <f>IFERROR(__xludf.DUMMYFUNCTION("""COMPUTED_VALUE"""),"Faith Sowell")</f>
        <v>Faith Sowell</v>
      </c>
      <c r="F221" s="93" t="str">
        <f>IFERROR(__xludf.DUMMYFUNCTION("""COMPUTED_VALUE"""),"petrichor.faye")</f>
        <v>petrichor.faye</v>
      </c>
      <c r="G221" s="92"/>
      <c r="H221" s="94" t="str">
        <f>IFERROR(__xludf.DUMMYFUNCTION("""COMPUTED_VALUE"""),"(817) 487-6462")</f>
        <v>(817) 487-6462</v>
      </c>
      <c r="I221" s="94" t="str">
        <f>IFERROR(__xludf.DUMMYFUNCTION("""COMPUTED_VALUE"""),"Student")</f>
        <v>Student</v>
      </c>
      <c r="J221" s="93" t="str">
        <f>IFERROR(__xludf.DUMMYFUNCTION("""COMPUTED_VALUE"""),"$15 Donation, Discord Verification")</f>
        <v>$15 Donation, Discord Verification</v>
      </c>
      <c r="K221" s="100"/>
      <c r="L221" s="101"/>
      <c r="M221" s="100"/>
      <c r="N221" s="94"/>
      <c r="O221" s="93" t="str">
        <f>IFERROR(__xludf.DUMMYFUNCTION("""COMPUTED_VALUE"""),"Feeding")</f>
        <v>Feeding</v>
      </c>
      <c r="P22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21" s="99"/>
    </row>
    <row r="222" ht="13.5" customHeight="1">
      <c r="A222" s="88">
        <f>IFERROR(__xludf.DUMMYFUNCTION("""COMPUTED_VALUE"""),45190.05981464121)</f>
        <v>45190.05981</v>
      </c>
      <c r="B222" s="89" t="b">
        <v>1</v>
      </c>
      <c r="C222" s="90" t="str">
        <f t="shared" si="1"/>
        <v>Fall 2023</v>
      </c>
      <c r="D222" s="91" t="str">
        <f>IFERROR(__xludf.DUMMYFUNCTION("""COMPUTED_VALUE"""),"vxc9126@mavs.uta.edu")</f>
        <v>vxc9126@mavs.uta.edu</v>
      </c>
      <c r="E222" s="92" t="str">
        <f>IFERROR(__xludf.DUMMYFUNCTION("""COMPUTED_VALUE"""),"Vinay Datta Chenimineni")</f>
        <v>Vinay Datta Chenimineni</v>
      </c>
      <c r="F222" s="93" t="str">
        <f>IFERROR(__xludf.DUMMYFUNCTION("""COMPUTED_VALUE"""),"glitterflirt")</f>
        <v>glitterflirt</v>
      </c>
      <c r="G222" s="92"/>
      <c r="H222" s="94" t="str">
        <f>IFERROR(__xludf.DUMMYFUNCTION("""COMPUTED_VALUE"""),"(682) 414-6086")</f>
        <v>(682) 414-6086</v>
      </c>
      <c r="I222" s="94" t="str">
        <f>IFERROR(__xludf.DUMMYFUNCTION("""COMPUTED_VALUE"""),"Student")</f>
        <v>Student</v>
      </c>
      <c r="J222" s="93" t="str">
        <f>IFERROR(__xludf.DUMMYFUNCTION("""COMPUTED_VALUE"""),"$15 Donation, Discord Verification")</f>
        <v>$15 Donation, Discord Verification</v>
      </c>
      <c r="K222" s="100"/>
      <c r="L222" s="101"/>
      <c r="M222" s="100"/>
      <c r="N222" s="94"/>
      <c r="O222" s="93" t="str">
        <f>IFERROR(__xludf.DUMMYFUNCTION("""COMPUTED_VALUE"""),"Feeding")</f>
        <v>Feeding</v>
      </c>
      <c r="P22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22" s="99"/>
    </row>
    <row r="223" ht="13.5" customHeight="1">
      <c r="A223" s="88">
        <f>IFERROR(__xludf.DUMMYFUNCTION("""COMPUTED_VALUE"""),45190.294374097226)</f>
        <v>45190.29437</v>
      </c>
      <c r="B223" s="89" t="b">
        <v>1</v>
      </c>
      <c r="C223" s="90" t="str">
        <f t="shared" si="1"/>
        <v>Fall 2023</v>
      </c>
      <c r="D223" s="91" t="str">
        <f>IFERROR(__xludf.DUMMYFUNCTION("""COMPUTED_VALUE"""),"jxc0776@mavs.uta.edu")</f>
        <v>jxc0776@mavs.uta.edu</v>
      </c>
      <c r="E223" s="92" t="str">
        <f>IFERROR(__xludf.DUMMYFUNCTION("""COMPUTED_VALUE"""),"Jada Carey")</f>
        <v>Jada Carey</v>
      </c>
      <c r="F223" s="93" t="str">
        <f>IFERROR(__xludf.DUMMYFUNCTION("""COMPUTED_VALUE"""),"Jada | Pet Sitter &amp; Artist, almaabyss")</f>
        <v>Jada | Pet Sitter &amp; Artist, almaabyss</v>
      </c>
      <c r="G223" s="92"/>
      <c r="H223" s="94" t="str">
        <f>IFERROR(__xludf.DUMMYFUNCTION("""COMPUTED_VALUE"""),"(682) 785-9626")</f>
        <v>(682) 785-9626</v>
      </c>
      <c r="I223" s="94" t="str">
        <f>IFERROR(__xludf.DUMMYFUNCTION("""COMPUTED_VALUE"""),"Student")</f>
        <v>Student</v>
      </c>
      <c r="J223" s="93" t="str">
        <f>IFERROR(__xludf.DUMMYFUNCTION("""COMPUTED_VALUE"""),"$15 Donation, Discord Verification")</f>
        <v>$15 Donation, Discord Verification</v>
      </c>
      <c r="K223" s="100"/>
      <c r="L223" s="101"/>
      <c r="M223" s="100"/>
      <c r="N223" s="94"/>
      <c r="O223" s="93" t="str">
        <f>IFERROR(__xludf.DUMMYFUNCTION("""COMPUTED_VALUE"""),"TNR, Feeding")</f>
        <v>TNR, Feeding</v>
      </c>
      <c r="P22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23" s="99"/>
    </row>
    <row r="224" ht="13.5" customHeight="1">
      <c r="A224" s="88">
        <f>IFERROR(__xludf.DUMMYFUNCTION("""COMPUTED_VALUE"""),45190.40996493056)</f>
        <v>45190.40996</v>
      </c>
      <c r="B224" s="89" t="b">
        <v>1</v>
      </c>
      <c r="C224" s="90" t="str">
        <f t="shared" si="1"/>
        <v>Fall 2023</v>
      </c>
      <c r="D224" s="91" t="str">
        <f>IFERROR(__xludf.DUMMYFUNCTION("""COMPUTED_VALUE"""),"morgan@uta.edu")</f>
        <v>morgan@uta.edu</v>
      </c>
      <c r="E224" s="92" t="str">
        <f>IFERROR(__xludf.DUMMYFUNCTION("""COMPUTED_VALUE"""),"Morgan Chivers")</f>
        <v>Morgan Chivers</v>
      </c>
      <c r="F224" s="93" t="str">
        <f>IFERROR(__xludf.DUMMYFUNCTION("""COMPUTED_VALUE"""),"morganic._.")</f>
        <v>morganic._.</v>
      </c>
      <c r="G224" s="92"/>
      <c r="H224" s="94" t="str">
        <f>IFERROR(__xludf.DUMMYFUNCTION("""COMPUTED_VALUE"""),"(408) 421-7203")</f>
        <v>(408) 421-7203</v>
      </c>
      <c r="I224" s="94" t="str">
        <f>IFERROR(__xludf.DUMMYFUNCTION("""COMPUTED_VALUE"""),"UTA Faculty")</f>
        <v>UTA Faculty</v>
      </c>
      <c r="J224" s="93" t="str">
        <f>IFERROR(__xludf.DUMMYFUNCTION("""COMPUTED_VALUE"""),"Food/Litter Donation")</f>
        <v>Food/Litter Donation</v>
      </c>
      <c r="K224" s="100"/>
      <c r="L224" s="101"/>
      <c r="M224" s="100"/>
      <c r="N224" s="94"/>
      <c r="O224" s="93" t="str">
        <f>IFERROR(__xludf.DUMMYFUNCTION("""COMPUTED_VALUE"""),"TNR, Overnight TNR, Feeding")</f>
        <v>TNR, Overnight TNR, Feeding</v>
      </c>
      <c r="P22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24" s="99"/>
    </row>
    <row r="225" ht="13.5" customHeight="1">
      <c r="A225" s="88">
        <f>IFERROR(__xludf.DUMMYFUNCTION("""COMPUTED_VALUE"""),45196.33543064815)</f>
        <v>45196.33543</v>
      </c>
      <c r="B225" s="89" t="b">
        <v>1</v>
      </c>
      <c r="C225" s="90" t="str">
        <f t="shared" si="1"/>
        <v>Fall 2023</v>
      </c>
      <c r="D225" s="91" t="str">
        <f>IFERROR(__xludf.DUMMYFUNCTION("""COMPUTED_VALUE"""),"mrh3987@mavs.uta.edu")</f>
        <v>mrh3987@mavs.uta.edu</v>
      </c>
      <c r="E225" s="92" t="str">
        <f>IFERROR(__xludf.DUMMYFUNCTION("""COMPUTED_VALUE"""),"Mackenzie Hoekman")</f>
        <v>Mackenzie Hoekman</v>
      </c>
      <c r="F225" s="93" t="str">
        <f>IFERROR(__xludf.DUMMYFUNCTION("""COMPUTED_VALUE"""),"big_mac0405")</f>
        <v>big_mac0405</v>
      </c>
      <c r="G225" s="92"/>
      <c r="H225" s="94" t="str">
        <f>IFERROR(__xludf.DUMMYFUNCTION("""COMPUTED_VALUE"""),"(469) 404-8403")</f>
        <v>(469) 404-8403</v>
      </c>
      <c r="I225" s="94" t="str">
        <f>IFERROR(__xludf.DUMMYFUNCTION("""COMPUTED_VALUE"""),"Student")</f>
        <v>Student</v>
      </c>
      <c r="J225" s="93" t="str">
        <f>IFERROR(__xludf.DUMMYFUNCTION("""COMPUTED_VALUE"""),"$15 Donation, Discord Verification")</f>
        <v>$15 Donation, Discord Verification</v>
      </c>
      <c r="K225" s="100"/>
      <c r="L225" s="101"/>
      <c r="M225" s="100"/>
      <c r="N225" s="94"/>
      <c r="O225" s="93" t="str">
        <f>IFERROR(__xludf.DUMMYFUNCTION("""COMPUTED_VALUE"""),"PR, Feeding, Shelter Maintenance")</f>
        <v>PR, Feeding, Shelter Maintenance</v>
      </c>
      <c r="P22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25" s="99"/>
    </row>
    <row r="226" ht="13.5" customHeight="1">
      <c r="A226" s="88">
        <f>IFERROR(__xludf.DUMMYFUNCTION("""COMPUTED_VALUE"""),45196.51790518519)</f>
        <v>45196.51791</v>
      </c>
      <c r="B226" s="89" t="b">
        <v>1</v>
      </c>
      <c r="C226" s="90" t="str">
        <f t="shared" si="1"/>
        <v>Fall 2023</v>
      </c>
      <c r="D226" s="91" t="str">
        <f>IFERROR(__xludf.DUMMYFUNCTION("""COMPUTED_VALUE"""),"jdj0892@mavs.uta.edu")</f>
        <v>jdj0892@mavs.uta.edu</v>
      </c>
      <c r="E226" s="92" t="str">
        <f>IFERROR(__xludf.DUMMYFUNCTION("""COMPUTED_VALUE"""),"Jesse Jarrell")</f>
        <v>Jesse Jarrell</v>
      </c>
      <c r="F226" s="93" t="str">
        <f>IFERROR(__xludf.DUMMYFUNCTION("""COMPUTED_VALUE"""),"Moineau#4785 - now moineau_l.oiseau")</f>
        <v>Moineau#4785 - now moineau_l.oiseau</v>
      </c>
      <c r="G226" s="92"/>
      <c r="H226" s="94" t="str">
        <f>IFERROR(__xludf.DUMMYFUNCTION("""COMPUTED_VALUE"""),"(817) 492-6706")</f>
        <v>(817) 492-6706</v>
      </c>
      <c r="I226" s="94" t="str">
        <f>IFERROR(__xludf.DUMMYFUNCTION("""COMPUTED_VALUE"""),"Student")</f>
        <v>Student</v>
      </c>
      <c r="J226" s="93" t="str">
        <f>IFERROR(__xludf.DUMMYFUNCTION("""COMPUTED_VALUE"""),"$15 Donation, Discord Verification")</f>
        <v>$15 Donation, Discord Verification</v>
      </c>
      <c r="K226" s="100"/>
      <c r="L226" s="101"/>
      <c r="M226" s="100"/>
      <c r="N226" s="94"/>
      <c r="O226" s="93" t="str">
        <f>IFERROR(__xludf.DUMMYFUNCTION("""COMPUTED_VALUE"""),"Fundraising, PR, Membership, TNR, Overnight TNR, Feeding, Fostering, Shelter Maintenance")</f>
        <v>Fundraising, PR, Membership, TNR, Overnight TNR, Feeding, Fostering, Shelter Maintenance</v>
      </c>
      <c r="P22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26" s="99"/>
    </row>
    <row r="227" ht="13.5" customHeight="1">
      <c r="A227" s="88">
        <f>IFERROR(__xludf.DUMMYFUNCTION("""COMPUTED_VALUE"""),45197.705884930554)</f>
        <v>45197.70588</v>
      </c>
      <c r="B227" s="89" t="b">
        <v>1</v>
      </c>
      <c r="C227" s="90" t="str">
        <f t="shared" si="1"/>
        <v>Fall 2023</v>
      </c>
      <c r="D227" s="91" t="str">
        <f>IFERROR(__xludf.DUMMYFUNCTION("""COMPUTED_VALUE"""),"lxd7115@mavs.uta.edu")</f>
        <v>lxd7115@mavs.uta.edu</v>
      </c>
      <c r="E227" s="92" t="str">
        <f>IFERROR(__xludf.DUMMYFUNCTION("""COMPUTED_VALUE"""),"Lin Deng")</f>
        <v>Lin Deng</v>
      </c>
      <c r="F227" s="93" t="str">
        <f>IFERROR(__xludf.DUMMYFUNCTION("""COMPUTED_VALUE"""),"linniebear")</f>
        <v>linniebear</v>
      </c>
      <c r="G227" s="92"/>
      <c r="H227" s="94" t="str">
        <f>IFERROR(__xludf.DUMMYFUNCTION("""COMPUTED_VALUE"""),"(682) 216-7155")</f>
        <v>(682) 216-7155</v>
      </c>
      <c r="I227" s="94" t="str">
        <f>IFERROR(__xludf.DUMMYFUNCTION("""COMPUTED_VALUE"""),"Student")</f>
        <v>Student</v>
      </c>
      <c r="J227" s="93" t="str">
        <f>IFERROR(__xludf.DUMMYFUNCTION("""COMPUTED_VALUE"""),"$15 Donation, Discord Verification")</f>
        <v>$15 Donation, Discord Verification</v>
      </c>
      <c r="K227" s="100"/>
      <c r="L227" s="101"/>
      <c r="M227" s="100"/>
      <c r="N227" s="94"/>
      <c r="O227" s="93" t="str">
        <f>IFERROR(__xludf.DUMMYFUNCTION("""COMPUTED_VALUE"""),"Membership, Feeding")</f>
        <v>Membership, Feeding</v>
      </c>
      <c r="P22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27" s="99"/>
    </row>
    <row r="228" ht="13.5" customHeight="1">
      <c r="A228" s="88">
        <f>IFERROR(__xludf.DUMMYFUNCTION("""COMPUTED_VALUE"""),45201.45689518518)</f>
        <v>45201.4569</v>
      </c>
      <c r="B228" s="89" t="b">
        <v>1</v>
      </c>
      <c r="C228" s="90" t="str">
        <f t="shared" si="1"/>
        <v>Fall 2023</v>
      </c>
      <c r="D228" s="91" t="str">
        <f>IFERROR(__xludf.DUMMYFUNCTION("""COMPUTED_VALUE"""),"vjr5727@mavs.uta.edu")</f>
        <v>vjr5727@mavs.uta.edu</v>
      </c>
      <c r="E228" s="92" t="str">
        <f>IFERROR(__xludf.DUMMYFUNCTION("""COMPUTED_VALUE"""),"Vanesa Rodriguez")</f>
        <v>Vanesa Rodriguez</v>
      </c>
      <c r="F228" s="93" t="str">
        <f>IFERROR(__xludf.DUMMYFUNCTION("""COMPUTED_VALUE"""),"vjrp2002")</f>
        <v>vjrp2002</v>
      </c>
      <c r="G228" s="92"/>
      <c r="H228" s="94" t="str">
        <f>IFERROR(__xludf.DUMMYFUNCTION("""COMPUTED_VALUE"""),"(214) 516-9548")</f>
        <v>(214) 516-9548</v>
      </c>
      <c r="I228" s="94" t="str">
        <f>IFERROR(__xludf.DUMMYFUNCTION("""COMPUTED_VALUE"""),"Student")</f>
        <v>Student</v>
      </c>
      <c r="J228" s="93" t="str">
        <f>IFERROR(__xludf.DUMMYFUNCTION("""COMPUTED_VALUE"""),"$15 Donation, Discord Verification")</f>
        <v>$15 Donation, Discord Verification</v>
      </c>
      <c r="K228" s="100"/>
      <c r="L228" s="101"/>
      <c r="M228" s="100"/>
      <c r="N228" s="94"/>
      <c r="O228" s="93" t="str">
        <f>IFERROR(__xludf.DUMMYFUNCTION("""COMPUTED_VALUE"""),"Fundraising, PR, Feeding")</f>
        <v>Fundraising, PR, Feeding</v>
      </c>
      <c r="P22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28" s="99"/>
    </row>
    <row r="229" ht="13.5" customHeight="1">
      <c r="A229" s="88">
        <f>IFERROR(__xludf.DUMMYFUNCTION("""COMPUTED_VALUE"""),45203.636995486115)</f>
        <v>45203.637</v>
      </c>
      <c r="B229" s="89" t="b">
        <v>1</v>
      </c>
      <c r="C229" s="90" t="str">
        <f t="shared" si="1"/>
        <v>Fall 2023</v>
      </c>
      <c r="D229" s="91" t="str">
        <f>IFERROR(__xludf.DUMMYFUNCTION("""COMPUTED_VALUE"""),"mjp0088@mavs.uta.edu")</f>
        <v>mjp0088@mavs.uta.edu</v>
      </c>
      <c r="E229" s="92" t="str">
        <f>IFERROR(__xludf.DUMMYFUNCTION("""COMPUTED_VALUE"""),"Marco Paessler")</f>
        <v>Marco Paessler</v>
      </c>
      <c r="F229" s="93" t="str">
        <f>IFERROR(__xludf.DUMMYFUNCTION("""COMPUTED_VALUE"""),"xhilarating")</f>
        <v>xhilarating</v>
      </c>
      <c r="G229" s="92"/>
      <c r="H229" s="94" t="str">
        <f>IFERROR(__xludf.DUMMYFUNCTION("""COMPUTED_VALUE"""),"")</f>
        <v/>
      </c>
      <c r="I229" s="94" t="str">
        <f>IFERROR(__xludf.DUMMYFUNCTION("""COMPUTED_VALUE"""),"Student")</f>
        <v>Student</v>
      </c>
      <c r="J229" s="93" t="str">
        <f>IFERROR(__xludf.DUMMYFUNCTION("""COMPUTED_VALUE"""),"Food/Litter Donation")</f>
        <v>Food/Litter Donation</v>
      </c>
      <c r="K229" s="100"/>
      <c r="L229" s="101"/>
      <c r="M229" s="100"/>
      <c r="N229" s="94"/>
      <c r="O229" s="93" t="str">
        <f>IFERROR(__xludf.DUMMYFUNCTION("""COMPUTED_VALUE"""),"PR, Membership, TNR, Overnight TNR, Feeding, Shelter Maintenance, I’m a vet tech so I don’t mind trying to take care of em :)")</f>
        <v>PR, Membership, TNR, Overnight TNR, Feeding, Shelter Maintenance, I’m a vet tech so I don’t mind trying to take care of em :)</v>
      </c>
      <c r="P22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29" s="99"/>
    </row>
    <row r="230" ht="13.5" customHeight="1">
      <c r="A230" s="88">
        <f>IFERROR(__xludf.DUMMYFUNCTION("""COMPUTED_VALUE"""),45216.540296782405)</f>
        <v>45216.5403</v>
      </c>
      <c r="B230" s="89" t="b">
        <v>1</v>
      </c>
      <c r="C230" s="90" t="str">
        <f t="shared" si="1"/>
        <v>Fall 2023</v>
      </c>
      <c r="D230" s="91" t="str">
        <f>IFERROR(__xludf.DUMMYFUNCTION("""COMPUTED_VALUE"""),"btt4576@mavs.uta.edu")</f>
        <v>btt4576@mavs.uta.edu</v>
      </c>
      <c r="E230" s="92" t="str">
        <f>IFERROR(__xludf.DUMMYFUNCTION("""COMPUTED_VALUE"""),"Benjamin Tucker")</f>
        <v>Benjamin Tucker</v>
      </c>
      <c r="F230" s="93" t="str">
        <f>IFERROR(__xludf.DUMMYFUNCTION("""COMPUTED_VALUE"""),"void_now")</f>
        <v>void_now</v>
      </c>
      <c r="G230" s="92"/>
      <c r="H230" s="94" t="str">
        <f>IFERROR(__xludf.DUMMYFUNCTION("""COMPUTED_VALUE"""),"(214) 972-5108")</f>
        <v>(214) 972-5108</v>
      </c>
      <c r="I230" s="94" t="str">
        <f>IFERROR(__xludf.DUMMYFUNCTION("""COMPUTED_VALUE"""),"Student")</f>
        <v>Student</v>
      </c>
      <c r="J230" s="93" t="str">
        <f>IFERROR(__xludf.DUMMYFUNCTION("""COMPUTED_VALUE"""),"$15 Donation, Discord Verification")</f>
        <v>$15 Donation, Discord Verification</v>
      </c>
      <c r="K230" s="100"/>
      <c r="L230" s="101"/>
      <c r="M230" s="100"/>
      <c r="N230" s="94"/>
      <c r="O230" s="93" t="str">
        <f>IFERROR(__xludf.DUMMYFUNCTION("""COMPUTED_VALUE"""),"Fundraising, PR, Feeding, Shelter Maintenance")</f>
        <v>Fundraising, PR, Feeding, Shelter Maintenance</v>
      </c>
      <c r="P23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30" s="99"/>
    </row>
    <row r="231" ht="13.5" customHeight="1">
      <c r="A231" s="88">
        <f>IFERROR(__xludf.DUMMYFUNCTION("""COMPUTED_VALUE"""),45228.61761271991)</f>
        <v>45228.61761</v>
      </c>
      <c r="B231" s="89" t="b">
        <v>1</v>
      </c>
      <c r="C231" s="90" t="str">
        <f t="shared" si="1"/>
        <v>Fall 2023</v>
      </c>
      <c r="D231" s="91" t="str">
        <f>IFERROR(__xludf.DUMMYFUNCTION("""COMPUTED_VALUE"""),"axeltorres810@gmail.com")</f>
        <v>axeltorres810@gmail.com</v>
      </c>
      <c r="E231" s="92" t="str">
        <f>IFERROR(__xludf.DUMMYFUNCTION("""COMPUTED_VALUE"""),"Axel Torres")</f>
        <v>Axel Torres</v>
      </c>
      <c r="F231" s="93" t="str">
        <f>IFERROR(__xludf.DUMMYFUNCTION("""COMPUTED_VALUE"""),"Ludavis")</f>
        <v>Ludavis</v>
      </c>
      <c r="G231" s="92"/>
      <c r="H231" s="94" t="str">
        <f>IFERROR(__xludf.DUMMYFUNCTION("""COMPUTED_VALUE"""),"(817) 437-1285")</f>
        <v>(817) 437-1285</v>
      </c>
      <c r="I231" s="94" t="str">
        <f>IFERROR(__xludf.DUMMYFUNCTION("""COMPUTED_VALUE"""),"Community Member")</f>
        <v>Community Member</v>
      </c>
      <c r="J231" s="93" t="str">
        <f>IFERROR(__xludf.DUMMYFUNCTION("""COMPUTED_VALUE"""),"$15 Donation, Discord Verification")</f>
        <v>$15 Donation, Discord Verification</v>
      </c>
      <c r="K231" s="100"/>
      <c r="L231" s="101"/>
      <c r="M231" s="100"/>
      <c r="N231" s="94"/>
      <c r="O231" s="93" t="str">
        <f>IFERROR(__xludf.DUMMYFUNCTION("""COMPUTED_VALUE"""),"Any, I live within a 8 min drive of UTA + I have a car")</f>
        <v>Any, I live within a 8 min drive of UTA + I have a car</v>
      </c>
      <c r="P23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31" s="99"/>
    </row>
    <row r="232" ht="13.5" customHeight="1">
      <c r="A232" s="88">
        <f>IFERROR(__xludf.DUMMYFUNCTION("""COMPUTED_VALUE"""),45244.558567395834)</f>
        <v>45244.55857</v>
      </c>
      <c r="B232" s="89" t="b">
        <v>1</v>
      </c>
      <c r="C232" s="90" t="str">
        <f t="shared" si="1"/>
        <v>Fall 2023</v>
      </c>
      <c r="D232" s="91" t="str">
        <f>IFERROR(__xludf.DUMMYFUNCTION("""COMPUTED_VALUE"""),"elk0174@mavs.uta.edu")</f>
        <v>elk0174@mavs.uta.edu</v>
      </c>
      <c r="E232" s="92" t="str">
        <f>IFERROR(__xludf.DUMMYFUNCTION("""COMPUTED_VALUE"""),"Elk Koehne")</f>
        <v>Elk Koehne</v>
      </c>
      <c r="F232" s="93" t="str">
        <f>IFERROR(__xludf.DUMMYFUNCTION("""COMPUTED_VALUE"""),"Elk4life")</f>
        <v>Elk4life</v>
      </c>
      <c r="G232" s="92"/>
      <c r="H232" s="94" t="str">
        <f>IFERROR(__xludf.DUMMYFUNCTION("""COMPUTED_VALUE"""),"(817) 201-6104")</f>
        <v>(817) 201-6104</v>
      </c>
      <c r="I232" s="94" t="str">
        <f>IFERROR(__xludf.DUMMYFUNCTION("""COMPUTED_VALUE"""),"Student")</f>
        <v>Student</v>
      </c>
      <c r="J232" s="93" t="str">
        <f>IFERROR(__xludf.DUMMYFUNCTION("""COMPUTED_VALUE"""),"$15 Donation, Discord Verification")</f>
        <v>$15 Donation, Discord Verification</v>
      </c>
      <c r="K232" s="100"/>
      <c r="L232" s="101"/>
      <c r="M232" s="100"/>
      <c r="N232" s="94"/>
      <c r="O232" s="93" t="str">
        <f>IFERROR(__xludf.DUMMYFUNCTION("""COMPUTED_VALUE"""),"Still looking ")</f>
        <v>Still looking </v>
      </c>
      <c r="P23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32" s="102" t="s">
        <v>48</v>
      </c>
    </row>
    <row r="233" ht="13.5" customHeight="1">
      <c r="A233" s="88">
        <f>IFERROR(__xludf.DUMMYFUNCTION("""COMPUTED_VALUE"""),45270.67442795139)</f>
        <v>45270.67443</v>
      </c>
      <c r="B233" s="89" t="b">
        <v>1</v>
      </c>
      <c r="C233" s="111" t="s">
        <v>49</v>
      </c>
      <c r="D233" s="91" t="str">
        <f>IFERROR(__xludf.DUMMYFUNCTION("""COMPUTED_VALUE"""),"maddox.flores@mavs.uta.edu")</f>
        <v>maddox.flores@mavs.uta.edu</v>
      </c>
      <c r="E233" s="92" t="str">
        <f>IFERROR(__xludf.DUMMYFUNCTION("""COMPUTED_VALUE"""),"Maddox Flores")</f>
        <v>Maddox Flores</v>
      </c>
      <c r="F233" s="93" t="str">
        <f>IFERROR(__xludf.DUMMYFUNCTION("""COMPUTED_VALUE"""),"maddoxrain")</f>
        <v>maddoxrain</v>
      </c>
      <c r="G233" s="92"/>
      <c r="H233" s="94" t="str">
        <f>IFERROR(__xludf.DUMMYFUNCTION("""COMPUTED_VALUE"""),"(940) 447-6986")</f>
        <v>(940) 447-6986</v>
      </c>
      <c r="I233" s="94" t="str">
        <f>IFERROR(__xludf.DUMMYFUNCTION("""COMPUTED_VALUE"""),"Student")</f>
        <v>Student</v>
      </c>
      <c r="J233" s="93" t="str">
        <f>IFERROR(__xludf.DUMMYFUNCTION("""COMPUTED_VALUE"""),"$15 Donation, Discord Verification")</f>
        <v>$15 Donation, Discord Verification</v>
      </c>
      <c r="K233" s="97" t="b">
        <v>0</v>
      </c>
      <c r="L233" s="96" t="s">
        <v>13</v>
      </c>
      <c r="M233" s="95">
        <v>0.0</v>
      </c>
      <c r="N233" s="97" t="b">
        <v>1</v>
      </c>
      <c r="O233" s="93" t="str">
        <f>IFERROR(__xludf.DUMMYFUNCTION("""COMPUTED_VALUE"""),"Fundraising, PR, Membership, Feeding")</f>
        <v>Fundraising, PR, Membership, Feeding</v>
      </c>
      <c r="P23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33" s="102" t="s">
        <v>50</v>
      </c>
    </row>
    <row r="234" ht="13.5" customHeight="1">
      <c r="A234" s="88">
        <f>IFERROR(__xludf.DUMMYFUNCTION("""COMPUTED_VALUE"""),45297.18509680555)</f>
        <v>45297.1851</v>
      </c>
      <c r="B234" s="89" t="b">
        <v>1</v>
      </c>
      <c r="C234" s="90" t="str">
        <f t="shared" ref="C234:C477" si="2">IF(A234&lt;&gt;"", IFERROR(IF(MONTH(A234) &lt; 6, "Spring ", "Fall ") &amp; IF(MONTH(A234) &lt; 6, YEAR(A234), YEAR(A234) + IF(MONTH(A234) = 12, 1, 0)), ""), "")</f>
        <v>Spring 2024</v>
      </c>
      <c r="D234" s="91" t="str">
        <f>IFERROR(__xludf.DUMMYFUNCTION("""COMPUTED_VALUE"""),"jxw1244@mavs.uta.edu")</f>
        <v>jxw1244@mavs.uta.edu</v>
      </c>
      <c r="E234" s="92" t="str">
        <f>IFERROR(__xludf.DUMMYFUNCTION("""COMPUTED_VALUE"""),"Jane Wang")</f>
        <v>Jane Wang</v>
      </c>
      <c r="F234" s="93" t="str">
        <f>IFERROR(__xludf.DUMMYFUNCTION("""COMPUTED_VALUE"""),"janeirl")</f>
        <v>janeirl</v>
      </c>
      <c r="G234" s="92"/>
      <c r="H234" s="94" t="str">
        <f>IFERROR(__xludf.DUMMYFUNCTION("""COMPUTED_VALUE"""),"")</f>
        <v/>
      </c>
      <c r="I234" s="94" t="str">
        <f>IFERROR(__xludf.DUMMYFUNCTION("""COMPUTED_VALUE"""),"Student")</f>
        <v>Student</v>
      </c>
      <c r="J234" s="93" t="str">
        <f>IFERROR(__xludf.DUMMYFUNCTION("""COMPUTED_VALUE"""),"$15 Donation, Discord Verification")</f>
        <v>$15 Donation, Discord Verification</v>
      </c>
      <c r="K234" s="97" t="b">
        <v>0</v>
      </c>
      <c r="L234" s="96" t="s">
        <v>15</v>
      </c>
      <c r="M234" s="95">
        <v>0.0</v>
      </c>
      <c r="N234" s="97" t="b">
        <v>1</v>
      </c>
      <c r="O234" s="93" t="str">
        <f>IFERROR(__xludf.DUMMYFUNCTION("""COMPUTED_VALUE"""),"Feeding")</f>
        <v>Feeding</v>
      </c>
      <c r="P23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34" s="99"/>
    </row>
    <row r="235" ht="13.5" customHeight="1">
      <c r="A235" s="88">
        <f>IFERROR(__xludf.DUMMYFUNCTION("""COMPUTED_VALUE"""),45298.43376215278)</f>
        <v>45298.43376</v>
      </c>
      <c r="B235" s="89" t="b">
        <v>1</v>
      </c>
      <c r="C235" s="90" t="str">
        <f t="shared" si="2"/>
        <v>Spring 2024</v>
      </c>
      <c r="D235" s="91" t="str">
        <f>IFERROR(__xludf.DUMMYFUNCTION("""COMPUTED_VALUE"""),"henry.anderson@uta.edu")</f>
        <v>henry.anderson@uta.edu</v>
      </c>
      <c r="E235" s="92" t="str">
        <f>IFERROR(__xludf.DUMMYFUNCTION("""COMPUTED_VALUE"""),"Henry Anderson")</f>
        <v>Henry Anderson</v>
      </c>
      <c r="F235" s="93" t="str">
        <f>IFERROR(__xludf.DUMMYFUNCTION("""COMPUTED_VALUE"""),"hlewagastiz")</f>
        <v>hlewagastiz</v>
      </c>
      <c r="G235" s="92"/>
      <c r="H235" s="94" t="str">
        <f>IFERROR(__xludf.DUMMYFUNCTION("""COMPUTED_VALUE"""),"(832) 477-2460")</f>
        <v>(832) 477-2460</v>
      </c>
      <c r="I235" s="94" t="str">
        <f>IFERROR(__xludf.DUMMYFUNCTION("""COMPUTED_VALUE"""),"UTA Faculty")</f>
        <v>UTA Faculty</v>
      </c>
      <c r="J235" s="93" t="str">
        <f>IFERROR(__xludf.DUMMYFUNCTION("""COMPUTED_VALUE"""),"$15 Donation, Discord Verification")</f>
        <v>$15 Donation, Discord Verification</v>
      </c>
      <c r="K235" s="97" t="b">
        <v>0</v>
      </c>
      <c r="L235" s="96" t="s">
        <v>11</v>
      </c>
      <c r="M235" s="95">
        <v>0.0</v>
      </c>
      <c r="N235" s="97" t="b">
        <v>1</v>
      </c>
      <c r="O235" s="93" t="str">
        <f>IFERROR(__xludf.DUMMYFUNCTION("""COMPUTED_VALUE"""),"Feeding")</f>
        <v>Feeding</v>
      </c>
      <c r="P23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35" s="99"/>
    </row>
    <row r="236" ht="13.5" customHeight="1">
      <c r="A236" s="88">
        <f>IFERROR(__xludf.DUMMYFUNCTION("""COMPUTED_VALUE"""),45300.494978414354)</f>
        <v>45300.49498</v>
      </c>
      <c r="B236" s="89" t="b">
        <v>1</v>
      </c>
      <c r="C236" s="90" t="str">
        <f t="shared" si="2"/>
        <v>Spring 2024</v>
      </c>
      <c r="D236" s="91" t="str">
        <f>IFERROR(__xludf.DUMMYFUNCTION("""COMPUTED_VALUE"""),"exb7401@mavs.uta.edu")</f>
        <v>exb7401@mavs.uta.edu</v>
      </c>
      <c r="E236" s="92" t="str">
        <f>IFERROR(__xludf.DUMMYFUNCTION("""COMPUTED_VALUE"""),"Eduardo Barrera")</f>
        <v>Eduardo Barrera</v>
      </c>
      <c r="F236" s="93" t="str">
        <f>IFERROR(__xludf.DUMMYFUNCTION("""COMPUTED_VALUE"""),"diaxart")</f>
        <v>diaxart</v>
      </c>
      <c r="G236" s="92"/>
      <c r="H236" s="94" t="str">
        <f>IFERROR(__xludf.DUMMYFUNCTION("""COMPUTED_VALUE"""),"(682) 320-1972")</f>
        <v>(682) 320-1972</v>
      </c>
      <c r="I236" s="94" t="str">
        <f>IFERROR(__xludf.DUMMYFUNCTION("""COMPUTED_VALUE"""),"Student")</f>
        <v>Student</v>
      </c>
      <c r="J236" s="93" t="str">
        <f>IFERROR(__xludf.DUMMYFUNCTION("""COMPUTED_VALUE"""),"$15 Donation, Discord Verification")</f>
        <v>$15 Donation, Discord Verification</v>
      </c>
      <c r="K236" s="97" t="b">
        <v>0</v>
      </c>
      <c r="L236" s="96" t="s">
        <v>11</v>
      </c>
      <c r="M236" s="95">
        <v>0.0</v>
      </c>
      <c r="N236" s="97" t="b">
        <v>1</v>
      </c>
      <c r="O236" s="93" t="str">
        <f>IFERROR(__xludf.DUMMYFUNCTION("""COMPUTED_VALUE"""),"Feeding")</f>
        <v>Feeding</v>
      </c>
      <c r="P23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36" s="99"/>
    </row>
    <row r="237" ht="13.5" customHeight="1">
      <c r="A237" s="88">
        <f>IFERROR(__xludf.DUMMYFUNCTION("""COMPUTED_VALUE"""),45300.80864739583)</f>
        <v>45300.80865</v>
      </c>
      <c r="B237" s="89" t="b">
        <v>0</v>
      </c>
      <c r="C237" s="90" t="str">
        <f t="shared" si="2"/>
        <v>Spring 2024</v>
      </c>
      <c r="D237" s="112" t="str">
        <f>IFERROR(__xludf.DUMMYFUNCTION("""COMPUTED_VALUE"""),"paulisadora4@gmail.com")</f>
        <v>paulisadora4@gmail.com</v>
      </c>
      <c r="E237" s="113" t="str">
        <f>IFERROR(__xludf.DUMMYFUNCTION("""COMPUTED_VALUE"""),"Isadora Paul")</f>
        <v>Isadora Paul</v>
      </c>
      <c r="F237" s="114" t="str">
        <f>IFERROR(__xludf.DUMMYFUNCTION("""COMPUTED_VALUE"""),"isadoratheexplorer")</f>
        <v>isadoratheexplorer</v>
      </c>
      <c r="G237" s="113"/>
      <c r="H237" s="115" t="str">
        <f>IFERROR(__xludf.DUMMYFUNCTION("""COMPUTED_VALUE"""),"(817) 730-8579")</f>
        <v>(817) 730-8579</v>
      </c>
      <c r="I237" s="115" t="str">
        <f>IFERROR(__xludf.DUMMYFUNCTION("""COMPUTED_VALUE"""),"Student")</f>
        <v>Student</v>
      </c>
      <c r="J237" s="114" t="str">
        <f>IFERROR(__xludf.DUMMYFUNCTION("""COMPUTED_VALUE"""),"$15 Donation, Discord Verification")</f>
        <v>$15 Donation, Discord Verification</v>
      </c>
      <c r="K237" s="116" t="b">
        <v>0</v>
      </c>
      <c r="L237" s="117"/>
      <c r="M237" s="118">
        <v>0.0</v>
      </c>
      <c r="N237" s="116" t="b">
        <v>0</v>
      </c>
      <c r="O237" s="114" t="str">
        <f>IFERROR(__xludf.DUMMYFUNCTION("""COMPUTED_VALUE"""),"PR, Membership, Feeding, Shelter Maintenance")</f>
        <v>PR, Membership, Feeding, Shelter Maintenance</v>
      </c>
      <c r="P23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37" s="102" t="s">
        <v>51</v>
      </c>
    </row>
    <row r="238" ht="13.5" customHeight="1">
      <c r="A238" s="88">
        <f>IFERROR(__xludf.DUMMYFUNCTION("""COMPUTED_VALUE"""),45302.95226854167)</f>
        <v>45302.95227</v>
      </c>
      <c r="B238" s="89" t="b">
        <v>1</v>
      </c>
      <c r="C238" s="90" t="str">
        <f t="shared" si="2"/>
        <v>Spring 2024</v>
      </c>
      <c r="D238" s="91" t="str">
        <f>IFERROR(__xludf.DUMMYFUNCTION("""COMPUTED_VALUE"""),"dxs7542@mavs.uta.edu")</f>
        <v>dxs7542@mavs.uta.edu</v>
      </c>
      <c r="E238" s="92" t="str">
        <f>IFERROR(__xludf.DUMMYFUNCTION("""COMPUTED_VALUE"""),"Danyelle Schofield")</f>
        <v>Danyelle Schofield</v>
      </c>
      <c r="F238" s="93" t="str">
        <f>IFERROR(__xludf.DUMMYFUNCTION("""COMPUTED_VALUE"""),"slayc127")</f>
        <v>slayc127</v>
      </c>
      <c r="G238" s="92"/>
      <c r="H238" s="94" t="str">
        <f>IFERROR(__xludf.DUMMYFUNCTION("""COMPUTED_VALUE"""),"")</f>
        <v/>
      </c>
      <c r="I238" s="94" t="str">
        <f>IFERROR(__xludf.DUMMYFUNCTION("""COMPUTED_VALUE"""),"Student")</f>
        <v>Student</v>
      </c>
      <c r="J238" s="93" t="str">
        <f>IFERROR(__xludf.DUMMYFUNCTION("""COMPUTED_VALUE"""),"$15 Donation, Discord Verification")</f>
        <v>$15 Donation, Discord Verification</v>
      </c>
      <c r="K238" s="97" t="b">
        <v>0</v>
      </c>
      <c r="L238" s="96" t="s">
        <v>15</v>
      </c>
      <c r="M238" s="95">
        <v>0.0</v>
      </c>
      <c r="N238" s="97" t="b">
        <v>1</v>
      </c>
      <c r="O238" s="93" t="str">
        <f>IFERROR(__xludf.DUMMYFUNCTION("""COMPUTED_VALUE"""),"Feeding, Shelter Maintenance")</f>
        <v>Feeding, Shelter Maintenance</v>
      </c>
      <c r="P23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38" s="99"/>
    </row>
    <row r="239" ht="13.5" customHeight="1">
      <c r="A239" s="88">
        <f>IFERROR(__xludf.DUMMYFUNCTION("""COMPUTED_VALUE"""),45306.544730486115)</f>
        <v>45306.54473</v>
      </c>
      <c r="B239" s="89" t="b">
        <v>1</v>
      </c>
      <c r="C239" s="90" t="str">
        <f t="shared" si="2"/>
        <v>Spring 2024</v>
      </c>
      <c r="D239" s="91" t="str">
        <f>IFERROR(__xludf.DUMMYFUNCTION("""COMPUTED_VALUE"""),"mhh6112@mavs.uta.edu")</f>
        <v>mhh6112@mavs.uta.edu</v>
      </c>
      <c r="E239" s="92" t="str">
        <f>IFERROR(__xludf.DUMMYFUNCTION("""COMPUTED_VALUE"""),"Mallory Haven Hernandez ")</f>
        <v>Mallory Haven Hernandez </v>
      </c>
      <c r="F239" s="93" t="str">
        <f>IFERROR(__xludf.DUMMYFUNCTION("""COMPUTED_VALUE"""),"malloryhaven #4338")</f>
        <v>malloryhaven #4338</v>
      </c>
      <c r="G239" s="92"/>
      <c r="H239" s="94" t="str">
        <f>IFERROR(__xludf.DUMMYFUNCTION("""COMPUTED_VALUE"""),"(972) 351-7218")</f>
        <v>(972) 351-7218</v>
      </c>
      <c r="I239" s="94" t="str">
        <f>IFERROR(__xludf.DUMMYFUNCTION("""COMPUTED_VALUE"""),"Student")</f>
        <v>Student</v>
      </c>
      <c r="J239" s="93" t="str">
        <f>IFERROR(__xludf.DUMMYFUNCTION("""COMPUTED_VALUE"""),"$15 Donation, Discord Verification")</f>
        <v>$15 Donation, Discord Verification</v>
      </c>
      <c r="K239" s="97" t="b">
        <v>0</v>
      </c>
      <c r="L239" s="96" t="s">
        <v>15</v>
      </c>
      <c r="M239" s="95">
        <v>0.0</v>
      </c>
      <c r="N239" s="97" t="b">
        <v>1</v>
      </c>
      <c r="O239" s="93" t="str">
        <f>IFERROR(__xludf.DUMMYFUNCTION("""COMPUTED_VALUE"""),"Feeding")</f>
        <v>Feeding</v>
      </c>
      <c r="P23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39" s="99"/>
    </row>
    <row r="240" ht="13.5" customHeight="1">
      <c r="A240" s="88">
        <f>IFERROR(__xludf.DUMMYFUNCTION("""COMPUTED_VALUE"""),45307.55313835648)</f>
        <v>45307.55314</v>
      </c>
      <c r="B240" s="89" t="b">
        <v>1</v>
      </c>
      <c r="C240" s="90" t="str">
        <f t="shared" si="2"/>
        <v>Spring 2024</v>
      </c>
      <c r="D240" s="91" t="str">
        <f>IFERROR(__xludf.DUMMYFUNCTION("""COMPUTED_VALUE"""),"tmv5750@mavs.uta.edu")</f>
        <v>tmv5750@mavs.uta.edu</v>
      </c>
      <c r="E240" s="92" t="str">
        <f>IFERROR(__xludf.DUMMYFUNCTION("""COMPUTED_VALUE"""),"Typhanne Saskya Maia Vieira")</f>
        <v>Typhanne Saskya Maia Vieira</v>
      </c>
      <c r="F240" s="93" t="str">
        <f>IFERROR(__xludf.DUMMYFUNCTION("""COMPUTED_VALUE"""),"typhanne")</f>
        <v>typhanne</v>
      </c>
      <c r="G240" s="92"/>
      <c r="H240" s="94" t="str">
        <f>IFERROR(__xludf.DUMMYFUNCTION("""COMPUTED_VALUE"""),"(716) 579-4668")</f>
        <v>(716) 579-4668</v>
      </c>
      <c r="I240" s="94" t="str">
        <f>IFERROR(__xludf.DUMMYFUNCTION("""COMPUTED_VALUE"""),"Student")</f>
        <v>Student</v>
      </c>
      <c r="J240" s="93" t="str">
        <f>IFERROR(__xludf.DUMMYFUNCTION("""COMPUTED_VALUE"""),"$15 Donation, Discord Verification")</f>
        <v>$15 Donation, Discord Verification</v>
      </c>
      <c r="K240" s="97" t="b">
        <v>0</v>
      </c>
      <c r="L240" s="96" t="s">
        <v>15</v>
      </c>
      <c r="M240" s="95">
        <v>5.0</v>
      </c>
      <c r="N240" s="97" t="b">
        <v>1</v>
      </c>
      <c r="O240" s="93" t="str">
        <f>IFERROR(__xludf.DUMMYFUNCTION("""COMPUTED_VALUE"""),"Feeding, Shelter Maintenance")</f>
        <v>Feeding, Shelter Maintenance</v>
      </c>
      <c r="P24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40" s="102" t="s">
        <v>52</v>
      </c>
    </row>
    <row r="241" ht="13.5" customHeight="1">
      <c r="A241" s="88">
        <f>IFERROR(__xludf.DUMMYFUNCTION("""COMPUTED_VALUE"""),45308.923989999996)</f>
        <v>45308.92399</v>
      </c>
      <c r="B241" s="89" t="b">
        <v>1</v>
      </c>
      <c r="C241" s="90" t="str">
        <f t="shared" si="2"/>
        <v>Spring 2024</v>
      </c>
      <c r="D241" s="91" t="str">
        <f>IFERROR(__xludf.DUMMYFUNCTION("""COMPUTED_VALUE"""),"mag9071@mavs.uta.edu")</f>
        <v>mag9071@mavs.uta.edu</v>
      </c>
      <c r="E241" s="92" t="str">
        <f>IFERROR(__xludf.DUMMYFUNCTION("""COMPUTED_VALUE"""),"Mary Abby Goss")</f>
        <v>Mary Abby Goss</v>
      </c>
      <c r="F241" s="93" t="str">
        <f>IFERROR(__xludf.DUMMYFUNCTION("""COMPUTED_VALUE"""),"magoss")</f>
        <v>magoss</v>
      </c>
      <c r="G241" s="92"/>
      <c r="H241" s="94" t="str">
        <f>IFERROR(__xludf.DUMMYFUNCTION("""COMPUTED_VALUE"""),"(512) 516-4654")</f>
        <v>(512) 516-4654</v>
      </c>
      <c r="I241" s="94" t="str">
        <f>IFERROR(__xludf.DUMMYFUNCTION("""COMPUTED_VALUE"""),"Student")</f>
        <v>Student</v>
      </c>
      <c r="J241" s="93" t="str">
        <f>IFERROR(__xludf.DUMMYFUNCTION("""COMPUTED_VALUE"""),"$15 Donation, Discord Verification")</f>
        <v>$15 Donation, Discord Verification</v>
      </c>
      <c r="K241" s="97" t="b">
        <v>0</v>
      </c>
      <c r="L241" s="96" t="s">
        <v>15</v>
      </c>
      <c r="M241" s="95">
        <v>0.0</v>
      </c>
      <c r="N241" s="97" t="b">
        <v>1</v>
      </c>
      <c r="O241" s="93" t="str">
        <f>IFERROR(__xludf.DUMMYFUNCTION("""COMPUTED_VALUE"""),"Fundraising, PR, Feeding, Shelter Maintenance")</f>
        <v>Fundraising, PR, Feeding, Shelter Maintenance</v>
      </c>
      <c r="P24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41" s="99"/>
    </row>
    <row r="242" ht="13.5" customHeight="1">
      <c r="A242" s="88">
        <f>IFERROR(__xludf.DUMMYFUNCTION("""COMPUTED_VALUE"""),45309.548600486116)</f>
        <v>45309.5486</v>
      </c>
      <c r="B242" s="89" t="b">
        <v>1</v>
      </c>
      <c r="C242" s="90" t="str">
        <f t="shared" si="2"/>
        <v>Spring 2024</v>
      </c>
      <c r="D242" s="91" t="str">
        <f>IFERROR(__xludf.DUMMYFUNCTION("""COMPUTED_VALUE"""),"paulisadora4@gmail.com")</f>
        <v>paulisadora4@gmail.com</v>
      </c>
      <c r="E242" s="92" t="str">
        <f>IFERROR(__xludf.DUMMYFUNCTION("""COMPUTED_VALUE"""),"Isadora  Paul")</f>
        <v>Isadora  Paul</v>
      </c>
      <c r="F242" s="93" t="str">
        <f>IFERROR(__xludf.DUMMYFUNCTION("""COMPUTED_VALUE"""),"isadoratheexplorer")</f>
        <v>isadoratheexplorer</v>
      </c>
      <c r="G242" s="92"/>
      <c r="H242" s="94" t="str">
        <f>IFERROR(__xludf.DUMMYFUNCTION("""COMPUTED_VALUE"""),"(817) 730-8579")</f>
        <v>(817) 730-8579</v>
      </c>
      <c r="I242" s="94" t="str">
        <f>IFERROR(__xludf.DUMMYFUNCTION("""COMPUTED_VALUE"""),"Student")</f>
        <v>Student</v>
      </c>
      <c r="J242" s="93" t="str">
        <f>IFERROR(__xludf.DUMMYFUNCTION("""COMPUTED_VALUE"""),"$15 Donation, Discord Verification")</f>
        <v>$15 Donation, Discord Verification</v>
      </c>
      <c r="K242" s="97" t="b">
        <v>0</v>
      </c>
      <c r="L242" s="96" t="s">
        <v>13</v>
      </c>
      <c r="M242" s="95">
        <v>0.0</v>
      </c>
      <c r="N242" s="97" t="b">
        <v>1</v>
      </c>
      <c r="O242" s="93" t="str">
        <f>IFERROR(__xludf.DUMMYFUNCTION("""COMPUTED_VALUE"""),"PR, Membership, Feeding, Shelter Maintenance")</f>
        <v>PR, Membership, Feeding, Shelter Maintenance</v>
      </c>
      <c r="P24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42" s="102" t="s">
        <v>53</v>
      </c>
    </row>
    <row r="243" ht="13.5" customHeight="1">
      <c r="A243" s="88">
        <f>IFERROR(__xludf.DUMMYFUNCTION("""COMPUTED_VALUE"""),45311.01545276621)</f>
        <v>45311.01545</v>
      </c>
      <c r="B243" s="89" t="b">
        <v>1</v>
      </c>
      <c r="C243" s="90" t="str">
        <f t="shared" si="2"/>
        <v>Spring 2024</v>
      </c>
      <c r="D243" s="91" t="str">
        <f>IFERROR(__xludf.DUMMYFUNCTION("""COMPUTED_VALUE"""),"ajb1480@mavs.uta.edu")</f>
        <v>ajb1480@mavs.uta.edu</v>
      </c>
      <c r="E243" s="92" t="str">
        <f>IFERROR(__xludf.DUMMYFUNCTION("""COMPUTED_VALUE"""),"Austin Brown")</f>
        <v>Austin Brown</v>
      </c>
      <c r="F243" s="93" t="str">
        <f>IFERROR(__xludf.DUMMYFUNCTION("""COMPUTED_VALUE"""),"austinbaustinb")</f>
        <v>austinbaustinb</v>
      </c>
      <c r="G243" s="92"/>
      <c r="H243" s="94" t="str">
        <f>IFERROR(__xludf.DUMMYFUNCTION("""COMPUTED_VALUE"""),"(815) 278-3496")</f>
        <v>(815) 278-3496</v>
      </c>
      <c r="I243" s="94" t="str">
        <f>IFERROR(__xludf.DUMMYFUNCTION("""COMPUTED_VALUE"""),"Student")</f>
        <v>Student</v>
      </c>
      <c r="J243" s="93" t="str">
        <f>IFERROR(__xludf.DUMMYFUNCTION("""COMPUTED_VALUE"""),"$15 Donation, Discord Verification")</f>
        <v>$15 Donation, Discord Verification</v>
      </c>
      <c r="K243" s="97" t="b">
        <v>0</v>
      </c>
      <c r="L243" s="96" t="s">
        <v>11</v>
      </c>
      <c r="M243" s="95">
        <v>0.0</v>
      </c>
      <c r="N243" s="97" t="b">
        <v>1</v>
      </c>
      <c r="O243" s="93" t="str">
        <f>IFERROR(__xludf.DUMMYFUNCTION("""COMPUTED_VALUE""")," ")</f>
        <v> </v>
      </c>
      <c r="P24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43" s="102" t="s">
        <v>54</v>
      </c>
    </row>
    <row r="244" ht="13.5" customHeight="1">
      <c r="A244" s="88">
        <f>IFERROR(__xludf.DUMMYFUNCTION("""COMPUTED_VALUE"""),45311.51320806713)</f>
        <v>45311.51321</v>
      </c>
      <c r="B244" s="89" t="b">
        <v>1</v>
      </c>
      <c r="C244" s="90" t="str">
        <f t="shared" si="2"/>
        <v>Spring 2024</v>
      </c>
      <c r="D244" s="91" t="str">
        <f>IFERROR(__xludf.DUMMYFUNCTION("""COMPUTED_VALUE"""),"ixs2264@mavs.uta.edu")</f>
        <v>ixs2264@mavs.uta.edu</v>
      </c>
      <c r="E244" s="92" t="str">
        <f>IFERROR(__xludf.DUMMYFUNCTION("""COMPUTED_VALUE"""),"Isabel Silva")</f>
        <v>Isabel Silva</v>
      </c>
      <c r="F244" s="93" t="str">
        <f>IFERROR(__xludf.DUMMYFUNCTION("""COMPUTED_VALUE"""),"the.lemonade.stand")</f>
        <v>the.lemonade.stand</v>
      </c>
      <c r="G244" s="92"/>
      <c r="H244" s="94" t="str">
        <f>IFERROR(__xludf.DUMMYFUNCTION("""COMPUTED_VALUE"""),"(817) 818-6106")</f>
        <v>(817) 818-6106</v>
      </c>
      <c r="I244" s="94" t="str">
        <f>IFERROR(__xludf.DUMMYFUNCTION("""COMPUTED_VALUE"""),"Student")</f>
        <v>Student</v>
      </c>
      <c r="J244" s="93" t="str">
        <f>IFERROR(__xludf.DUMMYFUNCTION("""COMPUTED_VALUE"""),"$15 Donation, Discord Verification")</f>
        <v>$15 Donation, Discord Verification</v>
      </c>
      <c r="K244" s="97" t="b">
        <v>1</v>
      </c>
      <c r="L244" s="96" t="s">
        <v>15</v>
      </c>
      <c r="M244" s="95">
        <v>0.0</v>
      </c>
      <c r="N244" s="97" t="b">
        <v>1</v>
      </c>
      <c r="O244" s="93" t="str">
        <f>IFERROR(__xludf.DUMMYFUNCTION("""COMPUTED_VALUE"""),"Fundraising, PR, Membership, TNR, Overnight TNR, Feeding, Fostering, Shelter Maintenance, I tis the treasurer")</f>
        <v>Fundraising, PR, Membership, TNR, Overnight TNR, Feeding, Fostering, Shelter Maintenance, I tis the treasurer</v>
      </c>
      <c r="P24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44" s="102" t="s">
        <v>55</v>
      </c>
    </row>
    <row r="245" ht="13.5" customHeight="1">
      <c r="A245" s="88">
        <f>IFERROR(__xludf.DUMMYFUNCTION("""COMPUTED_VALUE"""),45311.758313865736)</f>
        <v>45311.75831</v>
      </c>
      <c r="B245" s="89" t="b">
        <v>1</v>
      </c>
      <c r="C245" s="90" t="str">
        <f t="shared" si="2"/>
        <v>Spring 2024</v>
      </c>
      <c r="D245" s="91" t="str">
        <f>IFERROR(__xludf.DUMMYFUNCTION("""COMPUTED_VALUE"""),"jdj0892@mavs.uta.edu")</f>
        <v>jdj0892@mavs.uta.edu</v>
      </c>
      <c r="E245" s="92" t="str">
        <f>IFERROR(__xludf.DUMMYFUNCTION("""COMPUTED_VALUE"""),"Jesse Jarrell")</f>
        <v>Jesse Jarrell</v>
      </c>
      <c r="F245" s="93" t="str">
        <f>IFERROR(__xludf.DUMMYFUNCTION("""COMPUTED_VALUE"""),"Moineau, Moineau#4785, moineau_l.oiseau")</f>
        <v>Moineau, Moineau#4785, moineau_l.oiseau</v>
      </c>
      <c r="G245" s="92"/>
      <c r="H245" s="94" t="str">
        <f>IFERROR(__xludf.DUMMYFUNCTION("""COMPUTED_VALUE"""),"(817) 492-6706")</f>
        <v>(817) 492-6706</v>
      </c>
      <c r="I245" s="94" t="str">
        <f>IFERROR(__xludf.DUMMYFUNCTION("""COMPUTED_VALUE"""),"Student")</f>
        <v>Student</v>
      </c>
      <c r="J245" s="93" t="str">
        <f>IFERROR(__xludf.DUMMYFUNCTION("""COMPUTED_VALUE"""),"$15 Donation, Discord Verification")</f>
        <v>$15 Donation, Discord Verification</v>
      </c>
      <c r="K245" s="97" t="b">
        <v>0</v>
      </c>
      <c r="L245" s="96" t="s">
        <v>11</v>
      </c>
      <c r="M245" s="95">
        <v>0.0</v>
      </c>
      <c r="N245" s="97" t="b">
        <v>1</v>
      </c>
      <c r="O245" s="93" t="str">
        <f>IFERROR(__xludf.DUMMYFUNCTION("""COMPUTED_VALUE"""),"Fundraising, PR, Membership, TNR, Overnight TNR, Feeding, Fostering, Shelter Maintenance, Basically, wherever I can help!")</f>
        <v>Fundraising, PR, Membership, TNR, Overnight TNR, Feeding, Fostering, Shelter Maintenance, Basically, wherever I can help!</v>
      </c>
      <c r="P24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45" s="99"/>
    </row>
    <row r="246" ht="13.5" customHeight="1">
      <c r="A246" s="88">
        <f>IFERROR(__xludf.DUMMYFUNCTION("""COMPUTED_VALUE"""),45312.621920590274)</f>
        <v>45312.62192</v>
      </c>
      <c r="B246" s="89" t="b">
        <v>1</v>
      </c>
      <c r="C246" s="90" t="str">
        <f t="shared" si="2"/>
        <v>Spring 2024</v>
      </c>
      <c r="D246" s="91" t="str">
        <f>IFERROR(__xludf.DUMMYFUNCTION("""COMPUTED_VALUE"""),"juliet.garrison@mavs.uta.edu")</f>
        <v>juliet.garrison@mavs.uta.edu</v>
      </c>
      <c r="E246" s="92" t="str">
        <f>IFERROR(__xludf.DUMMYFUNCTION("""COMPUTED_VALUE"""),"Juliet Garrison")</f>
        <v>Juliet Garrison</v>
      </c>
      <c r="F246" s="93" t="str">
        <f>IFERROR(__xludf.DUMMYFUNCTION("""COMPUTED_VALUE"""),"julietgarrison")</f>
        <v>julietgarrison</v>
      </c>
      <c r="G246" s="92"/>
      <c r="H246" s="94" t="str">
        <f>IFERROR(__xludf.DUMMYFUNCTION("""COMPUTED_VALUE"""),"(817) 925-7078")</f>
        <v>(817) 925-7078</v>
      </c>
      <c r="I246" s="94" t="str">
        <f>IFERROR(__xludf.DUMMYFUNCTION("""COMPUTED_VALUE"""),"Student")</f>
        <v>Student</v>
      </c>
      <c r="J246" s="93" t="str">
        <f>IFERROR(__xludf.DUMMYFUNCTION("""COMPUTED_VALUE"""),"$15 Donation, Discord Verification")</f>
        <v>$15 Donation, Discord Verification</v>
      </c>
      <c r="K246" s="97" t="b">
        <v>0</v>
      </c>
      <c r="L246" s="96" t="s">
        <v>15</v>
      </c>
      <c r="M246" s="95">
        <v>0.0</v>
      </c>
      <c r="N246" s="97" t="b">
        <v>1</v>
      </c>
      <c r="O246" s="93" t="str">
        <f>IFERROR(__xludf.DUMMYFUNCTION("""COMPUTED_VALUE"""),"Fundraising")</f>
        <v>Fundraising</v>
      </c>
      <c r="P24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46" s="99"/>
    </row>
    <row r="247" ht="13.5" customHeight="1">
      <c r="A247" s="88">
        <f>IFERROR(__xludf.DUMMYFUNCTION("""COMPUTED_VALUE"""),45312.65897959491)</f>
        <v>45312.65898</v>
      </c>
      <c r="B247" s="89" t="b">
        <v>1</v>
      </c>
      <c r="C247" s="90" t="str">
        <f t="shared" si="2"/>
        <v>Spring 2024</v>
      </c>
      <c r="D247" s="91" t="str">
        <f>IFERROR(__xludf.DUMMYFUNCTION("""COMPUTED_VALUE"""),"mckaylamellen@gmail.com")</f>
        <v>mckaylamellen@gmail.com</v>
      </c>
      <c r="E247" s="92" t="str">
        <f>IFERROR(__xludf.DUMMYFUNCTION("""COMPUTED_VALUE"""),"McKayla Mellen")</f>
        <v>McKayla Mellen</v>
      </c>
      <c r="F247" s="93" t="str">
        <f>IFERROR(__xludf.DUMMYFUNCTION("""COMPUTED_VALUE"""),"nostalgicsapphic")</f>
        <v>nostalgicsapphic</v>
      </c>
      <c r="G247" s="92"/>
      <c r="H247" s="94" t="str">
        <f>IFERROR(__xludf.DUMMYFUNCTION("""COMPUTED_VALUE"""),"(512) 644-2879")</f>
        <v>(512) 644-2879</v>
      </c>
      <c r="I247" s="94" t="str">
        <f>IFERROR(__xludf.DUMMYFUNCTION("""COMPUTED_VALUE"""),"Student")</f>
        <v>Student</v>
      </c>
      <c r="J247" s="93" t="str">
        <f>IFERROR(__xludf.DUMMYFUNCTION("""COMPUTED_VALUE"""),"$15 Donation, Discord Verification")</f>
        <v>$15 Donation, Discord Verification</v>
      </c>
      <c r="K247" s="97" t="b">
        <v>1</v>
      </c>
      <c r="L247" s="96" t="s">
        <v>15</v>
      </c>
      <c r="M247" s="95">
        <v>0.0</v>
      </c>
      <c r="N247" s="97" t="b">
        <v>1</v>
      </c>
      <c r="O247" s="93" t="str">
        <f>IFERROR(__xludf.DUMMYFUNCTION("""COMPUTED_VALUE"""),"ur mom")</f>
        <v>ur mom</v>
      </c>
      <c r="P24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47" s="102" t="s">
        <v>56</v>
      </c>
    </row>
    <row r="248" ht="13.5" customHeight="1">
      <c r="A248" s="88">
        <f>IFERROR(__xludf.DUMMYFUNCTION("""COMPUTED_VALUE"""),45312.78050765046)</f>
        <v>45312.78051</v>
      </c>
      <c r="B248" s="89" t="b">
        <v>1</v>
      </c>
      <c r="C248" s="90" t="str">
        <f t="shared" si="2"/>
        <v>Spring 2024</v>
      </c>
      <c r="D248" s="91" t="str">
        <f>IFERROR(__xludf.DUMMYFUNCTION("""COMPUTED_VALUE"""),"pdw8778@mavs.uta.edu")</f>
        <v>pdw8778@mavs.uta.edu</v>
      </c>
      <c r="E248" s="92" t="str">
        <f>IFERROR(__xludf.DUMMYFUNCTION("""COMPUTED_VALUE"""),"Peyton Diane Wilkinson")</f>
        <v>Peyton Diane Wilkinson</v>
      </c>
      <c r="F248" s="93" t="str">
        <f>IFERROR(__xludf.DUMMYFUNCTION("""COMPUTED_VALUE"""),"peywilkins")</f>
        <v>peywilkins</v>
      </c>
      <c r="G248" s="92"/>
      <c r="H248" s="94" t="str">
        <f>IFERROR(__xludf.DUMMYFUNCTION("""COMPUTED_VALUE"""),"(832) 922-2615")</f>
        <v>(832) 922-2615</v>
      </c>
      <c r="I248" s="94" t="str">
        <f>IFERROR(__xludf.DUMMYFUNCTION("""COMPUTED_VALUE"""),"Student")</f>
        <v>Student</v>
      </c>
      <c r="J248" s="93" t="str">
        <f>IFERROR(__xludf.DUMMYFUNCTION("""COMPUTED_VALUE"""),"$15 Donation, Discord Verification")</f>
        <v>$15 Donation, Discord Verification</v>
      </c>
      <c r="K248" s="97" t="b">
        <v>0</v>
      </c>
      <c r="L248" s="96" t="s">
        <v>15</v>
      </c>
      <c r="M248" s="95">
        <v>0.0</v>
      </c>
      <c r="N248" s="97" t="b">
        <v>1</v>
      </c>
      <c r="O248" s="93" t="str">
        <f>IFERROR(__xludf.DUMMYFUNCTION("""COMPUTED_VALUE"""),"Fundraising")</f>
        <v>Fundraising</v>
      </c>
      <c r="P24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48" s="99"/>
    </row>
    <row r="249" ht="13.5" customHeight="1">
      <c r="A249" s="88">
        <f>IFERROR(__xludf.DUMMYFUNCTION("""COMPUTED_VALUE"""),45314.76165090278)</f>
        <v>45314.76165</v>
      </c>
      <c r="B249" s="89" t="b">
        <v>1</v>
      </c>
      <c r="C249" s="90" t="str">
        <f t="shared" si="2"/>
        <v>Spring 2024</v>
      </c>
      <c r="D249" s="91" t="str">
        <f>IFERROR(__xludf.DUMMYFUNCTION("""COMPUTED_VALUE"""),"jtn4576@mavs.uta.edu")</f>
        <v>jtn4576@mavs.uta.edu</v>
      </c>
      <c r="E249" s="92" t="str">
        <f>IFERROR(__xludf.DUMMYFUNCTION("""COMPUTED_VALUE"""),"Jenny Thai Nguyen")</f>
        <v>Jenny Thai Nguyen</v>
      </c>
      <c r="F249" s="93" t="str">
        <f>IFERROR(__xludf.DUMMYFUNCTION("""COMPUTED_VALUE"""),"Naniinsight")</f>
        <v>Naniinsight</v>
      </c>
      <c r="G249" s="92"/>
      <c r="H249" s="94" t="str">
        <f>IFERROR(__xludf.DUMMYFUNCTION("""COMPUTED_VALUE"""),"(469) 441-4801")</f>
        <v>(469) 441-4801</v>
      </c>
      <c r="I249" s="94" t="str">
        <f>IFERROR(__xludf.DUMMYFUNCTION("""COMPUTED_VALUE"""),"Student")</f>
        <v>Student</v>
      </c>
      <c r="J249" s="93" t="str">
        <f>IFERROR(__xludf.DUMMYFUNCTION("""COMPUTED_VALUE"""),"$15 Donation, Discord Verification")</f>
        <v>$15 Donation, Discord Verification</v>
      </c>
      <c r="K249" s="97" t="b">
        <v>0</v>
      </c>
      <c r="L249" s="96" t="s">
        <v>15</v>
      </c>
      <c r="M249" s="95">
        <v>0.0</v>
      </c>
      <c r="N249" s="97" t="b">
        <v>1</v>
      </c>
      <c r="O249" s="93" t="str">
        <f>IFERROR(__xludf.DUMMYFUNCTION("""COMPUTED_VALUE"""),"NA")</f>
        <v>NA</v>
      </c>
      <c r="P24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49" s="99"/>
    </row>
    <row r="250" ht="13.5" customHeight="1">
      <c r="A250" s="88">
        <f>IFERROR(__xludf.DUMMYFUNCTION("""COMPUTED_VALUE"""),45315.47633359954)</f>
        <v>45315.47633</v>
      </c>
      <c r="B250" s="89" t="b">
        <v>1</v>
      </c>
      <c r="C250" s="90" t="str">
        <f t="shared" si="2"/>
        <v>Spring 2024</v>
      </c>
      <c r="D250" s="91" t="str">
        <f>IFERROR(__xludf.DUMMYFUNCTION("""COMPUTED_VALUE"""),"deb3777@mavs.uta.edu")</f>
        <v>deb3777@mavs.uta.edu</v>
      </c>
      <c r="E250" s="92" t="str">
        <f>IFERROR(__xludf.DUMMYFUNCTION("""COMPUTED_VALUE"""),"Daniel Brown")</f>
        <v>Daniel Brown</v>
      </c>
      <c r="F250" s="93" t="str">
        <f>IFERROR(__xludf.DUMMYFUNCTION("""COMPUTED_VALUE"""),"Astro_DB#9185")</f>
        <v>Astro_DB#9185</v>
      </c>
      <c r="G250" s="92"/>
      <c r="H250" s="94" t="str">
        <f>IFERROR(__xludf.DUMMYFUNCTION("""COMPUTED_VALUE"""),"(682) 404-9943")</f>
        <v>(682) 404-9943</v>
      </c>
      <c r="I250" s="94" t="str">
        <f>IFERROR(__xludf.DUMMYFUNCTION("""COMPUTED_VALUE"""),"Student")</f>
        <v>Student</v>
      </c>
      <c r="J250" s="93" t="str">
        <f>IFERROR(__xludf.DUMMYFUNCTION("""COMPUTED_VALUE"""),"$15 Donation, Discord Verification")</f>
        <v>$15 Donation, Discord Verification</v>
      </c>
      <c r="K250" s="97" t="b">
        <v>0</v>
      </c>
      <c r="L250" s="96" t="s">
        <v>17</v>
      </c>
      <c r="M250" s="95">
        <v>5.0</v>
      </c>
      <c r="N250" s="97" t="b">
        <v>1</v>
      </c>
      <c r="O250" s="93" t="str">
        <f>IFERROR(__xludf.DUMMYFUNCTION("""COMPUTED_VALUE"""),"Feeding, Shelter Maintenance")</f>
        <v>Feeding, Shelter Maintenance</v>
      </c>
      <c r="P25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50" s="102" t="s">
        <v>57</v>
      </c>
    </row>
    <row r="251" ht="13.5" customHeight="1">
      <c r="A251" s="88">
        <f>IFERROR(__xludf.DUMMYFUNCTION("""COMPUTED_VALUE"""),45315.52873363426)</f>
        <v>45315.52873</v>
      </c>
      <c r="B251" s="89" t="b">
        <v>0</v>
      </c>
      <c r="C251" s="90" t="str">
        <f t="shared" si="2"/>
        <v>Spring 2024</v>
      </c>
      <c r="D251" s="91" t="str">
        <f>IFERROR(__xludf.DUMMYFUNCTION("""COMPUTED_VALUE"""),"ldj3587@mavs.uta.edu")</f>
        <v>ldj3587@mavs.uta.edu</v>
      </c>
      <c r="E251" s="92" t="str">
        <f>IFERROR(__xludf.DUMMYFUNCTION("""COMPUTED_VALUE"""),"Lauren Ellington")</f>
        <v>Lauren Ellington</v>
      </c>
      <c r="F251" s="93" t="str">
        <f>IFERROR(__xludf.DUMMYFUNCTION("""COMPUTED_VALUE"""),"None")</f>
        <v>None</v>
      </c>
      <c r="G251" s="92"/>
      <c r="H251" s="94" t="str">
        <f>IFERROR(__xludf.DUMMYFUNCTION("""COMPUTED_VALUE"""),"(817) 914-0272")</f>
        <v>(817) 914-0272</v>
      </c>
      <c r="I251" s="94" t="str">
        <f>IFERROR(__xludf.DUMMYFUNCTION("""COMPUTED_VALUE"""),"Student")</f>
        <v>Student</v>
      </c>
      <c r="J251" s="93" t="str">
        <f>IFERROR(__xludf.DUMMYFUNCTION("""COMPUTED_VALUE"""),"Food/Litter Donation")</f>
        <v>Food/Litter Donation</v>
      </c>
      <c r="K251" s="95" t="b">
        <v>0</v>
      </c>
      <c r="L251" s="96"/>
      <c r="M251" s="95">
        <v>0.0</v>
      </c>
      <c r="N251" s="97" t="b">
        <v>0</v>
      </c>
      <c r="O251" s="93" t="str">
        <f>IFERROR(__xludf.DUMMYFUNCTION("""COMPUTED_VALUE"""),"Fundraising, Feeding")</f>
        <v>Fundraising, Feeding</v>
      </c>
      <c r="P25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51" s="102" t="s">
        <v>58</v>
      </c>
    </row>
    <row r="252" ht="13.5" customHeight="1">
      <c r="A252" s="88">
        <f>IFERROR(__xludf.DUMMYFUNCTION("""COMPUTED_VALUE"""),45315.584283020835)</f>
        <v>45315.58428</v>
      </c>
      <c r="B252" s="89" t="b">
        <v>1</v>
      </c>
      <c r="C252" s="90" t="str">
        <f t="shared" si="2"/>
        <v>Spring 2024</v>
      </c>
      <c r="D252" s="91" t="str">
        <f>IFERROR(__xludf.DUMMYFUNCTION("""COMPUTED_VALUE"""),"djs9774@mavs.uat.edu")</f>
        <v>djs9774@mavs.uat.edu</v>
      </c>
      <c r="E252" s="92" t="str">
        <f>IFERROR(__xludf.DUMMYFUNCTION("""COMPUTED_VALUE"""),"Dameon Josiah Sims")</f>
        <v>Dameon Josiah Sims</v>
      </c>
      <c r="F252" s="93" t="str">
        <f>IFERROR(__xludf.DUMMYFUNCTION("""COMPUTED_VALUE"""),"shockwave47034#8235")</f>
        <v>shockwave47034#8235</v>
      </c>
      <c r="G252" s="92"/>
      <c r="H252" s="94" t="str">
        <f>IFERROR(__xludf.DUMMYFUNCTION("""COMPUTED_VALUE"""),"(682) 500-8365")</f>
        <v>(682) 500-8365</v>
      </c>
      <c r="I252" s="94" t="str">
        <f>IFERROR(__xludf.DUMMYFUNCTION("""COMPUTED_VALUE"""),"Student")</f>
        <v>Student</v>
      </c>
      <c r="J252" s="93" t="str">
        <f>IFERROR(__xludf.DUMMYFUNCTION("""COMPUTED_VALUE"""),"$15 Donation, Discord Verification")</f>
        <v>$15 Donation, Discord Verification</v>
      </c>
      <c r="K252" s="97" t="b">
        <v>0</v>
      </c>
      <c r="L252" s="96" t="s">
        <v>15</v>
      </c>
      <c r="M252" s="95">
        <v>10.0</v>
      </c>
      <c r="N252" s="97" t="b">
        <v>1</v>
      </c>
      <c r="O252" s="93" t="str">
        <f>IFERROR(__xludf.DUMMYFUNCTION("""COMPUTED_VALUE"""),"Feeding")</f>
        <v>Feeding</v>
      </c>
      <c r="P25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52" s="102" t="s">
        <v>59</v>
      </c>
    </row>
    <row r="253" ht="13.5" customHeight="1">
      <c r="A253" s="88">
        <f>IFERROR(__xludf.DUMMYFUNCTION("""COMPUTED_VALUE"""),45319.8034265625)</f>
        <v>45319.80343</v>
      </c>
      <c r="B253" s="89" t="b">
        <v>1</v>
      </c>
      <c r="C253" s="90" t="str">
        <f t="shared" si="2"/>
        <v>Spring 2024</v>
      </c>
      <c r="D253" s="91" t="str">
        <f>IFERROR(__xludf.DUMMYFUNCTION("""COMPUTED_VALUE"""),"dxp7561@mavs.uta.edu")</f>
        <v>dxp7561@mavs.uta.edu</v>
      </c>
      <c r="E253" s="92" t="str">
        <f>IFERROR(__xludf.DUMMYFUNCTION("""COMPUTED_VALUE"""),"Diana Phim")</f>
        <v>Diana Phim</v>
      </c>
      <c r="F253" s="93" t="str">
        <f>IFERROR(__xludf.DUMMYFUNCTION("""COMPUTED_VALUE"""),"Nyahao")</f>
        <v>Nyahao</v>
      </c>
      <c r="G253" s="92"/>
      <c r="H253" s="94" t="str">
        <f>IFERROR(__xludf.DUMMYFUNCTION("""COMPUTED_VALUE"""),"(817) 495-5663")</f>
        <v>(817) 495-5663</v>
      </c>
      <c r="I253" s="94" t="str">
        <f>IFERROR(__xludf.DUMMYFUNCTION("""COMPUTED_VALUE"""),"Student")</f>
        <v>Student</v>
      </c>
      <c r="J253" s="93" t="str">
        <f>IFERROR(__xludf.DUMMYFUNCTION("""COMPUTED_VALUE"""),"$15 Donation, Discord Verification")</f>
        <v>$15 Donation, Discord Verification</v>
      </c>
      <c r="K253" s="97" t="b">
        <v>0</v>
      </c>
      <c r="L253" s="96" t="s">
        <v>11</v>
      </c>
      <c r="M253" s="95">
        <v>0.0</v>
      </c>
      <c r="N253" s="97" t="b">
        <v>1</v>
      </c>
      <c r="O253" s="93" t="str">
        <f>IFERROR(__xludf.DUMMYFUNCTION("""COMPUTED_VALUE"""),"Membership, Feeding")</f>
        <v>Membership, Feeding</v>
      </c>
      <c r="P25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53" s="99"/>
    </row>
    <row r="254" ht="13.5" customHeight="1">
      <c r="A254" s="88">
        <f>IFERROR(__xludf.DUMMYFUNCTION("""COMPUTED_VALUE"""),45319.809694571755)</f>
        <v>45319.80969</v>
      </c>
      <c r="B254" s="89" t="b">
        <v>1</v>
      </c>
      <c r="C254" s="90" t="str">
        <f t="shared" si="2"/>
        <v>Spring 2024</v>
      </c>
      <c r="D254" s="91" t="str">
        <f>IFERROR(__xludf.DUMMYFUNCTION("""COMPUTED_VALUE"""),"ssi4241@mavs.uta.edu")</f>
        <v>ssi4241@mavs.uta.edu</v>
      </c>
      <c r="E254" s="92" t="str">
        <f>IFERROR(__xludf.DUMMYFUNCTION("""COMPUTED_VALUE"""),"seja ismail")</f>
        <v>seja ismail</v>
      </c>
      <c r="F254" s="93" t="str">
        <f>IFERROR(__xludf.DUMMYFUNCTION("""COMPUTED_VALUE"""),".s3j")</f>
        <v>.s3j</v>
      </c>
      <c r="G254" s="92"/>
      <c r="H254" s="94" t="str">
        <f>IFERROR(__xludf.DUMMYFUNCTION("""COMPUTED_VALUE"""),"(214) 918-2345")</f>
        <v>(214) 918-2345</v>
      </c>
      <c r="I254" s="94" t="str">
        <f>IFERROR(__xludf.DUMMYFUNCTION("""COMPUTED_VALUE"""),"Student")</f>
        <v>Student</v>
      </c>
      <c r="J254" s="93" t="str">
        <f>IFERROR(__xludf.DUMMYFUNCTION("""COMPUTED_VALUE"""),"$15 Donation, Discord Verification")</f>
        <v>$15 Donation, Discord Verification</v>
      </c>
      <c r="K254" s="97" t="b">
        <v>0</v>
      </c>
      <c r="L254" s="96" t="s">
        <v>13</v>
      </c>
      <c r="M254" s="95">
        <v>0.0</v>
      </c>
      <c r="N254" s="97" t="b">
        <v>1</v>
      </c>
      <c r="O254" s="93" t="str">
        <f>IFERROR(__xludf.DUMMYFUNCTION("""COMPUTED_VALUE"""),"PR, Membership, Overnight TNR, Shelter Maintenance")</f>
        <v>PR, Membership, Overnight TNR, Shelter Maintenance</v>
      </c>
      <c r="P25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54" s="99"/>
    </row>
    <row r="255" ht="13.5" customHeight="1">
      <c r="A255" s="119" t="str">
        <f>IFERROR(__xludf.DUMMYFUNCTION("""COMPUTED_VALUE"""),"New Doc in progress")</f>
        <v>New Doc in progress</v>
      </c>
      <c r="B255" s="120" t="b">
        <v>1</v>
      </c>
      <c r="C255" s="119" t="str">
        <f t="shared" si="2"/>
        <v/>
      </c>
      <c r="D255" s="121" t="str">
        <f>IFERROR(__xludf.DUMMYFUNCTION("""COMPUTED_VALUE"""),"https://docs.google.com/spreadsheets/d/1PBvCd6gTwc1_aqlCtn93xPW7XJOHclseY2tlxDk9whA/edit?usp=sharing")</f>
        <v>https://docs.google.com/spreadsheets/d/1PBvCd6gTwc1_aqlCtn93xPW7XJOHclseY2tlxDk9whA/edit?usp=sharing</v>
      </c>
      <c r="E255" s="122"/>
      <c r="F255" s="123"/>
      <c r="G255" s="122"/>
      <c r="H255" s="124" t="str">
        <f>IFERROR(__xludf.DUMMYFUNCTION("""COMPUTED_VALUE"""),"")</f>
        <v/>
      </c>
      <c r="I255" s="124" t="str">
        <f>IFERROR(__xludf.DUMMYFUNCTION("""COMPUTED_VALUE"""),"")</f>
        <v/>
      </c>
      <c r="J255" s="123" t="str">
        <f>IFERROR(__xludf.DUMMYFUNCTION("""COMPUTED_VALUE"""),"")</f>
        <v/>
      </c>
      <c r="K255" s="125" t="b">
        <v>0</v>
      </c>
      <c r="L255" s="126"/>
      <c r="M255" s="125"/>
      <c r="N255" s="124" t="b">
        <v>0</v>
      </c>
      <c r="O255" s="123" t="str">
        <f>IFERROR(__xludf.DUMMYFUNCTION("""COMPUTED_VALUE"""),"")</f>
        <v/>
      </c>
      <c r="P25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55" s="127" t="s">
        <v>60</v>
      </c>
    </row>
    <row r="256" ht="13.5" customHeight="1">
      <c r="A256" s="88">
        <f>IFERROR(__xludf.DUMMYFUNCTION("""COMPUTED_VALUE"""),45319.97925979167)</f>
        <v>45319.97926</v>
      </c>
      <c r="B256" s="89" t="b">
        <v>1</v>
      </c>
      <c r="C256" s="90" t="str">
        <f t="shared" si="2"/>
        <v>Spring 2024</v>
      </c>
      <c r="D256" s="91" t="str">
        <f>IFERROR(__xludf.DUMMYFUNCTION("""COMPUTED_VALUE"""),"cgs0882@mavs.uta.edu")</f>
        <v>cgs0882@mavs.uta.edu</v>
      </c>
      <c r="E256" s="92" t="str">
        <f>IFERROR(__xludf.DUMMYFUNCTION("""COMPUTED_VALUE"""),"Celeste Smith")</f>
        <v>Celeste Smith</v>
      </c>
      <c r="F256" s="93" t="str">
        <f>IFERROR(__xludf.DUMMYFUNCTION("""COMPUTED_VALUE"""),"celeryiscelery")</f>
        <v>celeryiscelery</v>
      </c>
      <c r="G256" s="92"/>
      <c r="H256" s="94" t="str">
        <f>IFERROR(__xludf.DUMMYFUNCTION("""COMPUTED_VALUE"""),"(801) 970-0281")</f>
        <v>(801) 970-0281</v>
      </c>
      <c r="I256" s="94" t="str">
        <f>IFERROR(__xludf.DUMMYFUNCTION("""COMPUTED_VALUE"""),"Student")</f>
        <v>Student</v>
      </c>
      <c r="J256" s="93" t="str">
        <f>IFERROR(__xludf.DUMMYFUNCTION("""COMPUTED_VALUE"""),"Food/Litter Donation")</f>
        <v>Food/Litter Donation</v>
      </c>
      <c r="K256" s="100" t="b">
        <v>0</v>
      </c>
      <c r="L256" s="96"/>
      <c r="M256" s="100"/>
      <c r="N256" s="97" t="b">
        <v>1</v>
      </c>
      <c r="O256" s="93" t="str">
        <f>IFERROR(__xludf.DUMMYFUNCTION("""COMPUTED_VALUE"""),"Joan of Arc")</f>
        <v>Joan of Arc</v>
      </c>
      <c r="P25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56" s="99"/>
    </row>
    <row r="257" ht="13.5" customHeight="1">
      <c r="A257" s="88">
        <f>IFERROR(__xludf.DUMMYFUNCTION("""COMPUTED_VALUE"""),45320.62434928241)</f>
        <v>45320.62435</v>
      </c>
      <c r="B257" s="89" t="b">
        <v>0</v>
      </c>
      <c r="C257" s="90" t="str">
        <f t="shared" si="2"/>
        <v>Spring 2024</v>
      </c>
      <c r="D257" s="91" t="str">
        <f>IFERROR(__xludf.DUMMYFUNCTION("""COMPUTED_VALUE"""),"kxt1174@mavs.uta.edu")</f>
        <v>kxt1174@mavs.uta.edu</v>
      </c>
      <c r="E257" s="92" t="str">
        <f>IFERROR(__xludf.DUMMYFUNCTION("""COMPUTED_VALUE"""),"Karen Takaki")</f>
        <v>Karen Takaki</v>
      </c>
      <c r="F257" s="93" t="str">
        <f>IFERROR(__xludf.DUMMYFUNCTION("""COMPUTED_VALUE"""),"karentakaki")</f>
        <v>karentakaki</v>
      </c>
      <c r="G257" s="92"/>
      <c r="H257" s="94" t="str">
        <f>IFERROR(__xludf.DUMMYFUNCTION("""COMPUTED_VALUE"""),"(775) 379-8074")</f>
        <v>(775) 379-8074</v>
      </c>
      <c r="I257" s="94" t="str">
        <f>IFERROR(__xludf.DUMMYFUNCTION("""COMPUTED_VALUE"""),"Community Member")</f>
        <v>Community Member</v>
      </c>
      <c r="J257" s="93" t="str">
        <f>IFERROR(__xludf.DUMMYFUNCTION("""COMPUTED_VALUE"""),"$15 Donation, Discord Verification")</f>
        <v>$15 Donation, Discord Verification</v>
      </c>
      <c r="K257" s="97" t="b">
        <v>0</v>
      </c>
      <c r="L257" s="101"/>
      <c r="M257" s="100"/>
      <c r="N257" s="97" t="b">
        <v>0</v>
      </c>
      <c r="O257" s="93" t="str">
        <f>IFERROR(__xludf.DUMMYFUNCTION("""COMPUTED_VALUE"""),"TNR, Feeding")</f>
        <v>TNR, Feeding</v>
      </c>
      <c r="P25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57" s="102" t="s">
        <v>61</v>
      </c>
    </row>
    <row r="258" ht="13.5" customHeight="1">
      <c r="A258" s="88">
        <f>IFERROR(__xludf.DUMMYFUNCTION("""COMPUTED_VALUE"""),45322.54887777778)</f>
        <v>45322.54888</v>
      </c>
      <c r="B258" s="89" t="b">
        <v>1</v>
      </c>
      <c r="C258" s="90" t="str">
        <f t="shared" si="2"/>
        <v>Spring 2024</v>
      </c>
      <c r="D258" s="91" t="str">
        <f>IFERROR(__xludf.DUMMYFUNCTION("""COMPUTED_VALUE"""),"med3041@mavs.uta.edu")</f>
        <v>med3041@mavs.uta.edu</v>
      </c>
      <c r="E258" s="92" t="str">
        <f>IFERROR(__xludf.DUMMYFUNCTION("""COMPUTED_VALUE"""),"Megan Digiovanni")</f>
        <v>Megan Digiovanni</v>
      </c>
      <c r="F258" s="93" t="str">
        <f>IFERROR(__xludf.DUMMYFUNCTION("""COMPUTED_VALUE"""),"m_digio")</f>
        <v>m_digio</v>
      </c>
      <c r="G258" s="92"/>
      <c r="H258" s="94" t="str">
        <f>IFERROR(__xludf.DUMMYFUNCTION("""COMPUTED_VALUE"""),"(409) 223-3257")</f>
        <v>(409) 223-3257</v>
      </c>
      <c r="I258" s="94" t="str">
        <f>IFERROR(__xludf.DUMMYFUNCTION("""COMPUTED_VALUE"""),"Student")</f>
        <v>Student</v>
      </c>
      <c r="J258" s="93" t="str">
        <f>IFERROR(__xludf.DUMMYFUNCTION("""COMPUTED_VALUE"""),"$15 Donation, Discord Verification")</f>
        <v>$15 Donation, Discord Verification</v>
      </c>
      <c r="K258" s="97" t="b">
        <v>1</v>
      </c>
      <c r="L258" s="96" t="s">
        <v>17</v>
      </c>
      <c r="M258" s="95">
        <v>0.0</v>
      </c>
      <c r="N258" s="97" t="b">
        <v>1</v>
      </c>
      <c r="O258" s="93" t="str">
        <f>IFERROR(__xludf.DUMMYFUNCTION("""COMPUTED_VALUE"""),"Fundraising, Feeding, Shelter Maintenance, Hehe i feeding head")</f>
        <v>Fundraising, Feeding, Shelter Maintenance, Hehe i feeding head</v>
      </c>
      <c r="P25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58" s="99"/>
    </row>
    <row r="259" ht="13.5" customHeight="1">
      <c r="A259" s="88">
        <f>IFERROR(__xludf.DUMMYFUNCTION("""COMPUTED_VALUE"""),45322.68356413195)</f>
        <v>45322.68356</v>
      </c>
      <c r="B259" s="89" t="b">
        <v>1</v>
      </c>
      <c r="C259" s="90" t="str">
        <f t="shared" si="2"/>
        <v>Spring 2024</v>
      </c>
      <c r="D259" s="91" t="str">
        <f>IFERROR(__xludf.DUMMYFUNCTION("""COMPUTED_VALUE"""),"bmb6678@mavs.uta.edu")</f>
        <v>bmb6678@mavs.uta.edu</v>
      </c>
      <c r="E259" s="92" t="str">
        <f>IFERROR(__xludf.DUMMYFUNCTION("""COMPUTED_VALUE"""),"Brett Boggs")</f>
        <v>Brett Boggs</v>
      </c>
      <c r="F259" s="93" t="str">
        <f>IFERROR(__xludf.DUMMYFUNCTION("""COMPUTED_VALUE"""),"breadbooks ")</f>
        <v>breadbooks </v>
      </c>
      <c r="G259" s="92"/>
      <c r="H259" s="94" t="str">
        <f>IFERROR(__xludf.DUMMYFUNCTION("""COMPUTED_VALUE"""),"(325) 428-8177")</f>
        <v>(325) 428-8177</v>
      </c>
      <c r="I259" s="94" t="str">
        <f>IFERROR(__xludf.DUMMYFUNCTION("""COMPUTED_VALUE"""),"Student")</f>
        <v>Student</v>
      </c>
      <c r="J259" s="93" t="str">
        <f>IFERROR(__xludf.DUMMYFUNCTION("""COMPUTED_VALUE"""),"Food/Litter Donation")</f>
        <v>Food/Litter Donation</v>
      </c>
      <c r="K259" s="100" t="b">
        <v>0</v>
      </c>
      <c r="L259" s="96"/>
      <c r="M259" s="100"/>
      <c r="N259" s="97" t="b">
        <v>1</v>
      </c>
      <c r="O259" s="93" t="str">
        <f>IFERROR(__xludf.DUMMYFUNCTION("""COMPUTED_VALUE"""),"Feeding")</f>
        <v>Feeding</v>
      </c>
      <c r="P25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59" s="99"/>
    </row>
    <row r="260" ht="13.5" customHeight="1">
      <c r="A260" s="88">
        <f>IFERROR(__xludf.DUMMYFUNCTION("""COMPUTED_VALUE"""),45326.56999884259)</f>
        <v>45326.57</v>
      </c>
      <c r="B260" s="89" t="b">
        <v>1</v>
      </c>
      <c r="C260" s="90" t="str">
        <f t="shared" si="2"/>
        <v>Spring 2024</v>
      </c>
      <c r="D260" s="91" t="str">
        <f>IFERROR(__xludf.DUMMYFUNCTION("""COMPUTED_VALUE"""),"axr5141@mavs.uta.edu")</f>
        <v>axr5141@mavs.uta.edu</v>
      </c>
      <c r="E260" s="92" t="str">
        <f>IFERROR(__xludf.DUMMYFUNCTION("""COMPUTED_VALUE"""),"Angelica Romero")</f>
        <v>Angelica Romero</v>
      </c>
      <c r="F260" s="93" t="str">
        <f>IFERROR(__xludf.DUMMYFUNCTION("""COMPUTED_VALUE"""),"lilinkstain / angelica (angie)")</f>
        <v>lilinkstain / angelica (angie)</v>
      </c>
      <c r="G260" s="92"/>
      <c r="H260" s="94" t="str">
        <f>IFERROR(__xludf.DUMMYFUNCTION("""COMPUTED_VALUE"""),"(682) 704-7602")</f>
        <v>(682) 704-7602</v>
      </c>
      <c r="I260" s="94" t="str">
        <f>IFERROR(__xludf.DUMMYFUNCTION("""COMPUTED_VALUE"""),"Student")</f>
        <v>Student</v>
      </c>
      <c r="J260" s="93" t="str">
        <f>IFERROR(__xludf.DUMMYFUNCTION("""COMPUTED_VALUE"""),"$15 Donation, Discord Verification")</f>
        <v>$15 Donation, Discord Verification</v>
      </c>
      <c r="K260" s="97" t="b">
        <v>1</v>
      </c>
      <c r="L260" s="96" t="s">
        <v>13</v>
      </c>
      <c r="M260" s="95">
        <v>0.0</v>
      </c>
      <c r="N260" s="97" t="b">
        <v>1</v>
      </c>
      <c r="O260" s="93" t="str">
        <f>IFERROR(__xludf.DUMMYFUNCTION("""COMPUTED_VALUE"""),"PR")</f>
        <v>PR</v>
      </c>
      <c r="P26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60" s="99"/>
    </row>
    <row r="261" ht="13.5" customHeight="1">
      <c r="A261" s="88">
        <f>IFERROR(__xludf.DUMMYFUNCTION("""COMPUTED_VALUE"""),45328.52179074074)</f>
        <v>45328.52179</v>
      </c>
      <c r="B261" s="89" t="b">
        <v>1</v>
      </c>
      <c r="C261" s="90" t="str">
        <f t="shared" si="2"/>
        <v>Spring 2024</v>
      </c>
      <c r="D261" s="91" t="str">
        <f>IFERROR(__xludf.DUMMYFUNCTION("""COMPUTED_VALUE"""),"gmg2330@macs.uta.edu")</f>
        <v>gmg2330@macs.uta.edu</v>
      </c>
      <c r="E261" s="92" t="str">
        <f>IFERROR(__xludf.DUMMYFUNCTION("""COMPUTED_VALUE"""),"Gavin Golden")</f>
        <v>Gavin Golden</v>
      </c>
      <c r="F261" s="93" t="str">
        <f>IFERROR(__xludf.DUMMYFUNCTION("""COMPUTED_VALUE"""),"Goldeyeen")</f>
        <v>Goldeyeen</v>
      </c>
      <c r="G261" s="92"/>
      <c r="H261" s="94" t="str">
        <f>IFERROR(__xludf.DUMMYFUNCTION("""COMPUTED_VALUE"""),"(757) 470-8789")</f>
        <v>(757) 470-8789</v>
      </c>
      <c r="I261" s="94" t="str">
        <f>IFERROR(__xludf.DUMMYFUNCTION("""COMPUTED_VALUE"""),"Student")</f>
        <v>Student</v>
      </c>
      <c r="J261" s="93" t="str">
        <f>IFERROR(__xludf.DUMMYFUNCTION("""COMPUTED_VALUE"""),"$15 Donation, Discord Verification")</f>
        <v>$15 Donation, Discord Verification</v>
      </c>
      <c r="K261" s="97" t="b">
        <v>0</v>
      </c>
      <c r="L261" s="96" t="s">
        <v>15</v>
      </c>
      <c r="M261" s="95">
        <v>0.0</v>
      </c>
      <c r="N261" s="97" t="b">
        <v>1</v>
      </c>
      <c r="O261" s="93" t="str">
        <f>IFERROR(__xludf.DUMMYFUNCTION("""COMPUTED_VALUE"""),"Fundraising, PR, Membership, TNR, Overnight TNR, Feeding, Fostering, Shelter Maintenance, Everything")</f>
        <v>Fundraising, PR, Membership, TNR, Overnight TNR, Feeding, Fostering, Shelter Maintenance, Everything</v>
      </c>
      <c r="P26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61" s="99"/>
    </row>
    <row r="262" ht="13.5" customHeight="1">
      <c r="A262" s="88">
        <f>IFERROR(__xludf.DUMMYFUNCTION("""COMPUTED_VALUE"""),45328.81922866898)</f>
        <v>45328.81923</v>
      </c>
      <c r="B262" s="89" t="b">
        <v>1</v>
      </c>
      <c r="C262" s="90" t="str">
        <f t="shared" si="2"/>
        <v>Spring 2024</v>
      </c>
      <c r="D262" s="91" t="str">
        <f>IFERROR(__xludf.DUMMYFUNCTION("""COMPUTED_VALUE"""),"ahf8898@mavs.uta.edu")</f>
        <v>ahf8898@mavs.uta.edu</v>
      </c>
      <c r="E262" s="92" t="str">
        <f>IFERROR(__xludf.DUMMYFUNCTION("""COMPUTED_VALUE"""),"Amelia Franco")</f>
        <v>Amelia Franco</v>
      </c>
      <c r="F262" s="93" t="str">
        <f>IFERROR(__xludf.DUMMYFUNCTION("""COMPUTED_VALUE"""),"mel9474")</f>
        <v>mel9474</v>
      </c>
      <c r="G262" s="92"/>
      <c r="H262" s="94" t="str">
        <f>IFERROR(__xludf.DUMMYFUNCTION("""COMPUTED_VALUE"""),"(210) 857-1675")</f>
        <v>(210) 857-1675</v>
      </c>
      <c r="I262" s="94" t="str">
        <f>IFERROR(__xludf.DUMMYFUNCTION("""COMPUTED_VALUE"""),"Student")</f>
        <v>Student</v>
      </c>
      <c r="J262" s="93" t="str">
        <f>IFERROR(__xludf.DUMMYFUNCTION("""COMPUTED_VALUE"""),"$15 Donation, Discord Verification")</f>
        <v>$15 Donation, Discord Verification</v>
      </c>
      <c r="K262" s="97" t="b">
        <v>0</v>
      </c>
      <c r="L262" s="96" t="s">
        <v>13</v>
      </c>
      <c r="M262" s="95">
        <v>0.0</v>
      </c>
      <c r="N262" s="97" t="b">
        <v>1</v>
      </c>
      <c r="O262" s="93" t="str">
        <f>IFERROR(__xludf.DUMMYFUNCTION("""COMPUTED_VALUE"""),"Fundraising, Feeding, Fostering, Shelter Maintenance")</f>
        <v>Fundraising, Feeding, Fostering, Shelter Maintenance</v>
      </c>
      <c r="P26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62" s="99"/>
    </row>
    <row r="263" ht="13.5" customHeight="1">
      <c r="A263" s="88">
        <f>IFERROR(__xludf.DUMMYFUNCTION("""COMPUTED_VALUE"""),45328.95477386574)</f>
        <v>45328.95477</v>
      </c>
      <c r="B263" s="89" t="b">
        <v>1</v>
      </c>
      <c r="C263" s="90" t="str">
        <f t="shared" si="2"/>
        <v>Spring 2024</v>
      </c>
      <c r="D263" s="91" t="str">
        <f>IFERROR(__xludf.DUMMYFUNCTION("""COMPUTED_VALUE"""),"amw3542@mavs.uta.edu")</f>
        <v>amw3542@mavs.uta.edu</v>
      </c>
      <c r="E263" s="92" t="str">
        <f>IFERROR(__xludf.DUMMYFUNCTION("""COMPUTED_VALUE"""),"Allyson Williams")</f>
        <v>Allyson Williams</v>
      </c>
      <c r="F263" s="93" t="str">
        <f>IFERROR(__xludf.DUMMYFUNCTION("""COMPUTED_VALUE"""),"padparad5cha")</f>
        <v>padparad5cha</v>
      </c>
      <c r="G263" s="92"/>
      <c r="H263" s="94" t="str">
        <f>IFERROR(__xludf.DUMMYFUNCTION("""COMPUTED_VALUE"""),"(512) 988-9305")</f>
        <v>(512) 988-9305</v>
      </c>
      <c r="I263" s="94" t="str">
        <f>IFERROR(__xludf.DUMMYFUNCTION("""COMPUTED_VALUE"""),"Student")</f>
        <v>Student</v>
      </c>
      <c r="J263" s="93" t="str">
        <f>IFERROR(__xludf.DUMMYFUNCTION("""COMPUTED_VALUE"""),"$15 Donation, Discord Verification")</f>
        <v>$15 Donation, Discord Verification</v>
      </c>
      <c r="K263" s="97" t="b">
        <v>0</v>
      </c>
      <c r="L263" s="96" t="s">
        <v>11</v>
      </c>
      <c r="M263" s="95">
        <v>0.0</v>
      </c>
      <c r="N263" s="97" t="b">
        <v>1</v>
      </c>
      <c r="O263" s="93" t="str">
        <f>IFERROR(__xludf.DUMMYFUNCTION("""COMPUTED_VALUE"""),"Fundraising, Membership, TNR")</f>
        <v>Fundraising, Membership, TNR</v>
      </c>
      <c r="P26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63" s="99"/>
    </row>
    <row r="264" ht="13.5" customHeight="1">
      <c r="A264" s="88">
        <f>IFERROR(__xludf.DUMMYFUNCTION("""COMPUTED_VALUE"""),45329.01526836806)</f>
        <v>45329.01527</v>
      </c>
      <c r="B264" s="89" t="b">
        <v>1</v>
      </c>
      <c r="C264" s="90" t="str">
        <f t="shared" si="2"/>
        <v>Spring 2024</v>
      </c>
      <c r="D264" s="91" t="str">
        <f>IFERROR(__xludf.DUMMYFUNCTION("""COMPUTED_VALUE"""),"zaynab.shaikh@mavs.uta.edu")</f>
        <v>zaynab.shaikh@mavs.uta.edu</v>
      </c>
      <c r="E264" s="92" t="str">
        <f>IFERROR(__xludf.DUMMYFUNCTION("""COMPUTED_VALUE"""),"Zaynab Shaikh ")</f>
        <v>Zaynab Shaikh </v>
      </c>
      <c r="F264" s="93" t="str">
        <f>IFERROR(__xludf.DUMMYFUNCTION("""COMPUTED_VALUE"""),"Icebearlikesturtles#0329")</f>
        <v>Icebearlikesturtles#0329</v>
      </c>
      <c r="G264" s="92"/>
      <c r="H264" s="94" t="str">
        <f>IFERROR(__xludf.DUMMYFUNCTION("""COMPUTED_VALUE"""),"")</f>
        <v/>
      </c>
      <c r="I264" s="94" t="str">
        <f>IFERROR(__xludf.DUMMYFUNCTION("""COMPUTED_VALUE"""),"Student")</f>
        <v>Student</v>
      </c>
      <c r="J264" s="93" t="str">
        <f>IFERROR(__xludf.DUMMYFUNCTION("""COMPUTED_VALUE"""),"$15 Donation, Discord Verification")</f>
        <v>$15 Donation, Discord Verification</v>
      </c>
      <c r="K264" s="95" t="b">
        <v>0</v>
      </c>
      <c r="L264" s="96" t="s">
        <v>15</v>
      </c>
      <c r="M264" s="95">
        <v>0.0</v>
      </c>
      <c r="N264" s="97" t="b">
        <v>1</v>
      </c>
      <c r="O264" s="93" t="str">
        <f>IFERROR(__xludf.DUMMYFUNCTION("""COMPUTED_VALUE"""),"Feeding")</f>
        <v>Feeding</v>
      </c>
      <c r="P26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64" s="99"/>
    </row>
    <row r="265" ht="13.5" customHeight="1">
      <c r="A265" s="88">
        <f>IFERROR(__xludf.DUMMYFUNCTION("""COMPUTED_VALUE"""),45329.05061841435)</f>
        <v>45329.05062</v>
      </c>
      <c r="B265" s="89" t="b">
        <v>1</v>
      </c>
      <c r="C265" s="90" t="str">
        <f t="shared" si="2"/>
        <v>Spring 2024</v>
      </c>
      <c r="D265" s="91" t="str">
        <f>IFERROR(__xludf.DUMMYFUNCTION("""COMPUTED_VALUE"""),"jxe0232@mavs.uta.edu")</f>
        <v>jxe0232@mavs.uta.edu</v>
      </c>
      <c r="E265" s="92" t="str">
        <f>IFERROR(__xludf.DUMMYFUNCTION("""COMPUTED_VALUE"""),"Jasmin Escamilla Reyes")</f>
        <v>Jasmin Escamilla Reyes</v>
      </c>
      <c r="F265" s="93" t="str">
        <f>IFERROR(__xludf.DUMMYFUNCTION("""COMPUTED_VALUE"""),"I don’t have discord sorry :(")</f>
        <v>I don’t have discord sorry :(</v>
      </c>
      <c r="G265" s="92"/>
      <c r="H265" s="94" t="str">
        <f>IFERROR(__xludf.DUMMYFUNCTION("""COMPUTED_VALUE"""),"(972)  67-0625")</f>
        <v>(972)  67-0625</v>
      </c>
      <c r="I265" s="94" t="str">
        <f>IFERROR(__xludf.DUMMYFUNCTION("""COMPUTED_VALUE"""),"Student")</f>
        <v>Student</v>
      </c>
      <c r="J265" s="93" t="str">
        <f>IFERROR(__xludf.DUMMYFUNCTION("""COMPUTED_VALUE"""),"$15 Donation, Discord Verification")</f>
        <v>$15 Donation, Discord Verification</v>
      </c>
      <c r="K265" s="95" t="b">
        <v>0</v>
      </c>
      <c r="L265" s="96" t="s">
        <v>13</v>
      </c>
      <c r="M265" s="95">
        <v>0.0</v>
      </c>
      <c r="N265" s="97" t="b">
        <v>1</v>
      </c>
      <c r="O265" s="93" t="str">
        <f>IFERROR(__xludf.DUMMYFUNCTION("""COMPUTED_VALUE"""),"Fundraising, Feeding, Shelter Maintenance")</f>
        <v>Fundraising, Feeding, Shelter Maintenance</v>
      </c>
      <c r="P26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65" s="102" t="s">
        <v>62</v>
      </c>
    </row>
    <row r="266" ht="13.5" customHeight="1">
      <c r="A266" s="88">
        <f>IFERROR(__xludf.DUMMYFUNCTION("""COMPUTED_VALUE"""),45329.07096827547)</f>
        <v>45329.07097</v>
      </c>
      <c r="B266" s="89" t="b">
        <v>1</v>
      </c>
      <c r="C266" s="90" t="str">
        <f t="shared" si="2"/>
        <v>Spring 2024</v>
      </c>
      <c r="D266" s="91" t="str">
        <f>IFERROR(__xludf.DUMMYFUNCTION("""COMPUTED_VALUE"""),"hkr1485@mavs.uta.edu")</f>
        <v>hkr1485@mavs.uta.edu</v>
      </c>
      <c r="E266" s="92" t="str">
        <f>IFERROR(__xludf.DUMMYFUNCTION("""COMPUTED_VALUE"""),"Heather Reed")</f>
        <v>Heather Reed</v>
      </c>
      <c r="F266" s="93" t="str">
        <f>IFERROR(__xludf.DUMMYFUNCTION("""COMPUTED_VALUE"""),"Himicore")</f>
        <v>Himicore</v>
      </c>
      <c r="G266" s="92"/>
      <c r="H266" s="94" t="str">
        <f>IFERROR(__xludf.DUMMYFUNCTION("""COMPUTED_VALUE"""),"(682) 718-2808")</f>
        <v>(682) 718-2808</v>
      </c>
      <c r="I266" s="94" t="str">
        <f>IFERROR(__xludf.DUMMYFUNCTION("""COMPUTED_VALUE"""),"Student")</f>
        <v>Student</v>
      </c>
      <c r="J266" s="93" t="str">
        <f>IFERROR(__xludf.DUMMYFUNCTION("""COMPUTED_VALUE"""),"$15 Donation, Discord Verification")</f>
        <v>$15 Donation, Discord Verification</v>
      </c>
      <c r="K266" s="95" t="b">
        <v>0</v>
      </c>
      <c r="L266" s="96" t="s">
        <v>11</v>
      </c>
      <c r="M266" s="95">
        <v>0.0</v>
      </c>
      <c r="N266" s="97" t="b">
        <v>1</v>
      </c>
      <c r="O266" s="93" t="str">
        <f>IFERROR(__xludf.DUMMYFUNCTION("""COMPUTED_VALUE"""),"Feeding")</f>
        <v>Feeding</v>
      </c>
      <c r="P26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66" s="99"/>
    </row>
    <row r="267" ht="13.5" customHeight="1">
      <c r="A267" s="88">
        <f>IFERROR(__xludf.DUMMYFUNCTION("""COMPUTED_VALUE"""),45329.67884980324)</f>
        <v>45329.67885</v>
      </c>
      <c r="B267" s="89" t="b">
        <v>1</v>
      </c>
      <c r="C267" s="90" t="str">
        <f t="shared" si="2"/>
        <v>Spring 2024</v>
      </c>
      <c r="D267" s="91" t="str">
        <f>IFERROR(__xludf.DUMMYFUNCTION("""COMPUTED_VALUE"""),"zdm7610@mavs.uta.edu")</f>
        <v>zdm7610@mavs.uta.edu</v>
      </c>
      <c r="E267" s="92" t="str">
        <f>IFERROR(__xludf.DUMMYFUNCTION("""COMPUTED_VALUE"""),"Zachary Markines")</f>
        <v>Zachary Markines</v>
      </c>
      <c r="F267" s="93" t="str">
        <f>IFERROR(__xludf.DUMMYFUNCTION("""COMPUTED_VALUE"""),"mostlyasian.whomp.whomp")</f>
        <v>mostlyasian.whomp.whomp</v>
      </c>
      <c r="G267" s="92"/>
      <c r="H267" s="94" t="str">
        <f>IFERROR(__xludf.DUMMYFUNCTION("""COMPUTED_VALUE"""),"(817) 223-0033")</f>
        <v>(817) 223-0033</v>
      </c>
      <c r="I267" s="94" t="str">
        <f>IFERROR(__xludf.DUMMYFUNCTION("""COMPUTED_VALUE"""),"Student")</f>
        <v>Student</v>
      </c>
      <c r="J267" s="93" t="str">
        <f>IFERROR(__xludf.DUMMYFUNCTION("""COMPUTED_VALUE"""),"$15 Donation, Discord Verification")</f>
        <v>$15 Donation, Discord Verification</v>
      </c>
      <c r="K267" s="95" t="b">
        <v>0</v>
      </c>
      <c r="L267" s="96" t="s">
        <v>13</v>
      </c>
      <c r="M267" s="95">
        <v>0.0</v>
      </c>
      <c r="N267" s="97" t="b">
        <v>1</v>
      </c>
      <c r="O267" s="93" t="str">
        <f>IFERROR(__xludf.DUMMYFUNCTION("""COMPUTED_VALUE"""),"Fundraising, PR, Membership, TNR, Overnight TNR, Feeding, Fostering, Shelter Maintenance")</f>
        <v>Fundraising, PR, Membership, TNR, Overnight TNR, Feeding, Fostering, Shelter Maintenance</v>
      </c>
      <c r="P26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67" s="99"/>
    </row>
    <row r="268" ht="13.5" customHeight="1">
      <c r="A268" s="88">
        <f>IFERROR(__xludf.DUMMYFUNCTION("""COMPUTED_VALUE"""),45330.5912080787)</f>
        <v>45330.59121</v>
      </c>
      <c r="B268" s="89" t="b">
        <v>1</v>
      </c>
      <c r="C268" s="90" t="str">
        <f t="shared" si="2"/>
        <v>Spring 2024</v>
      </c>
      <c r="D268" s="91" t="str">
        <f>IFERROR(__xludf.DUMMYFUNCTION("""COMPUTED_VALUE"""),"tim.ryan@mavs.uta.edu")</f>
        <v>tim.ryan@mavs.uta.edu</v>
      </c>
      <c r="E268" s="92" t="str">
        <f>IFERROR(__xludf.DUMMYFUNCTION("""COMPUTED_VALUE"""),"Tim Ryan")</f>
        <v>Tim Ryan</v>
      </c>
      <c r="F268" s="93" t="str">
        <f>IFERROR(__xludf.DUMMYFUNCTION("""COMPUTED_VALUE"""),"t_paine")</f>
        <v>t_paine</v>
      </c>
      <c r="G268" s="92"/>
      <c r="H268" s="94" t="str">
        <f>IFERROR(__xludf.DUMMYFUNCTION("""COMPUTED_VALUE"""),"(817) 907-7250")</f>
        <v>(817) 907-7250</v>
      </c>
      <c r="I268" s="94" t="str">
        <f>IFERROR(__xludf.DUMMYFUNCTION("""COMPUTED_VALUE"""),"Student")</f>
        <v>Student</v>
      </c>
      <c r="J268" s="93" t="str">
        <f>IFERROR(__xludf.DUMMYFUNCTION("""COMPUTED_VALUE"""),"Food/Litter Donation")</f>
        <v>Food/Litter Donation</v>
      </c>
      <c r="K268" s="95" t="b">
        <v>0</v>
      </c>
      <c r="L268" s="101"/>
      <c r="M268" s="100"/>
      <c r="N268" s="97" t="b">
        <v>1</v>
      </c>
      <c r="O268" s="93" t="str">
        <f>IFERROR(__xludf.DUMMYFUNCTION("""COMPUTED_VALUE"""),"Feeding")</f>
        <v>Feeding</v>
      </c>
      <c r="P26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68" s="99"/>
    </row>
    <row r="269" ht="13.5" customHeight="1">
      <c r="A269" s="88">
        <f>IFERROR(__xludf.DUMMYFUNCTION("""COMPUTED_VALUE"""),45331.50260935185)</f>
        <v>45331.50261</v>
      </c>
      <c r="B269" s="89" t="b">
        <v>1</v>
      </c>
      <c r="C269" s="90" t="str">
        <f t="shared" si="2"/>
        <v>Spring 2024</v>
      </c>
      <c r="D269" s="91" t="str">
        <f>IFERROR(__xludf.DUMMYFUNCTION("""COMPUTED_VALUE"""),"amn0551@mavs.uta.edu")</f>
        <v>amn0551@mavs.uta.edu</v>
      </c>
      <c r="E269" s="92" t="str">
        <f>IFERROR(__xludf.DUMMYFUNCTION("""COMPUTED_VALUE"""),"Addie Nowak")</f>
        <v>Addie Nowak</v>
      </c>
      <c r="F269" s="93" t="str">
        <f>IFERROR(__xludf.DUMMYFUNCTION("""COMPUTED_VALUE"""),"addiebobaddie")</f>
        <v>addiebobaddie</v>
      </c>
      <c r="G269" s="92"/>
      <c r="H269" s="94" t="str">
        <f>IFERROR(__xludf.DUMMYFUNCTION("""COMPUTED_VALUE"""),"(281) 299-7992")</f>
        <v>(281) 299-7992</v>
      </c>
      <c r="I269" s="94" t="str">
        <f>IFERROR(__xludf.DUMMYFUNCTION("""COMPUTED_VALUE"""),"Student")</f>
        <v>Student</v>
      </c>
      <c r="J269" s="93" t="str">
        <f>IFERROR(__xludf.DUMMYFUNCTION("""COMPUTED_VALUE"""),"$15 Donation, Discord Verification")</f>
        <v>$15 Donation, Discord Verification</v>
      </c>
      <c r="K269" s="95" t="b">
        <v>0</v>
      </c>
      <c r="L269" s="96" t="s">
        <v>13</v>
      </c>
      <c r="M269" s="95">
        <v>0.0</v>
      </c>
      <c r="N269" s="97" t="b">
        <v>1</v>
      </c>
      <c r="O269" s="93" t="str">
        <f>IFERROR(__xludf.DUMMYFUNCTION("""COMPUTED_VALUE"""),"Fundraising, PR, Membership")</f>
        <v>Fundraising, PR, Membership</v>
      </c>
      <c r="P26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69" s="99"/>
    </row>
    <row r="270" ht="13.5" customHeight="1">
      <c r="A270" s="88">
        <f>IFERROR(__xludf.DUMMYFUNCTION("""COMPUTED_VALUE"""),45331.706660717595)</f>
        <v>45331.70666</v>
      </c>
      <c r="B270" s="89" t="b">
        <v>1</v>
      </c>
      <c r="C270" s="90" t="str">
        <f t="shared" si="2"/>
        <v>Spring 2024</v>
      </c>
      <c r="D270" s="91" t="str">
        <f>IFERROR(__xludf.DUMMYFUNCTION("""COMPUTED_VALUE"""),"zxs4413@mavs.uta.edu")</f>
        <v>zxs4413@mavs.uta.edu</v>
      </c>
      <c r="E270" s="92" t="str">
        <f>IFERROR(__xludf.DUMMYFUNCTION("""COMPUTED_VALUE"""),"Zarin Safa")</f>
        <v>Zarin Safa</v>
      </c>
      <c r="F270" s="93" t="str">
        <f>IFERROR(__xludf.DUMMYFUNCTION("""COMPUTED_VALUE"""),"zarinsafa")</f>
        <v>zarinsafa</v>
      </c>
      <c r="G270" s="92"/>
      <c r="H270" s="94" t="str">
        <f>IFERROR(__xludf.DUMMYFUNCTION("""COMPUTED_VALUE"""),"(469) 605-6048")</f>
        <v>(469) 605-6048</v>
      </c>
      <c r="I270" s="94" t="str">
        <f>IFERROR(__xludf.DUMMYFUNCTION("""COMPUTED_VALUE"""),"Student")</f>
        <v>Student</v>
      </c>
      <c r="J270" s="93" t="str">
        <f>IFERROR(__xludf.DUMMYFUNCTION("""COMPUTED_VALUE"""),"$15 Donation, Discord Verification")</f>
        <v>$15 Donation, Discord Verification</v>
      </c>
      <c r="K270" s="95" t="b">
        <v>0</v>
      </c>
      <c r="L270" s="96" t="s">
        <v>11</v>
      </c>
      <c r="M270" s="95">
        <v>0.0</v>
      </c>
      <c r="N270" s="97" t="b">
        <v>1</v>
      </c>
      <c r="O270" s="93" t="str">
        <f>IFERROR(__xludf.DUMMYFUNCTION("""COMPUTED_VALUE"""),"Fundraising, TNR, Feeding, Fostering")</f>
        <v>Fundraising, TNR, Feeding, Fostering</v>
      </c>
      <c r="P27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70" s="99"/>
    </row>
    <row r="271" ht="13.5" customHeight="1">
      <c r="A271" s="88">
        <f>IFERROR(__xludf.DUMMYFUNCTION("""COMPUTED_VALUE"""),45334.59851596065)</f>
        <v>45334.59852</v>
      </c>
      <c r="B271" s="89" t="b">
        <v>1</v>
      </c>
      <c r="C271" s="90" t="str">
        <f t="shared" si="2"/>
        <v>Spring 2024</v>
      </c>
      <c r="D271" s="91" t="str">
        <f>IFERROR(__xludf.DUMMYFUNCTION("""COMPUTED_VALUE"""),"kxc6499@mavs.uta.edu")</f>
        <v>kxc6499@mavs.uta.edu</v>
      </c>
      <c r="E271" s="92" t="str">
        <f>IFERROR(__xludf.DUMMYFUNCTION("""COMPUTED_VALUE"""),"Kay Cedano")</f>
        <v>Kay Cedano</v>
      </c>
      <c r="F271" s="93" t="str">
        <f>IFERROR(__xludf.DUMMYFUNCTION("""COMPUTED_VALUE"""),"graffitis / envy#2352")</f>
        <v>graffitis / envy#2352</v>
      </c>
      <c r="G271" s="92"/>
      <c r="H271" s="94" t="str">
        <f>IFERROR(__xludf.DUMMYFUNCTION("""COMPUTED_VALUE"""),"(817) 713-2513")</f>
        <v>(817) 713-2513</v>
      </c>
      <c r="I271" s="94" t="str">
        <f>IFERROR(__xludf.DUMMYFUNCTION("""COMPUTED_VALUE"""),"Student")</f>
        <v>Student</v>
      </c>
      <c r="J271" s="93" t="str">
        <f>IFERROR(__xludf.DUMMYFUNCTION("""COMPUTED_VALUE"""),"$15 Donation, Discord Verification")</f>
        <v>$15 Donation, Discord Verification</v>
      </c>
      <c r="K271" s="95" t="b">
        <v>0</v>
      </c>
      <c r="L271" s="96" t="s">
        <v>63</v>
      </c>
      <c r="M271" s="95">
        <v>0.0</v>
      </c>
      <c r="N271" s="97" t="b">
        <v>1</v>
      </c>
      <c r="O271" s="93" t="str">
        <f>IFERROR(__xludf.DUMMYFUNCTION("""COMPUTED_VALUE"""),"Fostering")</f>
        <v>Fostering</v>
      </c>
      <c r="P27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71" s="99"/>
    </row>
    <row r="272" ht="13.5" customHeight="1">
      <c r="A272" s="88">
        <f>IFERROR(__xludf.DUMMYFUNCTION("""COMPUTED_VALUE"""),45335.4096334375)</f>
        <v>45335.40963</v>
      </c>
      <c r="B272" s="89" t="b">
        <v>0</v>
      </c>
      <c r="C272" s="90" t="str">
        <f t="shared" si="2"/>
        <v>Spring 2024</v>
      </c>
      <c r="D272" s="91" t="str">
        <f>IFERROR(__xludf.DUMMYFUNCTION("""COMPUTED_VALUE"""),"williamcleland04@gmail.com")</f>
        <v>williamcleland04@gmail.com</v>
      </c>
      <c r="E272" s="92" t="str">
        <f>IFERROR(__xludf.DUMMYFUNCTION("""COMPUTED_VALUE"""),"William Cleland")</f>
        <v>William Cleland</v>
      </c>
      <c r="F272" s="93" t="str">
        <f>IFERROR(__xludf.DUMMYFUNCTION("""COMPUTED_VALUE"""),"kcreepertux04")</f>
        <v>kcreepertux04</v>
      </c>
      <c r="G272" s="92"/>
      <c r="H272" s="94" t="str">
        <f>IFERROR(__xludf.DUMMYFUNCTION("""COMPUTED_VALUE"""),"(972) 765-1536")</f>
        <v>(972) 765-1536</v>
      </c>
      <c r="I272" s="94" t="str">
        <f>IFERROR(__xludf.DUMMYFUNCTION("""COMPUTED_VALUE"""),"Community Member")</f>
        <v>Community Member</v>
      </c>
      <c r="J272" s="93" t="str">
        <f>IFERROR(__xludf.DUMMYFUNCTION("""COMPUTED_VALUE"""),"$15 Donation, Discord Verification")</f>
        <v>$15 Donation, Discord Verification</v>
      </c>
      <c r="K272" s="95" t="b">
        <v>0</v>
      </c>
      <c r="L272" s="96" t="s">
        <v>15</v>
      </c>
      <c r="M272" s="95">
        <v>0.0</v>
      </c>
      <c r="N272" s="97" t="b">
        <v>1</v>
      </c>
      <c r="O272" s="93" t="str">
        <f>IFERROR(__xludf.DUMMYFUNCTION("""COMPUTED_VALUE"""),"Membership")</f>
        <v>Membership</v>
      </c>
      <c r="P27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72" s="99"/>
    </row>
    <row r="273" ht="13.5" customHeight="1">
      <c r="A273" s="88">
        <f>IFERROR(__xludf.DUMMYFUNCTION("""COMPUTED_VALUE"""),45336.66066445602)</f>
        <v>45336.66066</v>
      </c>
      <c r="B273" s="89" t="b">
        <v>0</v>
      </c>
      <c r="C273" s="90" t="str">
        <f t="shared" si="2"/>
        <v>Spring 2024</v>
      </c>
      <c r="D273" s="91" t="str">
        <f>IFERROR(__xludf.DUMMYFUNCTION("""COMPUTED_VALUE"""),"kmoore12004@gmail.com")</f>
        <v>kmoore12004@gmail.com</v>
      </c>
      <c r="E273" s="92" t="str">
        <f>IFERROR(__xludf.DUMMYFUNCTION("""COMPUTED_VALUE"""),"Kyle moore")</f>
        <v>Kyle moore</v>
      </c>
      <c r="F273" s="93" t="str">
        <f>IFERROR(__xludf.DUMMYFUNCTION("""COMPUTED_VALUE"""),"KM#1248")</f>
        <v>KM#1248</v>
      </c>
      <c r="G273" s="92"/>
      <c r="H273" s="94" t="str">
        <f>IFERROR(__xludf.DUMMYFUNCTION("""COMPUTED_VALUE"""),"(214) 364-5690")</f>
        <v>(214) 364-5690</v>
      </c>
      <c r="I273" s="94" t="str">
        <f>IFERROR(__xludf.DUMMYFUNCTION("""COMPUTED_VALUE"""),"Student")</f>
        <v>Student</v>
      </c>
      <c r="J273" s="93" t="str">
        <f>IFERROR(__xludf.DUMMYFUNCTION("""COMPUTED_VALUE"""),"$15 Donation, Discord Verification")</f>
        <v>$15 Donation, Discord Verification</v>
      </c>
      <c r="K273" s="95" t="b">
        <v>0</v>
      </c>
      <c r="L273" s="96" t="s">
        <v>15</v>
      </c>
      <c r="M273" s="95">
        <v>0.0</v>
      </c>
      <c r="N273" s="97" t="b">
        <v>1</v>
      </c>
      <c r="O273" s="93" t="str">
        <f>IFERROR(__xludf.DUMMYFUNCTION("""COMPUTED_VALUE"""),"Feeding")</f>
        <v>Feeding</v>
      </c>
      <c r="P27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73" s="99"/>
    </row>
    <row r="274" ht="13.5" customHeight="1">
      <c r="A274" s="88">
        <f>IFERROR(__xludf.DUMMYFUNCTION("""COMPUTED_VALUE"""),45336.69342282407)</f>
        <v>45336.69342</v>
      </c>
      <c r="B274" s="89" t="b">
        <v>1</v>
      </c>
      <c r="C274" s="90" t="str">
        <f t="shared" si="2"/>
        <v>Spring 2024</v>
      </c>
      <c r="D274" s="91" t="str">
        <f>IFERROR(__xludf.DUMMYFUNCTION("""COMPUTED_VALUE"""),"zxd4094@mavs.uta.edu")</f>
        <v>zxd4094@mavs.uta.edu</v>
      </c>
      <c r="E274" s="92" t="str">
        <f>IFERROR(__xludf.DUMMYFUNCTION("""COMPUTED_VALUE"""),"Zoe Dennis")</f>
        <v>Zoe Dennis</v>
      </c>
      <c r="F274" s="93" t="str">
        <f>IFERROR(__xludf.DUMMYFUNCTION("""COMPUTED_VALUE"""),"Cinninmonbabe")</f>
        <v>Cinninmonbabe</v>
      </c>
      <c r="G274" s="92"/>
      <c r="H274" s="94" t="str">
        <f>IFERROR(__xludf.DUMMYFUNCTION("""COMPUTED_VALUE"""),"(817) 739-1378")</f>
        <v>(817) 739-1378</v>
      </c>
      <c r="I274" s="94" t="str">
        <f>IFERROR(__xludf.DUMMYFUNCTION("""COMPUTED_VALUE"""),"Student")</f>
        <v>Student</v>
      </c>
      <c r="J274" s="93" t="str">
        <f>IFERROR(__xludf.DUMMYFUNCTION("""COMPUTED_VALUE"""),"Food/Litter Donation")</f>
        <v>Food/Litter Donation</v>
      </c>
      <c r="K274" s="95" t="b">
        <v>0</v>
      </c>
      <c r="L274" s="101"/>
      <c r="M274" s="95"/>
      <c r="N274" s="97" t="b">
        <v>1</v>
      </c>
      <c r="O274" s="93" t="str">
        <f>IFERROR(__xludf.DUMMYFUNCTION("""COMPUTED_VALUE"""),"Feeding")</f>
        <v>Feeding</v>
      </c>
      <c r="P27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74" s="99"/>
    </row>
    <row r="275" ht="13.5" customHeight="1">
      <c r="A275" s="88">
        <f>IFERROR(__xludf.DUMMYFUNCTION("""COMPUTED_VALUE"""),45337.83545263889)</f>
        <v>45337.83545</v>
      </c>
      <c r="B275" s="89" t="b">
        <v>1</v>
      </c>
      <c r="C275" s="90" t="str">
        <f t="shared" si="2"/>
        <v>Spring 2024</v>
      </c>
      <c r="D275" s="91" t="str">
        <f>IFERROR(__xludf.DUMMYFUNCTION("""COMPUTED_VALUE"""),"axm4558@mavs.uta.edu")</f>
        <v>axm4558@mavs.uta.edu</v>
      </c>
      <c r="E275" s="92" t="str">
        <f>IFERROR(__xludf.DUMMYFUNCTION("""COMPUTED_VALUE"""),"Angelina Mendoza")</f>
        <v>Angelina Mendoza</v>
      </c>
      <c r="F275" s="93" t="str">
        <f>IFERROR(__xludf.DUMMYFUNCTION("""COMPUTED_VALUE"""),"ang0oo")</f>
        <v>ang0oo</v>
      </c>
      <c r="G275" s="92"/>
      <c r="H275" s="94" t="str">
        <f>IFERROR(__xludf.DUMMYFUNCTION("""COMPUTED_VALUE"""),"(214) 493-8448")</f>
        <v>(214) 493-8448</v>
      </c>
      <c r="I275" s="94" t="str">
        <f>IFERROR(__xludf.DUMMYFUNCTION("""COMPUTED_VALUE"""),"Student")</f>
        <v>Student</v>
      </c>
      <c r="J275" s="93" t="str">
        <f>IFERROR(__xludf.DUMMYFUNCTION("""COMPUTED_VALUE"""),"$15 Donation, Discord Verification")</f>
        <v>$15 Donation, Discord Verification</v>
      </c>
      <c r="K275" s="95" t="b">
        <v>0</v>
      </c>
      <c r="L275" s="96" t="s">
        <v>15</v>
      </c>
      <c r="M275" s="95">
        <v>0.0</v>
      </c>
      <c r="N275" s="97" t="b">
        <v>1</v>
      </c>
      <c r="O275" s="93" t="str">
        <f>IFERROR(__xludf.DUMMYFUNCTION("""COMPUTED_VALUE"""),"Fundraising, PR, Membership, TNR, Overnight TNR, Feeding, Fostering, Shelter Maintenance")</f>
        <v>Fundraising, PR, Membership, TNR, Overnight TNR, Feeding, Fostering, Shelter Maintenance</v>
      </c>
      <c r="P27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75" s="99"/>
    </row>
    <row r="276" ht="13.5" customHeight="1">
      <c r="A276" s="88">
        <f>IFERROR(__xludf.DUMMYFUNCTION("""COMPUTED_VALUE"""),45338.68655849537)</f>
        <v>45338.68656</v>
      </c>
      <c r="B276" s="89" t="b">
        <v>1</v>
      </c>
      <c r="C276" s="90" t="str">
        <f t="shared" si="2"/>
        <v>Spring 2024</v>
      </c>
      <c r="D276" s="91" t="str">
        <f>IFERROR(__xludf.DUMMYFUNCTION("""COMPUTED_VALUE"""),"jrs6179@mavs.uta.edu")</f>
        <v>jrs6179@mavs.uta.edu</v>
      </c>
      <c r="E276" s="92" t="str">
        <f>IFERROR(__xludf.DUMMYFUNCTION("""COMPUTED_VALUE"""),"Jacob Sandoval")</f>
        <v>Jacob Sandoval</v>
      </c>
      <c r="F276" s="93" t="str">
        <f>IFERROR(__xludf.DUMMYFUNCTION("""COMPUTED_VALUE"""),"_rambone_")</f>
        <v>_rambone_</v>
      </c>
      <c r="G276" s="92"/>
      <c r="H276" s="94" t="str">
        <f>IFERROR(__xludf.DUMMYFUNCTION("""COMPUTED_VALUE"""),"(972) 730-7809")</f>
        <v>(972) 730-7809</v>
      </c>
      <c r="I276" s="94" t="str">
        <f>IFERROR(__xludf.DUMMYFUNCTION("""COMPUTED_VALUE"""),"Student")</f>
        <v>Student</v>
      </c>
      <c r="J276" s="93" t="str">
        <f>IFERROR(__xludf.DUMMYFUNCTION("""COMPUTED_VALUE"""),"$15 Donation, Discord Verification")</f>
        <v>$15 Donation, Discord Verification</v>
      </c>
      <c r="K276" s="95" t="b">
        <v>0</v>
      </c>
      <c r="L276" s="96" t="s">
        <v>63</v>
      </c>
      <c r="M276" s="95">
        <v>0.0</v>
      </c>
      <c r="N276" s="97" t="b">
        <v>1</v>
      </c>
      <c r="O276" s="93" t="str">
        <f>IFERROR(__xludf.DUMMYFUNCTION("""COMPUTED_VALUE"""),"Fundraising, PR, Membership")</f>
        <v>Fundraising, PR, Membership</v>
      </c>
      <c r="P27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76" s="99"/>
    </row>
    <row r="277" ht="13.5" customHeight="1">
      <c r="A277" s="88">
        <f>IFERROR(__xludf.DUMMYFUNCTION("""COMPUTED_VALUE"""),45338.68940614583)</f>
        <v>45338.68941</v>
      </c>
      <c r="B277" s="89" t="b">
        <v>1</v>
      </c>
      <c r="C277" s="90" t="str">
        <f t="shared" si="2"/>
        <v>Spring 2024</v>
      </c>
      <c r="D277" s="91" t="str">
        <f>IFERROR(__xludf.DUMMYFUNCTION("""COMPUTED_VALUE"""),"agc1946@mavs.uta.ed")</f>
        <v>agc1946@mavs.uta.ed</v>
      </c>
      <c r="E277" s="92" t="str">
        <f>IFERROR(__xludf.DUMMYFUNCTION("""COMPUTED_VALUE"""),"Alexander Cusano ")</f>
        <v>Alexander Cusano </v>
      </c>
      <c r="F277" s="93" t="str">
        <f>IFERROR(__xludf.DUMMYFUNCTION("""COMPUTED_VALUE"""),"Alex (Pluto24625)")</f>
        <v>Alex (Pluto24625)</v>
      </c>
      <c r="G277" s="92"/>
      <c r="H277" s="94" t="str">
        <f>IFERROR(__xludf.DUMMYFUNCTION("""COMPUTED_VALUE"""),"(682) 239-1296")</f>
        <v>(682) 239-1296</v>
      </c>
      <c r="I277" s="94" t="str">
        <f>IFERROR(__xludf.DUMMYFUNCTION("""COMPUTED_VALUE"""),"Student")</f>
        <v>Student</v>
      </c>
      <c r="J277" s="93" t="str">
        <f>IFERROR(__xludf.DUMMYFUNCTION("""COMPUTED_VALUE"""),"$15 Donation, Discord Verification")</f>
        <v>$15 Donation, Discord Verification</v>
      </c>
      <c r="K277" s="95" t="b">
        <v>0</v>
      </c>
      <c r="L277" s="96" t="s">
        <v>11</v>
      </c>
      <c r="M277" s="95">
        <v>0.0</v>
      </c>
      <c r="N277" s="97" t="b">
        <v>1</v>
      </c>
      <c r="O277" s="93" t="str">
        <f>IFERROR(__xludf.DUMMYFUNCTION("""COMPUTED_VALUE"""),"Fundraising, Membership, TNR, Overnight TNR, Feeding, Shelter Maintenance")</f>
        <v>Fundraising, Membership, TNR, Overnight TNR, Feeding, Shelter Maintenance</v>
      </c>
      <c r="P27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77" s="99"/>
    </row>
    <row r="278" ht="13.5" customHeight="1">
      <c r="A278" s="88">
        <f>IFERROR(__xludf.DUMMYFUNCTION("""COMPUTED_VALUE"""),45338.84334186342)</f>
        <v>45338.84334</v>
      </c>
      <c r="B278" s="89" t="b">
        <v>1</v>
      </c>
      <c r="C278" s="90" t="str">
        <f t="shared" si="2"/>
        <v>Spring 2024</v>
      </c>
      <c r="D278" s="91" t="str">
        <f>IFERROR(__xludf.DUMMYFUNCTION("""COMPUTED_VALUE"""),"mjp0088@mavs.uta.edu")</f>
        <v>mjp0088@mavs.uta.edu</v>
      </c>
      <c r="E278" s="92" t="str">
        <f>IFERROR(__xludf.DUMMYFUNCTION("""COMPUTED_VALUE"""),"Marco Paessler")</f>
        <v>Marco Paessler</v>
      </c>
      <c r="F278" s="93" t="str">
        <f>IFERROR(__xludf.DUMMYFUNCTION("""COMPUTED_VALUE"""),"xhilarating")</f>
        <v>xhilarating</v>
      </c>
      <c r="G278" s="92"/>
      <c r="H278" s="94" t="str">
        <f>IFERROR(__xludf.DUMMYFUNCTION("""COMPUTED_VALUE"""),"(409) 392-6880")</f>
        <v>(409) 392-6880</v>
      </c>
      <c r="I278" s="94" t="str">
        <f>IFERROR(__xludf.DUMMYFUNCTION("""COMPUTED_VALUE"""),"Student")</f>
        <v>Student</v>
      </c>
      <c r="J278" s="93" t="str">
        <f>IFERROR(__xludf.DUMMYFUNCTION("""COMPUTED_VALUE"""),"$15 Donation, Discord Verification")</f>
        <v>$15 Donation, Discord Verification</v>
      </c>
      <c r="K278" s="95" t="b">
        <v>0</v>
      </c>
      <c r="L278" s="96" t="s">
        <v>19</v>
      </c>
      <c r="M278" s="95">
        <v>0.0</v>
      </c>
      <c r="N278" s="97" t="b">
        <v>1</v>
      </c>
      <c r="O278" s="93" t="str">
        <f>IFERROR(__xludf.DUMMYFUNCTION("""COMPUTED_VALUE"""),"Fundraising, PR, Membership, TNR, Overnight TNR, Feeding, Fostering, Shelter Maintenance, Vet Tech")</f>
        <v>Fundraising, PR, Membership, TNR, Overnight TNR, Feeding, Fostering, Shelter Maintenance, Vet Tech</v>
      </c>
      <c r="P27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78" s="99"/>
    </row>
    <row r="279" ht="13.5" customHeight="1">
      <c r="A279" s="88">
        <f>IFERROR(__xludf.DUMMYFUNCTION("""COMPUTED_VALUE"""),45339.02397039352)</f>
        <v>45339.02397</v>
      </c>
      <c r="B279" s="89" t="b">
        <v>1</v>
      </c>
      <c r="C279" s="90" t="str">
        <f t="shared" si="2"/>
        <v>Spring 2024</v>
      </c>
      <c r="D279" s="91" t="str">
        <f>IFERROR(__xludf.DUMMYFUNCTION("""COMPUTED_VALUE"""),"ald2369@mavs.uta.edu")</f>
        <v>ald2369@mavs.uta.edu</v>
      </c>
      <c r="E279" s="92" t="str">
        <f>IFERROR(__xludf.DUMMYFUNCTION("""COMPUTED_VALUE"""),"Annabelle Delpin")</f>
        <v>Annabelle Delpin</v>
      </c>
      <c r="F279" s="93" t="str">
        <f>IFERROR(__xludf.DUMMYFUNCTION("""COMPUTED_VALUE"""),"evermoreswift13")</f>
        <v>evermoreswift13</v>
      </c>
      <c r="G279" s="92"/>
      <c r="H279" s="94" t="str">
        <f>IFERROR(__xludf.DUMMYFUNCTION("""COMPUTED_VALUE"""),"(817) 630-5096")</f>
        <v>(817) 630-5096</v>
      </c>
      <c r="I279" s="94" t="str">
        <f>IFERROR(__xludf.DUMMYFUNCTION("""COMPUTED_VALUE"""),"Student")</f>
        <v>Student</v>
      </c>
      <c r="J279" s="93" t="str">
        <f>IFERROR(__xludf.DUMMYFUNCTION("""COMPUTED_VALUE"""),"$15 Donation, Discord Verification")</f>
        <v>$15 Donation, Discord Verification</v>
      </c>
      <c r="K279" s="95" t="b">
        <v>0</v>
      </c>
      <c r="L279" s="96" t="s">
        <v>11</v>
      </c>
      <c r="M279" s="95">
        <v>0.0</v>
      </c>
      <c r="N279" s="97" t="b">
        <v>1</v>
      </c>
      <c r="O279" s="93" t="str">
        <f>IFERROR(__xludf.DUMMYFUNCTION("""COMPUTED_VALUE"""),"Fundraising, PR, Membership, TNR, Feeding")</f>
        <v>Fundraising, PR, Membership, TNR, Feeding</v>
      </c>
      <c r="P27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79" s="99"/>
    </row>
    <row r="280" ht="13.5" customHeight="1">
      <c r="A280" s="128">
        <f>IFERROR(__xludf.DUMMYFUNCTION("""COMPUTED_VALUE"""),45339.1436525926)</f>
        <v>45339.14365</v>
      </c>
      <c r="B280" s="129" t="b">
        <v>0</v>
      </c>
      <c r="C280" s="128" t="str">
        <f t="shared" si="2"/>
        <v>Spring 2024</v>
      </c>
      <c r="D280" s="130" t="str">
        <f>IFERROR(__xludf.DUMMYFUNCTION("""COMPUTED_VALUE"""),"test@test.co")</f>
        <v>test@test.co</v>
      </c>
      <c r="E280" s="131" t="str">
        <f>IFERROR(__xludf.DUMMYFUNCTION("""COMPUTED_VALUE"""),"austinb")</f>
        <v>austinb</v>
      </c>
      <c r="F280" s="132" t="str">
        <f>IFERROR(__xludf.DUMMYFUNCTION("""COMPUTED_VALUE"""),"austinbaustinb")</f>
        <v>austinbaustinb</v>
      </c>
      <c r="G280" s="131"/>
      <c r="H280" s="133" t="str">
        <f>IFERROR(__xludf.DUMMYFUNCTION("""COMPUTED_VALUE"""),"(531) 800-8")</f>
        <v>(531) 800-8</v>
      </c>
      <c r="I280" s="133" t="str">
        <f>IFERROR(__xludf.DUMMYFUNCTION("""COMPUTED_VALUE"""),"Student")</f>
        <v>Student</v>
      </c>
      <c r="J280" s="132" t="str">
        <f>IFERROR(__xludf.DUMMYFUNCTION("""COMPUTED_VALUE"""),"$15 Donation, Discord Verification")</f>
        <v>$15 Donation, Discord Verification</v>
      </c>
      <c r="K280" s="134" t="b">
        <v>0</v>
      </c>
      <c r="L280" s="135" t="str">
        <f>IFERROR(__xludf.DUMMYFUNCTION("ARRAYFORMULA(IF(REGEXMATCH(IMPORTRANGE(""18RaQw448NnENcNftounuam8eQyPVXS6StgZUz-RLzHA"", ""UTA Cat Coalition Membership Application!K278:K""), ""Cash \(In person, contact an officer( to verify)?\)""), ""Cash"", IMPORTRANGE(""18RaQw448NnENcNftounuam8eQyPVX"&amp;"S6StgZUz-RLzHA"", ""UTA Cat Coalition Membership Application!K278:K"")))"),"Paypal")</f>
        <v>Paypal</v>
      </c>
      <c r="M280" s="136">
        <v>0.0</v>
      </c>
      <c r="N280" s="133" t="b">
        <v>0</v>
      </c>
      <c r="O280" s="132" t="str">
        <f>IFERROR(__xludf.DUMMYFUNCTION("""COMPUTED_VALUE"""),"yo mamma")</f>
        <v>yo mamma</v>
      </c>
      <c r="P28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80" s="137" t="s">
        <v>64</v>
      </c>
    </row>
    <row r="281" ht="13.5" customHeight="1">
      <c r="A281" s="128">
        <f>IFERROR(__xludf.DUMMYFUNCTION("""COMPUTED_VALUE"""),45339.16887673611)</f>
        <v>45339.16888</v>
      </c>
      <c r="B281" s="129" t="b">
        <v>0</v>
      </c>
      <c r="C281" s="128" t="str">
        <f t="shared" si="2"/>
        <v>Spring 2024</v>
      </c>
      <c r="D281" s="130" t="str">
        <f>IFERROR(__xludf.DUMMYFUNCTION("""COMPUTED_VALUE"""),"test@test.co")</f>
        <v>test@test.co</v>
      </c>
      <c r="E281" s="131" t="str">
        <f>IFERROR(__xludf.DUMMYFUNCTION("""COMPUTED_VALUE"""),"austinb")</f>
        <v>austinb</v>
      </c>
      <c r="F281" s="132" t="str">
        <f>IFERROR(__xludf.DUMMYFUNCTION("""COMPUTED_VALUE"""),"austinbaustinb")</f>
        <v>austinbaustinb</v>
      </c>
      <c r="G281" s="131"/>
      <c r="H281" s="133" t="str">
        <f>IFERROR(__xludf.DUMMYFUNCTION("""COMPUTED_VALUE"""),"(531) 800-8")</f>
        <v>(531) 800-8</v>
      </c>
      <c r="I281" s="133" t="str">
        <f>IFERROR(__xludf.DUMMYFUNCTION("""COMPUTED_VALUE"""),"Student")</f>
        <v>Student</v>
      </c>
      <c r="J281" s="132" t="str">
        <f>IFERROR(__xludf.DUMMYFUNCTION("""COMPUTED_VALUE"""),"$15 Donation, Discord Verification")</f>
        <v>$15 Donation, Discord Verification</v>
      </c>
      <c r="K281" s="136" t="b">
        <v>1</v>
      </c>
      <c r="L281" s="135" t="str">
        <f>IFERROR(__xludf.DUMMYFUNCTION("""COMPUTED_VALUE"""),"Cash")</f>
        <v>Cash</v>
      </c>
      <c r="M281" s="136">
        <v>0.0</v>
      </c>
      <c r="N281" s="133" t="b">
        <v>0</v>
      </c>
      <c r="O281" s="132" t="str">
        <f>IFERROR(__xludf.DUMMYFUNCTION("""COMPUTED_VALUE"""),"Shelter Maintenance")</f>
        <v>Shelter Maintenance</v>
      </c>
      <c r="P28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81" s="138"/>
    </row>
    <row r="282" ht="13.5" customHeight="1">
      <c r="A282" s="88">
        <f>IFERROR(__xludf.DUMMYFUNCTION("""COMPUTED_VALUE"""),45339.445395648145)</f>
        <v>45339.4454</v>
      </c>
      <c r="B282" s="89" t="b">
        <v>1</v>
      </c>
      <c r="C282" s="90" t="str">
        <f t="shared" si="2"/>
        <v>Spring 2024</v>
      </c>
      <c r="D282" s="91" t="str">
        <f>IFERROR(__xludf.DUMMYFUNCTION("""COMPUTED_VALUE"""),"dsf1084@mavs.uta.edu")</f>
        <v>dsf1084@mavs.uta.edu</v>
      </c>
      <c r="E282" s="92" t="str">
        <f>IFERROR(__xludf.DUMMYFUNCTION("""COMPUTED_VALUE"""),"Derek Fuentes")</f>
        <v>Derek Fuentes</v>
      </c>
      <c r="F282" s="93" t="str">
        <f>IFERROR(__xludf.DUMMYFUNCTION("""COMPUTED_VALUE"""),"a1darek")</f>
        <v>a1darek</v>
      </c>
      <c r="G282" s="92"/>
      <c r="H282" s="94" t="str">
        <f>IFERROR(__xludf.DUMMYFUNCTION("""COMPUTED_VALUE"""),"(682) 203-0235")</f>
        <v>(682) 203-0235</v>
      </c>
      <c r="I282" s="94" t="str">
        <f>IFERROR(__xludf.DUMMYFUNCTION("""COMPUTED_VALUE"""),"Student")</f>
        <v>Student</v>
      </c>
      <c r="J282" s="93" t="str">
        <f>IFERROR(__xludf.DUMMYFUNCTION("""COMPUTED_VALUE"""),"$15 Donation, Discord Verification")</f>
        <v>$15 Donation, Discord Verification</v>
      </c>
      <c r="K282" s="100" t="b">
        <v>0</v>
      </c>
      <c r="L282" s="101" t="str">
        <f>IFERROR(__xludf.DUMMYFUNCTION("""COMPUTED_VALUE"""),"Paypal")</f>
        <v>Paypal</v>
      </c>
      <c r="M282" s="95">
        <v>0.0</v>
      </c>
      <c r="N282" s="97" t="b">
        <v>1</v>
      </c>
      <c r="O282" s="93" t="str">
        <f>IFERROR(__xludf.DUMMYFUNCTION("""COMPUTED_VALUE"""),"TNR, Overnight TNR, Feeding, Shelter Maintenance")</f>
        <v>TNR, Overnight TNR, Feeding, Shelter Maintenance</v>
      </c>
      <c r="P28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82" s="99"/>
    </row>
    <row r="283" ht="13.5" customHeight="1">
      <c r="A283" s="88">
        <f>IFERROR(__xludf.DUMMYFUNCTION("""COMPUTED_VALUE"""),45339.45573559028)</f>
        <v>45339.45574</v>
      </c>
      <c r="B283" s="89" t="b">
        <v>1</v>
      </c>
      <c r="C283" s="90" t="str">
        <f t="shared" si="2"/>
        <v>Spring 2024</v>
      </c>
      <c r="D283" s="91" t="str">
        <f>IFERROR(__xludf.DUMMYFUNCTION("""COMPUTED_VALUE"""),"mhh6112@mavs.uta.edu")</f>
        <v>mhh6112@mavs.uta.edu</v>
      </c>
      <c r="E283" s="92" t="str">
        <f>IFERROR(__xludf.DUMMYFUNCTION("""COMPUTED_VALUE"""),"Mallory Haven Hernandez ")</f>
        <v>Mallory Haven Hernandez </v>
      </c>
      <c r="F283" s="93" t="str">
        <f>IFERROR(__xludf.DUMMYFUNCTION("""COMPUTED_VALUE"""),"malloryhaven")</f>
        <v>malloryhaven</v>
      </c>
      <c r="G283" s="92"/>
      <c r="H283" s="94" t="str">
        <f>IFERROR(__xludf.DUMMYFUNCTION("""COMPUTED_VALUE"""),"(972) 351-7218")</f>
        <v>(972) 351-7218</v>
      </c>
      <c r="I283" s="94" t="str">
        <f>IFERROR(__xludf.DUMMYFUNCTION("""COMPUTED_VALUE"""),"Student")</f>
        <v>Student</v>
      </c>
      <c r="J283" s="93" t="str">
        <f>IFERROR(__xludf.DUMMYFUNCTION("""COMPUTED_VALUE"""),"$15 Donation, Discord Verification")</f>
        <v>$15 Donation, Discord Verification</v>
      </c>
      <c r="K283" s="100" t="b">
        <v>0</v>
      </c>
      <c r="L283" s="101" t="str">
        <f>IFERROR(__xludf.DUMMYFUNCTION("""COMPUTED_VALUE"""),"Venmo")</f>
        <v>Venmo</v>
      </c>
      <c r="M283" s="95">
        <v>0.0</v>
      </c>
      <c r="N283" s="97" t="b">
        <v>1</v>
      </c>
      <c r="O283" s="93" t="str">
        <f>IFERROR(__xludf.DUMMYFUNCTION("""COMPUTED_VALUE"""),"Feeding")</f>
        <v>Feeding</v>
      </c>
      <c r="P28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83" s="99"/>
    </row>
    <row r="284" ht="13.5" customHeight="1">
      <c r="A284" s="88">
        <f>IFERROR(__xludf.DUMMYFUNCTION("""COMPUTED_VALUE"""),45339.4587837037)</f>
        <v>45339.45878</v>
      </c>
      <c r="B284" s="89" t="b">
        <v>1</v>
      </c>
      <c r="C284" s="90" t="str">
        <f t="shared" si="2"/>
        <v>Spring 2024</v>
      </c>
      <c r="D284" s="91" t="str">
        <f>IFERROR(__xludf.DUMMYFUNCTION("""COMPUTED_VALUE"""),"cindylou.skipper@mavs.uta.edu")</f>
        <v>cindylou.skipper@mavs.uta.edu</v>
      </c>
      <c r="E284" s="92" t="str">
        <f>IFERROR(__xludf.DUMMYFUNCTION("""COMPUTED_VALUE"""),"Cindy Lou Skipper")</f>
        <v>Cindy Lou Skipper</v>
      </c>
      <c r="F284" s="93" t="str">
        <f>IFERROR(__xludf.DUMMYFUNCTION("""COMPUTED_VALUE"""),"meiyingcinskip")</f>
        <v>meiyingcinskip</v>
      </c>
      <c r="G284" s="92"/>
      <c r="H284" s="94" t="str">
        <f>IFERROR(__xludf.DUMMYFUNCTION("""COMPUTED_VALUE"""),"(682) 551-7350")</f>
        <v>(682) 551-7350</v>
      </c>
      <c r="I284" s="94" t="str">
        <f>IFERROR(__xludf.DUMMYFUNCTION("""COMPUTED_VALUE"""),"Student")</f>
        <v>Student</v>
      </c>
      <c r="J284" s="93" t="str">
        <f>IFERROR(__xludf.DUMMYFUNCTION("""COMPUTED_VALUE"""),"$15 Donation, Discord Verification")</f>
        <v>$15 Donation, Discord Verification</v>
      </c>
      <c r="K284" s="100" t="b">
        <v>0</v>
      </c>
      <c r="L284" s="101" t="str">
        <f>IFERROR(__xludf.DUMMYFUNCTION("""COMPUTED_VALUE"""),"Paypal")</f>
        <v>Paypal</v>
      </c>
      <c r="M284" s="95">
        <v>0.0</v>
      </c>
      <c r="N284" s="97" t="b">
        <v>1</v>
      </c>
      <c r="O284" s="93" t="str">
        <f>IFERROR(__xludf.DUMMYFUNCTION("""COMPUTED_VALUE"""),"Feeding")</f>
        <v>Feeding</v>
      </c>
      <c r="P28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84" s="99"/>
    </row>
    <row r="285" ht="13.5" customHeight="1">
      <c r="A285" s="88">
        <f>IFERROR(__xludf.DUMMYFUNCTION("""COMPUTED_VALUE"""),45339.467532696755)</f>
        <v>45339.46753</v>
      </c>
      <c r="B285" s="89" t="b">
        <v>1</v>
      </c>
      <c r="C285" s="90" t="str">
        <f t="shared" si="2"/>
        <v>Spring 2024</v>
      </c>
      <c r="D285" s="91" t="str">
        <f>IFERROR(__xludf.DUMMYFUNCTION("""COMPUTED_VALUE"""),"jordhard@hotmail.com")</f>
        <v>jordhard@hotmail.com</v>
      </c>
      <c r="E285" s="92" t="str">
        <f>IFERROR(__xludf.DUMMYFUNCTION("""COMPUTED_VALUE"""),"Jordan Hardin")</f>
        <v>Jordan Hardin</v>
      </c>
      <c r="F285" s="93" t="str">
        <f>IFERROR(__xludf.DUMMYFUNCTION("""COMPUTED_VALUE"""),"Kitadin")</f>
        <v>Kitadin</v>
      </c>
      <c r="G285" s="92"/>
      <c r="H285" s="94" t="str">
        <f>IFERROR(__xludf.DUMMYFUNCTION("""COMPUTED_VALUE"""),"(817) 201-8529")</f>
        <v>(817) 201-8529</v>
      </c>
      <c r="I285" s="94" t="str">
        <f>IFERROR(__xludf.DUMMYFUNCTION("""COMPUTED_VALUE"""),"Community Member")</f>
        <v>Community Member</v>
      </c>
      <c r="J285" s="93" t="str">
        <f>IFERROR(__xludf.DUMMYFUNCTION("""COMPUTED_VALUE"""),"Food/Litter Donation")</f>
        <v>Food/Litter Donation</v>
      </c>
      <c r="K285" s="100" t="b">
        <v>0</v>
      </c>
      <c r="L285" s="101"/>
      <c r="M285" s="100"/>
      <c r="N285" s="97" t="b">
        <v>1</v>
      </c>
      <c r="O285" s="93" t="str">
        <f>IFERROR(__xludf.DUMMYFUNCTION("""COMPUTED_VALUE"""),"TNR, Feeding")</f>
        <v>TNR, Feeding</v>
      </c>
      <c r="P28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85" s="99"/>
    </row>
    <row r="286" ht="13.5" customHeight="1">
      <c r="A286" s="88">
        <f>IFERROR(__xludf.DUMMYFUNCTION("""COMPUTED_VALUE"""),45339.48156395833)</f>
        <v>45339.48156</v>
      </c>
      <c r="B286" s="89" t="b">
        <v>1</v>
      </c>
      <c r="C286" s="90" t="str">
        <f t="shared" si="2"/>
        <v>Spring 2024</v>
      </c>
      <c r="D286" s="91" t="str">
        <f>IFERROR(__xludf.DUMMYFUNCTION("""COMPUTED_VALUE"""),"lsh6876@mavs.uta.edu")</f>
        <v>lsh6876@mavs.uta.edu</v>
      </c>
      <c r="E286" s="92" t="str">
        <f>IFERROR(__xludf.DUMMYFUNCTION("""COMPUTED_VALUE"""),"Nick Hatcher")</f>
        <v>Nick Hatcher</v>
      </c>
      <c r="F286" s="93" t="str">
        <f>IFERROR(__xludf.DUMMYFUNCTION("""COMPUTED_VALUE"""),"dbdrpee")</f>
        <v>dbdrpee</v>
      </c>
      <c r="G286" s="92"/>
      <c r="H286" s="94" t="str">
        <f>IFERROR(__xludf.DUMMYFUNCTION("""COMPUTED_VALUE"""),"(936) 355-6238")</f>
        <v>(936) 355-6238</v>
      </c>
      <c r="I286" s="94" t="str">
        <f>IFERROR(__xludf.DUMMYFUNCTION("""COMPUTED_VALUE"""),"Student")</f>
        <v>Student</v>
      </c>
      <c r="J286" s="93" t="str">
        <f>IFERROR(__xludf.DUMMYFUNCTION("""COMPUTED_VALUE"""),"$15 Donation, Discord Verification")</f>
        <v>$15 Donation, Discord Verification</v>
      </c>
      <c r="K286" s="100" t="b">
        <v>0</v>
      </c>
      <c r="L286" s="101" t="str">
        <f>IFERROR(__xludf.DUMMYFUNCTION("""COMPUTED_VALUE"""),"Venmo")</f>
        <v>Venmo</v>
      </c>
      <c r="M286" s="95">
        <v>0.0</v>
      </c>
      <c r="N286" s="97" t="b">
        <v>1</v>
      </c>
      <c r="O286" s="93" t="str">
        <f>IFERROR(__xludf.DUMMYFUNCTION("""COMPUTED_VALUE"""),"ive decided i hate cats and i will start the anti TNR commitee, we return the cats balls to them.")</f>
        <v>ive decided i hate cats and i will start the anti TNR commitee, we return the cats balls to them.</v>
      </c>
      <c r="P28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86" s="99"/>
    </row>
    <row r="287" ht="13.5" customHeight="1">
      <c r="A287" s="88">
        <f>IFERROR(__xludf.DUMMYFUNCTION("""COMPUTED_VALUE"""),45339.50030694444)</f>
        <v>45339.50031</v>
      </c>
      <c r="B287" s="89" t="b">
        <v>1</v>
      </c>
      <c r="C287" s="90" t="str">
        <f t="shared" si="2"/>
        <v>Spring 2024</v>
      </c>
      <c r="D287" s="91" t="str">
        <f>IFERROR(__xludf.DUMMYFUNCTION("""COMPUTED_VALUE"""),"ryan.johnson2@mavs.uta.edu")</f>
        <v>ryan.johnson2@mavs.uta.edu</v>
      </c>
      <c r="E287" s="92" t="str">
        <f>IFERROR(__xludf.DUMMYFUNCTION("""COMPUTED_VALUE"""),"Ryan Johnson")</f>
        <v>Ryan Johnson</v>
      </c>
      <c r="F287" s="93" t="str">
        <f>IFERROR(__xludf.DUMMYFUNCTION("""COMPUTED_VALUE"""),"gupguppy")</f>
        <v>gupguppy</v>
      </c>
      <c r="G287" s="92"/>
      <c r="H287" s="94" t="str">
        <f>IFERROR(__xludf.DUMMYFUNCTION("""COMPUTED_VALUE"""),"(409) 233-7926")</f>
        <v>(409) 233-7926</v>
      </c>
      <c r="I287" s="94" t="str">
        <f>IFERROR(__xludf.DUMMYFUNCTION("""COMPUTED_VALUE"""),"Community Member")</f>
        <v>Community Member</v>
      </c>
      <c r="J287" s="93" t="str">
        <f>IFERROR(__xludf.DUMMYFUNCTION("""COMPUTED_VALUE"""),"$15 Donation, Discord Verification")</f>
        <v>$15 Donation, Discord Verification</v>
      </c>
      <c r="K287" s="100" t="b">
        <v>0</v>
      </c>
      <c r="L287" s="101" t="str">
        <f>IFERROR(__xludf.DUMMYFUNCTION("""COMPUTED_VALUE"""),"Cashapp")</f>
        <v>Cashapp</v>
      </c>
      <c r="M287" s="95">
        <v>0.0</v>
      </c>
      <c r="N287" s="97" t="b">
        <v>1</v>
      </c>
      <c r="O287" s="93" t="str">
        <f>IFERROR(__xludf.DUMMYFUNCTION("""COMPUTED_VALUE"""),"TNR, Overnight TNR, Feeding, Fostering, Shelter Maintenance")</f>
        <v>TNR, Overnight TNR, Feeding, Fostering, Shelter Maintenance</v>
      </c>
      <c r="P28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87" s="99"/>
    </row>
    <row r="288" ht="13.5" customHeight="1">
      <c r="A288" s="88">
        <f>IFERROR(__xludf.DUMMYFUNCTION("""COMPUTED_VALUE"""),45339.50263980324)</f>
        <v>45339.50264</v>
      </c>
      <c r="B288" s="89" t="b">
        <v>1</v>
      </c>
      <c r="C288" s="90" t="str">
        <f t="shared" si="2"/>
        <v>Spring 2024</v>
      </c>
      <c r="D288" s="91" t="str">
        <f>IFERROR(__xludf.DUMMYFUNCTION("""COMPUTED_VALUE"""),"johnjoseph.sanchez@mavs.uta.edu")</f>
        <v>johnjoseph.sanchez@mavs.uta.edu</v>
      </c>
      <c r="E288" s="92" t="str">
        <f>IFERROR(__xludf.DUMMYFUNCTION("""COMPUTED_VALUE"""),"John Joseph Sanchez")</f>
        <v>John Joseph Sanchez</v>
      </c>
      <c r="F288" s="93" t="str">
        <f>IFERROR(__xludf.DUMMYFUNCTION("""COMPUTED_VALUE"""),"JJ")</f>
        <v>JJ</v>
      </c>
      <c r="G288" s="92"/>
      <c r="H288" s="94" t="str">
        <f>IFERROR(__xludf.DUMMYFUNCTION("""COMPUTED_VALUE"""),"(972) 345-8258")</f>
        <v>(972) 345-8258</v>
      </c>
      <c r="I288" s="94" t="str">
        <f>IFERROR(__xludf.DUMMYFUNCTION("""COMPUTED_VALUE"""),"Student")</f>
        <v>Student</v>
      </c>
      <c r="J288" s="93" t="str">
        <f>IFERROR(__xludf.DUMMYFUNCTION("""COMPUTED_VALUE"""),"Food/Litter Donation")</f>
        <v>Food/Litter Donation</v>
      </c>
      <c r="K288" s="95" t="b">
        <v>0</v>
      </c>
      <c r="L288" s="101" t="str">
        <f>IFERROR(__xludf.DUMMYFUNCTION("""COMPUTED_VALUE"""),"Cash")</f>
        <v>Cash</v>
      </c>
      <c r="M288" s="95">
        <v>0.0</v>
      </c>
      <c r="N288" s="97" t="b">
        <v>1</v>
      </c>
      <c r="O288" s="93" t="str">
        <f>IFERROR(__xludf.DUMMYFUNCTION("""COMPUTED_VALUE"""),"TNR, Feeding")</f>
        <v>TNR, Feeding</v>
      </c>
      <c r="P28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88" s="99"/>
    </row>
    <row r="289" ht="13.5" customHeight="1">
      <c r="A289" s="88">
        <f>IFERROR(__xludf.DUMMYFUNCTION("""COMPUTED_VALUE"""),45339.97647359954)</f>
        <v>45339.97647</v>
      </c>
      <c r="B289" s="89" t="b">
        <v>0</v>
      </c>
      <c r="C289" s="90" t="str">
        <f t="shared" si="2"/>
        <v>Spring 2024</v>
      </c>
      <c r="D289" s="91" t="str">
        <f>IFERROR(__xludf.DUMMYFUNCTION("""COMPUTED_VALUE"""),"axeltorres810@gmail.com")</f>
        <v>axeltorres810@gmail.com</v>
      </c>
      <c r="E289" s="92" t="str">
        <f>IFERROR(__xludf.DUMMYFUNCTION("""COMPUTED_VALUE"""),"Axel Torres ")</f>
        <v>Axel Torres </v>
      </c>
      <c r="F289" s="93" t="str">
        <f>IFERROR(__xludf.DUMMYFUNCTION("""COMPUTED_VALUE"""),"Ludavis")</f>
        <v>Ludavis</v>
      </c>
      <c r="G289" s="92"/>
      <c r="H289" s="94" t="str">
        <f>IFERROR(__xludf.DUMMYFUNCTION("""COMPUTED_VALUE"""),"")</f>
        <v/>
      </c>
      <c r="I289" s="94" t="str">
        <f>IFERROR(__xludf.DUMMYFUNCTION("""COMPUTED_VALUE"""),"Community Member")</f>
        <v>Community Member</v>
      </c>
      <c r="J289" s="93" t="str">
        <f>IFERROR(__xludf.DUMMYFUNCTION("""COMPUTED_VALUE"""),"$15 Donation, Discord Verification")</f>
        <v>$15 Donation, Discord Verification</v>
      </c>
      <c r="K289" s="100" t="b">
        <v>0</v>
      </c>
      <c r="L289" s="101" t="str">
        <f>IFERROR(__xludf.DUMMYFUNCTION("""COMPUTED_VALUE"""),"Paypal")</f>
        <v>Paypal</v>
      </c>
      <c r="M289" s="95">
        <v>15.0</v>
      </c>
      <c r="N289" s="97" t="b">
        <v>1</v>
      </c>
      <c r="O289" s="93" t="str">
        <f>IFERROR(__xludf.DUMMYFUNCTION("""COMPUTED_VALUE"""),"Fundraising, TNR, Overnight TNR, Feeding, Fostering, Shelter Maintenance")</f>
        <v>Fundraising, TNR, Overnight TNR, Feeding, Fostering, Shelter Maintenance</v>
      </c>
      <c r="P28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89" s="99"/>
    </row>
    <row r="290" ht="13.5" customHeight="1">
      <c r="A290" s="88">
        <f>IFERROR(__xludf.DUMMYFUNCTION("""COMPUTED_VALUE"""),45342.465500046295)</f>
        <v>45342.4655</v>
      </c>
      <c r="B290" s="89" t="b">
        <v>1</v>
      </c>
      <c r="C290" s="90" t="str">
        <f t="shared" si="2"/>
        <v>Spring 2024</v>
      </c>
      <c r="D290" s="91" t="str">
        <f>IFERROR(__xludf.DUMMYFUNCTION("""COMPUTED_VALUE"""),"morgan@uta.edu")</f>
        <v>morgan@uta.edu</v>
      </c>
      <c r="E290" s="92" t="str">
        <f>IFERROR(__xludf.DUMMYFUNCTION("""COMPUTED_VALUE"""),"Morgan Chivers")</f>
        <v>Morgan Chivers</v>
      </c>
      <c r="F290" s="93" t="str">
        <f>IFERROR(__xludf.DUMMYFUNCTION("""COMPUTED_VALUE"""),"morganic._.")</f>
        <v>morganic._.</v>
      </c>
      <c r="G290" s="92"/>
      <c r="H290" s="94" t="str">
        <f>IFERROR(__xludf.DUMMYFUNCTION("""COMPUTED_VALUE"""),"(408) 421-7203")</f>
        <v>(408) 421-7203</v>
      </c>
      <c r="I290" s="94" t="str">
        <f>IFERROR(__xludf.DUMMYFUNCTION("""COMPUTED_VALUE"""),"UTA Faculty")</f>
        <v>UTA Faculty</v>
      </c>
      <c r="J290" s="93" t="str">
        <f>IFERROR(__xludf.DUMMYFUNCTION("""COMPUTED_VALUE"""),"Food/Litter Donation")</f>
        <v>Food/Litter Donation</v>
      </c>
      <c r="K290" s="100" t="b">
        <v>0</v>
      </c>
      <c r="L290" s="101"/>
      <c r="M290" s="100"/>
      <c r="N290" s="97" t="b">
        <v>1</v>
      </c>
      <c r="O290" s="93" t="str">
        <f>IFERROR(__xludf.DUMMYFUNCTION("""COMPUTED_VALUE"""),"TNR, Feeding, Shelter Maintenance")</f>
        <v>TNR, Feeding, Shelter Maintenance</v>
      </c>
      <c r="P29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90" s="99"/>
    </row>
    <row r="291" ht="13.5" customHeight="1">
      <c r="A291" s="88">
        <f>IFERROR(__xludf.DUMMYFUNCTION("""COMPUTED_VALUE"""),45346.75029207176)</f>
        <v>45346.75029</v>
      </c>
      <c r="B291" s="89" t="b">
        <v>1</v>
      </c>
      <c r="C291" s="90" t="str">
        <f t="shared" si="2"/>
        <v>Spring 2024</v>
      </c>
      <c r="D291" s="91" t="str">
        <f>IFERROR(__xludf.DUMMYFUNCTION("""COMPUTED_VALUE"""),"aileen.sengupta@mavs.uta.edu")</f>
        <v>aileen.sengupta@mavs.uta.edu</v>
      </c>
      <c r="E291" s="92" t="str">
        <f>IFERROR(__xludf.DUMMYFUNCTION("""COMPUTED_VALUE"""),"Aileen Sengupta")</f>
        <v>Aileen Sengupta</v>
      </c>
      <c r="F291" s="93" t="str">
        <f>IFERROR(__xludf.DUMMYFUNCTION("""COMPUTED_VALUE"""),"aileen_justaregularcat")</f>
        <v>aileen_justaregularcat</v>
      </c>
      <c r="G291" s="92"/>
      <c r="H291" s="94" t="str">
        <f>IFERROR(__xludf.DUMMYFUNCTION("""COMPUTED_VALUE"""),"(682) 559-7115")</f>
        <v>(682) 559-7115</v>
      </c>
      <c r="I291" s="94" t="str">
        <f>IFERROR(__xludf.DUMMYFUNCTION("""COMPUTED_VALUE"""),"Student")</f>
        <v>Student</v>
      </c>
      <c r="J291" s="93" t="str">
        <f>IFERROR(__xludf.DUMMYFUNCTION("""COMPUTED_VALUE"""),"Food/Litter Donation")</f>
        <v>Food/Litter Donation</v>
      </c>
      <c r="K291" s="100" t="b">
        <v>0</v>
      </c>
      <c r="L291" s="101"/>
      <c r="M291" s="100"/>
      <c r="N291" s="97" t="b">
        <v>1</v>
      </c>
      <c r="O291" s="93" t="str">
        <f>IFERROR(__xludf.DUMMYFUNCTION("""COMPUTED_VALUE"""),"Feeding")</f>
        <v>Feeding</v>
      </c>
      <c r="P29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91" s="99"/>
    </row>
    <row r="292" ht="13.5" customHeight="1">
      <c r="A292" s="88">
        <f>IFERROR(__xludf.DUMMYFUNCTION("""COMPUTED_VALUE"""),45308.76372685185)</f>
        <v>45308.76373</v>
      </c>
      <c r="B292" s="89" t="b">
        <v>1</v>
      </c>
      <c r="C292" s="90" t="str">
        <f t="shared" si="2"/>
        <v>Spring 2024</v>
      </c>
      <c r="D292" s="91" t="str">
        <f>IFERROR(__xludf.DUMMYFUNCTION("""COMPUTED_VALUE"""),"angelina.nguyen2@mavs.uta.edu")</f>
        <v>angelina.nguyen2@mavs.uta.edu</v>
      </c>
      <c r="E292" s="92" t="str">
        <f>IFERROR(__xludf.DUMMYFUNCTION("""COMPUTED_VALUE"""),"Angelina Nguyen")</f>
        <v>Angelina Nguyen</v>
      </c>
      <c r="F292" s="93" t="str">
        <f>IFERROR(__xludf.DUMMYFUNCTION("""COMPUTED_VALUE"""),"@anglii")</f>
        <v>@anglii</v>
      </c>
      <c r="G292" s="92"/>
      <c r="H292" s="94" t="str">
        <f>IFERROR(__xludf.DUMMYFUNCTION("""COMPUTED_VALUE"""),"(682) 551-5588")</f>
        <v>(682) 551-5588</v>
      </c>
      <c r="I292" s="94" t="str">
        <f>IFERROR(__xludf.DUMMYFUNCTION("""COMPUTED_VALUE"""),"Student")</f>
        <v>Student</v>
      </c>
      <c r="J292" s="93" t="str">
        <f>IFERROR(__xludf.DUMMYFUNCTION("""COMPUTED_VALUE"""),"$15 Donation, Discord Verification")</f>
        <v>$15 Donation, Discord Verification</v>
      </c>
      <c r="K292" s="100" t="b">
        <v>0</v>
      </c>
      <c r="L292" s="101" t="str">
        <f>IFERROR(__xludf.DUMMYFUNCTION("""COMPUTED_VALUE"""),"Cashapp")</f>
        <v>Cashapp</v>
      </c>
      <c r="M292" s="95">
        <v>0.0</v>
      </c>
      <c r="N292" s="97" t="b">
        <v>1</v>
      </c>
      <c r="O292" s="93" t="str">
        <f>IFERROR(__xludf.DUMMYFUNCTION("""COMPUTED_VALUE"""),"Feeding")</f>
        <v>Feeding</v>
      </c>
      <c r="P29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92" s="102" t="s">
        <v>65</v>
      </c>
    </row>
    <row r="293" ht="13.5" customHeight="1">
      <c r="A293" s="88">
        <f>IFERROR(__xludf.DUMMYFUNCTION("""COMPUTED_VALUE"""),45308.421122685184)</f>
        <v>45308.42112</v>
      </c>
      <c r="B293" s="89" t="b">
        <v>1</v>
      </c>
      <c r="C293" s="90" t="str">
        <f t="shared" si="2"/>
        <v>Spring 2024</v>
      </c>
      <c r="D293" s="91" t="str">
        <f>IFERROR(__xludf.DUMMYFUNCTION("""COMPUTED_VALUE"""),"oak1215@mavs.uta.edu")</f>
        <v>oak1215@mavs.uta.edu</v>
      </c>
      <c r="E293" s="92" t="str">
        <f>IFERROR(__xludf.DUMMYFUNCTION("""COMPUTED_VALUE"""),"Olivia kurtzeborn-sowell")</f>
        <v>Olivia kurtzeborn-sowell</v>
      </c>
      <c r="F293" s="93" t="str">
        <f>IFERROR(__xludf.DUMMYFUNCTION("""COMPUTED_VALUE"""),"Oliviak0692")</f>
        <v>Oliviak0692</v>
      </c>
      <c r="G293" s="92"/>
      <c r="H293" s="94" t="str">
        <f>IFERROR(__xludf.DUMMYFUNCTION("""COMPUTED_VALUE"""),"(817) 675-4558")</f>
        <v>(817) 675-4558</v>
      </c>
      <c r="I293" s="94" t="str">
        <f>IFERROR(__xludf.DUMMYFUNCTION("""COMPUTED_VALUE"""),"Student")</f>
        <v>Student</v>
      </c>
      <c r="J293" s="93" t="str">
        <f>IFERROR(__xludf.DUMMYFUNCTION("""COMPUTED_VALUE"""),"$15 Donation, Discord Verification")</f>
        <v>$15 Donation, Discord Verification</v>
      </c>
      <c r="K293" s="100" t="b">
        <v>0</v>
      </c>
      <c r="L293" s="101" t="str">
        <f>IFERROR(__xludf.DUMMYFUNCTION("""COMPUTED_VALUE"""),"Paypal")</f>
        <v>Paypal</v>
      </c>
      <c r="M293" s="95">
        <v>0.0</v>
      </c>
      <c r="N293" s="97" t="b">
        <v>1</v>
      </c>
      <c r="O293" s="93" t="str">
        <f>IFERROR(__xludf.DUMMYFUNCTION("""COMPUTED_VALUE"""),"Membership, Feeding")</f>
        <v>Membership, Feeding</v>
      </c>
      <c r="P29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93" s="102" t="s">
        <v>66</v>
      </c>
    </row>
    <row r="294" ht="13.5" customHeight="1">
      <c r="A294" s="88">
        <f>IFERROR(__xludf.DUMMYFUNCTION("""COMPUTED_VALUE"""),45353.76301837963)</f>
        <v>45353.76302</v>
      </c>
      <c r="B294" s="89" t="b">
        <v>1</v>
      </c>
      <c r="C294" s="90" t="str">
        <f t="shared" si="2"/>
        <v>Spring 2024</v>
      </c>
      <c r="D294" s="91" t="str">
        <f>IFERROR(__xludf.DUMMYFUNCTION("""COMPUTED_VALUE"""),"vxc9126@mavs.uta.edu")</f>
        <v>vxc9126@mavs.uta.edu</v>
      </c>
      <c r="E294" s="92" t="str">
        <f>IFERROR(__xludf.DUMMYFUNCTION("""COMPUTED_VALUE"""),"Vinay Datta Chenimineni")</f>
        <v>Vinay Datta Chenimineni</v>
      </c>
      <c r="F294" s="93" t="str">
        <f>IFERROR(__xludf.DUMMYFUNCTION("""COMPUTED_VALUE"""),"glitterflirt")</f>
        <v>glitterflirt</v>
      </c>
      <c r="G294" s="92"/>
      <c r="H294" s="94" t="str">
        <f>IFERROR(__xludf.DUMMYFUNCTION("""COMPUTED_VALUE"""),"(682) 414-6086")</f>
        <v>(682) 414-6086</v>
      </c>
      <c r="I294" s="94" t="str">
        <f>IFERROR(__xludf.DUMMYFUNCTION("""COMPUTED_VALUE"""),"Student")</f>
        <v>Student</v>
      </c>
      <c r="J294" s="93" t="str">
        <f>IFERROR(__xludf.DUMMYFUNCTION("""COMPUTED_VALUE"""),"$15 Donation, Discord Verification")</f>
        <v>$15 Donation, Discord Verification</v>
      </c>
      <c r="K294" s="100" t="b">
        <v>0</v>
      </c>
      <c r="L294" s="101" t="str">
        <f>IFERROR(__xludf.DUMMYFUNCTION("""COMPUTED_VALUE"""),"Paypal")</f>
        <v>Paypal</v>
      </c>
      <c r="M294" s="95">
        <v>0.0</v>
      </c>
      <c r="N294" s="97" t="b">
        <v>1</v>
      </c>
      <c r="O294" s="93" t="str">
        <f>IFERROR(__xludf.DUMMYFUNCTION("""COMPUTED_VALUE"""),"Feeding")</f>
        <v>Feeding</v>
      </c>
      <c r="P29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94" s="99"/>
    </row>
    <row r="295" ht="13.5" customHeight="1">
      <c r="A295" s="88">
        <f>IFERROR(__xludf.DUMMYFUNCTION("""COMPUTED_VALUE"""),45354.68277804398)</f>
        <v>45354.68278</v>
      </c>
      <c r="B295" s="89" t="b">
        <v>0</v>
      </c>
      <c r="C295" s="90" t="str">
        <f t="shared" si="2"/>
        <v>Spring 2024</v>
      </c>
      <c r="D295" s="91" t="str">
        <f>IFERROR(__xludf.DUMMYFUNCTION("""COMPUTED_VALUE"""),"dbt4555@mavs.uta.edu")</f>
        <v>dbt4555@mavs.uta.edu</v>
      </c>
      <c r="E295" s="92" t="str">
        <f>IFERROR(__xludf.DUMMYFUNCTION("""COMPUTED_VALUE"""),"Daphne Tran")</f>
        <v>Daphne Tran</v>
      </c>
      <c r="F295" s="93" t="str">
        <f>IFERROR(__xludf.DUMMYFUNCTION("""COMPUTED_VALUE"""),"yunnieb40")</f>
        <v>yunnieb40</v>
      </c>
      <c r="G295" s="92"/>
      <c r="H295" s="94" t="str">
        <f>IFERROR(__xludf.DUMMYFUNCTION("""COMPUTED_VALUE"""),"(214) 755-8798")</f>
        <v>(214) 755-8798</v>
      </c>
      <c r="I295" s="94" t="str">
        <f>IFERROR(__xludf.DUMMYFUNCTION("""COMPUTED_VALUE"""),"Student")</f>
        <v>Student</v>
      </c>
      <c r="J295" s="93" t="str">
        <f>IFERROR(__xludf.DUMMYFUNCTION("""COMPUTED_VALUE"""),"$15 Donation, Discord Verification")</f>
        <v>$15 Donation, Discord Verification</v>
      </c>
      <c r="K295" s="100" t="b">
        <v>0</v>
      </c>
      <c r="L295" s="101" t="str">
        <f>IFERROR(__xludf.DUMMYFUNCTION("""COMPUTED_VALUE"""),"Venmo")</f>
        <v>Venmo</v>
      </c>
      <c r="M295" s="95">
        <v>0.0</v>
      </c>
      <c r="N295" s="97" t="b">
        <v>0</v>
      </c>
      <c r="O295" s="93" t="str">
        <f>IFERROR(__xludf.DUMMYFUNCTION("""COMPUTED_VALUE"""),"Fundraising, PR, Membership, Fostering")</f>
        <v>Fundraising, PR, Membership, Fostering</v>
      </c>
      <c r="P29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95" s="99"/>
    </row>
    <row r="296" ht="13.5" customHeight="1">
      <c r="A296" s="88">
        <f>IFERROR(__xludf.DUMMYFUNCTION("""COMPUTED_VALUE"""),45363.58149336805)</f>
        <v>45363.58149</v>
      </c>
      <c r="B296" s="89" t="b">
        <v>1</v>
      </c>
      <c r="C296" s="90" t="str">
        <f t="shared" si="2"/>
        <v>Spring 2024</v>
      </c>
      <c r="D296" s="91" t="str">
        <f>IFERROR(__xludf.DUMMYFUNCTION("""COMPUTED_VALUE"""),"rxz4848@mavs.uta.edu")</f>
        <v>rxz4848@mavs.uta.edu</v>
      </c>
      <c r="E296" s="92" t="str">
        <f>IFERROR(__xludf.DUMMYFUNCTION("""COMPUTED_VALUE"""),"Rosalia Zamarripa ")</f>
        <v>Rosalia Zamarripa </v>
      </c>
      <c r="F296" s="93" t="str">
        <f>IFERROR(__xludf.DUMMYFUNCTION("""COMPUTED_VALUE"""),"Rosy9058")</f>
        <v>Rosy9058</v>
      </c>
      <c r="G296" s="92"/>
      <c r="H296" s="94" t="str">
        <f>IFERROR(__xludf.DUMMYFUNCTION("""COMPUTED_VALUE"""),"(469) 401-2764")</f>
        <v>(469) 401-2764</v>
      </c>
      <c r="I296" s="94" t="str">
        <f>IFERROR(__xludf.DUMMYFUNCTION("""COMPUTED_VALUE"""),"Student")</f>
        <v>Student</v>
      </c>
      <c r="J296" s="93" t="str">
        <f>IFERROR(__xludf.DUMMYFUNCTION("""COMPUTED_VALUE"""),"$15 Donation, Discord Verification")</f>
        <v>$15 Donation, Discord Verification</v>
      </c>
      <c r="K296" s="100" t="b">
        <v>0</v>
      </c>
      <c r="L296" s="101" t="str">
        <f>IFERROR(__xludf.DUMMYFUNCTION("""COMPUTED_VALUE"""),"Cashapp")</f>
        <v>Cashapp</v>
      </c>
      <c r="M296" s="95">
        <v>0.0</v>
      </c>
      <c r="N296" s="97" t="b">
        <v>1</v>
      </c>
      <c r="O296" s="93" t="str">
        <f>IFERROR(__xludf.DUMMYFUNCTION("""COMPUTED_VALUE"""),"Feeding")</f>
        <v>Feeding</v>
      </c>
      <c r="P29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96" s="99"/>
    </row>
    <row r="297" ht="13.5" customHeight="1">
      <c r="A297" s="88">
        <f>IFERROR(__xludf.DUMMYFUNCTION("""COMPUTED_VALUE"""),45333.0)</f>
        <v>45333</v>
      </c>
      <c r="B297" s="89" t="b">
        <v>1</v>
      </c>
      <c r="C297" s="90" t="str">
        <f t="shared" si="2"/>
        <v>Spring 2024</v>
      </c>
      <c r="D297" s="91" t="str">
        <f>IFERROR(__xludf.DUMMYFUNCTION("""COMPUTED_VALUE"""),"brandon.isom@mavs.uta.edu")</f>
        <v>brandon.isom@mavs.uta.edu</v>
      </c>
      <c r="E297" s="92" t="str">
        <f>IFERROR(__xludf.DUMMYFUNCTION("""COMPUTED_VALUE"""),"Brandon Isom")</f>
        <v>Brandon Isom</v>
      </c>
      <c r="F297" s="93" t="str">
        <f>IFERROR(__xludf.DUMMYFUNCTION("""COMPUTED_VALUE"""),"impalalord ")</f>
        <v>impalalord </v>
      </c>
      <c r="G297" s="92"/>
      <c r="H297" s="94" t="str">
        <f>IFERROR(__xludf.DUMMYFUNCTION("""COMPUTED_VALUE"""),"(469) 403-9856")</f>
        <v>(469) 403-9856</v>
      </c>
      <c r="I297" s="94" t="str">
        <f>IFERROR(__xludf.DUMMYFUNCTION("""COMPUTED_VALUE"""),"Student")</f>
        <v>Student</v>
      </c>
      <c r="J297" s="93" t="str">
        <f>IFERROR(__xludf.DUMMYFUNCTION("""COMPUTED_VALUE"""),"$15 Donation, Discord Verification")</f>
        <v>$15 Donation, Discord Verification</v>
      </c>
      <c r="K297" s="100" t="b">
        <v>0</v>
      </c>
      <c r="L297" s="101" t="str">
        <f>IFERROR(__xludf.DUMMYFUNCTION("""COMPUTED_VALUE"""),"Cashapp")</f>
        <v>Cashapp</v>
      </c>
      <c r="M297" s="95">
        <v>0.0</v>
      </c>
      <c r="N297" s="97" t="b">
        <v>1</v>
      </c>
      <c r="O297" s="93" t="str">
        <f>IFERROR(__xludf.DUMMYFUNCTION("""COMPUTED_VALUE"""),"Fundraising, TNR")</f>
        <v>Fundraising, TNR</v>
      </c>
      <c r="P29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97" s="102" t="s">
        <v>67</v>
      </c>
    </row>
    <row r="298" ht="13.5" customHeight="1">
      <c r="A298" s="139">
        <f>IFERROR(__xludf.DUMMYFUNCTION("""COMPUTED_VALUE"""),45390.44293027778)</f>
        <v>45390.44293</v>
      </c>
      <c r="B298" s="140" t="b">
        <v>0</v>
      </c>
      <c r="C298" s="139" t="str">
        <f t="shared" si="2"/>
        <v>Spring 2024</v>
      </c>
      <c r="D298" s="141" t="str">
        <f>IFERROR(__xludf.DUMMYFUNCTION("""COMPUTED_VALUE"""),"kxm1919@mavs.uta.edu")</f>
        <v>kxm1919@mavs.uta.edu</v>
      </c>
      <c r="E298" s="142" t="str">
        <f>IFERROR(__xludf.DUMMYFUNCTION("""COMPUTED_VALUE"""),"Kaustubh Mahimkar")</f>
        <v>Kaustubh Mahimkar</v>
      </c>
      <c r="F298" s="143" t="str">
        <f>IFERROR(__xludf.DUMMYFUNCTION("""COMPUTED_VALUE"""),"migraine_95")</f>
        <v>migraine_95</v>
      </c>
      <c r="G298" s="142"/>
      <c r="H298" s="144" t="str">
        <f>IFERROR(__xludf.DUMMYFUNCTION("""COMPUTED_VALUE"""),"(936) 314-7727")</f>
        <v>(936) 314-7727</v>
      </c>
      <c r="I298" s="144" t="str">
        <f>IFERROR(__xludf.DUMMYFUNCTION("""COMPUTED_VALUE"""),"Student")</f>
        <v>Student</v>
      </c>
      <c r="J298" s="143" t="str">
        <f>IFERROR(__xludf.DUMMYFUNCTION("""COMPUTED_VALUE"""),"Food/Litter Donation")</f>
        <v>Food/Litter Donation</v>
      </c>
      <c r="K298" s="145" t="b">
        <v>0</v>
      </c>
      <c r="L298" s="146"/>
      <c r="M298" s="145"/>
      <c r="N298" s="144" t="b">
        <v>0</v>
      </c>
      <c r="O298" s="143" t="str">
        <f>IFERROR(__xludf.DUMMYFUNCTION("""COMPUTED_VALUE"""),"Fundraising, PR, Membership, TNR, Overnight TNR, Feeding, Fostering, Shelter Maintenance")</f>
        <v>Fundraising, PR, Membership, TNR, Overnight TNR, Feeding, Fostering, Shelter Maintenance</v>
      </c>
      <c r="P298" s="147"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98" s="148" t="s">
        <v>68</v>
      </c>
    </row>
    <row r="299" ht="13.5" customHeight="1">
      <c r="A299" s="88">
        <f>IFERROR(__xludf.DUMMYFUNCTION("""COMPUTED_VALUE"""),45464.1686265625)</f>
        <v>45464.16863</v>
      </c>
      <c r="B299" s="89" t="b">
        <v>0</v>
      </c>
      <c r="C299" s="90" t="str">
        <f t="shared" si="2"/>
        <v>Fall 2024</v>
      </c>
      <c r="D299" s="91" t="str">
        <f>IFERROR(__xludf.DUMMYFUNCTION("""COMPUTED_VALUE"""),"ixr1854@mavs.uta.edu")</f>
        <v>ixr1854@mavs.uta.edu</v>
      </c>
      <c r="E299" s="92" t="str">
        <f>IFERROR(__xludf.DUMMYFUNCTION("""COMPUTED_VALUE"""),"Isabella Ramirez")</f>
        <v>Isabella Ramirez</v>
      </c>
      <c r="F299" s="93" t="str">
        <f>IFERROR(__xludf.DUMMYFUNCTION("""COMPUTED_VALUE"""),"isabellaramir.ez")</f>
        <v>isabellaramir.ez</v>
      </c>
      <c r="G299" s="92"/>
      <c r="H299" s="94" t="str">
        <f>IFERROR(__xludf.DUMMYFUNCTION("""COMPUTED_VALUE"""),"(469) 516-3568")</f>
        <v>(469) 516-3568</v>
      </c>
      <c r="I299" s="94" t="str">
        <f>IFERROR(__xludf.DUMMYFUNCTION("""COMPUTED_VALUE"""),"Student")</f>
        <v>Student</v>
      </c>
      <c r="J299" s="93" t="str">
        <f>IFERROR(__xludf.DUMMYFUNCTION("""COMPUTED_VALUE"""),"Food/Litter Donation")</f>
        <v>Food/Litter Donation</v>
      </c>
      <c r="K299" s="100" t="b">
        <v>0</v>
      </c>
      <c r="L299" s="101"/>
      <c r="M299" s="100"/>
      <c r="N299" s="94" t="b">
        <v>0</v>
      </c>
      <c r="O299" s="93" t="str">
        <f>IFERROR(__xludf.DUMMYFUNCTION("""COMPUTED_VALUE"""),"Fundraising, PR, Membership, Feeding")</f>
        <v>Fundraising, PR, Membership, Feeding</v>
      </c>
      <c r="P29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299" s="102" t="s">
        <v>69</v>
      </c>
    </row>
    <row r="300" ht="13.5" customHeight="1">
      <c r="A300" s="88">
        <f>IFERROR(__xludf.DUMMYFUNCTION("""COMPUTED_VALUE"""),45472.38541333334)</f>
        <v>45472.38541</v>
      </c>
      <c r="B300" s="89" t="b">
        <v>0</v>
      </c>
      <c r="C300" s="90" t="str">
        <f t="shared" si="2"/>
        <v>Fall 2024</v>
      </c>
      <c r="D300" s="91" t="str">
        <f>IFERROR(__xludf.DUMMYFUNCTION("""COMPUTED_VALUE"""),"sxa1552@mavs.uta.edu")</f>
        <v>sxa1552@mavs.uta.edu</v>
      </c>
      <c r="E300" s="92" t="str">
        <f>IFERROR(__xludf.DUMMYFUNCTION("""COMPUTED_VALUE"""),"Siti Amirah Abdolgony ")</f>
        <v>Siti Amirah Abdolgony </v>
      </c>
      <c r="F300" s="93" t="str">
        <f>IFERROR(__xludf.DUMMYFUNCTION("""COMPUTED_VALUE"""),"siab5306")</f>
        <v>siab5306</v>
      </c>
      <c r="G300" s="92"/>
      <c r="H300" s="94" t="str">
        <f>IFERROR(__xludf.DUMMYFUNCTION("""COMPUTED_VALUE"""),"(682) 560-3282")</f>
        <v>(682) 560-3282</v>
      </c>
      <c r="I300" s="94" t="str">
        <f>IFERROR(__xludf.DUMMYFUNCTION("""COMPUTED_VALUE"""),"Student")</f>
        <v>Student</v>
      </c>
      <c r="J300" s="93" t="str">
        <f>IFERROR(__xludf.DUMMYFUNCTION("""COMPUTED_VALUE"""),"Food/Litter Donation")</f>
        <v>Food/Litter Donation</v>
      </c>
      <c r="K300" s="100" t="b">
        <v>0</v>
      </c>
      <c r="L300" s="101"/>
      <c r="M300" s="100"/>
      <c r="N300" s="94" t="b">
        <v>0</v>
      </c>
      <c r="O300" s="93" t="str">
        <f>IFERROR(__xludf.DUMMYFUNCTION("""COMPUTED_VALUE"""),"PR, Feeding, Shelter Maintenance")</f>
        <v>PR, Feeding, Shelter Maintenance</v>
      </c>
      <c r="P30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00" s="99"/>
    </row>
    <row r="301" ht="13.5" customHeight="1">
      <c r="A301" s="88">
        <f>IFERROR(__xludf.DUMMYFUNCTION("""COMPUTED_VALUE"""),45486.61926601852)</f>
        <v>45486.61927</v>
      </c>
      <c r="B301" s="89" t="b">
        <v>1</v>
      </c>
      <c r="C301" s="90" t="str">
        <f t="shared" si="2"/>
        <v>Fall 2024</v>
      </c>
      <c r="D301" s="91" t="str">
        <f>IFERROR(__xludf.DUMMYFUNCTION("""COMPUTED_VALUE"""),"cxw4856@mavs.uta.edu")</f>
        <v>cxw4856@mavs.uta.edu</v>
      </c>
      <c r="E301" s="92" t="str">
        <f>IFERROR(__xludf.DUMMYFUNCTION("""COMPUTED_VALUE"""),"Cailyn Wright")</f>
        <v>Cailyn Wright</v>
      </c>
      <c r="F301" s="93" t="str">
        <f>IFERROR(__xludf.DUMMYFUNCTION("""COMPUTED_VALUE"""),"cailyn.wright")</f>
        <v>cailyn.wright</v>
      </c>
      <c r="G301" s="92"/>
      <c r="H301" s="94" t="str">
        <f>IFERROR(__xludf.DUMMYFUNCTION("""COMPUTED_VALUE"""),"(469) 999-2277")</f>
        <v>(469) 999-2277</v>
      </c>
      <c r="I301" s="94" t="str">
        <f>IFERROR(__xludf.DUMMYFUNCTION("""COMPUTED_VALUE"""),"Student")</f>
        <v>Student</v>
      </c>
      <c r="J301" s="93" t="str">
        <f>IFERROR(__xludf.DUMMYFUNCTION("""COMPUTED_VALUE"""),"$15 Donation, Discord Verification")</f>
        <v>$15 Donation, Discord Verification</v>
      </c>
      <c r="K301" s="100" t="b">
        <v>0</v>
      </c>
      <c r="L301" s="101" t="str">
        <f>IFERROR(__xludf.DUMMYFUNCTION("""COMPUTED_VALUE"""),"Venmo")</f>
        <v>Venmo</v>
      </c>
      <c r="M301" s="95">
        <v>0.0</v>
      </c>
      <c r="N301" s="97" t="b">
        <v>1</v>
      </c>
      <c r="O301" s="93" t="str">
        <f>IFERROR(__xludf.DUMMYFUNCTION("""COMPUTED_VALUE"""),"PR, Membership, Feeding")</f>
        <v>PR, Membership, Feeding</v>
      </c>
      <c r="P30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01" s="99"/>
    </row>
    <row r="302" ht="13.5" customHeight="1">
      <c r="A302" s="88">
        <f>IFERROR(__xludf.DUMMYFUNCTION("""COMPUTED_VALUE"""),45486.68594829861)</f>
        <v>45486.68595</v>
      </c>
      <c r="B302" s="89" t="b">
        <v>0</v>
      </c>
      <c r="C302" s="90" t="str">
        <f t="shared" si="2"/>
        <v>Fall 2024</v>
      </c>
      <c r="D302" s="91" t="str">
        <f>IFERROR(__xludf.DUMMYFUNCTION("""COMPUTED_VALUE"""),"adm9633@mavs.uta.edu")</f>
        <v>adm9633@mavs.uta.edu</v>
      </c>
      <c r="E302" s="92" t="str">
        <f>IFERROR(__xludf.DUMMYFUNCTION("""COMPUTED_VALUE"""),"Alexandria")</f>
        <v>Alexandria</v>
      </c>
      <c r="F302" s="93" t="str">
        <f>IFERROR(__xludf.DUMMYFUNCTION("""COMPUTED_VALUE"""),"a.mitch33")</f>
        <v>a.mitch33</v>
      </c>
      <c r="G302" s="92"/>
      <c r="H302" s="94" t="str">
        <f>IFERROR(__xludf.DUMMYFUNCTION("""COMPUTED_VALUE"""),"(575) 218-1930")</f>
        <v>(575) 218-1930</v>
      </c>
      <c r="I302" s="94" t="str">
        <f>IFERROR(__xludf.DUMMYFUNCTION("""COMPUTED_VALUE"""),"Student")</f>
        <v>Student</v>
      </c>
      <c r="J302" s="93" t="str">
        <f>IFERROR(__xludf.DUMMYFUNCTION("""COMPUTED_VALUE"""),"Food/Litter Donation")</f>
        <v>Food/Litter Donation</v>
      </c>
      <c r="K302" s="100" t="b">
        <v>0</v>
      </c>
      <c r="L302" s="101"/>
      <c r="M302" s="100"/>
      <c r="N302" s="94" t="b">
        <v>0</v>
      </c>
      <c r="O302" s="93" t="str">
        <f>IFERROR(__xludf.DUMMYFUNCTION("""COMPUTED_VALUE"""),"Membership, Feeding, I would mostly be okay with any position beside fostering.")</f>
        <v>Membership, Feeding, I would mostly be okay with any position beside fostering.</v>
      </c>
      <c r="P30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02" s="99"/>
    </row>
    <row r="303" ht="13.5" customHeight="1">
      <c r="A303" s="88">
        <f>IFERROR(__xludf.DUMMYFUNCTION("""COMPUTED_VALUE"""),45488.88780810185)</f>
        <v>45488.88781</v>
      </c>
      <c r="B303" s="89" t="b">
        <v>1</v>
      </c>
      <c r="C303" s="90" t="str">
        <f t="shared" si="2"/>
        <v>Fall 2024</v>
      </c>
      <c r="D303" s="91" t="str">
        <f>IFERROR(__xludf.DUMMYFUNCTION("""COMPUTED_VALUE"""),"ssi4241@mava.uta.edu")</f>
        <v>ssi4241@mava.uta.edu</v>
      </c>
      <c r="E303" s="92" t="str">
        <f>IFERROR(__xludf.DUMMYFUNCTION("""COMPUTED_VALUE"""),"Seja Ismail")</f>
        <v>Seja Ismail</v>
      </c>
      <c r="F303" s="93" t="str">
        <f>IFERROR(__xludf.DUMMYFUNCTION("""COMPUTED_VALUE"""),"@s3j")</f>
        <v>@s3j</v>
      </c>
      <c r="G303" s="92"/>
      <c r="H303" s="94" t="str">
        <f>IFERROR(__xludf.DUMMYFUNCTION("""COMPUTED_VALUE"""),"(214) 918-2345")</f>
        <v>(214) 918-2345</v>
      </c>
      <c r="I303" s="94" t="str">
        <f>IFERROR(__xludf.DUMMYFUNCTION("""COMPUTED_VALUE"""),"Student")</f>
        <v>Student</v>
      </c>
      <c r="J303" s="93" t="str">
        <f>IFERROR(__xludf.DUMMYFUNCTION("""COMPUTED_VALUE"""),"$15 Donation, Discord Verification")</f>
        <v>$15 Donation, Discord Verification</v>
      </c>
      <c r="K303" s="100" t="b">
        <v>0</v>
      </c>
      <c r="L303" s="101" t="str">
        <f>IFERROR(__xludf.DUMMYFUNCTION("""COMPUTED_VALUE"""),"Cashapp")</f>
        <v>Cashapp</v>
      </c>
      <c r="M303" s="95">
        <v>0.0</v>
      </c>
      <c r="N303" s="97" t="b">
        <v>1</v>
      </c>
      <c r="O303" s="93" t="str">
        <f>IFERROR(__xludf.DUMMYFUNCTION("""COMPUTED_VALUE"""),"Fundraising, PR, Membership, TNR, Overnight TNR, Feeding, Fostering, Shelter Maintenance, Poopoo")</f>
        <v>Fundraising, PR, Membership, TNR, Overnight TNR, Feeding, Fostering, Shelter Maintenance, Poopoo</v>
      </c>
      <c r="P30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03" s="99"/>
    </row>
    <row r="304" ht="13.5" customHeight="1">
      <c r="A304" s="88">
        <f>IFERROR(__xludf.DUMMYFUNCTION("""COMPUTED_VALUE"""),45489.52060777778)</f>
        <v>45489.52061</v>
      </c>
      <c r="B304" s="89" t="b">
        <v>1</v>
      </c>
      <c r="C304" s="90" t="str">
        <f t="shared" si="2"/>
        <v>Fall 2024</v>
      </c>
      <c r="D304" s="91" t="str">
        <f>IFERROR(__xludf.DUMMYFUNCTION("""COMPUTED_VALUE"""),"ajb1480@mavs.uta.edu")</f>
        <v>ajb1480@mavs.uta.edu</v>
      </c>
      <c r="E304" s="92" t="str">
        <f>IFERROR(__xludf.DUMMYFUNCTION("""COMPUTED_VALUE"""),"Austin Brown")</f>
        <v>Austin Brown</v>
      </c>
      <c r="F304" s="93" t="str">
        <f>IFERROR(__xludf.DUMMYFUNCTION("""COMPUTED_VALUE"""),"austinbaustinb")</f>
        <v>austinbaustinb</v>
      </c>
      <c r="G304" s="92"/>
      <c r="H304" s="94" t="str">
        <f>IFERROR(__xludf.DUMMYFUNCTION("""COMPUTED_VALUE"""),"(815) 278-3496")</f>
        <v>(815) 278-3496</v>
      </c>
      <c r="I304" s="94" t="str">
        <f>IFERROR(__xludf.DUMMYFUNCTION("""COMPUTED_VALUE"""),"Student")</f>
        <v>Student</v>
      </c>
      <c r="J304" s="93" t="str">
        <f>IFERROR(__xludf.DUMMYFUNCTION("""COMPUTED_VALUE"""),"$15 Donation, Discord Verification")</f>
        <v>$15 Donation, Discord Verification</v>
      </c>
      <c r="K304" s="100" t="b">
        <v>0</v>
      </c>
      <c r="L304" s="101" t="str">
        <f>IFERROR(__xludf.DUMMYFUNCTION("""COMPUTED_VALUE"""),"Venmo")</f>
        <v>Venmo</v>
      </c>
      <c r="M304" s="95">
        <v>0.0</v>
      </c>
      <c r="N304" s="97" t="b">
        <v>1</v>
      </c>
      <c r="O304" s="93" t="str">
        <f>IFERROR(__xludf.DUMMYFUNCTION("""COMPUTED_VALUE"""),"TNR, Overnight TNR")</f>
        <v>TNR, Overnight TNR</v>
      </c>
      <c r="P30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04" s="99"/>
    </row>
    <row r="305" ht="13.5" customHeight="1">
      <c r="A305" s="88">
        <f>IFERROR(__xludf.DUMMYFUNCTION("""COMPUTED_VALUE"""),45489.528478402775)</f>
        <v>45489.52848</v>
      </c>
      <c r="B305" s="89" t="b">
        <v>1</v>
      </c>
      <c r="C305" s="90" t="str">
        <f t="shared" si="2"/>
        <v>Fall 2024</v>
      </c>
      <c r="D305" s="91" t="str">
        <f>IFERROR(__xludf.DUMMYFUNCTION("""COMPUTED_VALUE"""),"jdj0892@mavs.uta.edu")</f>
        <v>jdj0892@mavs.uta.edu</v>
      </c>
      <c r="E305" s="92" t="str">
        <f>IFERROR(__xludf.DUMMYFUNCTION("""COMPUTED_VALUE"""),"Jesse Jarrell")</f>
        <v>Jesse Jarrell</v>
      </c>
      <c r="F305" s="93" t="str">
        <f>IFERROR(__xludf.DUMMYFUNCTION("""COMPUTED_VALUE"""),"moineau_l.oiseau")</f>
        <v>moineau_l.oiseau</v>
      </c>
      <c r="G305" s="92"/>
      <c r="H305" s="94" t="str">
        <f>IFERROR(__xludf.DUMMYFUNCTION("""COMPUTED_VALUE"""),"(817) 492-6706")</f>
        <v>(817) 492-6706</v>
      </c>
      <c r="I305" s="94" t="str">
        <f>IFERROR(__xludf.DUMMYFUNCTION("""COMPUTED_VALUE"""),"Student")</f>
        <v>Student</v>
      </c>
      <c r="J305" s="93" t="str">
        <f>IFERROR(__xludf.DUMMYFUNCTION("""COMPUTED_VALUE"""),"$15 Donation, Discord Verification")</f>
        <v>$15 Donation, Discord Verification</v>
      </c>
      <c r="K305" s="100" t="b">
        <v>0</v>
      </c>
      <c r="L305" s="101" t="str">
        <f>IFERROR(__xludf.DUMMYFUNCTION("""COMPUTED_VALUE"""),"Paypal")</f>
        <v>Paypal</v>
      </c>
      <c r="M305" s="95">
        <v>15.0</v>
      </c>
      <c r="N305" s="97" t="b">
        <v>1</v>
      </c>
      <c r="O305" s="93" t="str">
        <f>IFERROR(__xludf.DUMMYFUNCTION("""COMPUTED_VALUE"""),"Fundraising, PR, Membership, TNR, Overnight TNR, Feeding, Fostering, Shelter Maintenance")</f>
        <v>Fundraising, PR, Membership, TNR, Overnight TNR, Feeding, Fostering, Shelter Maintenance</v>
      </c>
      <c r="P30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05" s="99"/>
    </row>
    <row r="306" ht="13.5" customHeight="1">
      <c r="A306" s="88">
        <f>IFERROR(__xludf.DUMMYFUNCTION("""COMPUTED_VALUE"""),45489.5584734838)</f>
        <v>45489.55847</v>
      </c>
      <c r="B306" s="89" t="b">
        <v>1</v>
      </c>
      <c r="C306" s="90" t="str">
        <f t="shared" si="2"/>
        <v>Fall 2024</v>
      </c>
      <c r="D306" s="91" t="str">
        <f>IFERROR(__xludf.DUMMYFUNCTION("""COMPUTED_VALUE"""),"dsf1084@mavs.uta.edu")</f>
        <v>dsf1084@mavs.uta.edu</v>
      </c>
      <c r="E306" s="92" t="str">
        <f>IFERROR(__xludf.DUMMYFUNCTION("""COMPUTED_VALUE"""),"Derek Santiago Fuentes")</f>
        <v>Derek Santiago Fuentes</v>
      </c>
      <c r="F306" s="93" t="str">
        <f>IFERROR(__xludf.DUMMYFUNCTION("""COMPUTED_VALUE"""),"a1darek")</f>
        <v>a1darek</v>
      </c>
      <c r="G306" s="92"/>
      <c r="H306" s="94" t="str">
        <f>IFERROR(__xludf.DUMMYFUNCTION("""COMPUTED_VALUE"""),"(682) 203-0235")</f>
        <v>(682) 203-0235</v>
      </c>
      <c r="I306" s="94" t="str">
        <f>IFERROR(__xludf.DUMMYFUNCTION("""COMPUTED_VALUE"""),"Student")</f>
        <v>Student</v>
      </c>
      <c r="J306" s="93" t="str">
        <f>IFERROR(__xludf.DUMMYFUNCTION("""COMPUTED_VALUE"""),"$15 Donation, Discord Verification")</f>
        <v>$15 Donation, Discord Verification</v>
      </c>
      <c r="K306" s="100" t="b">
        <v>0</v>
      </c>
      <c r="L306" s="101" t="str">
        <f>IFERROR(__xludf.DUMMYFUNCTION("""COMPUTED_VALUE"""),"Paypal")</f>
        <v>Paypal</v>
      </c>
      <c r="M306" s="95">
        <v>0.0</v>
      </c>
      <c r="N306" s="97" t="b">
        <v>1</v>
      </c>
      <c r="O306" s="93" t="str">
        <f>IFERROR(__xludf.DUMMYFUNCTION("""COMPUTED_VALUE"""),"the meeting your mom committee")</f>
        <v>the meeting your mom committee</v>
      </c>
      <c r="P30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06" s="99"/>
    </row>
    <row r="307" ht="13.5" customHeight="1">
      <c r="A307" s="149">
        <f>IFERROR(__xludf.DUMMYFUNCTION("""COMPUTED_VALUE"""),45492.55566454861)</f>
        <v>45492.55566</v>
      </c>
      <c r="B307" s="150" t="b">
        <v>0</v>
      </c>
      <c r="C307" s="149" t="str">
        <f t="shared" si="2"/>
        <v>Fall 2024</v>
      </c>
      <c r="D307" s="151" t="str">
        <f>IFERROR(__xludf.DUMMYFUNCTION("""COMPUTED_VALUE"""),"bnt6465@mavs.uta.edu")</f>
        <v>bnt6465@mavs.uta.edu</v>
      </c>
      <c r="E307" s="152" t="str">
        <f>IFERROR(__xludf.DUMMYFUNCTION("""COMPUTED_VALUE"""),"Brittany Tran")</f>
        <v>Brittany Tran</v>
      </c>
      <c r="F307" s="153" t="str">
        <f>IFERROR(__xludf.DUMMYFUNCTION("""COMPUTED_VALUE"""),"Kit Kat")</f>
        <v>Kit Kat</v>
      </c>
      <c r="G307" s="152"/>
      <c r="H307" s="154" t="str">
        <f>IFERROR(__xludf.DUMMYFUNCTION("""COMPUTED_VALUE"""),"(214) 796-9307")</f>
        <v>(214) 796-9307</v>
      </c>
      <c r="I307" s="154" t="str">
        <f>IFERROR(__xludf.DUMMYFUNCTION("""COMPUTED_VALUE"""),"Student")</f>
        <v>Student</v>
      </c>
      <c r="J307" s="153" t="str">
        <f>IFERROR(__xludf.DUMMYFUNCTION("""COMPUTED_VALUE"""),"$15 Donation, Discord Verification")</f>
        <v>$15 Donation, Discord Verification</v>
      </c>
      <c r="K307" s="155" t="b">
        <v>0</v>
      </c>
      <c r="L307" s="156" t="str">
        <f>IFERROR(__xludf.DUMMYFUNCTION("""COMPUTED_VALUE"""),"Cash")</f>
        <v>Cash</v>
      </c>
      <c r="M307" s="155"/>
      <c r="N307" s="154" t="b">
        <v>0</v>
      </c>
      <c r="O307" s="153" t="str">
        <f>IFERROR(__xludf.DUMMYFUNCTION("""COMPUTED_VALUE"""),"Fundraising, Feeding")</f>
        <v>Fundraising, Feeding</v>
      </c>
      <c r="P307" s="157"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07" s="158" t="s">
        <v>51</v>
      </c>
    </row>
    <row r="308" ht="13.5" customHeight="1">
      <c r="A308" s="88">
        <f>IFERROR(__xludf.DUMMYFUNCTION("""COMPUTED_VALUE"""),45492.612825034725)</f>
        <v>45492.61283</v>
      </c>
      <c r="B308" s="89" t="b">
        <v>0</v>
      </c>
      <c r="C308" s="90" t="str">
        <f t="shared" si="2"/>
        <v>Fall 2024</v>
      </c>
      <c r="D308" s="91" t="str">
        <f>IFERROR(__xludf.DUMMYFUNCTION("""COMPUTED_VALUE"""),"cxg9285@mavs.uta.edu")</f>
        <v>cxg9285@mavs.uta.edu</v>
      </c>
      <c r="E308" s="92" t="str">
        <f>IFERROR(__xludf.DUMMYFUNCTION("""COMPUTED_VALUE"""),"Camila Gamboa-Mendoza")</f>
        <v>Camila Gamboa-Mendoza</v>
      </c>
      <c r="F308" s="93" t="str">
        <f>IFERROR(__xludf.DUMMYFUNCTION("""COMPUTED_VALUE"""),"milaaa0333_68168")</f>
        <v>milaaa0333_68168</v>
      </c>
      <c r="G308" s="92"/>
      <c r="H308" s="94" t="str">
        <f>IFERROR(__xludf.DUMMYFUNCTION("""COMPUTED_VALUE"""),"(682) 716-2040")</f>
        <v>(682) 716-2040</v>
      </c>
      <c r="I308" s="94" t="str">
        <f>IFERROR(__xludf.DUMMYFUNCTION("""COMPUTED_VALUE"""),"Student")</f>
        <v>Student</v>
      </c>
      <c r="J308" s="93" t="str">
        <f>IFERROR(__xludf.DUMMYFUNCTION("""COMPUTED_VALUE"""),"$15 Donation, Discord Verification")</f>
        <v>$15 Donation, Discord Verification</v>
      </c>
      <c r="K308" s="100" t="b">
        <v>0</v>
      </c>
      <c r="L308" s="101" t="str">
        <f>IFERROR(__xludf.DUMMYFUNCTION("""COMPUTED_VALUE"""),"Cashapp")</f>
        <v>Cashapp</v>
      </c>
      <c r="M308" s="100"/>
      <c r="N308" s="94" t="b">
        <v>0</v>
      </c>
      <c r="O308" s="93" t="str">
        <f>IFERROR(__xludf.DUMMYFUNCTION("""COMPUTED_VALUE"""),"Membership, Feeding, Shelter Maintenance")</f>
        <v>Membership, Feeding, Shelter Maintenance</v>
      </c>
      <c r="P30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08" s="99"/>
    </row>
    <row r="309" ht="13.5" customHeight="1">
      <c r="A309" s="88">
        <f>IFERROR(__xludf.DUMMYFUNCTION("""COMPUTED_VALUE"""),45492.86843527778)</f>
        <v>45492.86844</v>
      </c>
      <c r="B309" s="89" t="b">
        <v>1</v>
      </c>
      <c r="C309" s="90" t="str">
        <f t="shared" si="2"/>
        <v>Fall 2024</v>
      </c>
      <c r="D309" s="91" t="str">
        <f>IFERROR(__xludf.DUMMYFUNCTION("""COMPUTED_VALUE"""),"hxt8687@mavs.uta.edu")</f>
        <v>hxt8687@mavs.uta.edu</v>
      </c>
      <c r="E309" s="92" t="str">
        <f>IFERROR(__xludf.DUMMYFUNCTION("""COMPUTED_VALUE"""),"Houston Tu")</f>
        <v>Houston Tu</v>
      </c>
      <c r="F309" s="93" t="str">
        <f>IFERROR(__xludf.DUMMYFUNCTION("""COMPUTED_VALUE"""),"Zoobies")</f>
        <v>Zoobies</v>
      </c>
      <c r="G309" s="92"/>
      <c r="H309" s="94" t="str">
        <f>IFERROR(__xludf.DUMMYFUNCTION("""COMPUTED_VALUE"""),"(682) 597-1171")</f>
        <v>(682) 597-1171</v>
      </c>
      <c r="I309" s="94" t="str">
        <f>IFERROR(__xludf.DUMMYFUNCTION("""COMPUTED_VALUE"""),"Student")</f>
        <v>Student</v>
      </c>
      <c r="J309" s="93" t="str">
        <f>IFERROR(__xludf.DUMMYFUNCTION("""COMPUTED_VALUE"""),"$15 Donation, Discord Verification")</f>
        <v>$15 Donation, Discord Verification</v>
      </c>
      <c r="K309" s="95" t="b">
        <v>1</v>
      </c>
      <c r="L309" s="101" t="str">
        <f>IFERROR(__xludf.DUMMYFUNCTION("""COMPUTED_VALUE"""),"Paypal")</f>
        <v>Paypal</v>
      </c>
      <c r="M309" s="95">
        <v>0.0</v>
      </c>
      <c r="N309" s="97" t="b">
        <v>1</v>
      </c>
      <c r="O309" s="93" t="str">
        <f>IFERROR(__xludf.DUMMYFUNCTION("""COMPUTED_VALUE"""),"Membership, Feeding, Shelter Maintenance")</f>
        <v>Membership, Feeding, Shelter Maintenance</v>
      </c>
      <c r="P30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09" s="99"/>
    </row>
    <row r="310" ht="13.5" customHeight="1">
      <c r="A310" s="88">
        <f>IFERROR(__xludf.DUMMYFUNCTION("""COMPUTED_VALUE"""),45496.49090563657)</f>
        <v>45496.49091</v>
      </c>
      <c r="B310" s="89" t="b">
        <v>1</v>
      </c>
      <c r="C310" s="90" t="str">
        <f t="shared" si="2"/>
        <v>Fall 2024</v>
      </c>
      <c r="D310" s="91" t="str">
        <f>IFERROR(__xludf.DUMMYFUNCTION("""COMPUTED_VALUE"""),"saw8513@mavs.uta.edu")</f>
        <v>saw8513@mavs.uta.edu</v>
      </c>
      <c r="E310" s="92" t="str">
        <f>IFERROR(__xludf.DUMMYFUNCTION("""COMPUTED_VALUE"""),"Sarah Wolf")</f>
        <v>Sarah Wolf</v>
      </c>
      <c r="F310" s="93" t="str">
        <f>IFERROR(__xludf.DUMMYFUNCTION("""COMPUTED_VALUE"""),"sarah036224")</f>
        <v>sarah036224</v>
      </c>
      <c r="G310" s="92"/>
      <c r="H310" s="94" t="str">
        <f>IFERROR(__xludf.DUMMYFUNCTION("""COMPUTED_VALUE"""),"(817) 228-7509")</f>
        <v>(817) 228-7509</v>
      </c>
      <c r="I310" s="94" t="str">
        <f>IFERROR(__xludf.DUMMYFUNCTION("""COMPUTED_VALUE"""),"Student")</f>
        <v>Student</v>
      </c>
      <c r="J310" s="93" t="str">
        <f>IFERROR(__xludf.DUMMYFUNCTION("""COMPUTED_VALUE"""),"Food/Litter Donation")</f>
        <v>Food/Litter Donation</v>
      </c>
      <c r="K310" s="100" t="b">
        <v>0</v>
      </c>
      <c r="L310" s="101"/>
      <c r="M310" s="100"/>
      <c r="N310" s="97" t="b">
        <v>1</v>
      </c>
      <c r="O310" s="93" t="str">
        <f>IFERROR(__xludf.DUMMYFUNCTION("""COMPUTED_VALUE"""),"Fostering")</f>
        <v>Fostering</v>
      </c>
      <c r="P31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10" s="99"/>
    </row>
    <row r="311" ht="13.5" customHeight="1">
      <c r="A311" s="149">
        <f>IFERROR(__xludf.DUMMYFUNCTION("""COMPUTED_VALUE"""),45496.864107754634)</f>
        <v>45496.86411</v>
      </c>
      <c r="B311" s="150" t="b">
        <v>0</v>
      </c>
      <c r="C311" s="149" t="str">
        <f t="shared" si="2"/>
        <v>Fall 2024</v>
      </c>
      <c r="D311" s="151" t="str">
        <f>IFERROR(__xludf.DUMMYFUNCTION("""COMPUTED_VALUE"""),"mxd2759@mavs.uta.edu")</f>
        <v>mxd2759@mavs.uta.edu</v>
      </c>
      <c r="E311" s="152" t="str">
        <f>IFERROR(__xludf.DUMMYFUNCTION("""COMPUTED_VALUE"""),"Mariah Deleon")</f>
        <v>Mariah Deleon</v>
      </c>
      <c r="F311" s="153" t="str">
        <f>IFERROR(__xludf.DUMMYFUNCTION("""COMPUTED_VALUE"""),"Maar1ahh")</f>
        <v>Maar1ahh</v>
      </c>
      <c r="G311" s="152"/>
      <c r="H311" s="154" t="str">
        <f>IFERROR(__xludf.DUMMYFUNCTION("""COMPUTED_VALUE"""),"(469) 999-2196")</f>
        <v>(469) 999-2196</v>
      </c>
      <c r="I311" s="154" t="str">
        <f>IFERROR(__xludf.DUMMYFUNCTION("""COMPUTED_VALUE"""),"Student")</f>
        <v>Student</v>
      </c>
      <c r="J311" s="153" t="str">
        <f>IFERROR(__xludf.DUMMYFUNCTION("""COMPUTED_VALUE"""),"$15 Donation, Discord Verification")</f>
        <v>$15 Donation, Discord Verification</v>
      </c>
      <c r="K311" s="155" t="b">
        <v>0</v>
      </c>
      <c r="L311" s="156" t="str">
        <f>IFERROR(__xludf.DUMMYFUNCTION("""COMPUTED_VALUE"""),"Cashapp")</f>
        <v>Cashapp</v>
      </c>
      <c r="M311" s="155"/>
      <c r="N311" s="154" t="b">
        <v>0</v>
      </c>
      <c r="O311" s="153" t="str">
        <f>IFERROR(__xludf.DUMMYFUNCTION("""COMPUTED_VALUE"""),"Feeding")</f>
        <v>Feeding</v>
      </c>
      <c r="P311" s="157"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11" s="158" t="s">
        <v>51</v>
      </c>
    </row>
    <row r="312" ht="13.5" customHeight="1">
      <c r="A312" s="88">
        <f>IFERROR(__xludf.DUMMYFUNCTION("""COMPUTED_VALUE"""),45504.74583728009)</f>
        <v>45504.74584</v>
      </c>
      <c r="B312" s="89" t="b">
        <v>1</v>
      </c>
      <c r="C312" s="90" t="str">
        <f t="shared" si="2"/>
        <v>Fall 2024</v>
      </c>
      <c r="D312" s="91" t="str">
        <f>IFERROR(__xludf.DUMMYFUNCTION("""COMPUTED_VALUE"""),"cmn9165@mavs.uta.edu")</f>
        <v>cmn9165@mavs.uta.edu</v>
      </c>
      <c r="E312" s="92" t="str">
        <f>IFERROR(__xludf.DUMMYFUNCTION("""COMPUTED_VALUE"""),"Cassandra Nelson")</f>
        <v>Cassandra Nelson</v>
      </c>
      <c r="F312" s="93" t="str">
        <f>IFERROR(__xludf.DUMMYFUNCTION("""COMPUTED_VALUE"""),"Cici4f3")</f>
        <v>Cici4f3</v>
      </c>
      <c r="G312" s="92"/>
      <c r="H312" s="94" t="str">
        <f>IFERROR(__xludf.DUMMYFUNCTION("""COMPUTED_VALUE"""),"(972) 302-8379")</f>
        <v>(972) 302-8379</v>
      </c>
      <c r="I312" s="94" t="str">
        <f>IFERROR(__xludf.DUMMYFUNCTION("""COMPUTED_VALUE"""),"Student")</f>
        <v>Student</v>
      </c>
      <c r="J312" s="93" t="str">
        <f>IFERROR(__xludf.DUMMYFUNCTION("""COMPUTED_VALUE"""),"$15 Donation, Discord Verification")</f>
        <v>$15 Donation, Discord Verification</v>
      </c>
      <c r="K312" s="100" t="b">
        <v>0</v>
      </c>
      <c r="L312" s="101" t="str">
        <f>IFERROR(__xludf.DUMMYFUNCTION("""COMPUTED_VALUE"""),"Cashapp")</f>
        <v>Cashapp</v>
      </c>
      <c r="M312" s="95">
        <v>0.0</v>
      </c>
      <c r="N312" s="97" t="b">
        <v>1</v>
      </c>
      <c r="O312" s="93" t="str">
        <f>IFERROR(__xludf.DUMMYFUNCTION("""COMPUTED_VALUE"""),"Fundraising, PR, Membership, TNR, Overnight TNR, Feeding, Shelter Maintenance")</f>
        <v>Fundraising, PR, Membership, TNR, Overnight TNR, Feeding, Shelter Maintenance</v>
      </c>
      <c r="P31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12" s="99"/>
    </row>
    <row r="313" ht="13.5" customHeight="1">
      <c r="A313" s="88">
        <f>IFERROR(__xludf.DUMMYFUNCTION("""COMPUTED_VALUE"""),45509.49325237269)</f>
        <v>45509.49325</v>
      </c>
      <c r="B313" s="89" t="b">
        <v>1</v>
      </c>
      <c r="C313" s="90" t="str">
        <f t="shared" si="2"/>
        <v>Fall 2024</v>
      </c>
      <c r="D313" s="91" t="str">
        <f>IFERROR(__xludf.DUMMYFUNCTION("""COMPUTED_VALUE"""),"bnw0860@mavs.uta.edu")</f>
        <v>bnw0860@mavs.uta.edu</v>
      </c>
      <c r="E313" s="92" t="str">
        <f>IFERROR(__xludf.DUMMYFUNCTION("""COMPUTED_VALUE"""),"Brigid Whitney ")</f>
        <v>Brigid Whitney </v>
      </c>
      <c r="F313" s="93" t="str">
        <f>IFERROR(__xludf.DUMMYFUNCTION("""COMPUTED_VALUE"""),"Reyesthighs ")</f>
        <v>Reyesthighs </v>
      </c>
      <c r="G313" s="92"/>
      <c r="H313" s="94" t="str">
        <f>IFERROR(__xludf.DUMMYFUNCTION("""COMPUTED_VALUE"""),"(817) 231-3826")</f>
        <v>(817) 231-3826</v>
      </c>
      <c r="I313" s="94" t="str">
        <f>IFERROR(__xludf.DUMMYFUNCTION("""COMPUTED_VALUE"""),"Student")</f>
        <v>Student</v>
      </c>
      <c r="J313" s="93" t="str">
        <f>IFERROR(__xludf.DUMMYFUNCTION("""COMPUTED_VALUE"""),"Food/Litter Donation")</f>
        <v>Food/Litter Donation</v>
      </c>
      <c r="K313" s="100" t="b">
        <v>0</v>
      </c>
      <c r="L313" s="101"/>
      <c r="M313" s="100"/>
      <c r="N313" s="97" t="b">
        <v>1</v>
      </c>
      <c r="O313" s="93" t="str">
        <f>IFERROR(__xludf.DUMMYFUNCTION("""COMPUTED_VALUE"""),"Feeding, Fostering")</f>
        <v>Feeding, Fostering</v>
      </c>
      <c r="P31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13" s="99"/>
    </row>
    <row r="314" ht="13.5" customHeight="1">
      <c r="A314" s="88">
        <f>IFERROR(__xludf.DUMMYFUNCTION("""COMPUTED_VALUE"""),45512.52095965278)</f>
        <v>45512.52096</v>
      </c>
      <c r="B314" s="89" t="b">
        <v>1</v>
      </c>
      <c r="C314" s="90" t="str">
        <f t="shared" si="2"/>
        <v>Fall 2024</v>
      </c>
      <c r="D314" s="91" t="str">
        <f>IFERROR(__xludf.DUMMYFUNCTION("""COMPUTED_VALUE"""),"Jxl4942@mavs.uta.edu")</f>
        <v>Jxl4942@mavs.uta.edu</v>
      </c>
      <c r="E314" s="92" t="str">
        <f>IFERROR(__xludf.DUMMYFUNCTION("""COMPUTED_VALUE"""),"Jaxson Lloyd")</f>
        <v>Jaxson Lloyd</v>
      </c>
      <c r="F314" s="93" t="str">
        <f>IFERROR(__xludf.DUMMYFUNCTION("""COMPUTED_VALUE"""),"@CatNapzz")</f>
        <v>@CatNapzz</v>
      </c>
      <c r="G314" s="92"/>
      <c r="H314" s="94" t="str">
        <f>IFERROR(__xludf.DUMMYFUNCTION("""COMPUTED_VALUE"""),"(281) 883-7746")</f>
        <v>(281) 883-7746</v>
      </c>
      <c r="I314" s="94" t="str">
        <f>IFERROR(__xludf.DUMMYFUNCTION("""COMPUTED_VALUE"""),"Student")</f>
        <v>Student</v>
      </c>
      <c r="J314" s="93" t="str">
        <f>IFERROR(__xludf.DUMMYFUNCTION("""COMPUTED_VALUE"""),"Food/Litter Donation")</f>
        <v>Food/Litter Donation</v>
      </c>
      <c r="K314" s="100" t="b">
        <v>0</v>
      </c>
      <c r="L314" s="101"/>
      <c r="M314" s="100"/>
      <c r="N314" s="94" t="b">
        <v>0</v>
      </c>
      <c r="O314" s="93" t="str">
        <f>IFERROR(__xludf.DUMMYFUNCTION("""COMPUTED_VALUE"""),"Fundraising, TNR, Feeding, Shelter Maintenance")</f>
        <v>Fundraising, TNR, Feeding, Shelter Maintenance</v>
      </c>
      <c r="P31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14" s="99"/>
    </row>
    <row r="315" ht="13.5" customHeight="1">
      <c r="A315" s="88">
        <f>IFERROR(__xludf.DUMMYFUNCTION("""COMPUTED_VALUE"""),45513.443414270834)</f>
        <v>45513.44341</v>
      </c>
      <c r="B315" s="89" t="b">
        <v>1</v>
      </c>
      <c r="C315" s="90" t="str">
        <f t="shared" si="2"/>
        <v>Fall 2024</v>
      </c>
      <c r="D315" s="91" t="str">
        <f>IFERROR(__xludf.DUMMYFUNCTION("""COMPUTED_VALUE"""),"exb7401@mavs.uta.edu")</f>
        <v>exb7401@mavs.uta.edu</v>
      </c>
      <c r="E315" s="92" t="str">
        <f>IFERROR(__xludf.DUMMYFUNCTION("""COMPUTED_VALUE"""),"Eduardo Barrera")</f>
        <v>Eduardo Barrera</v>
      </c>
      <c r="F315" s="93" t="str">
        <f>IFERROR(__xludf.DUMMYFUNCTION("""COMPUTED_VALUE"""),"diaxart")</f>
        <v>diaxart</v>
      </c>
      <c r="G315" s="92"/>
      <c r="H315" s="94" t="str">
        <f>IFERROR(__xludf.DUMMYFUNCTION("""COMPUTED_VALUE"""),"(682) 320-1972")</f>
        <v>(682) 320-1972</v>
      </c>
      <c r="I315" s="94" t="str">
        <f>IFERROR(__xludf.DUMMYFUNCTION("""COMPUTED_VALUE"""),"Student")</f>
        <v>Student</v>
      </c>
      <c r="J315" s="93" t="str">
        <f>IFERROR(__xludf.DUMMYFUNCTION("""COMPUTED_VALUE"""),"$15 Donation, Discord Verification")</f>
        <v>$15 Donation, Discord Verification</v>
      </c>
      <c r="K315" s="100" t="b">
        <v>0</v>
      </c>
      <c r="L315" s="101" t="str">
        <f>IFERROR(__xludf.DUMMYFUNCTION("""COMPUTED_VALUE"""),"Paypal")</f>
        <v>Paypal</v>
      </c>
      <c r="M315" s="95">
        <v>15.0</v>
      </c>
      <c r="N315" s="97" t="b">
        <v>1</v>
      </c>
      <c r="O315" s="93" t="str">
        <f>IFERROR(__xludf.DUMMYFUNCTION("""COMPUTED_VALUE"""),"Membership, Feeding")</f>
        <v>Membership, Feeding</v>
      </c>
      <c r="P31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15" s="99"/>
    </row>
    <row r="316" ht="13.5" customHeight="1">
      <c r="A316" s="88">
        <f>IFERROR(__xludf.DUMMYFUNCTION("""COMPUTED_VALUE"""),45513.450331319444)</f>
        <v>45513.45033</v>
      </c>
      <c r="B316" s="89" t="b">
        <v>1</v>
      </c>
      <c r="C316" s="90" t="str">
        <f t="shared" si="2"/>
        <v>Fall 2024</v>
      </c>
      <c r="D316" s="91" t="str">
        <f>IFERROR(__xludf.DUMMYFUNCTION("""COMPUTED_VALUE"""),"mxd2759@mavs.uta.edu")</f>
        <v>mxd2759@mavs.uta.edu</v>
      </c>
      <c r="E316" s="92" t="str">
        <f>IFERROR(__xludf.DUMMYFUNCTION("""COMPUTED_VALUE"""),"Mariah Deleon")</f>
        <v>Mariah Deleon</v>
      </c>
      <c r="F316" s="93" t="str">
        <f>IFERROR(__xludf.DUMMYFUNCTION("""COMPUTED_VALUE"""),"Maar1ahh")</f>
        <v>Maar1ahh</v>
      </c>
      <c r="G316" s="92"/>
      <c r="H316" s="94" t="str">
        <f>IFERROR(__xludf.DUMMYFUNCTION("""COMPUTED_VALUE"""),"(469) 999-2196")</f>
        <v>(469) 999-2196</v>
      </c>
      <c r="I316" s="94" t="str">
        <f>IFERROR(__xludf.DUMMYFUNCTION("""COMPUTED_VALUE"""),"Student")</f>
        <v>Student</v>
      </c>
      <c r="J316" s="93" t="str">
        <f>IFERROR(__xludf.DUMMYFUNCTION("""COMPUTED_VALUE"""),"$15 Donation, Discord Verification")</f>
        <v>$15 Donation, Discord Verification</v>
      </c>
      <c r="K316" s="100" t="b">
        <v>0</v>
      </c>
      <c r="L316" s="101" t="str">
        <f>IFERROR(__xludf.DUMMYFUNCTION("""COMPUTED_VALUE"""),"Cashapp")</f>
        <v>Cashapp</v>
      </c>
      <c r="M316" s="95">
        <v>0.0</v>
      </c>
      <c r="N316" s="97" t="b">
        <v>1</v>
      </c>
      <c r="O316" s="93" t="str">
        <f>IFERROR(__xludf.DUMMYFUNCTION("""COMPUTED_VALUE"""),"Feeding")</f>
        <v>Feeding</v>
      </c>
      <c r="P31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16" s="99"/>
    </row>
    <row r="317" ht="13.5" customHeight="1">
      <c r="A317" s="88">
        <f>IFERROR(__xludf.DUMMYFUNCTION("""COMPUTED_VALUE"""),45513.543231504635)</f>
        <v>45513.54323</v>
      </c>
      <c r="B317" s="89" t="b">
        <v>1</v>
      </c>
      <c r="C317" s="90" t="str">
        <f t="shared" si="2"/>
        <v>Fall 2024</v>
      </c>
      <c r="D317" s="91" t="str">
        <f>IFERROR(__xludf.DUMMYFUNCTION("""COMPUTED_VALUE"""),"ls17hatcher@gmail.com")</f>
        <v>ls17hatcher@gmail.com</v>
      </c>
      <c r="E317" s="92" t="str">
        <f>IFERROR(__xludf.DUMMYFUNCTION("""COMPUTED_VALUE"""),"Nick Hatcher")</f>
        <v>Nick Hatcher</v>
      </c>
      <c r="F317" s="93" t="str">
        <f>IFERROR(__xludf.DUMMYFUNCTION("""COMPUTED_VALUE"""),"blanketdruid")</f>
        <v>blanketdruid</v>
      </c>
      <c r="G317" s="92"/>
      <c r="H317" s="94" t="str">
        <f>IFERROR(__xludf.DUMMYFUNCTION("""COMPUTED_VALUE"""),"(936) 355-6238")</f>
        <v>(936) 355-6238</v>
      </c>
      <c r="I317" s="94" t="str">
        <f>IFERROR(__xludf.DUMMYFUNCTION("""COMPUTED_VALUE"""),"Student")</f>
        <v>Student</v>
      </c>
      <c r="J317" s="93" t="str">
        <f>IFERROR(__xludf.DUMMYFUNCTION("""COMPUTED_VALUE"""),"$15 Donation, Discord Verification")</f>
        <v>$15 Donation, Discord Verification</v>
      </c>
      <c r="K317" s="100" t="b">
        <v>0</v>
      </c>
      <c r="L317" s="101" t="str">
        <f>IFERROR(__xludf.DUMMYFUNCTION("""COMPUTED_VALUE"""),"Venmo")</f>
        <v>Venmo</v>
      </c>
      <c r="M317" s="95">
        <v>0.0</v>
      </c>
      <c r="N317" s="97" t="b">
        <v>1</v>
      </c>
      <c r="O317" s="93" t="str">
        <f>IFERROR(__xludf.DUMMYFUNCTION("""COMPUTED_VALUE"""),"Fundraising, PR, Membership, TNR, Overnight TNR, Feeding, Fostering, Shelter Maintenance")</f>
        <v>Fundraising, PR, Membership, TNR, Overnight TNR, Feeding, Fostering, Shelter Maintenance</v>
      </c>
      <c r="P31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17" s="99"/>
    </row>
    <row r="318" ht="13.5" customHeight="1">
      <c r="A318" s="88">
        <f>IFERROR(__xludf.DUMMYFUNCTION("""COMPUTED_VALUE"""),45514.10855689815)</f>
        <v>45514.10856</v>
      </c>
      <c r="B318" s="89" t="b">
        <v>0</v>
      </c>
      <c r="C318" s="90" t="str">
        <f t="shared" si="2"/>
        <v>Fall 2024</v>
      </c>
      <c r="D318" s="91" t="str">
        <f>IFERROR(__xludf.DUMMYFUNCTION("""COMPUTED_VALUE"""),"kec4657@mavs.uta.edu")</f>
        <v>kec4657@mavs.uta.edu</v>
      </c>
      <c r="E318" s="92" t="str">
        <f>IFERROR(__xludf.DUMMYFUNCTION("""COMPUTED_VALUE"""),"Kyra Crawford")</f>
        <v>Kyra Crawford</v>
      </c>
      <c r="F318" s="93" t="str">
        <f>IFERROR(__xludf.DUMMYFUNCTION("""COMPUTED_VALUE"""),"crawdaddy142")</f>
        <v>crawdaddy142</v>
      </c>
      <c r="G318" s="92"/>
      <c r="H318" s="94" t="str">
        <f>IFERROR(__xludf.DUMMYFUNCTION("""COMPUTED_VALUE"""),"(214) 549-5249")</f>
        <v>(214) 549-5249</v>
      </c>
      <c r="I318" s="94" t="str">
        <f>IFERROR(__xludf.DUMMYFUNCTION("""COMPUTED_VALUE"""),"Student")</f>
        <v>Student</v>
      </c>
      <c r="J318" s="93" t="str">
        <f>IFERROR(__xludf.DUMMYFUNCTION("""COMPUTED_VALUE"""),"$15 Donation, Discord Verification")</f>
        <v>$15 Donation, Discord Verification</v>
      </c>
      <c r="K318" s="100" t="b">
        <v>0</v>
      </c>
      <c r="L318" s="101" t="str">
        <f>IFERROR(__xludf.DUMMYFUNCTION("""COMPUTED_VALUE"""),"Cashapp")</f>
        <v>Cashapp</v>
      </c>
      <c r="M318" s="95">
        <v>0.0</v>
      </c>
      <c r="N318" s="97" t="b">
        <v>1</v>
      </c>
      <c r="O318" s="93" t="str">
        <f>IFERROR(__xludf.DUMMYFUNCTION("""COMPUTED_VALUE"""),"Feeding, Shelter Maintenance")</f>
        <v>Feeding, Shelter Maintenance</v>
      </c>
      <c r="P31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18" s="99"/>
    </row>
    <row r="319" ht="13.5" customHeight="1">
      <c r="A319" s="88">
        <f>IFERROR(__xludf.DUMMYFUNCTION("""COMPUTED_VALUE"""),45516.676345)</f>
        <v>45516.67635</v>
      </c>
      <c r="B319" s="89" t="b">
        <v>1</v>
      </c>
      <c r="C319" s="90" t="str">
        <f t="shared" si="2"/>
        <v>Fall 2024</v>
      </c>
      <c r="D319" s="91" t="str">
        <f>IFERROR(__xludf.DUMMYFUNCTION("""COMPUTED_VALUE"""),"mjp0088@mavs.uta.edu")</f>
        <v>mjp0088@mavs.uta.edu</v>
      </c>
      <c r="E319" s="92" t="str">
        <f>IFERROR(__xludf.DUMMYFUNCTION("""COMPUTED_VALUE"""),"Marco Paessler")</f>
        <v>Marco Paessler</v>
      </c>
      <c r="F319" s="93" t="str">
        <f>IFERROR(__xludf.DUMMYFUNCTION("""COMPUTED_VALUE"""),"Xhilarating")</f>
        <v>Xhilarating</v>
      </c>
      <c r="G319" s="92"/>
      <c r="H319" s="94" t="str">
        <f>IFERROR(__xludf.DUMMYFUNCTION("""COMPUTED_VALUE"""),"(409) 392-6880")</f>
        <v>(409) 392-6880</v>
      </c>
      <c r="I319" s="94" t="str">
        <f>IFERROR(__xludf.DUMMYFUNCTION("""COMPUTED_VALUE"""),"Student")</f>
        <v>Student</v>
      </c>
      <c r="J319" s="93" t="str">
        <f>IFERROR(__xludf.DUMMYFUNCTION("""COMPUTED_VALUE"""),"$15 Donation, Discord Verification")</f>
        <v>$15 Donation, Discord Verification</v>
      </c>
      <c r="K319" s="100" t="b">
        <v>0</v>
      </c>
      <c r="L319" s="101" t="str">
        <f>IFERROR(__xludf.DUMMYFUNCTION("""COMPUTED_VALUE"""),"Venmo")</f>
        <v>Venmo</v>
      </c>
      <c r="M319" s="95">
        <v>0.0</v>
      </c>
      <c r="N319" s="97" t="b">
        <v>1</v>
      </c>
      <c r="O319" s="93" t="str">
        <f>IFERROR(__xludf.DUMMYFUNCTION("""COMPUTED_VALUE"""),"Fundraising, PR, Membership, TNR, Overnight TNR, Feeding, Fostering, Shelter Maintenance")</f>
        <v>Fundraising, PR, Membership, TNR, Overnight TNR, Feeding, Fostering, Shelter Maintenance</v>
      </c>
      <c r="P31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19" s="99"/>
    </row>
    <row r="320" ht="13.5" customHeight="1">
      <c r="A320" s="88">
        <f>IFERROR(__xludf.DUMMYFUNCTION("""COMPUTED_VALUE"""),45520.41372228009)</f>
        <v>45520.41372</v>
      </c>
      <c r="B320" s="89" t="b">
        <v>1</v>
      </c>
      <c r="C320" s="90" t="str">
        <f t="shared" si="2"/>
        <v>Fall 2024</v>
      </c>
      <c r="D320" s="91" t="str">
        <f>IFERROR(__xludf.DUMMYFUNCTION("""COMPUTED_VALUE"""),"jrs6179@mavs.uta.edu")</f>
        <v>jrs6179@mavs.uta.edu</v>
      </c>
      <c r="E320" s="92" t="str">
        <f>IFERROR(__xludf.DUMMYFUNCTION("""COMPUTED_VALUE"""),"Jacob Sandoval")</f>
        <v>Jacob Sandoval</v>
      </c>
      <c r="F320" s="93" t="str">
        <f>IFERROR(__xludf.DUMMYFUNCTION("""COMPUTED_VALUE"""),"_rambone_")</f>
        <v>_rambone_</v>
      </c>
      <c r="G320" s="92"/>
      <c r="H320" s="94" t="str">
        <f>IFERROR(__xludf.DUMMYFUNCTION("""COMPUTED_VALUE"""),"(972) 730-7809")</f>
        <v>(972) 730-7809</v>
      </c>
      <c r="I320" s="94" t="str">
        <f>IFERROR(__xludf.DUMMYFUNCTION("""COMPUTED_VALUE"""),"Student")</f>
        <v>Student</v>
      </c>
      <c r="J320" s="93" t="str">
        <f>IFERROR(__xludf.DUMMYFUNCTION("""COMPUTED_VALUE"""),"$15 Donation, Discord Verification")</f>
        <v>$15 Donation, Discord Verification</v>
      </c>
      <c r="K320" s="100" t="b">
        <v>0</v>
      </c>
      <c r="L320" s="101" t="str">
        <f>IFERROR(__xludf.DUMMYFUNCTION("""COMPUTED_VALUE"""),"Cashapp")</f>
        <v>Cashapp</v>
      </c>
      <c r="M320" s="95">
        <v>0.0</v>
      </c>
      <c r="N320" s="97" t="b">
        <v>1</v>
      </c>
      <c r="O320" s="93" t="str">
        <f>IFERROR(__xludf.DUMMYFUNCTION("""COMPUTED_VALUE"""),"Fundraising, PR, Membership, TNR, Overnight TNR, Feeding, Fostering, Shelter Maintenance")</f>
        <v>Fundraising, PR, Membership, TNR, Overnight TNR, Feeding, Fostering, Shelter Maintenance</v>
      </c>
      <c r="P32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20" s="99"/>
    </row>
    <row r="321" ht="13.5" customHeight="1">
      <c r="A321" s="88">
        <f>IFERROR(__xludf.DUMMYFUNCTION("""COMPUTED_VALUE"""),45521.89266387731)</f>
        <v>45521.89266</v>
      </c>
      <c r="B321" s="89" t="b">
        <v>1</v>
      </c>
      <c r="C321" s="90" t="str">
        <f t="shared" si="2"/>
        <v>Fall 2024</v>
      </c>
      <c r="D321" s="91" t="str">
        <f>IFERROR(__xludf.DUMMYFUNCTION("""COMPUTED_VALUE"""),"nsh9723@mavs.uta.edu")</f>
        <v>nsh9723@mavs.uta.edu</v>
      </c>
      <c r="E321" s="92" t="str">
        <f>IFERROR(__xludf.DUMMYFUNCTION("""COMPUTED_VALUE"""),"Nicholas Ho")</f>
        <v>Nicholas Ho</v>
      </c>
      <c r="F321" s="93" t="str">
        <f>IFERROR(__xludf.DUMMYFUNCTION("""COMPUTED_VALUE"""),"rice.muncher")</f>
        <v>rice.muncher</v>
      </c>
      <c r="G321" s="92"/>
      <c r="H321" s="94" t="str">
        <f>IFERROR(__xludf.DUMMYFUNCTION("""COMPUTED_VALUE"""),"(832) 668-4651")</f>
        <v>(832) 668-4651</v>
      </c>
      <c r="I321" s="94" t="str">
        <f>IFERROR(__xludf.DUMMYFUNCTION("""COMPUTED_VALUE"""),"Student")</f>
        <v>Student</v>
      </c>
      <c r="J321" s="93" t="str">
        <f>IFERROR(__xludf.DUMMYFUNCTION("""COMPUTED_VALUE"""),"$15 Donation, Discord Verification")</f>
        <v>$15 Donation, Discord Verification</v>
      </c>
      <c r="K321" s="100" t="b">
        <v>0</v>
      </c>
      <c r="L321" s="101" t="str">
        <f>IFERROR(__xludf.DUMMYFUNCTION("""COMPUTED_VALUE"""),"Paypal")</f>
        <v>Paypal</v>
      </c>
      <c r="M321" s="95">
        <v>0.0</v>
      </c>
      <c r="N321" s="97" t="b">
        <v>1</v>
      </c>
      <c r="O321" s="93" t="str">
        <f>IFERROR(__xludf.DUMMYFUNCTION("""COMPUTED_VALUE"""),"Feeding")</f>
        <v>Feeding</v>
      </c>
      <c r="P32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21" s="99"/>
    </row>
    <row r="322" ht="13.5" customHeight="1">
      <c r="A322" s="88">
        <f>IFERROR(__xludf.DUMMYFUNCTION("""COMPUTED_VALUE"""),45522.47785708333)</f>
        <v>45522.47786</v>
      </c>
      <c r="B322" s="89" t="b">
        <v>1</v>
      </c>
      <c r="C322" s="90" t="str">
        <f t="shared" si="2"/>
        <v>Fall 2024</v>
      </c>
      <c r="D322" s="91" t="str">
        <f>IFERROR(__xludf.DUMMYFUNCTION("""COMPUTED_VALUE"""),"amm7605@mavs.uta.edu")</f>
        <v>amm7605@mavs.uta.edu</v>
      </c>
      <c r="E322" s="92" t="str">
        <f>IFERROR(__xludf.DUMMYFUNCTION("""COMPUTED_VALUE"""),"Ammar Mahmood")</f>
        <v>Ammar Mahmood</v>
      </c>
      <c r="F322" s="93" t="str">
        <f>IFERROR(__xludf.DUMMYFUNCTION("""COMPUTED_VALUE"""),"ammar_m")</f>
        <v>ammar_m</v>
      </c>
      <c r="G322" s="92"/>
      <c r="H322" s="94" t="str">
        <f>IFERROR(__xludf.DUMMYFUNCTION("""COMPUTED_VALUE"""),"(214) 971-1887")</f>
        <v>(214) 971-1887</v>
      </c>
      <c r="I322" s="94" t="str">
        <f>IFERROR(__xludf.DUMMYFUNCTION("""COMPUTED_VALUE"""),"Student")</f>
        <v>Student</v>
      </c>
      <c r="J322" s="93" t="str">
        <f>IFERROR(__xludf.DUMMYFUNCTION("""COMPUTED_VALUE"""),"$15 Donation, Discord Verification")</f>
        <v>$15 Donation, Discord Verification</v>
      </c>
      <c r="K322" s="100" t="b">
        <v>0</v>
      </c>
      <c r="L322" s="101" t="str">
        <f>IFERROR(__xludf.DUMMYFUNCTION("""COMPUTED_VALUE"""),"Venmo")</f>
        <v>Venmo</v>
      </c>
      <c r="M322" s="95">
        <v>0.0</v>
      </c>
      <c r="N322" s="97" t="b">
        <v>1</v>
      </c>
      <c r="O322" s="93" t="str">
        <f>IFERROR(__xludf.DUMMYFUNCTION("""COMPUTED_VALUE"""),"Fundraising, PR, Membership, Feeding, Fostering, Shelter Maintenance")</f>
        <v>Fundraising, PR, Membership, Feeding, Fostering, Shelter Maintenance</v>
      </c>
      <c r="P32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22" s="99"/>
    </row>
    <row r="323" ht="13.5" customHeight="1">
      <c r="A323" s="88">
        <f>IFERROR(__xludf.DUMMYFUNCTION("""COMPUTED_VALUE"""),45522.511320046295)</f>
        <v>45522.51132</v>
      </c>
      <c r="B323" s="89" t="b">
        <v>0</v>
      </c>
      <c r="C323" s="90" t="str">
        <f t="shared" si="2"/>
        <v>Fall 2024</v>
      </c>
      <c r="D323" s="91" t="str">
        <f>IFERROR(__xludf.DUMMYFUNCTION("""COMPUTED_VALUE"""),"vbm2592@mavs.uta.edu")</f>
        <v>vbm2592@mavs.uta.edu</v>
      </c>
      <c r="E323" s="92" t="str">
        <f>IFERROR(__xludf.DUMMYFUNCTION("""COMPUTED_VALUE"""),"Valerie Martinez")</f>
        <v>Valerie Martinez</v>
      </c>
      <c r="F323" s="93" t="str">
        <f>IFERROR(__xludf.DUMMYFUNCTION("""COMPUTED_VALUE"""),"Valeriebm ")</f>
        <v>Valeriebm </v>
      </c>
      <c r="G323" s="92"/>
      <c r="H323" s="94" t="str">
        <f>IFERROR(__xludf.DUMMYFUNCTION("""COMPUTED_VALUE"""),"(832) 977-4981")</f>
        <v>(832) 977-4981</v>
      </c>
      <c r="I323" s="94" t="str">
        <f>IFERROR(__xludf.DUMMYFUNCTION("""COMPUTED_VALUE"""),"Student")</f>
        <v>Student</v>
      </c>
      <c r="J323" s="93" t="str">
        <f>IFERROR(__xludf.DUMMYFUNCTION("""COMPUTED_VALUE"""),"$15 Donation, Discord Verification")</f>
        <v>$15 Donation, Discord Verification</v>
      </c>
      <c r="K323" s="100" t="b">
        <v>0</v>
      </c>
      <c r="L323" s="101" t="str">
        <f>IFERROR(__xludf.DUMMYFUNCTION("""COMPUTED_VALUE"""),"Cashapp")</f>
        <v>Cashapp</v>
      </c>
      <c r="M323" s="100"/>
      <c r="N323" s="94" t="b">
        <v>0</v>
      </c>
      <c r="O323" s="93" t="str">
        <f>IFERROR(__xludf.DUMMYFUNCTION("""COMPUTED_VALUE"""),"Fundraising")</f>
        <v>Fundraising</v>
      </c>
      <c r="P32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23" s="99"/>
    </row>
    <row r="324" ht="13.5" customHeight="1">
      <c r="A324" s="88">
        <f>IFERROR(__xludf.DUMMYFUNCTION("""COMPUTED_VALUE"""),45522.5114559375)</f>
        <v>45522.51146</v>
      </c>
      <c r="B324" s="89" t="b">
        <v>1</v>
      </c>
      <c r="C324" s="90" t="str">
        <f t="shared" si="2"/>
        <v>Fall 2024</v>
      </c>
      <c r="D324" s="91" t="str">
        <f>IFERROR(__xludf.DUMMYFUNCTION("""COMPUTED_VALUE"""),"jxw1244@mavs.uta.edu")</f>
        <v>jxw1244@mavs.uta.edu</v>
      </c>
      <c r="E324" s="92" t="str">
        <f>IFERROR(__xludf.DUMMYFUNCTION("""COMPUTED_VALUE"""),"Jane Wang")</f>
        <v>Jane Wang</v>
      </c>
      <c r="F324" s="93" t="str">
        <f>IFERROR(__xludf.DUMMYFUNCTION("""COMPUTED_VALUE"""),"janeirl")</f>
        <v>janeirl</v>
      </c>
      <c r="G324" s="92"/>
      <c r="H324" s="94" t="str">
        <f>IFERROR(__xludf.DUMMYFUNCTION("""COMPUTED_VALUE"""),"")</f>
        <v/>
      </c>
      <c r="I324" s="94" t="str">
        <f>IFERROR(__xludf.DUMMYFUNCTION("""COMPUTED_VALUE"""),"Student")</f>
        <v>Student</v>
      </c>
      <c r="J324" s="93" t="str">
        <f>IFERROR(__xludf.DUMMYFUNCTION("""COMPUTED_VALUE"""),"$15 Donation, Discord Verification")</f>
        <v>$15 Donation, Discord Verification</v>
      </c>
      <c r="K324" s="95" t="b">
        <v>0</v>
      </c>
      <c r="L324" s="101" t="str">
        <f>IFERROR(__xludf.DUMMYFUNCTION("""COMPUTED_VALUE"""),"Venmo")</f>
        <v>Venmo</v>
      </c>
      <c r="M324" s="95">
        <v>0.0</v>
      </c>
      <c r="N324" s="97" t="b">
        <v>1</v>
      </c>
      <c r="O324" s="93" t="str">
        <f>IFERROR(__xludf.DUMMYFUNCTION("""COMPUTED_VALUE"""),"TNR, Feeding")</f>
        <v>TNR, Feeding</v>
      </c>
      <c r="P32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24" s="99"/>
    </row>
    <row r="325" ht="13.5" customHeight="1">
      <c r="A325" s="88">
        <f>IFERROR(__xludf.DUMMYFUNCTION("""COMPUTED_VALUE"""),45522.56542949074)</f>
        <v>45522.56543</v>
      </c>
      <c r="B325" s="89" t="b">
        <v>1</v>
      </c>
      <c r="C325" s="90" t="str">
        <f t="shared" si="2"/>
        <v>Fall 2024</v>
      </c>
      <c r="D325" s="91" t="str">
        <f>IFERROR(__xludf.DUMMYFUNCTION("""COMPUTED_VALUE"""),"des8620@mavs.uta.edu")</f>
        <v>des8620@mavs.uta.edu</v>
      </c>
      <c r="E325" s="92" t="str">
        <f>IFERROR(__xludf.DUMMYFUNCTION("""COMPUTED_VALUE"""),"Daniel Sanchez")</f>
        <v>Daniel Sanchez</v>
      </c>
      <c r="F325" s="93" t="str">
        <f>IFERROR(__xludf.DUMMYFUNCTION("""COMPUTED_VALUE"""),"hachiko_fan")</f>
        <v>hachiko_fan</v>
      </c>
      <c r="G325" s="92"/>
      <c r="H325" s="94" t="str">
        <f>IFERROR(__xludf.DUMMYFUNCTION("""COMPUTED_VALUE"""),"(214) 392-7818")</f>
        <v>(214) 392-7818</v>
      </c>
      <c r="I325" s="94" t="str">
        <f>IFERROR(__xludf.DUMMYFUNCTION("""COMPUTED_VALUE"""),"Student")</f>
        <v>Student</v>
      </c>
      <c r="J325" s="93" t="str">
        <f>IFERROR(__xludf.DUMMYFUNCTION("""COMPUTED_VALUE"""),"$15 Donation, Discord Verification")</f>
        <v>$15 Donation, Discord Verification</v>
      </c>
      <c r="K325" s="100" t="b">
        <v>0</v>
      </c>
      <c r="L325" s="101" t="str">
        <f>IFERROR(__xludf.DUMMYFUNCTION("""COMPUTED_VALUE"""),"Paypal")</f>
        <v>Paypal</v>
      </c>
      <c r="M325" s="95">
        <v>0.0</v>
      </c>
      <c r="N325" s="97" t="b">
        <v>1</v>
      </c>
      <c r="O325" s="93" t="str">
        <f>IFERROR(__xludf.DUMMYFUNCTION("""COMPUTED_VALUE"""),"TNR, Feeding, Shelter Maintenance")</f>
        <v>TNR, Feeding, Shelter Maintenance</v>
      </c>
      <c r="P32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25" s="99"/>
    </row>
    <row r="326" ht="13.5" customHeight="1">
      <c r="A326" s="88">
        <f>IFERROR(__xludf.DUMMYFUNCTION("""COMPUTED_VALUE"""),45523.34647585648)</f>
        <v>45523.34648</v>
      </c>
      <c r="B326" s="89" t="b">
        <v>1</v>
      </c>
      <c r="C326" s="90" t="str">
        <f t="shared" si="2"/>
        <v>Fall 2024</v>
      </c>
      <c r="D326" s="91" t="str">
        <f>IFERROR(__xludf.DUMMYFUNCTION("""COMPUTED_VALUE"""),"daisy.lopez2@mavs.uta.edu")</f>
        <v>daisy.lopez2@mavs.uta.edu</v>
      </c>
      <c r="E326" s="92" t="str">
        <f>IFERROR(__xludf.DUMMYFUNCTION("""COMPUTED_VALUE"""),"Daisy Lopez")</f>
        <v>Daisy Lopez</v>
      </c>
      <c r="F326" s="93" t="str">
        <f>IFERROR(__xludf.DUMMYFUNCTION("""COMPUTED_VALUE"""),"daisvl")</f>
        <v>daisvl</v>
      </c>
      <c r="G326" s="92"/>
      <c r="H326" s="94" t="str">
        <f>IFERROR(__xludf.DUMMYFUNCTION("""COMPUTED_VALUE"""),"(682) 307-8735")</f>
        <v>(682) 307-8735</v>
      </c>
      <c r="I326" s="94" t="str">
        <f>IFERROR(__xludf.DUMMYFUNCTION("""COMPUTED_VALUE"""),"Student")</f>
        <v>Student</v>
      </c>
      <c r="J326" s="93" t="str">
        <f>IFERROR(__xludf.DUMMYFUNCTION("""COMPUTED_VALUE"""),"$15 Donation, Discord Verification")</f>
        <v>$15 Donation, Discord Verification</v>
      </c>
      <c r="K326" s="100" t="b">
        <v>0</v>
      </c>
      <c r="L326" s="101" t="str">
        <f>IFERROR(__xludf.DUMMYFUNCTION("""COMPUTED_VALUE"""),"Cashapp")</f>
        <v>Cashapp</v>
      </c>
      <c r="M326" s="95">
        <v>0.0</v>
      </c>
      <c r="N326" s="97" t="b">
        <v>1</v>
      </c>
      <c r="O326" s="93" t="str">
        <f>IFERROR(__xludf.DUMMYFUNCTION("""COMPUTED_VALUE"""),"Membership, Feeding")</f>
        <v>Membership, Feeding</v>
      </c>
      <c r="P32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26" s="99"/>
    </row>
    <row r="327" ht="13.5" customHeight="1">
      <c r="A327" s="88">
        <f>IFERROR(__xludf.DUMMYFUNCTION("""COMPUTED_VALUE"""),45523.38749003472)</f>
        <v>45523.38749</v>
      </c>
      <c r="B327" s="89" t="b">
        <v>1</v>
      </c>
      <c r="C327" s="90" t="str">
        <f t="shared" si="2"/>
        <v>Fall 2024</v>
      </c>
      <c r="D327" s="91" t="str">
        <f>IFERROR(__xludf.DUMMYFUNCTION("""COMPUTED_VALUE"""),"cgs0882@mavs.uta.edu")</f>
        <v>cgs0882@mavs.uta.edu</v>
      </c>
      <c r="E327" s="92" t="str">
        <f>IFERROR(__xludf.DUMMYFUNCTION("""COMPUTED_VALUE"""),"Celeste Smith")</f>
        <v>Celeste Smith</v>
      </c>
      <c r="F327" s="93" t="str">
        <f>IFERROR(__xludf.DUMMYFUNCTION("""COMPUTED_VALUE"""),"celeryiscelery ")</f>
        <v>celeryiscelery </v>
      </c>
      <c r="G327" s="92"/>
      <c r="H327" s="94" t="str">
        <f>IFERROR(__xludf.DUMMYFUNCTION("""COMPUTED_VALUE"""),"(801) 970-0281")</f>
        <v>(801) 970-0281</v>
      </c>
      <c r="I327" s="94" t="str">
        <f>IFERROR(__xludf.DUMMYFUNCTION("""COMPUTED_VALUE"""),"Student")</f>
        <v>Student</v>
      </c>
      <c r="J327" s="93" t="str">
        <f>IFERROR(__xludf.DUMMYFUNCTION("""COMPUTED_VALUE"""),"$15 Donation, Discord Verification")</f>
        <v>$15 Donation, Discord Verification</v>
      </c>
      <c r="K327" s="100" t="b">
        <v>0</v>
      </c>
      <c r="L327" s="101" t="str">
        <f>IFERROR(__xludf.DUMMYFUNCTION("""COMPUTED_VALUE"""),"Cashapp")</f>
        <v>Cashapp</v>
      </c>
      <c r="M327" s="95">
        <v>0.0</v>
      </c>
      <c r="N327" s="97" t="b">
        <v>1</v>
      </c>
      <c r="O327" s="93" t="str">
        <f>IFERROR(__xludf.DUMMYFUNCTION("""COMPUTED_VALUE"""),"ur mother please and thank you")</f>
        <v>ur mother please and thank you</v>
      </c>
      <c r="P32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27" s="99"/>
    </row>
    <row r="328" ht="13.5" customHeight="1">
      <c r="A328" s="88">
        <f>IFERROR(__xludf.DUMMYFUNCTION("""COMPUTED_VALUE"""),45523.4341296412)</f>
        <v>45523.43413</v>
      </c>
      <c r="B328" s="89" t="b">
        <v>0</v>
      </c>
      <c r="C328" s="90" t="str">
        <f t="shared" si="2"/>
        <v>Fall 2024</v>
      </c>
      <c r="D328" s="91" t="str">
        <f>IFERROR(__xludf.DUMMYFUNCTION("""COMPUTED_VALUE"""),"agk9107@mavs.uta.edu")</f>
        <v>agk9107@mavs.uta.edu</v>
      </c>
      <c r="E328" s="92" t="str">
        <f>IFERROR(__xludf.DUMMYFUNCTION("""COMPUTED_VALUE"""),"Alisha Gulahmed Khan")</f>
        <v>Alisha Gulahmed Khan</v>
      </c>
      <c r="F328" s="93" t="str">
        <f>IFERROR(__xludf.DUMMYFUNCTION("""COMPUTED_VALUE"""),"alisha9891")</f>
        <v>alisha9891</v>
      </c>
      <c r="G328" s="92"/>
      <c r="H328" s="94" t="str">
        <f>IFERROR(__xludf.DUMMYFUNCTION("""COMPUTED_VALUE"""),"(945) 272-1123")</f>
        <v>(945) 272-1123</v>
      </c>
      <c r="I328" s="94" t="str">
        <f>IFERROR(__xludf.DUMMYFUNCTION("""COMPUTED_VALUE"""),"Student")</f>
        <v>Student</v>
      </c>
      <c r="J328" s="93" t="str">
        <f>IFERROR(__xludf.DUMMYFUNCTION("""COMPUTED_VALUE"""),"$15 Donation, Discord Verification")</f>
        <v>$15 Donation, Discord Verification</v>
      </c>
      <c r="K328" s="100" t="b">
        <v>0</v>
      </c>
      <c r="L328" s="101"/>
      <c r="M328" s="100"/>
      <c r="N328" s="94" t="b">
        <v>0</v>
      </c>
      <c r="O328" s="93" t="str">
        <f>IFERROR(__xludf.DUMMYFUNCTION("""COMPUTED_VALUE"""),"Fundraising, Feeding, Shelter Maintenance")</f>
        <v>Fundraising, Feeding, Shelter Maintenance</v>
      </c>
      <c r="P32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28" s="99"/>
    </row>
    <row r="329" ht="13.5" customHeight="1">
      <c r="A329" s="88">
        <f>IFERROR(__xludf.DUMMYFUNCTION("""COMPUTED_VALUE"""),45523.507928946754)</f>
        <v>45523.50793</v>
      </c>
      <c r="B329" s="89" t="b">
        <v>1</v>
      </c>
      <c r="C329" s="90" t="str">
        <f t="shared" si="2"/>
        <v>Fall 2024</v>
      </c>
      <c r="D329" s="91" t="str">
        <f>IFERROR(__xludf.DUMMYFUNCTION("""COMPUTED_VALUE"""),"deb3777@mavs.uta.edu")</f>
        <v>deb3777@mavs.uta.edu</v>
      </c>
      <c r="E329" s="92" t="str">
        <f>IFERROR(__xludf.DUMMYFUNCTION("""COMPUTED_VALUE"""),"Daniel Brown")</f>
        <v>Daniel Brown</v>
      </c>
      <c r="F329" s="93" t="str">
        <f>IFERROR(__xludf.DUMMYFUNCTION("""COMPUTED_VALUE"""),"Astro_DB")</f>
        <v>Astro_DB</v>
      </c>
      <c r="G329" s="92"/>
      <c r="H329" s="94" t="str">
        <f>IFERROR(__xludf.DUMMYFUNCTION("""COMPUTED_VALUE"""),"(682) 404-9943")</f>
        <v>(682) 404-9943</v>
      </c>
      <c r="I329" s="94" t="str">
        <f>IFERROR(__xludf.DUMMYFUNCTION("""COMPUTED_VALUE"""),"Student")</f>
        <v>Student</v>
      </c>
      <c r="J329" s="93" t="str">
        <f>IFERROR(__xludf.DUMMYFUNCTION("""COMPUTED_VALUE"""),"$15 Donation, Discord Verification")</f>
        <v>$15 Donation, Discord Verification</v>
      </c>
      <c r="K329" s="100" t="b">
        <v>0</v>
      </c>
      <c r="L329" s="101" t="str">
        <f>IFERROR(__xludf.DUMMYFUNCTION("""COMPUTED_VALUE"""),"Cash")</f>
        <v>Cash</v>
      </c>
      <c r="M329" s="95">
        <v>0.0</v>
      </c>
      <c r="N329" s="97" t="b">
        <v>1</v>
      </c>
      <c r="O329" s="93" t="str">
        <f>IFERROR(__xludf.DUMMYFUNCTION("""COMPUTED_VALUE"""),"Fundraising, PR")</f>
        <v>Fundraising, PR</v>
      </c>
      <c r="P32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29" s="102" t="s">
        <v>70</v>
      </c>
    </row>
    <row r="330" ht="13.5" customHeight="1">
      <c r="A330" s="88">
        <f>IFERROR(__xludf.DUMMYFUNCTION("""COMPUTED_VALUE"""),45523.94698946759)</f>
        <v>45523.94699</v>
      </c>
      <c r="B330" s="89" t="b">
        <v>1</v>
      </c>
      <c r="C330" s="90" t="str">
        <f t="shared" si="2"/>
        <v>Fall 2024</v>
      </c>
      <c r="D330" s="91" t="str">
        <f>IFERROR(__xludf.DUMMYFUNCTION("""COMPUTED_VALUE"""),"abm6241@mavs.uta.edu")</f>
        <v>abm6241@mavs.uta.edu</v>
      </c>
      <c r="E330" s="92" t="str">
        <f>IFERROR(__xludf.DUMMYFUNCTION("""COMPUTED_VALUE"""),"Abby Montalvo ")</f>
        <v>Abby Montalvo </v>
      </c>
      <c r="F330" s="93" t="str">
        <f>IFERROR(__xludf.DUMMYFUNCTION("""COMPUTED_VALUE"""),"abbym65")</f>
        <v>abbym65</v>
      </c>
      <c r="G330" s="92"/>
      <c r="H330" s="94" t="str">
        <f>IFERROR(__xludf.DUMMYFUNCTION("""COMPUTED_VALUE"""),"(682) 557-1751")</f>
        <v>(682) 557-1751</v>
      </c>
      <c r="I330" s="94" t="str">
        <f>IFERROR(__xludf.DUMMYFUNCTION("""COMPUTED_VALUE"""),"Student")</f>
        <v>Student</v>
      </c>
      <c r="J330" s="93" t="str">
        <f>IFERROR(__xludf.DUMMYFUNCTION("""COMPUTED_VALUE"""),"$15 Donation, Discord Verification")</f>
        <v>$15 Donation, Discord Verification</v>
      </c>
      <c r="K330" s="100" t="b">
        <v>0</v>
      </c>
      <c r="L330" s="101" t="str">
        <f>IFERROR(__xludf.DUMMYFUNCTION("""COMPUTED_VALUE"""),"Cashapp")</f>
        <v>Cashapp</v>
      </c>
      <c r="M330" s="95">
        <v>0.0</v>
      </c>
      <c r="N330" s="97" t="b">
        <v>1</v>
      </c>
      <c r="O330" s="93" t="str">
        <f>IFERROR(__xludf.DUMMYFUNCTION("""COMPUTED_VALUE"""),"TNR, Feeding")</f>
        <v>TNR, Feeding</v>
      </c>
      <c r="P33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30" s="99"/>
    </row>
    <row r="331" ht="13.5" customHeight="1">
      <c r="A331" s="88">
        <f>IFERROR(__xludf.DUMMYFUNCTION("""COMPUTED_VALUE"""),45524.36562278935)</f>
        <v>45524.36562</v>
      </c>
      <c r="B331" s="89" t="b">
        <v>1</v>
      </c>
      <c r="C331" s="90" t="str">
        <f t="shared" si="2"/>
        <v>Fall 2024</v>
      </c>
      <c r="D331" s="91" t="str">
        <f>IFERROR(__xludf.DUMMYFUNCTION("""COMPUTED_VALUE"""),"dxp7561@mavs.uta.edu")</f>
        <v>dxp7561@mavs.uta.edu</v>
      </c>
      <c r="E331" s="92" t="str">
        <f>IFERROR(__xludf.DUMMYFUNCTION("""COMPUTED_VALUE"""),"Diana Phim")</f>
        <v>Diana Phim</v>
      </c>
      <c r="F331" s="93" t="str">
        <f>IFERROR(__xludf.DUMMYFUNCTION("""COMPUTED_VALUE"""),"Nyahao")</f>
        <v>Nyahao</v>
      </c>
      <c r="G331" s="92"/>
      <c r="H331" s="94" t="str">
        <f>IFERROR(__xludf.DUMMYFUNCTION("""COMPUTED_VALUE"""),"")</f>
        <v/>
      </c>
      <c r="I331" s="94" t="str">
        <f>IFERROR(__xludf.DUMMYFUNCTION("""COMPUTED_VALUE"""),"Student")</f>
        <v>Student</v>
      </c>
      <c r="J331" s="93" t="str">
        <f>IFERROR(__xludf.DUMMYFUNCTION("""COMPUTED_VALUE"""),"$15 Donation, Discord Verification")</f>
        <v>$15 Donation, Discord Verification</v>
      </c>
      <c r="K331" s="100" t="b">
        <v>0</v>
      </c>
      <c r="L331" s="101" t="str">
        <f>IFERROR(__xludf.DUMMYFUNCTION("""COMPUTED_VALUE"""),"Paypal")</f>
        <v>Paypal</v>
      </c>
      <c r="M331" s="95">
        <v>0.0</v>
      </c>
      <c r="N331" s="97" t="b">
        <v>1</v>
      </c>
      <c r="O331" s="93" t="str">
        <f>IFERROR(__xludf.DUMMYFUNCTION("""COMPUTED_VALUE"""),"Feeding")</f>
        <v>Feeding</v>
      </c>
      <c r="P33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31" s="99"/>
    </row>
    <row r="332" ht="13.5" customHeight="1">
      <c r="A332" s="88">
        <f>IFERROR(__xludf.DUMMYFUNCTION("""COMPUTED_VALUE"""),45524.370781307865)</f>
        <v>45524.37078</v>
      </c>
      <c r="B332" s="89" t="b">
        <v>1</v>
      </c>
      <c r="C332" s="90" t="str">
        <f t="shared" si="2"/>
        <v>Fall 2024</v>
      </c>
      <c r="D332" s="91" t="str">
        <f>IFERROR(__xludf.DUMMYFUNCTION("""COMPUTED_VALUE"""),"mcm0218@mavs.uta.edu")</f>
        <v>mcm0218@mavs.uta.edu</v>
      </c>
      <c r="E332" s="92" t="str">
        <f>IFERROR(__xludf.DUMMYFUNCTION("""COMPUTED_VALUE"""),"McKayla Mellen")</f>
        <v>McKayla Mellen</v>
      </c>
      <c r="F332" s="93" t="str">
        <f>IFERROR(__xludf.DUMMYFUNCTION("""COMPUTED_VALUE"""),"nostalgicsapphic")</f>
        <v>nostalgicsapphic</v>
      </c>
      <c r="G332" s="92"/>
      <c r="H332" s="94" t="str">
        <f>IFERROR(__xludf.DUMMYFUNCTION("""COMPUTED_VALUE"""),"(512) 644-2878")</f>
        <v>(512) 644-2878</v>
      </c>
      <c r="I332" s="94" t="str">
        <f>IFERROR(__xludf.DUMMYFUNCTION("""COMPUTED_VALUE"""),"Student")</f>
        <v>Student</v>
      </c>
      <c r="J332" s="93" t="str">
        <f>IFERROR(__xludf.DUMMYFUNCTION("""COMPUTED_VALUE"""),"$15 Donation, Discord Verification")</f>
        <v>$15 Donation, Discord Verification</v>
      </c>
      <c r="K332" s="100" t="b">
        <v>0</v>
      </c>
      <c r="L332" s="101" t="str">
        <f>IFERROR(__xludf.DUMMYFUNCTION("""COMPUTED_VALUE"""),"Venmo")</f>
        <v>Venmo</v>
      </c>
      <c r="M332" s="95">
        <v>0.0</v>
      </c>
      <c r="N332" s="97" t="b">
        <v>1</v>
      </c>
      <c r="O332" s="93" t="str">
        <f>IFERROR(__xludf.DUMMYFUNCTION("""COMPUTED_VALUE"""),"president pwease")</f>
        <v>president pwease</v>
      </c>
      <c r="P33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32" s="99"/>
    </row>
    <row r="333" ht="13.5" customHeight="1">
      <c r="A333" s="88">
        <f>IFERROR(__xludf.DUMMYFUNCTION("""COMPUTED_VALUE"""),45524.4215084375)</f>
        <v>45524.42151</v>
      </c>
      <c r="B333" s="89" t="b">
        <v>1</v>
      </c>
      <c r="C333" s="90" t="str">
        <f t="shared" si="2"/>
        <v>Fall 2024</v>
      </c>
      <c r="D333" s="91" t="str">
        <f>IFERROR(__xludf.DUMMYFUNCTION("""COMPUTED_VALUE"""),"rxz4848@mavs.uta.edu")</f>
        <v>rxz4848@mavs.uta.edu</v>
      </c>
      <c r="E333" s="92" t="str">
        <f>IFERROR(__xludf.DUMMYFUNCTION("""COMPUTED_VALUE"""),"Rosalia Zamarripa ")</f>
        <v>Rosalia Zamarripa </v>
      </c>
      <c r="F333" s="93" t="str">
        <f>IFERROR(__xludf.DUMMYFUNCTION("""COMPUTED_VALUE"""),"Rosy9058")</f>
        <v>Rosy9058</v>
      </c>
      <c r="G333" s="92"/>
      <c r="H333" s="94" t="str">
        <f>IFERROR(__xludf.DUMMYFUNCTION("""COMPUTED_VALUE"""),"(469) 401-2764")</f>
        <v>(469) 401-2764</v>
      </c>
      <c r="I333" s="94" t="str">
        <f>IFERROR(__xludf.DUMMYFUNCTION("""COMPUTED_VALUE"""),"Student")</f>
        <v>Student</v>
      </c>
      <c r="J333" s="93" t="str">
        <f>IFERROR(__xludf.DUMMYFUNCTION("""COMPUTED_VALUE"""),"$15 Donation, Discord Verification")</f>
        <v>$15 Donation, Discord Verification</v>
      </c>
      <c r="K333" s="100" t="b">
        <v>0</v>
      </c>
      <c r="L333" s="101" t="str">
        <f>IFERROR(__xludf.DUMMYFUNCTION("""COMPUTED_VALUE"""),"Cashapp")</f>
        <v>Cashapp</v>
      </c>
      <c r="M333" s="95">
        <v>0.0</v>
      </c>
      <c r="N333" s="97" t="b">
        <v>1</v>
      </c>
      <c r="O333" s="93" t="str">
        <f>IFERROR(__xludf.DUMMYFUNCTION("""COMPUTED_VALUE"""),"Membership")</f>
        <v>Membership</v>
      </c>
      <c r="P33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33" s="99"/>
    </row>
    <row r="334" ht="13.5" customHeight="1">
      <c r="A334" s="88">
        <f>IFERROR(__xludf.DUMMYFUNCTION("""COMPUTED_VALUE"""),45524.57611888889)</f>
        <v>45524.57612</v>
      </c>
      <c r="B334" s="89" t="b">
        <v>0</v>
      </c>
      <c r="C334" s="90" t="str">
        <f t="shared" si="2"/>
        <v>Fall 2024</v>
      </c>
      <c r="D334" s="91" t="str">
        <f>IFERROR(__xludf.DUMMYFUNCTION("""COMPUTED_VALUE"""),"acb8528@mavs.uta.edu")</f>
        <v>acb8528@mavs.uta.edu</v>
      </c>
      <c r="E334" s="92" t="str">
        <f>IFERROR(__xludf.DUMMYFUNCTION("""COMPUTED_VALUE"""),"Alaya Bolinski")</f>
        <v>Alaya Bolinski</v>
      </c>
      <c r="F334" s="93" t="str">
        <f>IFERROR(__xludf.DUMMYFUNCTION("""COMPUTED_VALUE"""),"Machinala")</f>
        <v>Machinala</v>
      </c>
      <c r="G334" s="92"/>
      <c r="H334" s="94" t="str">
        <f>IFERROR(__xludf.DUMMYFUNCTION("""COMPUTED_VALUE"""),"(817) 401-3018")</f>
        <v>(817) 401-3018</v>
      </c>
      <c r="I334" s="94" t="str">
        <f>IFERROR(__xludf.DUMMYFUNCTION("""COMPUTED_VALUE"""),"Student")</f>
        <v>Student</v>
      </c>
      <c r="J334" s="93" t="str">
        <f>IFERROR(__xludf.DUMMYFUNCTION("""COMPUTED_VALUE"""),"$15 Donation, Discord Verification")</f>
        <v>$15 Donation, Discord Verification</v>
      </c>
      <c r="K334" s="100" t="b">
        <v>0</v>
      </c>
      <c r="L334" s="101" t="str">
        <f>IFERROR(__xludf.DUMMYFUNCTION("""COMPUTED_VALUE"""),"Cashapp")</f>
        <v>Cashapp</v>
      </c>
      <c r="M334" s="100"/>
      <c r="N334" s="94" t="b">
        <v>0</v>
      </c>
      <c r="O334" s="93" t="str">
        <f>IFERROR(__xludf.DUMMYFUNCTION("""COMPUTED_VALUE"""),"Fundraising, Feeding, Shelter Maintenance")</f>
        <v>Fundraising, Feeding, Shelter Maintenance</v>
      </c>
      <c r="P33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34" s="99"/>
    </row>
    <row r="335" ht="13.5" customHeight="1">
      <c r="A335" s="88">
        <f>IFERROR(__xludf.DUMMYFUNCTION("""COMPUTED_VALUE"""),45525.03035267361)</f>
        <v>45525.03035</v>
      </c>
      <c r="B335" s="89" t="b">
        <v>0</v>
      </c>
      <c r="C335" s="90" t="str">
        <f t="shared" si="2"/>
        <v>Fall 2024</v>
      </c>
      <c r="D335" s="91" t="str">
        <f>IFERROR(__xludf.DUMMYFUNCTION("""COMPUTED_VALUE"""),"bnd3556@mavs.uta.edu")</f>
        <v>bnd3556@mavs.uta.edu</v>
      </c>
      <c r="E335" s="92" t="str">
        <f>IFERROR(__xludf.DUMMYFUNCTION("""COMPUTED_VALUE"""),"Belinda Douglas")</f>
        <v>Belinda Douglas</v>
      </c>
      <c r="F335" s="93" t="str">
        <f>IFERROR(__xludf.DUMMYFUNCTION("""COMPUTED_VALUE"""),"vampirpikachu")</f>
        <v>vampirpikachu</v>
      </c>
      <c r="G335" s="92"/>
      <c r="H335" s="94" t="str">
        <f>IFERROR(__xludf.DUMMYFUNCTION("""COMPUTED_VALUE"""),"(682) 407-9627")</f>
        <v>(682) 407-9627</v>
      </c>
      <c r="I335" s="94" t="str">
        <f>IFERROR(__xludf.DUMMYFUNCTION("""COMPUTED_VALUE"""),"Student")</f>
        <v>Student</v>
      </c>
      <c r="J335" s="93" t="str">
        <f>IFERROR(__xludf.DUMMYFUNCTION("""COMPUTED_VALUE"""),"$15 Donation, Discord Verification")</f>
        <v>$15 Donation, Discord Verification</v>
      </c>
      <c r="K335" s="100" t="b">
        <v>0</v>
      </c>
      <c r="L335" s="101" t="str">
        <f>IFERROR(__xludf.DUMMYFUNCTION("""COMPUTED_VALUE"""),"Cashapp")</f>
        <v>Cashapp</v>
      </c>
      <c r="M335" s="95"/>
      <c r="N335" s="94" t="b">
        <v>0</v>
      </c>
      <c r="O335" s="93" t="str">
        <f>IFERROR(__xludf.DUMMYFUNCTION("""COMPUTED_VALUE"""),"Fundraising, Membership, Feeding, Shelter Maintenance")</f>
        <v>Fundraising, Membership, Feeding, Shelter Maintenance</v>
      </c>
      <c r="P33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35" s="99"/>
    </row>
    <row r="336" ht="13.5" customHeight="1">
      <c r="A336" s="88">
        <f>IFERROR(__xludf.DUMMYFUNCTION("""COMPUTED_VALUE"""),45525.27960730324)</f>
        <v>45525.27961</v>
      </c>
      <c r="B336" s="89" t="b">
        <v>1</v>
      </c>
      <c r="C336" s="90" t="str">
        <f t="shared" si="2"/>
        <v>Fall 2024</v>
      </c>
      <c r="D336" s="91" t="str">
        <f>IFERROR(__xludf.DUMMYFUNCTION("""COMPUTED_VALUE"""),"ixs2264@mavs.uta.edu")</f>
        <v>ixs2264@mavs.uta.edu</v>
      </c>
      <c r="E336" s="92" t="str">
        <f>IFERROR(__xludf.DUMMYFUNCTION("""COMPUTED_VALUE"""),"Isabel Silva")</f>
        <v>Isabel Silva</v>
      </c>
      <c r="F336" s="93" t="str">
        <f>IFERROR(__xludf.DUMMYFUNCTION("""COMPUTED_VALUE"""),"the.lemonade.stand")</f>
        <v>the.lemonade.stand</v>
      </c>
      <c r="G336" s="92"/>
      <c r="H336" s="94" t="str">
        <f>IFERROR(__xludf.DUMMYFUNCTION("""COMPUTED_VALUE"""),"(817) 818-6106")</f>
        <v>(817) 818-6106</v>
      </c>
      <c r="I336" s="94" t="str">
        <f>IFERROR(__xludf.DUMMYFUNCTION("""COMPUTED_VALUE"""),"Student")</f>
        <v>Student</v>
      </c>
      <c r="J336" s="93" t="str">
        <f>IFERROR(__xludf.DUMMYFUNCTION("""COMPUTED_VALUE"""),"$15 Donation, Discord Verification")</f>
        <v>$15 Donation, Discord Verification</v>
      </c>
      <c r="K336" s="100" t="b">
        <v>0</v>
      </c>
      <c r="L336" s="101" t="str">
        <f>IFERROR(__xludf.DUMMYFUNCTION("""COMPUTED_VALUE"""),"Cashapp")</f>
        <v>Cashapp</v>
      </c>
      <c r="M336" s="95">
        <v>0.0</v>
      </c>
      <c r="N336" s="97" t="b">
        <v>1</v>
      </c>
      <c r="O336" s="93" t="str">
        <f>IFERROR(__xludf.DUMMYFUNCTION("""COMPUTED_VALUE"""),"taking your mom out for dinner")</f>
        <v>taking your mom out for dinner</v>
      </c>
      <c r="P33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36" s="99"/>
    </row>
    <row r="337" ht="13.5" customHeight="1">
      <c r="A337" s="88">
        <f>IFERROR(__xludf.DUMMYFUNCTION("""COMPUTED_VALUE"""),45525.29550104166)</f>
        <v>45525.2955</v>
      </c>
      <c r="B337" s="89" t="b">
        <v>1</v>
      </c>
      <c r="C337" s="90" t="str">
        <f t="shared" si="2"/>
        <v>Fall 2024</v>
      </c>
      <c r="D337" s="91" t="str">
        <f>IFERROR(__xludf.DUMMYFUNCTION("""COMPUTED_VALUE"""),"dxs7542@mavs.uta.edu")</f>
        <v>dxs7542@mavs.uta.edu</v>
      </c>
      <c r="E337" s="92" t="str">
        <f>IFERROR(__xludf.DUMMYFUNCTION("""COMPUTED_VALUE"""),"Danyelle Schofield")</f>
        <v>Danyelle Schofield</v>
      </c>
      <c r="F337" s="93" t="str">
        <f>IFERROR(__xludf.DUMMYFUNCTION("""COMPUTED_VALUE"""),"slayc127")</f>
        <v>slayc127</v>
      </c>
      <c r="G337" s="92"/>
      <c r="H337" s="94" t="str">
        <f>IFERROR(__xludf.DUMMYFUNCTION("""COMPUTED_VALUE"""),"(940) 443-9586")</f>
        <v>(940) 443-9586</v>
      </c>
      <c r="I337" s="94" t="str">
        <f>IFERROR(__xludf.DUMMYFUNCTION("""COMPUTED_VALUE"""),"Student")</f>
        <v>Student</v>
      </c>
      <c r="J337" s="93" t="str">
        <f>IFERROR(__xludf.DUMMYFUNCTION("""COMPUTED_VALUE"""),"$15 Donation, Discord Verification")</f>
        <v>$15 Donation, Discord Verification</v>
      </c>
      <c r="K337" s="100" t="b">
        <v>0</v>
      </c>
      <c r="L337" s="101"/>
      <c r="M337" s="100"/>
      <c r="N337" s="97" t="b">
        <v>1</v>
      </c>
      <c r="O337" s="93" t="str">
        <f>IFERROR(__xludf.DUMMYFUNCTION("""COMPUTED_VALUE"""),"Membership, TNR, Overnight TNR, Feeding")</f>
        <v>Membership, TNR, Overnight TNR, Feeding</v>
      </c>
      <c r="P33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37" s="99"/>
    </row>
    <row r="338" ht="13.5" customHeight="1">
      <c r="A338" s="88">
        <f>IFERROR(__xludf.DUMMYFUNCTION("""COMPUTED_VALUE"""),45525.39667958333)</f>
        <v>45525.39668</v>
      </c>
      <c r="B338" s="89" t="b">
        <v>1</v>
      </c>
      <c r="C338" s="90" t="str">
        <f t="shared" si="2"/>
        <v>Fall 2024</v>
      </c>
      <c r="D338" s="91" t="str">
        <f>IFERROR(__xludf.DUMMYFUNCTION("""COMPUTED_VALUE"""),"kendall.hendrix@mavs.uta.edu")</f>
        <v>kendall.hendrix@mavs.uta.edu</v>
      </c>
      <c r="E338" s="92" t="str">
        <f>IFERROR(__xludf.DUMMYFUNCTION("""COMPUTED_VALUE"""),"Kendall Hendrix")</f>
        <v>Kendall Hendrix</v>
      </c>
      <c r="F338" s="93" t="str">
        <f>IFERROR(__xludf.DUMMYFUNCTION("""COMPUTED_VALUE"""),"kendallhx")</f>
        <v>kendallhx</v>
      </c>
      <c r="G338" s="92"/>
      <c r="H338" s="94" t="str">
        <f>IFERROR(__xludf.DUMMYFUNCTION("""COMPUTED_VALUE"""),"")</f>
        <v/>
      </c>
      <c r="I338" s="94" t="str">
        <f>IFERROR(__xludf.DUMMYFUNCTION("""COMPUTED_VALUE"""),"Student")</f>
        <v>Student</v>
      </c>
      <c r="J338" s="93" t="str">
        <f>IFERROR(__xludf.DUMMYFUNCTION("""COMPUTED_VALUE"""),"$15 Donation, Discord Verification")</f>
        <v>$15 Donation, Discord Verification</v>
      </c>
      <c r="K338" s="100" t="b">
        <v>0</v>
      </c>
      <c r="L338" s="101" t="str">
        <f>IFERROR(__xludf.DUMMYFUNCTION("""COMPUTED_VALUE"""),"Venmo")</f>
        <v>Venmo</v>
      </c>
      <c r="M338" s="95">
        <v>0.0</v>
      </c>
      <c r="N338" s="97" t="b">
        <v>1</v>
      </c>
      <c r="O338" s="93" t="str">
        <f>IFERROR(__xludf.DUMMYFUNCTION("""COMPUTED_VALUE"""),"Feeding, Shelter Maintenance, Just here for the vibes")</f>
        <v>Feeding, Shelter Maintenance, Just here for the vibes</v>
      </c>
      <c r="P33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38" s="99"/>
    </row>
    <row r="339" ht="13.5" customHeight="1">
      <c r="A339" s="88">
        <f>IFERROR(__xludf.DUMMYFUNCTION("""COMPUTED_VALUE"""),45525.50115788194)</f>
        <v>45525.50116</v>
      </c>
      <c r="B339" s="89" t="b">
        <v>0</v>
      </c>
      <c r="C339" s="90" t="str">
        <f t="shared" si="2"/>
        <v>Fall 2024</v>
      </c>
      <c r="D339" s="91" t="str">
        <f>IFERROR(__xludf.DUMMYFUNCTION("""COMPUTED_VALUE"""),"hxo3742@mavs.uta.edu")</f>
        <v>hxo3742@mavs.uta.edu</v>
      </c>
      <c r="E339" s="92" t="str">
        <f>IFERROR(__xludf.DUMMYFUNCTION("""COMPUTED_VALUE"""),"Hannah Odell")</f>
        <v>Hannah Odell</v>
      </c>
      <c r="F339" s="93" t="str">
        <f>IFERROR(__xludf.DUMMYFUNCTION("""COMPUTED_VALUE"""),"Hannahodel1")</f>
        <v>Hannahodel1</v>
      </c>
      <c r="G339" s="92"/>
      <c r="H339" s="94" t="str">
        <f>IFERROR(__xludf.DUMMYFUNCTION("""COMPUTED_VALUE"""),"(817) 395-2627")</f>
        <v>(817) 395-2627</v>
      </c>
      <c r="I339" s="94" t="str">
        <f>IFERROR(__xludf.DUMMYFUNCTION("""COMPUTED_VALUE"""),"Student")</f>
        <v>Student</v>
      </c>
      <c r="J339" s="93" t="str">
        <f>IFERROR(__xludf.DUMMYFUNCTION("""COMPUTED_VALUE"""),"Food/Litter Donation")</f>
        <v>Food/Litter Donation</v>
      </c>
      <c r="K339" s="100" t="b">
        <v>0</v>
      </c>
      <c r="L339" s="101"/>
      <c r="M339" s="100"/>
      <c r="N339" s="94" t="b">
        <v>0</v>
      </c>
      <c r="O339" s="93" t="str">
        <f>IFERROR(__xludf.DUMMYFUNCTION("""COMPUTED_VALUE"""),"Feeding")</f>
        <v>Feeding</v>
      </c>
      <c r="P33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39" s="99"/>
    </row>
    <row r="340" ht="13.5" customHeight="1">
      <c r="A340" s="88">
        <f>IFERROR(__xludf.DUMMYFUNCTION("""COMPUTED_VALUE"""),45525.505797453705)</f>
        <v>45525.5058</v>
      </c>
      <c r="B340" s="89" t="b">
        <v>0</v>
      </c>
      <c r="C340" s="90" t="str">
        <f t="shared" si="2"/>
        <v>Fall 2024</v>
      </c>
      <c r="D340" s="91" t="str">
        <f>IFERROR(__xludf.DUMMYFUNCTION("""COMPUTED_VALUE"""),"maa3578@mavs.uta.edu")</f>
        <v>maa3578@mavs.uta.edu</v>
      </c>
      <c r="E340" s="92" t="str">
        <f>IFERROR(__xludf.DUMMYFUNCTION("""COMPUTED_VALUE"""),"Michelle Arriaga")</f>
        <v>Michelle Arriaga</v>
      </c>
      <c r="F340" s="93" t="str">
        <f>IFERROR(__xludf.DUMMYFUNCTION("""COMPUTED_VALUE"""),"Mrstealurgrl#8793")</f>
        <v>Mrstealurgrl#8793</v>
      </c>
      <c r="G340" s="92"/>
      <c r="H340" s="94" t="str">
        <f>IFERROR(__xludf.DUMMYFUNCTION("""COMPUTED_VALUE"""),"(214) 609-8355")</f>
        <v>(214) 609-8355</v>
      </c>
      <c r="I340" s="94" t="str">
        <f>IFERROR(__xludf.DUMMYFUNCTION("""COMPUTED_VALUE"""),"Student")</f>
        <v>Student</v>
      </c>
      <c r="J340" s="93" t="str">
        <f>IFERROR(__xludf.DUMMYFUNCTION("""COMPUTED_VALUE"""),"$15 Donation, Discord Verification")</f>
        <v>$15 Donation, Discord Verification</v>
      </c>
      <c r="K340" s="100" t="b">
        <v>0</v>
      </c>
      <c r="L340" s="101" t="str">
        <f>IFERROR(__xludf.DUMMYFUNCTION("""COMPUTED_VALUE"""),"Paypal")</f>
        <v>Paypal</v>
      </c>
      <c r="M340" s="100"/>
      <c r="N340" s="94" t="b">
        <v>0</v>
      </c>
      <c r="O340" s="93" t="str">
        <f>IFERROR(__xludf.DUMMYFUNCTION("""COMPUTED_VALUE"""),"Fundraising, Membership, Feeding")</f>
        <v>Fundraising, Membership, Feeding</v>
      </c>
      <c r="P34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40" s="99"/>
    </row>
    <row r="341" ht="13.5" customHeight="1">
      <c r="A341" s="88">
        <f>IFERROR(__xludf.DUMMYFUNCTION("""COMPUTED_VALUE"""),45525.573752303244)</f>
        <v>45525.57375</v>
      </c>
      <c r="B341" s="89" t="b">
        <v>1</v>
      </c>
      <c r="C341" s="90" t="str">
        <f t="shared" si="2"/>
        <v>Fall 2024</v>
      </c>
      <c r="D341" s="91" t="str">
        <f>IFERROR(__xludf.DUMMYFUNCTION("""COMPUTED_VALUE"""),"eml0030@mavs.uta.edu")</f>
        <v>eml0030@mavs.uta.edu</v>
      </c>
      <c r="E341" s="92" t="str">
        <f>IFERROR(__xludf.DUMMYFUNCTION("""COMPUTED_VALUE"""),"Emily Lanham")</f>
        <v>Emily Lanham</v>
      </c>
      <c r="F341" s="93" t="str">
        <f>IFERROR(__xludf.DUMMYFUNCTION("""COMPUTED_VALUE"""),"711 Sandwich ")</f>
        <v>711 Sandwich </v>
      </c>
      <c r="G341" s="92"/>
      <c r="H341" s="94" t="str">
        <f>IFERROR(__xludf.DUMMYFUNCTION("""COMPUTED_VALUE"""),"(254) 444-8240")</f>
        <v>(254) 444-8240</v>
      </c>
      <c r="I341" s="94" t="str">
        <f>IFERROR(__xludf.DUMMYFUNCTION("""COMPUTED_VALUE"""),"Student")</f>
        <v>Student</v>
      </c>
      <c r="J341" s="93" t="str">
        <f>IFERROR(__xludf.DUMMYFUNCTION("""COMPUTED_VALUE"""),"$15 Donation, Discord Verification")</f>
        <v>$15 Donation, Discord Verification</v>
      </c>
      <c r="K341" s="100" t="b">
        <v>0</v>
      </c>
      <c r="L341" s="101" t="str">
        <f>IFERROR(__xludf.DUMMYFUNCTION("""COMPUTED_VALUE"""),"Cashapp")</f>
        <v>Cashapp</v>
      </c>
      <c r="M341" s="95">
        <v>0.0</v>
      </c>
      <c r="N341" s="97" t="b">
        <v>1</v>
      </c>
      <c r="O341" s="93" t="str">
        <f>IFERROR(__xludf.DUMMYFUNCTION("""COMPUTED_VALUE"""),"Fundraising, PR, Membership, TNR, Overnight TNR, Feeding, Fostering, Shelter Maintenance")</f>
        <v>Fundraising, PR, Membership, TNR, Overnight TNR, Feeding, Fostering, Shelter Maintenance</v>
      </c>
      <c r="P34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41" s="99"/>
    </row>
    <row r="342" ht="13.5" customHeight="1">
      <c r="A342" s="88">
        <f>IFERROR(__xludf.DUMMYFUNCTION("""COMPUTED_VALUE"""),45525.70645751157)</f>
        <v>45525.70646</v>
      </c>
      <c r="B342" s="89" t="b">
        <v>1</v>
      </c>
      <c r="C342" s="90" t="str">
        <f t="shared" si="2"/>
        <v>Fall 2024</v>
      </c>
      <c r="D342" s="91" t="str">
        <f>IFERROR(__xludf.DUMMYFUNCTION("""COMPUTED_VALUE"""),"aks1359@mavs.uta.edu")</f>
        <v>aks1359@mavs.uta.edu</v>
      </c>
      <c r="E342" s="92" t="str">
        <f>IFERROR(__xludf.DUMMYFUNCTION("""COMPUTED_VALUE"""),"Allie Stubbs")</f>
        <v>Allie Stubbs</v>
      </c>
      <c r="F342" s="93" t="str">
        <f>IFERROR(__xludf.DUMMYFUNCTION("""COMPUTED_VALUE"""),"piggle5757")</f>
        <v>piggle5757</v>
      </c>
      <c r="G342" s="92"/>
      <c r="H342" s="94" t="str">
        <f>IFERROR(__xludf.DUMMYFUNCTION("""COMPUTED_VALUE"""),"(682) 559-7059")</f>
        <v>(682) 559-7059</v>
      </c>
      <c r="I342" s="94" t="str">
        <f>IFERROR(__xludf.DUMMYFUNCTION("""COMPUTED_VALUE"""),"Student")</f>
        <v>Student</v>
      </c>
      <c r="J342" s="93" t="str">
        <f>IFERROR(__xludf.DUMMYFUNCTION("""COMPUTED_VALUE"""),"$15 Donation, Discord Verification")</f>
        <v>$15 Donation, Discord Verification</v>
      </c>
      <c r="K342" s="100" t="b">
        <v>0</v>
      </c>
      <c r="L342" s="101" t="str">
        <f>IFERROR(__xludf.DUMMYFUNCTION("""COMPUTED_VALUE"""),"Cashapp")</f>
        <v>Cashapp</v>
      </c>
      <c r="M342" s="95">
        <v>0.0</v>
      </c>
      <c r="N342" s="97" t="b">
        <v>1</v>
      </c>
      <c r="O342" s="93" t="str">
        <f>IFERROR(__xludf.DUMMYFUNCTION("""COMPUTED_VALUE"""),"Fundraising, PR, Membership, Feeding")</f>
        <v>Fundraising, PR, Membership, Feeding</v>
      </c>
      <c r="P34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42" s="99"/>
    </row>
    <row r="343" ht="13.5" customHeight="1">
      <c r="A343" s="88">
        <f>IFERROR(__xludf.DUMMYFUNCTION("""COMPUTED_VALUE"""),45525.68683146991)</f>
        <v>45525.68683</v>
      </c>
      <c r="B343" s="89" t="b">
        <v>1</v>
      </c>
      <c r="C343" s="90" t="str">
        <f t="shared" si="2"/>
        <v>Fall 2024</v>
      </c>
      <c r="D343" s="91" t="str">
        <f>IFERROR(__xludf.DUMMYFUNCTION("""COMPUTED_VALUE"""),"cxh6377@mavs.uta.edu")</f>
        <v>cxh6377@mavs.uta.edu</v>
      </c>
      <c r="E343" s="92" t="str">
        <f>IFERROR(__xludf.DUMMYFUNCTION("""COMPUTED_VALUE"""),"Christopher Hall")</f>
        <v>Christopher Hall</v>
      </c>
      <c r="F343" s="93" t="str">
        <f>IFERROR(__xludf.DUMMYFUNCTION("""COMPUTED_VALUE"""),"BlueOliv101")</f>
        <v>BlueOliv101</v>
      </c>
      <c r="G343" s="92"/>
      <c r="H343" s="94" t="str">
        <f>IFERROR(__xludf.DUMMYFUNCTION("""COMPUTED_VALUE"""),"(903) 815-8064")</f>
        <v>(903) 815-8064</v>
      </c>
      <c r="I343" s="94" t="str">
        <f>IFERROR(__xludf.DUMMYFUNCTION("""COMPUTED_VALUE"""),"Student")</f>
        <v>Student</v>
      </c>
      <c r="J343" s="93" t="str">
        <f>IFERROR(__xludf.DUMMYFUNCTION("""COMPUTED_VALUE"""),"$15 Donation, Discord Verification")</f>
        <v>$15 Donation, Discord Verification</v>
      </c>
      <c r="K343" s="100" t="b">
        <v>0</v>
      </c>
      <c r="L343" s="101" t="str">
        <f>IFERROR(__xludf.DUMMYFUNCTION("""COMPUTED_VALUE"""),"Venmo")</f>
        <v>Venmo</v>
      </c>
      <c r="M343" s="95">
        <v>0.0</v>
      </c>
      <c r="N343" s="97" t="b">
        <v>1</v>
      </c>
      <c r="O343" s="93" t="str">
        <f>IFERROR(__xludf.DUMMYFUNCTION("""COMPUTED_VALUE"""),"Fundraising, Feeding, Shelter Maintenance")</f>
        <v>Fundraising, Feeding, Shelter Maintenance</v>
      </c>
      <c r="P34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43" s="99"/>
    </row>
    <row r="344" ht="13.5" customHeight="1">
      <c r="A344" s="88">
        <f>IFERROR(__xludf.DUMMYFUNCTION("""COMPUTED_VALUE"""),45525.791425787036)</f>
        <v>45525.79143</v>
      </c>
      <c r="B344" s="89" t="b">
        <v>0</v>
      </c>
      <c r="C344" s="90" t="str">
        <f t="shared" si="2"/>
        <v>Fall 2024</v>
      </c>
      <c r="D344" s="91" t="str">
        <f>IFERROR(__xludf.DUMMYFUNCTION("""COMPUTED_VALUE"""),"slc1031@mavs.uta.edu")</f>
        <v>slc1031@mavs.uta.edu</v>
      </c>
      <c r="E344" s="92" t="str">
        <f>IFERROR(__xludf.DUMMYFUNCTION("""COMPUTED_VALUE"""),"Samantha Crumpler")</f>
        <v>Samantha Crumpler</v>
      </c>
      <c r="F344" s="93" t="str">
        <f>IFERROR(__xludf.DUMMYFUNCTION("""COMPUTED_VALUE"""),"Stradivary")</f>
        <v>Stradivary</v>
      </c>
      <c r="G344" s="92"/>
      <c r="H344" s="94" t="str">
        <f>IFERROR(__xludf.DUMMYFUNCTION("""COMPUTED_VALUE"""),"(757) 769-3722")</f>
        <v>(757) 769-3722</v>
      </c>
      <c r="I344" s="94" t="str">
        <f>IFERROR(__xludf.DUMMYFUNCTION("""COMPUTED_VALUE"""),"Student")</f>
        <v>Student</v>
      </c>
      <c r="J344" s="93" t="str">
        <f>IFERROR(__xludf.DUMMYFUNCTION("""COMPUTED_VALUE"""),"$15 Donation, Discord Verification")</f>
        <v>$15 Donation, Discord Verification</v>
      </c>
      <c r="K344" s="100" t="b">
        <v>0</v>
      </c>
      <c r="L344" s="101" t="str">
        <f>IFERROR(__xludf.DUMMYFUNCTION("""COMPUTED_VALUE"""),"Cashapp")</f>
        <v>Cashapp</v>
      </c>
      <c r="M344" s="100"/>
      <c r="N344" s="94" t="b">
        <v>0</v>
      </c>
      <c r="O344" s="93" t="str">
        <f>IFERROR(__xludf.DUMMYFUNCTION("""COMPUTED_VALUE"""),"Feeding, Fostering, Shelter Maintenance")</f>
        <v>Feeding, Fostering, Shelter Maintenance</v>
      </c>
      <c r="P34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44" s="99"/>
    </row>
    <row r="345" ht="13.5" customHeight="1">
      <c r="A345" s="88">
        <f>IFERROR(__xludf.DUMMYFUNCTION("""COMPUTED_VALUE"""),45526.5779015625)</f>
        <v>45526.5779</v>
      </c>
      <c r="B345" s="89" t="b">
        <v>1</v>
      </c>
      <c r="C345" s="90" t="str">
        <f t="shared" si="2"/>
        <v>Fall 2024</v>
      </c>
      <c r="D345" s="91" t="str">
        <f>IFERROR(__xludf.DUMMYFUNCTION("""COMPUTED_VALUE"""),"lms8166@mavs.uta.edu")</f>
        <v>lms8166@mavs.uta.edu</v>
      </c>
      <c r="E345" s="92" t="str">
        <f>IFERROR(__xludf.DUMMYFUNCTION("""COMPUTED_VALUE"""),"Luisa Santa-Maria")</f>
        <v>Luisa Santa-Maria</v>
      </c>
      <c r="F345" s="93" t="str">
        <f>IFERROR(__xludf.DUMMYFUNCTION("""COMPUTED_VALUE"""),"Obesemouse")</f>
        <v>Obesemouse</v>
      </c>
      <c r="G345" s="92"/>
      <c r="H345" s="94" t="str">
        <f>IFERROR(__xludf.DUMMYFUNCTION("""COMPUTED_VALUE"""),"(786) 370-3622")</f>
        <v>(786) 370-3622</v>
      </c>
      <c r="I345" s="94" t="str">
        <f>IFERROR(__xludf.DUMMYFUNCTION("""COMPUTED_VALUE"""),"Student")</f>
        <v>Student</v>
      </c>
      <c r="J345" s="93" t="str">
        <f>IFERROR(__xludf.DUMMYFUNCTION("""COMPUTED_VALUE"""),"$15 Donation, Discord Verification")</f>
        <v>$15 Donation, Discord Verification</v>
      </c>
      <c r="K345" s="100" t="b">
        <v>0</v>
      </c>
      <c r="L345" s="101" t="str">
        <f>IFERROR(__xludf.DUMMYFUNCTION("""COMPUTED_VALUE"""),"Cashapp")</f>
        <v>Cashapp</v>
      </c>
      <c r="M345" s="95">
        <v>0.0</v>
      </c>
      <c r="N345" s="97" t="b">
        <v>1</v>
      </c>
      <c r="O345" s="93" t="str">
        <f>IFERROR(__xludf.DUMMYFUNCTION("""COMPUTED_VALUE"""),"PR, Membership, Feeding")</f>
        <v>PR, Membership, Feeding</v>
      </c>
      <c r="P34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45" s="99"/>
    </row>
    <row r="346" ht="13.5" customHeight="1">
      <c r="A346" s="88">
        <f>IFERROR(__xludf.DUMMYFUNCTION("""COMPUTED_VALUE"""),45526.62030299769)</f>
        <v>45526.6203</v>
      </c>
      <c r="B346" s="89" t="b">
        <v>1</v>
      </c>
      <c r="C346" s="90" t="str">
        <f t="shared" si="2"/>
        <v>Fall 2024</v>
      </c>
      <c r="D346" s="91" t="str">
        <f>IFERROR(__xludf.DUMMYFUNCTION("""COMPUTED_VALUE"""),"morgan@uta.edu")</f>
        <v>morgan@uta.edu</v>
      </c>
      <c r="E346" s="92" t="str">
        <f>IFERROR(__xludf.DUMMYFUNCTION("""COMPUTED_VALUE"""),"Morgan Chivers")</f>
        <v>Morgan Chivers</v>
      </c>
      <c r="F346" s="93" t="str">
        <f>IFERROR(__xludf.DUMMYFUNCTION("""COMPUTED_VALUE"""),"morganic._.")</f>
        <v>morganic._.</v>
      </c>
      <c r="G346" s="92"/>
      <c r="H346" s="94" t="str">
        <f>IFERROR(__xludf.DUMMYFUNCTION("""COMPUTED_VALUE"""),"")</f>
        <v/>
      </c>
      <c r="I346" s="94" t="str">
        <f>IFERROR(__xludf.DUMMYFUNCTION("""COMPUTED_VALUE"""),"UTA Faculty")</f>
        <v>UTA Faculty</v>
      </c>
      <c r="J346" s="93" t="str">
        <f>IFERROR(__xludf.DUMMYFUNCTION("""COMPUTED_VALUE"""),"Food/Litter Donation")</f>
        <v>Food/Litter Donation</v>
      </c>
      <c r="K346" s="100" t="b">
        <v>0</v>
      </c>
      <c r="L346" s="101"/>
      <c r="M346" s="100"/>
      <c r="N346" s="97" t="b">
        <v>1</v>
      </c>
      <c r="O346" s="93" t="str">
        <f>IFERROR(__xludf.DUMMYFUNCTION("""COMPUTED_VALUE"""),"TNR, Overnight TNR, Feeding, Shelter Maintenance")</f>
        <v>TNR, Overnight TNR, Feeding, Shelter Maintenance</v>
      </c>
      <c r="P34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46" s="99"/>
    </row>
    <row r="347" ht="13.5" customHeight="1">
      <c r="A347" s="88">
        <f>IFERROR(__xludf.DUMMYFUNCTION("""COMPUTED_VALUE"""),45526.64159034722)</f>
        <v>45526.64159</v>
      </c>
      <c r="B347" s="89" t="b">
        <v>1</v>
      </c>
      <c r="C347" s="90" t="str">
        <f t="shared" si="2"/>
        <v>Fall 2024</v>
      </c>
      <c r="D347" s="91" t="str">
        <f>IFERROR(__xludf.DUMMYFUNCTION("""COMPUTED_VALUE"""),"cna4378@mavs.uta.edu")</f>
        <v>cna4378@mavs.uta.edu</v>
      </c>
      <c r="E347" s="92" t="str">
        <f>IFERROR(__xludf.DUMMYFUNCTION("""COMPUTED_VALUE"""),"Cristal aguilera")</f>
        <v>Cristal aguilera</v>
      </c>
      <c r="F347" s="93" t="str">
        <f>IFERROR(__xludf.DUMMYFUNCTION("""COMPUTED_VALUE"""),"crxstalll")</f>
        <v>crxstalll</v>
      </c>
      <c r="G347" s="92"/>
      <c r="H347" s="94" t="str">
        <f>IFERROR(__xludf.DUMMYFUNCTION("""COMPUTED_VALUE"""),"(682) 802-5364")</f>
        <v>(682) 802-5364</v>
      </c>
      <c r="I347" s="94" t="str">
        <f>IFERROR(__xludf.DUMMYFUNCTION("""COMPUTED_VALUE"""),"Student")</f>
        <v>Student</v>
      </c>
      <c r="J347" s="93" t="str">
        <f>IFERROR(__xludf.DUMMYFUNCTION("""COMPUTED_VALUE"""),"$15 Donation, Discord Verification")</f>
        <v>$15 Donation, Discord Verification</v>
      </c>
      <c r="K347" s="100" t="b">
        <v>0</v>
      </c>
      <c r="L347" s="101" t="str">
        <f>IFERROR(__xludf.DUMMYFUNCTION("""COMPUTED_VALUE"""),"Cashapp")</f>
        <v>Cashapp</v>
      </c>
      <c r="M347" s="95">
        <v>0.0</v>
      </c>
      <c r="N347" s="97" t="b">
        <v>1</v>
      </c>
      <c r="O347" s="93" t="str">
        <f>IFERROR(__xludf.DUMMYFUNCTION("""COMPUTED_VALUE"""),"TNR, Feeding")</f>
        <v>TNR, Feeding</v>
      </c>
      <c r="P34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47" s="99"/>
    </row>
    <row r="348" ht="13.5" customHeight="1">
      <c r="A348" s="88">
        <f>IFERROR(__xludf.DUMMYFUNCTION("""COMPUTED_VALUE"""),45526.65856953704)</f>
        <v>45526.65857</v>
      </c>
      <c r="B348" s="89" t="b">
        <v>1</v>
      </c>
      <c r="C348" s="90" t="str">
        <f t="shared" si="2"/>
        <v>Fall 2024</v>
      </c>
      <c r="D348" s="91" t="str">
        <f>IFERROR(__xludf.DUMMYFUNCTION("""COMPUTED_VALUE"""),"rmc5742@mavs.uta.edu")</f>
        <v>rmc5742@mavs.uta.edu</v>
      </c>
      <c r="E348" s="92" t="str">
        <f>IFERROR(__xludf.DUMMYFUNCTION("""COMPUTED_VALUE"""),"Rosa chavarria")</f>
        <v>Rosa chavarria</v>
      </c>
      <c r="F348" s="93" t="str">
        <f>IFERROR(__xludf.DUMMYFUNCTION("""COMPUTED_VALUE"""),"vonn0000")</f>
        <v>vonn0000</v>
      </c>
      <c r="G348" s="92"/>
      <c r="H348" s="94" t="str">
        <f>IFERROR(__xludf.DUMMYFUNCTION("""COMPUTED_VALUE"""),"(469) 909-9208")</f>
        <v>(469) 909-9208</v>
      </c>
      <c r="I348" s="94" t="str">
        <f>IFERROR(__xludf.DUMMYFUNCTION("""COMPUTED_VALUE"""),"Student")</f>
        <v>Student</v>
      </c>
      <c r="J348" s="93" t="str">
        <f>IFERROR(__xludf.DUMMYFUNCTION("""COMPUTED_VALUE"""),"$15 Donation, Discord Verification")</f>
        <v>$15 Donation, Discord Verification</v>
      </c>
      <c r="K348" s="100" t="b">
        <v>0</v>
      </c>
      <c r="L348" s="101" t="str">
        <f>IFERROR(__xludf.DUMMYFUNCTION("""COMPUTED_VALUE"""),"Cashapp")</f>
        <v>Cashapp</v>
      </c>
      <c r="M348" s="95">
        <v>0.0</v>
      </c>
      <c r="N348" s="97" t="b">
        <v>1</v>
      </c>
      <c r="O348" s="93" t="str">
        <f>IFERROR(__xludf.DUMMYFUNCTION("""COMPUTED_VALUE"""),"Fundraising, PR, Membership, Feeding, Shelter Maintenance")</f>
        <v>Fundraising, PR, Membership, Feeding, Shelter Maintenance</v>
      </c>
      <c r="P34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48" s="99"/>
    </row>
    <row r="349" ht="13.5" customHeight="1">
      <c r="A349" s="88">
        <f>IFERROR(__xludf.DUMMYFUNCTION("""COMPUTED_VALUE"""),45527.55132280092)</f>
        <v>45527.55132</v>
      </c>
      <c r="B349" s="89" t="b">
        <v>1</v>
      </c>
      <c r="C349" s="90" t="str">
        <f t="shared" si="2"/>
        <v>Fall 2024</v>
      </c>
      <c r="D349" s="91" t="str">
        <f>IFERROR(__xludf.DUMMYFUNCTION("""COMPUTED_VALUE"""),"jar7585@mavs.uta.edu")</f>
        <v>jar7585@mavs.uta.edu</v>
      </c>
      <c r="E349" s="92" t="str">
        <f>IFERROR(__xludf.DUMMYFUNCTION("""COMPUTED_VALUE"""),"Jace Richardson")</f>
        <v>Jace Richardson</v>
      </c>
      <c r="F349" s="93" t="str">
        <f>IFERROR(__xludf.DUMMYFUNCTION("""COMPUTED_VALUE"""),"crpa")</f>
        <v>crpa</v>
      </c>
      <c r="G349" s="92"/>
      <c r="H349" s="94" t="str">
        <f>IFERROR(__xludf.DUMMYFUNCTION("""COMPUTED_VALUE"""),"(979) 997-3696")</f>
        <v>(979) 997-3696</v>
      </c>
      <c r="I349" s="94" t="str">
        <f>IFERROR(__xludf.DUMMYFUNCTION("""COMPUTED_VALUE"""),"Student")</f>
        <v>Student</v>
      </c>
      <c r="J349" s="93" t="str">
        <f>IFERROR(__xludf.DUMMYFUNCTION("""COMPUTED_VALUE"""),"$15 Donation, Discord Verification")</f>
        <v>$15 Donation, Discord Verification</v>
      </c>
      <c r="K349" s="100" t="b">
        <v>0</v>
      </c>
      <c r="L349" s="101" t="str">
        <f>IFERROR(__xludf.DUMMYFUNCTION("""COMPUTED_VALUE"""),"Cashapp")</f>
        <v>Cashapp</v>
      </c>
      <c r="M349" s="95">
        <v>0.0</v>
      </c>
      <c r="N349" s="97" t="b">
        <v>1</v>
      </c>
      <c r="O349" s="93" t="str">
        <f>IFERROR(__xludf.DUMMYFUNCTION("""COMPUTED_VALUE"""),"Membership, TNR, Overnight TNR, Feeding, Fostering, Shelter Maintenance")</f>
        <v>Membership, TNR, Overnight TNR, Feeding, Fostering, Shelter Maintenance</v>
      </c>
      <c r="P34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49" s="99"/>
    </row>
    <row r="350" ht="13.5" customHeight="1">
      <c r="A350" s="88">
        <f>IFERROR(__xludf.DUMMYFUNCTION("""COMPUTED_VALUE"""),45527.57579170139)</f>
        <v>45527.57579</v>
      </c>
      <c r="B350" s="89" t="b">
        <v>1</v>
      </c>
      <c r="C350" s="90" t="str">
        <f t="shared" si="2"/>
        <v>Fall 2024</v>
      </c>
      <c r="D350" s="91" t="str">
        <f>IFERROR(__xludf.DUMMYFUNCTION("""COMPUTED_VALUE"""),"lmr7781@mavs.uta.edu")</f>
        <v>lmr7781@mavs.uta.edu</v>
      </c>
      <c r="E350" s="92" t="str">
        <f>IFERROR(__xludf.DUMMYFUNCTION("""COMPUTED_VALUE"""),"Lesly Rodriguez ")</f>
        <v>Lesly Rodriguez </v>
      </c>
      <c r="F350" s="93" t="str">
        <f>IFERROR(__xludf.DUMMYFUNCTION("""COMPUTED_VALUE"""),"Tresleches2166")</f>
        <v>Tresleches2166</v>
      </c>
      <c r="G350" s="92"/>
      <c r="H350" s="94" t="str">
        <f>IFERROR(__xludf.DUMMYFUNCTION("""COMPUTED_VALUE"""),"")</f>
        <v/>
      </c>
      <c r="I350" s="94" t="str">
        <f>IFERROR(__xludf.DUMMYFUNCTION("""COMPUTED_VALUE"""),"Student")</f>
        <v>Student</v>
      </c>
      <c r="J350" s="93" t="str">
        <f>IFERROR(__xludf.DUMMYFUNCTION("""COMPUTED_VALUE"""),"$15 Donation, Discord Verification")</f>
        <v>$15 Donation, Discord Verification</v>
      </c>
      <c r="K350" s="100" t="b">
        <v>0</v>
      </c>
      <c r="L350" s="101" t="str">
        <f>IFERROR(__xludf.DUMMYFUNCTION("""COMPUTED_VALUE"""),"Cash")</f>
        <v>Cash</v>
      </c>
      <c r="M350" s="95">
        <v>0.0</v>
      </c>
      <c r="N350" s="97" t="b">
        <v>1</v>
      </c>
      <c r="O350" s="93" t="str">
        <f>IFERROR(__xludf.DUMMYFUNCTION("""COMPUTED_VALUE"""),"Feeding")</f>
        <v>Feeding</v>
      </c>
      <c r="P35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50" s="99"/>
    </row>
    <row r="351" ht="13.5" customHeight="1">
      <c r="A351" s="88">
        <f>IFERROR(__xludf.DUMMYFUNCTION("""COMPUTED_VALUE"""),45527.65022085648)</f>
        <v>45527.65022</v>
      </c>
      <c r="B351" s="89" t="b">
        <v>1</v>
      </c>
      <c r="C351" s="90" t="str">
        <f t="shared" si="2"/>
        <v>Fall 2024</v>
      </c>
      <c r="D351" s="91" t="str">
        <f>IFERROR(__xludf.DUMMYFUNCTION("""COMPUTED_VALUE"""),"eth5289@mavs.uta.edu")</f>
        <v>eth5289@mavs.uta.edu</v>
      </c>
      <c r="E351" s="92" t="str">
        <f>IFERROR(__xludf.DUMMYFUNCTION("""COMPUTED_VALUE"""),"Elisabeth Hotard ")</f>
        <v>Elisabeth Hotard </v>
      </c>
      <c r="F351" s="93" t="str">
        <f>IFERROR(__xludf.DUMMYFUNCTION("""COMPUTED_VALUE"""),"yzzil._.22")</f>
        <v>yzzil._.22</v>
      </c>
      <c r="G351" s="92"/>
      <c r="H351" s="94" t="str">
        <f>IFERROR(__xludf.DUMMYFUNCTION("""COMPUTED_VALUE"""),"(682) 347-8026")</f>
        <v>(682) 347-8026</v>
      </c>
      <c r="I351" s="94" t="str">
        <f>IFERROR(__xludf.DUMMYFUNCTION("""COMPUTED_VALUE"""),"Student")</f>
        <v>Student</v>
      </c>
      <c r="J351" s="93" t="str">
        <f>IFERROR(__xludf.DUMMYFUNCTION("""COMPUTED_VALUE"""),"$15 Donation, Discord Verification")</f>
        <v>$15 Donation, Discord Verification</v>
      </c>
      <c r="K351" s="100" t="b">
        <v>0</v>
      </c>
      <c r="L351" s="101" t="str">
        <f>IFERROR(__xludf.DUMMYFUNCTION("""COMPUTED_VALUE"""),"Paypal")</f>
        <v>Paypal</v>
      </c>
      <c r="M351" s="95">
        <v>0.0</v>
      </c>
      <c r="N351" s="97" t="b">
        <v>1</v>
      </c>
      <c r="O351" s="93" t="str">
        <f>IFERROR(__xludf.DUMMYFUNCTION("""COMPUTED_VALUE"""),"Fundraising, Membership")</f>
        <v>Fundraising, Membership</v>
      </c>
      <c r="P35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51" s="99"/>
    </row>
    <row r="352" ht="13.5" customHeight="1">
      <c r="A352" s="88">
        <f>IFERROR(__xludf.DUMMYFUNCTION("""COMPUTED_VALUE"""),45529.39242956019)</f>
        <v>45529.39243</v>
      </c>
      <c r="B352" s="89" t="b">
        <v>1</v>
      </c>
      <c r="C352" s="90" t="str">
        <f t="shared" si="2"/>
        <v>Fall 2024</v>
      </c>
      <c r="D352" s="91" t="str">
        <f>IFERROR(__xludf.DUMMYFUNCTION("""COMPUTED_VALUE"""),"axr5141@mavs.uta.edu")</f>
        <v>axr5141@mavs.uta.edu</v>
      </c>
      <c r="E352" s="92" t="str">
        <f>IFERROR(__xludf.DUMMYFUNCTION("""COMPUTED_VALUE"""),"Angelica Romero ")</f>
        <v>Angelica Romero </v>
      </c>
      <c r="F352" s="93" t="str">
        <f>IFERROR(__xludf.DUMMYFUNCTION("""COMPUTED_VALUE"""),"Angelica (Angie) ")</f>
        <v>Angelica (Angie) </v>
      </c>
      <c r="G352" s="92"/>
      <c r="H352" s="94" t="str">
        <f>IFERROR(__xludf.DUMMYFUNCTION("""COMPUTED_VALUE"""),"(682) 704-7602")</f>
        <v>(682) 704-7602</v>
      </c>
      <c r="I352" s="94" t="str">
        <f>IFERROR(__xludf.DUMMYFUNCTION("""COMPUTED_VALUE"""),"Student")</f>
        <v>Student</v>
      </c>
      <c r="J352" s="93" t="str">
        <f>IFERROR(__xludf.DUMMYFUNCTION("""COMPUTED_VALUE"""),"$15 Donation, Discord Verification")</f>
        <v>$15 Donation, Discord Verification</v>
      </c>
      <c r="K352" s="100" t="b">
        <v>0</v>
      </c>
      <c r="L352" s="101" t="str">
        <f>IFERROR(__xludf.DUMMYFUNCTION("""COMPUTED_VALUE"""),"Cashapp")</f>
        <v>Cashapp</v>
      </c>
      <c r="M352" s="95">
        <v>0.0</v>
      </c>
      <c r="N352" s="97" t="b">
        <v>1</v>
      </c>
      <c r="O352" s="93" t="str">
        <f>IFERROR(__xludf.DUMMYFUNCTION("""COMPUTED_VALUE"""),"PR")</f>
        <v>PR</v>
      </c>
      <c r="P35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52" s="99"/>
    </row>
    <row r="353" ht="13.5" customHeight="1">
      <c r="A353" s="88">
        <f>IFERROR(__xludf.DUMMYFUNCTION("""COMPUTED_VALUE"""),45530.4146480787)</f>
        <v>45530.41465</v>
      </c>
      <c r="B353" s="88" t="b">
        <v>0</v>
      </c>
      <c r="C353" s="90" t="str">
        <f t="shared" si="2"/>
        <v>Fall 2024</v>
      </c>
      <c r="D353" s="91" t="str">
        <f>IFERROR(__xludf.DUMMYFUNCTION("""COMPUTED_VALUE"""),"sec6323@mavs.uta.edu")</f>
        <v>sec6323@mavs.uta.edu</v>
      </c>
      <c r="E353" s="92" t="str">
        <f>IFERROR(__xludf.DUMMYFUNCTION("""COMPUTED_VALUE"""),"Sarah Crews")</f>
        <v>Sarah Crews</v>
      </c>
      <c r="F353" s="93" t="str">
        <f>IFERROR(__xludf.DUMMYFUNCTION("""COMPUTED_VALUE"""),"Snapscr22")</f>
        <v>Snapscr22</v>
      </c>
      <c r="G353" s="92"/>
      <c r="H353" s="94" t="str">
        <f>IFERROR(__xludf.DUMMYFUNCTION("""COMPUTED_VALUE"""),"(682) 229-8908")</f>
        <v>(682) 229-8908</v>
      </c>
      <c r="I353" s="94" t="str">
        <f>IFERROR(__xludf.DUMMYFUNCTION("""COMPUTED_VALUE"""),"Student")</f>
        <v>Student</v>
      </c>
      <c r="J353" s="93" t="str">
        <f>IFERROR(__xludf.DUMMYFUNCTION("""COMPUTED_VALUE"""),"$15 Donation, Discord Verification")</f>
        <v>$15 Donation, Discord Verification</v>
      </c>
      <c r="K353" s="100" t="b">
        <v>0</v>
      </c>
      <c r="L353" s="101" t="str">
        <f>IFERROR(__xludf.DUMMYFUNCTION("""COMPUTED_VALUE"""),"Cashapp")</f>
        <v>Cashapp</v>
      </c>
      <c r="M353" s="100"/>
      <c r="N353" s="94" t="b">
        <v>0</v>
      </c>
      <c r="O353" s="93" t="str">
        <f>IFERROR(__xludf.DUMMYFUNCTION("""COMPUTED_VALUE"""),"Fundraising, PR, Feeding, Fostering, Shelter Maintenance")</f>
        <v>Fundraising, PR, Feeding, Fostering, Shelter Maintenance</v>
      </c>
      <c r="P35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53" s="99"/>
    </row>
    <row r="354" ht="13.5" customHeight="1">
      <c r="A354" s="88">
        <f>IFERROR(__xludf.DUMMYFUNCTION("""COMPUTED_VALUE"""),45530.54803989583)</f>
        <v>45530.54804</v>
      </c>
      <c r="B354" s="89" t="b">
        <v>1</v>
      </c>
      <c r="C354" s="90" t="str">
        <f t="shared" si="2"/>
        <v>Fall 2024</v>
      </c>
      <c r="D354" s="91" t="str">
        <f>IFERROR(__xludf.DUMMYFUNCTION("""COMPUTED_VALUE"""),"mxg8819@mavs.uta.edu")</f>
        <v>mxg8819@mavs.uta.edu</v>
      </c>
      <c r="E354" s="92" t="str">
        <f>IFERROR(__xludf.DUMMYFUNCTION("""COMPUTED_VALUE"""),"Makayla Guerra")</f>
        <v>Makayla Guerra</v>
      </c>
      <c r="F354" s="93" t="str">
        <f>IFERROR(__xludf.DUMMYFUNCTION("""COMPUTED_VALUE"""),"@Pifxhh")</f>
        <v>@Pifxhh</v>
      </c>
      <c r="G354" s="92"/>
      <c r="H354" s="94" t="str">
        <f>IFERROR(__xludf.DUMMYFUNCTION("""COMPUTED_VALUE"""),"(956) 366-0100")</f>
        <v>(956) 366-0100</v>
      </c>
      <c r="I354" s="94" t="str">
        <f>IFERROR(__xludf.DUMMYFUNCTION("""COMPUTED_VALUE"""),"Student")</f>
        <v>Student</v>
      </c>
      <c r="J354" s="93" t="str">
        <f>IFERROR(__xludf.DUMMYFUNCTION("""COMPUTED_VALUE"""),"$15 Donation, Discord Verification")</f>
        <v>$15 Donation, Discord Verification</v>
      </c>
      <c r="K354" s="100" t="b">
        <v>0</v>
      </c>
      <c r="L354" s="101" t="str">
        <f>IFERROR(__xludf.DUMMYFUNCTION("""COMPUTED_VALUE"""),"Cash")</f>
        <v>Cash</v>
      </c>
      <c r="M354" s="95">
        <v>0.0</v>
      </c>
      <c r="N354" s="97" t="b">
        <v>1</v>
      </c>
      <c r="O354" s="93" t="str">
        <f>IFERROR(__xludf.DUMMYFUNCTION("""COMPUTED_VALUE"""),"PR")</f>
        <v>PR</v>
      </c>
      <c r="P35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54" s="99"/>
    </row>
    <row r="355" ht="13.5" customHeight="1">
      <c r="A355" s="88">
        <f>IFERROR(__xludf.DUMMYFUNCTION("""COMPUTED_VALUE"""),45530.71569388889)</f>
        <v>45530.71569</v>
      </c>
      <c r="B355" s="89" t="b">
        <v>1</v>
      </c>
      <c r="C355" s="90" t="str">
        <f t="shared" si="2"/>
        <v>Fall 2024</v>
      </c>
      <c r="D355" s="91" t="str">
        <f>IFERROR(__xludf.DUMMYFUNCTION("""COMPUTED_VALUE"""),"cad5784@mavs.uta.edu")</f>
        <v>cad5784@mavs.uta.edu</v>
      </c>
      <c r="E355" s="92" t="str">
        <f>IFERROR(__xludf.DUMMYFUNCTION("""COMPUTED_VALUE"""),"Chloe Dunbar")</f>
        <v>Chloe Dunbar</v>
      </c>
      <c r="F355" s="93" t="str">
        <f>IFERROR(__xludf.DUMMYFUNCTION("""COMPUTED_VALUE"""),"Pastel_weather")</f>
        <v>Pastel_weather</v>
      </c>
      <c r="G355" s="92"/>
      <c r="H355" s="94" t="str">
        <f>IFERROR(__xludf.DUMMYFUNCTION("""COMPUTED_VALUE"""),"(817) 908-6594")</f>
        <v>(817) 908-6594</v>
      </c>
      <c r="I355" s="94" t="str">
        <f>IFERROR(__xludf.DUMMYFUNCTION("""COMPUTED_VALUE"""),"Student")</f>
        <v>Student</v>
      </c>
      <c r="J355" s="93" t="str">
        <f>IFERROR(__xludf.DUMMYFUNCTION("""COMPUTED_VALUE"""),"$15 Donation, Discord Verification")</f>
        <v>$15 Donation, Discord Verification</v>
      </c>
      <c r="K355" s="100" t="b">
        <v>0</v>
      </c>
      <c r="L355" s="101" t="str">
        <f>IFERROR(__xludf.DUMMYFUNCTION("""COMPUTED_VALUE"""),"Venmo")</f>
        <v>Venmo</v>
      </c>
      <c r="M355" s="95">
        <v>0.0</v>
      </c>
      <c r="N355" s="97" t="b">
        <v>1</v>
      </c>
      <c r="O355" s="93" t="str">
        <f>IFERROR(__xludf.DUMMYFUNCTION("""COMPUTED_VALUE"""),"PR, Membership, Feeding")</f>
        <v>PR, Membership, Feeding</v>
      </c>
      <c r="P35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55" s="99"/>
    </row>
    <row r="356" ht="13.5" customHeight="1">
      <c r="A356" s="88">
        <f>IFERROR(__xludf.DUMMYFUNCTION("""COMPUTED_VALUE"""),45531.542402638894)</f>
        <v>45531.5424</v>
      </c>
      <c r="B356" s="88" t="b">
        <v>0</v>
      </c>
      <c r="C356" s="90" t="str">
        <f t="shared" si="2"/>
        <v>Fall 2024</v>
      </c>
      <c r="D356" s="91" t="str">
        <f>IFERROR(__xludf.DUMMYFUNCTION("""COMPUTED_VALUE"""),"lov3317@mavs.uta.edu")</f>
        <v>lov3317@mavs.uta.edu</v>
      </c>
      <c r="E356" s="92" t="str">
        <f>IFERROR(__xludf.DUMMYFUNCTION("""COMPUTED_VALUE"""),"Lily Vega")</f>
        <v>Lily Vega</v>
      </c>
      <c r="F356" s="93" t="str">
        <f>IFERROR(__xludf.DUMMYFUNCTION("""COMPUTED_VALUE"""),"astralily")</f>
        <v>astralily</v>
      </c>
      <c r="G356" s="92"/>
      <c r="H356" s="94" t="str">
        <f>IFERROR(__xludf.DUMMYFUNCTION("""COMPUTED_VALUE"""),"(817) 296-1511")</f>
        <v>(817) 296-1511</v>
      </c>
      <c r="I356" s="94" t="str">
        <f>IFERROR(__xludf.DUMMYFUNCTION("""COMPUTED_VALUE"""),"Student")</f>
        <v>Student</v>
      </c>
      <c r="J356" s="93" t="str">
        <f>IFERROR(__xludf.DUMMYFUNCTION("""COMPUTED_VALUE"""),"Food/Litter Donation")</f>
        <v>Food/Litter Donation</v>
      </c>
      <c r="K356" s="100" t="b">
        <v>0</v>
      </c>
      <c r="L356" s="101"/>
      <c r="M356" s="100"/>
      <c r="N356" s="94" t="b">
        <v>0</v>
      </c>
      <c r="O356" s="93" t="str">
        <f>IFERROR(__xludf.DUMMYFUNCTION("""COMPUTED_VALUE"""),"PR, Feeding")</f>
        <v>PR, Feeding</v>
      </c>
      <c r="P35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56" s="99"/>
    </row>
    <row r="357" ht="13.5" customHeight="1">
      <c r="A357" s="88">
        <f>IFERROR(__xludf.DUMMYFUNCTION("""COMPUTED_VALUE"""),45531.926305347224)</f>
        <v>45531.92631</v>
      </c>
      <c r="B357" s="88" t="b">
        <v>0</v>
      </c>
      <c r="C357" s="90" t="str">
        <f t="shared" si="2"/>
        <v>Fall 2024</v>
      </c>
      <c r="D357" s="91" t="str">
        <f>IFERROR(__xludf.DUMMYFUNCTION("""COMPUTED_VALUE"""),"dxa8560@mavs.uta.edu")</f>
        <v>dxa8560@mavs.uta.edu</v>
      </c>
      <c r="E357" s="92" t="str">
        <f>IFERROR(__xludf.DUMMYFUNCTION("""COMPUTED_VALUE"""),"Diana Arias")</f>
        <v>Diana Arias</v>
      </c>
      <c r="F357" s="93" t="str">
        <f>IFERROR(__xludf.DUMMYFUNCTION("""COMPUTED_VALUE"""),"Dont have one yet ")</f>
        <v>Dont have one yet </v>
      </c>
      <c r="G357" s="92"/>
      <c r="H357" s="94" t="str">
        <f>IFERROR(__xludf.DUMMYFUNCTION("""COMPUTED_VALUE"""),"(469) 569-5346")</f>
        <v>(469) 569-5346</v>
      </c>
      <c r="I357" s="94" t="str">
        <f>IFERROR(__xludf.DUMMYFUNCTION("""COMPUTED_VALUE"""),"Student")</f>
        <v>Student</v>
      </c>
      <c r="J357" s="93" t="str">
        <f>IFERROR(__xludf.DUMMYFUNCTION("""COMPUTED_VALUE"""),"Food/Litter Donation")</f>
        <v>Food/Litter Donation</v>
      </c>
      <c r="K357" s="100" t="b">
        <v>0</v>
      </c>
      <c r="L357" s="101"/>
      <c r="M357" s="100"/>
      <c r="N357" s="94" t="b">
        <v>0</v>
      </c>
      <c r="O357" s="93" t="str">
        <f>IFERROR(__xludf.DUMMYFUNCTION("""COMPUTED_VALUE"""),"Fundraising, PR, Membership, TNR, Feeding, Shelter Maintenance")</f>
        <v>Fundraising, PR, Membership, TNR, Feeding, Shelter Maintenance</v>
      </c>
      <c r="P35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57" s="99"/>
    </row>
    <row r="358" ht="13.5" customHeight="1">
      <c r="A358" s="88">
        <f>IFERROR(__xludf.DUMMYFUNCTION("""COMPUTED_VALUE"""),45532.45617456018)</f>
        <v>45532.45617</v>
      </c>
      <c r="B358" s="89" t="b">
        <v>1</v>
      </c>
      <c r="C358" s="90" t="str">
        <f t="shared" si="2"/>
        <v>Fall 2024</v>
      </c>
      <c r="D358" s="91" t="str">
        <f>IFERROR(__xludf.DUMMYFUNCTION("""COMPUTED_VALUE"""),"mag9071@mavs.uta.edu")</f>
        <v>mag9071@mavs.uta.edu</v>
      </c>
      <c r="E358" s="92" t="str">
        <f>IFERROR(__xludf.DUMMYFUNCTION("""COMPUTED_VALUE"""),"Mary Abby Goss")</f>
        <v>Mary Abby Goss</v>
      </c>
      <c r="F358" s="93" t="str">
        <f>IFERROR(__xludf.DUMMYFUNCTION("""COMPUTED_VALUE"""),"magfrog")</f>
        <v>magfrog</v>
      </c>
      <c r="G358" s="92"/>
      <c r="H358" s="94" t="str">
        <f>IFERROR(__xludf.DUMMYFUNCTION("""COMPUTED_VALUE"""),"(512) 516-4654")</f>
        <v>(512) 516-4654</v>
      </c>
      <c r="I358" s="94" t="str">
        <f>IFERROR(__xludf.DUMMYFUNCTION("""COMPUTED_VALUE"""),"Student")</f>
        <v>Student</v>
      </c>
      <c r="J358" s="93" t="str">
        <f>IFERROR(__xludf.DUMMYFUNCTION("""COMPUTED_VALUE"""),"$15 Donation, Discord Verification")</f>
        <v>$15 Donation, Discord Verification</v>
      </c>
      <c r="K358" s="100" t="b">
        <v>0</v>
      </c>
      <c r="L358" s="101" t="str">
        <f>IFERROR(__xludf.DUMMYFUNCTION("""COMPUTED_VALUE"""),"Venmo")</f>
        <v>Venmo</v>
      </c>
      <c r="M358" s="95">
        <v>0.0</v>
      </c>
      <c r="N358" s="97" t="b">
        <v>1</v>
      </c>
      <c r="O358" s="93" t="str">
        <f>IFERROR(__xludf.DUMMYFUNCTION("""COMPUTED_VALUE"""),"Fundraising, PR, Shelter Maintenance")</f>
        <v>Fundraising, PR, Shelter Maintenance</v>
      </c>
      <c r="P35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58" s="99"/>
    </row>
    <row r="359" ht="13.5" customHeight="1">
      <c r="A359" s="88">
        <f>IFERROR(__xludf.DUMMYFUNCTION("""COMPUTED_VALUE"""),45532.46088097223)</f>
        <v>45532.46088</v>
      </c>
      <c r="B359" s="88" t="b">
        <v>0</v>
      </c>
      <c r="C359" s="90" t="str">
        <f t="shared" si="2"/>
        <v>Fall 2024</v>
      </c>
      <c r="D359" s="91" t="str">
        <f>IFERROR(__xludf.DUMMYFUNCTION("""COMPUTED_VALUE"""),"ajf6707@mavs.uta.edu")</f>
        <v>ajf6707@mavs.uta.edu</v>
      </c>
      <c r="E359" s="92" t="str">
        <f>IFERROR(__xludf.DUMMYFUNCTION("""COMPUTED_VALUE"""),"Adrean Frazer")</f>
        <v>Adrean Frazer</v>
      </c>
      <c r="F359" s="93" t="str">
        <f>IFERROR(__xludf.DUMMYFUNCTION("""COMPUTED_VALUE"""),"Jaylinthejester")</f>
        <v>Jaylinthejester</v>
      </c>
      <c r="G359" s="92"/>
      <c r="H359" s="94" t="str">
        <f>IFERROR(__xludf.DUMMYFUNCTION("""COMPUTED_VALUE"""),"(469) 903-8590")</f>
        <v>(469) 903-8590</v>
      </c>
      <c r="I359" s="94" t="str">
        <f>IFERROR(__xludf.DUMMYFUNCTION("""COMPUTED_VALUE"""),"Student")</f>
        <v>Student</v>
      </c>
      <c r="J359" s="93" t="str">
        <f>IFERROR(__xludf.DUMMYFUNCTION("""COMPUTED_VALUE"""),"$15 Donation, Discord Verification")</f>
        <v>$15 Donation, Discord Verification</v>
      </c>
      <c r="K359" s="100" t="b">
        <v>0</v>
      </c>
      <c r="L359" s="101" t="str">
        <f>IFERROR(__xludf.DUMMYFUNCTION("""COMPUTED_VALUE"""),"Cashapp")</f>
        <v>Cashapp</v>
      </c>
      <c r="M359" s="100"/>
      <c r="N359" s="94" t="b">
        <v>0</v>
      </c>
      <c r="O359" s="93" t="str">
        <f>IFERROR(__xludf.DUMMYFUNCTION("""COMPUTED_VALUE"""),"Fundraising, PR, Membership, TNR, Feeding")</f>
        <v>Fundraising, PR, Membership, TNR, Feeding</v>
      </c>
      <c r="P35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59" s="99"/>
    </row>
    <row r="360" ht="13.5" customHeight="1">
      <c r="A360" s="88">
        <f>IFERROR(__xludf.DUMMYFUNCTION("""COMPUTED_VALUE"""),45532.488401180555)</f>
        <v>45532.4884</v>
      </c>
      <c r="B360" s="89" t="b">
        <v>1</v>
      </c>
      <c r="C360" s="90" t="str">
        <f t="shared" si="2"/>
        <v>Fall 2024</v>
      </c>
      <c r="D360" s="91" t="str">
        <f>IFERROR(__xludf.DUMMYFUNCTION("""COMPUTED_VALUE"""),"mtl3955@mavs.uta.edu")</f>
        <v>mtl3955@mavs.uta.edu</v>
      </c>
      <c r="E360" s="92" t="str">
        <f>IFERROR(__xludf.DUMMYFUNCTION("""COMPUTED_VALUE"""),"Miranda Lee")</f>
        <v>Miranda Lee</v>
      </c>
      <c r="F360" s="93" t="str">
        <f>IFERROR(__xludf.DUMMYFUNCTION("""COMPUTED_VALUE"""),"adeyumii")</f>
        <v>adeyumii</v>
      </c>
      <c r="G360" s="92"/>
      <c r="H360" s="94" t="str">
        <f>IFERROR(__xludf.DUMMYFUNCTION("""COMPUTED_VALUE"""),"(832) 243-2216")</f>
        <v>(832) 243-2216</v>
      </c>
      <c r="I360" s="94" t="str">
        <f>IFERROR(__xludf.DUMMYFUNCTION("""COMPUTED_VALUE"""),"Student")</f>
        <v>Student</v>
      </c>
      <c r="J360" s="93" t="str">
        <f>IFERROR(__xludf.DUMMYFUNCTION("""COMPUTED_VALUE"""),"$15 Donation, Discord Verification")</f>
        <v>$15 Donation, Discord Verification</v>
      </c>
      <c r="K360" s="100" t="b">
        <v>0</v>
      </c>
      <c r="L360" s="101" t="str">
        <f>IFERROR(__xludf.DUMMYFUNCTION("""COMPUTED_VALUE"""),"Cashapp")</f>
        <v>Cashapp</v>
      </c>
      <c r="M360" s="95">
        <v>0.0</v>
      </c>
      <c r="N360" s="97" t="b">
        <v>1</v>
      </c>
      <c r="O360" s="93" t="str">
        <f>IFERROR(__xludf.DUMMYFUNCTION("""COMPUTED_VALUE"""),"Feeding, Shelter Maintenance")</f>
        <v>Feeding, Shelter Maintenance</v>
      </c>
      <c r="P36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60" s="99"/>
    </row>
    <row r="361" ht="13.5" customHeight="1">
      <c r="A361" s="88">
        <f>IFERROR(__xludf.DUMMYFUNCTION("""COMPUTED_VALUE"""),45532.498039259255)</f>
        <v>45532.49804</v>
      </c>
      <c r="B361" s="89" t="b">
        <v>1</v>
      </c>
      <c r="C361" s="90" t="str">
        <f t="shared" si="2"/>
        <v>Fall 2024</v>
      </c>
      <c r="D361" s="91" t="str">
        <f>IFERROR(__xludf.DUMMYFUNCTION("""COMPUTED_VALUE"""),"cam6723@mavs.uta.edu")</f>
        <v>cam6723@mavs.uta.edu</v>
      </c>
      <c r="E361" s="92" t="str">
        <f>IFERROR(__xludf.DUMMYFUNCTION("""COMPUTED_VALUE"""),"Christopher Mendoza")</f>
        <v>Christopher Mendoza</v>
      </c>
      <c r="F361" s="93" t="str">
        <f>IFERROR(__xludf.DUMMYFUNCTION("""COMPUTED_VALUE"""),"Pancakemixteamdj")</f>
        <v>Pancakemixteamdj</v>
      </c>
      <c r="G361" s="92"/>
      <c r="H361" s="94" t="str">
        <f>IFERROR(__xludf.DUMMYFUNCTION("""COMPUTED_VALUE"""),"(214) 533-9262")</f>
        <v>(214) 533-9262</v>
      </c>
      <c r="I361" s="94" t="str">
        <f>IFERROR(__xludf.DUMMYFUNCTION("""COMPUTED_VALUE"""),"Student")</f>
        <v>Student</v>
      </c>
      <c r="J361" s="93" t="str">
        <f>IFERROR(__xludf.DUMMYFUNCTION("""COMPUTED_VALUE"""),"$15 Donation, Discord Verification")</f>
        <v>$15 Donation, Discord Verification</v>
      </c>
      <c r="K361" s="100" t="b">
        <v>0</v>
      </c>
      <c r="L361" s="101" t="str">
        <f>IFERROR(__xludf.DUMMYFUNCTION("""COMPUTED_VALUE"""),"Cash")</f>
        <v>Cash</v>
      </c>
      <c r="M361" s="95">
        <v>5.0</v>
      </c>
      <c r="N361" s="97" t="b">
        <v>1</v>
      </c>
      <c r="O361" s="93" t="str">
        <f>IFERROR(__xludf.DUMMYFUNCTION("""COMPUTED_VALUE"""),"Shelter Maintenance")</f>
        <v>Shelter Maintenance</v>
      </c>
      <c r="P36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61" s="99"/>
    </row>
    <row r="362" ht="13.5" customHeight="1">
      <c r="A362" s="149">
        <f>IFERROR(__xludf.DUMMYFUNCTION("""COMPUTED_VALUE"""),45532.50961439815)</f>
        <v>45532.50961</v>
      </c>
      <c r="B362" s="150" t="b">
        <v>1</v>
      </c>
      <c r="C362" s="149" t="str">
        <f t="shared" si="2"/>
        <v>Fall 2024</v>
      </c>
      <c r="D362" s="151" t="str">
        <f>IFERROR(__xludf.DUMMYFUNCTION("""COMPUTED_VALUE"""),"acs7801@mavs.uta.edu")</f>
        <v>acs7801@mavs.uta.edu</v>
      </c>
      <c r="E362" s="152" t="str">
        <f>IFERROR(__xludf.DUMMYFUNCTION("""COMPUTED_VALUE"""),"Acacia Shiroma")</f>
        <v>Acacia Shiroma</v>
      </c>
      <c r="F362" s="153" t="str">
        <f>IFERROR(__xludf.DUMMYFUNCTION("""COMPUTED_VALUE"""),"spitonme")</f>
        <v>spitonme</v>
      </c>
      <c r="G362" s="152"/>
      <c r="H362" s="154" t="str">
        <f>IFERROR(__xludf.DUMMYFUNCTION("""COMPUTED_VALUE"""),"")</f>
        <v/>
      </c>
      <c r="I362" s="154" t="str">
        <f>IFERROR(__xludf.DUMMYFUNCTION("""COMPUTED_VALUE"""),"Student")</f>
        <v>Student</v>
      </c>
      <c r="J362" s="153" t="str">
        <f>IFERROR(__xludf.DUMMYFUNCTION("""COMPUTED_VALUE"""),"$15 Donation, Discord Verification")</f>
        <v>$15 Donation, Discord Verification</v>
      </c>
      <c r="K362" s="155" t="b">
        <v>0</v>
      </c>
      <c r="L362" s="156" t="str">
        <f>IFERROR(__xludf.DUMMYFUNCTION("""COMPUTED_VALUE"""),"Paypal")</f>
        <v>Paypal</v>
      </c>
      <c r="M362" s="155"/>
      <c r="N362" s="154" t="b">
        <v>0</v>
      </c>
      <c r="O362" s="153" t="str">
        <f>IFERROR(__xludf.DUMMYFUNCTION("""COMPUTED_VALUE"""),"Fundraising, PR, Feeding, Shelter Maintenance")</f>
        <v>Fundraising, PR, Feeding, Shelter Maintenance</v>
      </c>
      <c r="P362" s="157"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62" s="159" t="s">
        <v>71</v>
      </c>
    </row>
    <row r="363" ht="13.5" customHeight="1">
      <c r="A363" s="88">
        <f>IFERROR(__xludf.DUMMYFUNCTION("""COMPUTED_VALUE"""),45532.50898597222)</f>
        <v>45532.50899</v>
      </c>
      <c r="B363" s="89" t="b">
        <v>1</v>
      </c>
      <c r="C363" s="90" t="str">
        <f t="shared" si="2"/>
        <v>Fall 2024</v>
      </c>
      <c r="D363" s="91" t="str">
        <f>IFERROR(__xludf.DUMMYFUNCTION("""COMPUTED_VALUE"""),"acs7801@mavs.uta.edu")</f>
        <v>acs7801@mavs.uta.edu</v>
      </c>
      <c r="E363" s="92" t="str">
        <f>IFERROR(__xludf.DUMMYFUNCTION("""COMPUTED_VALUE"""),"Acacia Shiroma")</f>
        <v>Acacia Shiroma</v>
      </c>
      <c r="F363" s="93" t="str">
        <f>IFERROR(__xludf.DUMMYFUNCTION("""COMPUTED_VALUE"""),"spitonme")</f>
        <v>spitonme</v>
      </c>
      <c r="G363" s="92"/>
      <c r="H363" s="94" t="str">
        <f>IFERROR(__xludf.DUMMYFUNCTION("""COMPUTED_VALUE"""),"")</f>
        <v/>
      </c>
      <c r="I363" s="94" t="str">
        <f>IFERROR(__xludf.DUMMYFUNCTION("""COMPUTED_VALUE"""),"Student")</f>
        <v>Student</v>
      </c>
      <c r="J363" s="93" t="str">
        <f>IFERROR(__xludf.DUMMYFUNCTION("""COMPUTED_VALUE"""),"$15 Donation, Discord Verification")</f>
        <v>$15 Donation, Discord Verification</v>
      </c>
      <c r="K363" s="100" t="b">
        <v>0</v>
      </c>
      <c r="L363" s="101" t="str">
        <f>IFERROR(__xludf.DUMMYFUNCTION("""COMPUTED_VALUE"""),"Paypal")</f>
        <v>Paypal</v>
      </c>
      <c r="M363" s="95">
        <v>0.0</v>
      </c>
      <c r="N363" s="97" t="b">
        <v>1</v>
      </c>
      <c r="O363" s="93" t="str">
        <f>IFERROR(__xludf.DUMMYFUNCTION("""COMPUTED_VALUE"""),"Fundraising, PR, Feeding, Shelter Maintenance")</f>
        <v>Fundraising, PR, Feeding, Shelter Maintenance</v>
      </c>
      <c r="P36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63" s="99"/>
    </row>
    <row r="364" ht="13.5" customHeight="1">
      <c r="A364" s="88">
        <f>IFERROR(__xludf.DUMMYFUNCTION("""COMPUTED_VALUE"""),45532.56653700232)</f>
        <v>45532.56654</v>
      </c>
      <c r="B364" s="88" t="b">
        <v>0</v>
      </c>
      <c r="C364" s="90" t="str">
        <f t="shared" si="2"/>
        <v>Fall 2024</v>
      </c>
      <c r="D364" s="91" t="str">
        <f>IFERROR(__xludf.DUMMYFUNCTION("""COMPUTED_VALUE"""),"msk6700@mavs.uta.edu")</f>
        <v>msk6700@mavs.uta.edu</v>
      </c>
      <c r="E364" s="92" t="str">
        <f>IFERROR(__xludf.DUMMYFUNCTION("""COMPUTED_VALUE"""),"Michell Kim")</f>
        <v>Michell Kim</v>
      </c>
      <c r="F364" s="93" t="str">
        <f>IFERROR(__xludf.DUMMYFUNCTION("""COMPUTED_VALUE"""),"shirokagu ")</f>
        <v>shirokagu </v>
      </c>
      <c r="G364" s="92"/>
      <c r="H364" s="94" t="str">
        <f>IFERROR(__xludf.DUMMYFUNCTION("""COMPUTED_VALUE"""),"(817) 600-1433")</f>
        <v>(817) 600-1433</v>
      </c>
      <c r="I364" s="94" t="str">
        <f>IFERROR(__xludf.DUMMYFUNCTION("""COMPUTED_VALUE"""),"Student")</f>
        <v>Student</v>
      </c>
      <c r="J364" s="93" t="str">
        <f>IFERROR(__xludf.DUMMYFUNCTION("""COMPUTED_VALUE"""),"Food/Litter Donation")</f>
        <v>Food/Litter Donation</v>
      </c>
      <c r="K364" s="100" t="b">
        <v>0</v>
      </c>
      <c r="L364" s="101"/>
      <c r="M364" s="100"/>
      <c r="N364" s="97" t="b">
        <v>1</v>
      </c>
      <c r="O364" s="93" t="str">
        <f>IFERROR(__xludf.DUMMYFUNCTION("""COMPUTED_VALUE"""),"Fundraising, PR, TNR, Overnight TNR, Feeding, Shelter Maintenance")</f>
        <v>Fundraising, PR, TNR, Overnight TNR, Feeding, Shelter Maintenance</v>
      </c>
      <c r="P36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64" s="102" t="s">
        <v>72</v>
      </c>
    </row>
    <row r="365" ht="13.5" customHeight="1">
      <c r="A365" s="88">
        <f>IFERROR(__xludf.DUMMYFUNCTION("""COMPUTED_VALUE"""),45532.58777275463)</f>
        <v>45532.58777</v>
      </c>
      <c r="B365" s="89" t="b">
        <v>1</v>
      </c>
      <c r="C365" s="90" t="str">
        <f t="shared" si="2"/>
        <v>Fall 2024</v>
      </c>
      <c r="D365" s="91" t="str">
        <f>IFERROR(__xludf.DUMMYFUNCTION("""COMPUTED_VALUE"""),"jab9782@mavs.uta.edu")</f>
        <v>jab9782@mavs.uta.edu</v>
      </c>
      <c r="E365" s="92" t="str">
        <f>IFERROR(__xludf.DUMMYFUNCTION("""COMPUTED_VALUE"""),"Jose Balandran")</f>
        <v>Jose Balandran</v>
      </c>
      <c r="F365" s="93" t="str">
        <f>IFERROR(__xludf.DUMMYFUNCTION("""COMPUTED_VALUE"""),"josecanyoucanwecan")</f>
        <v>josecanyoucanwecan</v>
      </c>
      <c r="G365" s="92"/>
      <c r="H365" s="94" t="str">
        <f>IFERROR(__xludf.DUMMYFUNCTION("""COMPUTED_VALUE"""),"(682) 336-1801")</f>
        <v>(682) 336-1801</v>
      </c>
      <c r="I365" s="94" t="str">
        <f>IFERROR(__xludf.DUMMYFUNCTION("""COMPUTED_VALUE"""),"Student")</f>
        <v>Student</v>
      </c>
      <c r="J365" s="93" t="str">
        <f>IFERROR(__xludf.DUMMYFUNCTION("""COMPUTED_VALUE"""),"$15 Donation, Discord Verification")</f>
        <v>$15 Donation, Discord Verification</v>
      </c>
      <c r="K365" s="100" t="b">
        <v>0</v>
      </c>
      <c r="L365" s="101" t="str">
        <f>IFERROR(__xludf.DUMMYFUNCTION("""COMPUTED_VALUE"""),"Paypal")</f>
        <v>Paypal</v>
      </c>
      <c r="M365" s="95">
        <v>0.0</v>
      </c>
      <c r="N365" s="97" t="b">
        <v>1</v>
      </c>
      <c r="O365" s="93" t="str">
        <f>IFERROR(__xludf.DUMMYFUNCTION("""COMPUTED_VALUE"""),"Membership, Feeding, cat")</f>
        <v>Membership, Feeding, cat</v>
      </c>
      <c r="P36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65" s="99"/>
    </row>
    <row r="366" ht="13.5" customHeight="1">
      <c r="A366" s="88">
        <f>IFERROR(__xludf.DUMMYFUNCTION("""COMPUTED_VALUE"""),45532.91959694444)</f>
        <v>45532.9196</v>
      </c>
      <c r="B366" s="88" t="b">
        <v>0</v>
      </c>
      <c r="C366" s="90" t="str">
        <f t="shared" si="2"/>
        <v>Fall 2024</v>
      </c>
      <c r="D366" s="91" t="str">
        <f>IFERROR(__xludf.DUMMYFUNCTION("""COMPUTED_VALUE"""),"sxa6622@mavs.uta.edu")</f>
        <v>sxa6622@mavs.uta.edu</v>
      </c>
      <c r="E366" s="92" t="str">
        <f>IFERROR(__xludf.DUMMYFUNCTION("""COMPUTED_VALUE"""),"Salvador Ascencio")</f>
        <v>Salvador Ascencio</v>
      </c>
      <c r="F366" s="93" t="str">
        <f>IFERROR(__xludf.DUMMYFUNCTION("""COMPUTED_VALUE"""),"saldabean")</f>
        <v>saldabean</v>
      </c>
      <c r="G366" s="92"/>
      <c r="H366" s="94" t="str">
        <f>IFERROR(__xludf.DUMMYFUNCTION("""COMPUTED_VALUE"""),"(213) 432-9333")</f>
        <v>(213) 432-9333</v>
      </c>
      <c r="I366" s="94" t="str">
        <f>IFERROR(__xludf.DUMMYFUNCTION("""COMPUTED_VALUE"""),"Student")</f>
        <v>Student</v>
      </c>
      <c r="J366" s="93" t="str">
        <f>IFERROR(__xludf.DUMMYFUNCTION("""COMPUTED_VALUE"""),"$15 Donation, Discord Verification")</f>
        <v>$15 Donation, Discord Verification</v>
      </c>
      <c r="K366" s="100" t="b">
        <v>0</v>
      </c>
      <c r="L366" s="101" t="str">
        <f>IFERROR(__xludf.DUMMYFUNCTION("""COMPUTED_VALUE"""),"Cashapp")</f>
        <v>Cashapp</v>
      </c>
      <c r="M366" s="100"/>
      <c r="N366" s="94" t="b">
        <v>0</v>
      </c>
      <c r="O366" s="93" t="str">
        <f>IFERROR(__xludf.DUMMYFUNCTION("""COMPUTED_VALUE"""),"Fundraising, Membership, Feeding, Shelter Maintenance")</f>
        <v>Fundraising, Membership, Feeding, Shelter Maintenance</v>
      </c>
      <c r="P36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66" s="99"/>
    </row>
    <row r="367" ht="13.5" customHeight="1">
      <c r="A367" s="88">
        <f>IFERROR(__xludf.DUMMYFUNCTION("""COMPUTED_VALUE"""),45532.68907275463)</f>
        <v>45532.68907</v>
      </c>
      <c r="B367" s="89" t="b">
        <v>1</v>
      </c>
      <c r="C367" s="90" t="str">
        <f t="shared" si="2"/>
        <v>Fall 2024</v>
      </c>
      <c r="D367" s="91" t="str">
        <f>IFERROR(__xludf.DUMMYFUNCTION("""COMPUTED_VALUE"""),"amp3840@mavs.uta.edu")</f>
        <v>amp3840@mavs.uta.edu</v>
      </c>
      <c r="E367" s="92" t="str">
        <f>IFERROR(__xludf.DUMMYFUNCTION("""COMPUTED_VALUE"""),"Alysa Potter")</f>
        <v>Alysa Potter</v>
      </c>
      <c r="F367" s="93" t="str">
        <f>IFERROR(__xludf.DUMMYFUNCTION("""COMPUTED_VALUE"""),"simplyshadow171295")</f>
        <v>simplyshadow171295</v>
      </c>
      <c r="G367" s="92"/>
      <c r="H367" s="94" t="str">
        <f>IFERROR(__xludf.DUMMYFUNCTION("""COMPUTED_VALUE"""),"(817) 307-3437")</f>
        <v>(817) 307-3437</v>
      </c>
      <c r="I367" s="94" t="str">
        <f>IFERROR(__xludf.DUMMYFUNCTION("""COMPUTED_VALUE"""),"Student")</f>
        <v>Student</v>
      </c>
      <c r="J367" s="93" t="str">
        <f>IFERROR(__xludf.DUMMYFUNCTION("""COMPUTED_VALUE"""),"$15 Donation, Discord Verification")</f>
        <v>$15 Donation, Discord Verification</v>
      </c>
      <c r="K367" s="100" t="b">
        <v>0</v>
      </c>
      <c r="L367" s="101" t="str">
        <f>IFERROR(__xludf.DUMMYFUNCTION("""COMPUTED_VALUE"""),"Cash")</f>
        <v>Cash</v>
      </c>
      <c r="M367" s="95">
        <v>0.0</v>
      </c>
      <c r="N367" s="97" t="b">
        <v>1</v>
      </c>
      <c r="O367" s="93" t="str">
        <f>IFERROR(__xludf.DUMMYFUNCTION("""COMPUTED_VALUE"""),"Membership, TNR, Feeding, Shelter Maintenance")</f>
        <v>Membership, TNR, Feeding, Shelter Maintenance</v>
      </c>
      <c r="P36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67" s="99"/>
    </row>
    <row r="368" ht="13.5" customHeight="1">
      <c r="A368" s="88">
        <f>IFERROR(__xludf.DUMMYFUNCTION("""COMPUTED_VALUE"""),45532.71985896991)</f>
        <v>45532.71986</v>
      </c>
      <c r="B368" s="88" t="b">
        <v>0</v>
      </c>
      <c r="C368" s="90" t="str">
        <f t="shared" si="2"/>
        <v>Fall 2024</v>
      </c>
      <c r="D368" s="91" t="str">
        <f>IFERROR(__xludf.DUMMYFUNCTION("""COMPUTED_VALUE"""),"mxn9787@mavs.uta.edu")</f>
        <v>mxn9787@mavs.uta.edu</v>
      </c>
      <c r="E368" s="92" t="str">
        <f>IFERROR(__xludf.DUMMYFUNCTION("""COMPUTED_VALUE"""),"Uyenmy Nguyen")</f>
        <v>Uyenmy Nguyen</v>
      </c>
      <c r="F368" s="93" t="str">
        <f>IFERROR(__xludf.DUMMYFUNCTION("""COMPUTED_VALUE"""),"N/a")</f>
        <v>N/a</v>
      </c>
      <c r="G368" s="92"/>
      <c r="H368" s="94" t="str">
        <f>IFERROR(__xludf.DUMMYFUNCTION("""COMPUTED_VALUE"""),"")</f>
        <v/>
      </c>
      <c r="I368" s="94" t="str">
        <f>IFERROR(__xludf.DUMMYFUNCTION("""COMPUTED_VALUE"""),"Student")</f>
        <v>Student</v>
      </c>
      <c r="J368" s="93" t="str">
        <f>IFERROR(__xludf.DUMMYFUNCTION("""COMPUTED_VALUE"""),"$15 Donation, Discord Verification")</f>
        <v>$15 Donation, Discord Verification</v>
      </c>
      <c r="K368" s="100" t="b">
        <v>0</v>
      </c>
      <c r="L368" s="101" t="str">
        <f>IFERROR(__xludf.DUMMYFUNCTION("""COMPUTED_VALUE"""),"Cash")</f>
        <v>Cash</v>
      </c>
      <c r="M368" s="100"/>
      <c r="N368" s="97" t="b">
        <v>0</v>
      </c>
      <c r="O368" s="93" t="str">
        <f>IFERROR(__xludf.DUMMYFUNCTION("""COMPUTED_VALUE"""),"Fundraising, PR, Membership, Feeding")</f>
        <v>Fundraising, PR, Membership, Feeding</v>
      </c>
      <c r="P36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68" s="99"/>
    </row>
    <row r="369" ht="13.5" customHeight="1">
      <c r="A369" s="88">
        <f>IFERROR(__xludf.DUMMYFUNCTION("""COMPUTED_VALUE"""),45532.758048159725)</f>
        <v>45532.75805</v>
      </c>
      <c r="B369" s="89" t="b">
        <v>1</v>
      </c>
      <c r="C369" s="90" t="str">
        <f t="shared" si="2"/>
        <v>Fall 2024</v>
      </c>
      <c r="D369" s="91" t="str">
        <f>IFERROR(__xludf.DUMMYFUNCTION("""COMPUTED_VALUE"""),"tmv5750@mavs.uta.edu")</f>
        <v>tmv5750@mavs.uta.edu</v>
      </c>
      <c r="E369" s="92" t="str">
        <f>IFERROR(__xludf.DUMMYFUNCTION("""COMPUTED_VALUE"""),"Typhanne Vieira")</f>
        <v>Typhanne Vieira</v>
      </c>
      <c r="F369" s="93" t="str">
        <f>IFERROR(__xludf.DUMMYFUNCTION("""COMPUTED_VALUE"""),"amelinhe")</f>
        <v>amelinhe</v>
      </c>
      <c r="G369" s="92"/>
      <c r="H369" s="94" t="str">
        <f>IFERROR(__xludf.DUMMYFUNCTION("""COMPUTED_VALUE"""),"(469) 704-2640")</f>
        <v>(469) 704-2640</v>
      </c>
      <c r="I369" s="94" t="str">
        <f>IFERROR(__xludf.DUMMYFUNCTION("""COMPUTED_VALUE"""),"Student")</f>
        <v>Student</v>
      </c>
      <c r="J369" s="93" t="str">
        <f>IFERROR(__xludf.DUMMYFUNCTION("""COMPUTED_VALUE"""),"$15 Donation, Discord Verification")</f>
        <v>$15 Donation, Discord Verification</v>
      </c>
      <c r="K369" s="100" t="b">
        <v>0</v>
      </c>
      <c r="L369" s="101" t="str">
        <f>IFERROR(__xludf.DUMMYFUNCTION("""COMPUTED_VALUE"""),"Venmo")</f>
        <v>Venmo</v>
      </c>
      <c r="M369" s="95">
        <v>0.0</v>
      </c>
      <c r="N369" s="97" t="b">
        <v>1</v>
      </c>
      <c r="O369" s="93" t="str">
        <f>IFERROR(__xludf.DUMMYFUNCTION("""COMPUTED_VALUE"""),"Fundraising, Feeding, Fostering, Shelter Maintenance")</f>
        <v>Fundraising, Feeding, Fostering, Shelter Maintenance</v>
      </c>
      <c r="P36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69" s="99"/>
    </row>
    <row r="370" ht="13.5" customHeight="1">
      <c r="A370" s="88">
        <f>IFERROR(__xludf.DUMMYFUNCTION("""COMPUTED_VALUE"""),45532.920010127316)</f>
        <v>45532.92001</v>
      </c>
      <c r="B370" s="88" t="b">
        <v>0</v>
      </c>
      <c r="C370" s="90" t="str">
        <f t="shared" si="2"/>
        <v>Fall 2024</v>
      </c>
      <c r="D370" s="91" t="str">
        <f>IFERROR(__xludf.DUMMYFUNCTION("""COMPUTED_VALUE"""),"gxh4791@mavs.uta.edu")</f>
        <v>gxh4791@mavs.uta.edu</v>
      </c>
      <c r="E370" s="92" t="str">
        <f>IFERROR(__xludf.DUMMYFUNCTION("""COMPUTED_VALUE"""),"Giselle Hernandez")</f>
        <v>Giselle Hernandez</v>
      </c>
      <c r="F370" s="93" t="str">
        <f>IFERROR(__xludf.DUMMYFUNCTION("""COMPUTED_VALUE"""),"apriicotte._")</f>
        <v>apriicotte._</v>
      </c>
      <c r="G370" s="92"/>
      <c r="H370" s="94" t="str">
        <f>IFERROR(__xludf.DUMMYFUNCTION("""COMPUTED_VALUE"""),"(214) 916-6545")</f>
        <v>(214) 916-6545</v>
      </c>
      <c r="I370" s="94" t="str">
        <f>IFERROR(__xludf.DUMMYFUNCTION("""COMPUTED_VALUE"""),"Student")</f>
        <v>Student</v>
      </c>
      <c r="J370" s="93" t="str">
        <f>IFERROR(__xludf.DUMMYFUNCTION("""COMPUTED_VALUE"""),"$15 Donation, Discord Verification")</f>
        <v>$15 Donation, Discord Verification</v>
      </c>
      <c r="K370" s="100" t="b">
        <v>0</v>
      </c>
      <c r="L370" s="101" t="str">
        <f>IFERROR(__xludf.DUMMYFUNCTION("""COMPUTED_VALUE"""),"Cash")</f>
        <v>Cash</v>
      </c>
      <c r="M370" s="100"/>
      <c r="N370" s="97" t="b">
        <v>0</v>
      </c>
      <c r="O370" s="93" t="str">
        <f>IFERROR(__xludf.DUMMYFUNCTION("""COMPUTED_VALUE"""),"Fundraising, Membership, Feeding, Shelter Maintenance")</f>
        <v>Fundraising, Membership, Feeding, Shelter Maintenance</v>
      </c>
      <c r="P37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70" s="99"/>
    </row>
    <row r="371" ht="13.5" customHeight="1">
      <c r="A371" s="88">
        <f>IFERROR(__xludf.DUMMYFUNCTION("""COMPUTED_VALUE"""),45533.390915625)</f>
        <v>45533.39092</v>
      </c>
      <c r="B371" s="88" t="b">
        <v>0</v>
      </c>
      <c r="C371" s="90" t="str">
        <f t="shared" si="2"/>
        <v>Fall 2024</v>
      </c>
      <c r="D371" s="91" t="str">
        <f>IFERROR(__xludf.DUMMYFUNCTION("""COMPUTED_VALUE"""),"mxr5105@mavs.uta.edu")</f>
        <v>mxr5105@mavs.uta.edu</v>
      </c>
      <c r="E371" s="92" t="str">
        <f>IFERROR(__xludf.DUMMYFUNCTION("""COMPUTED_VALUE"""),"Mia Juliet Reyes")</f>
        <v>Mia Juliet Reyes</v>
      </c>
      <c r="F371" s="93" t="str">
        <f>IFERROR(__xludf.DUMMYFUNCTION("""COMPUTED_VALUE"""),"Skelehusk ")</f>
        <v>Skelehusk </v>
      </c>
      <c r="G371" s="92"/>
      <c r="H371" s="94" t="str">
        <f>IFERROR(__xludf.DUMMYFUNCTION("""COMPUTED_VALUE"""),"(912) 777-9101")</f>
        <v>(912) 777-9101</v>
      </c>
      <c r="I371" s="94" t="str">
        <f>IFERROR(__xludf.DUMMYFUNCTION("""COMPUTED_VALUE"""),"Student")</f>
        <v>Student</v>
      </c>
      <c r="J371" s="93" t="str">
        <f>IFERROR(__xludf.DUMMYFUNCTION("""COMPUTED_VALUE"""),"Food/Litter Donation")</f>
        <v>Food/Litter Donation</v>
      </c>
      <c r="K371" s="100" t="b">
        <v>0</v>
      </c>
      <c r="L371" s="101" t="str">
        <f>IFERROR(__xludf.DUMMYFUNCTION("""COMPUTED_VALUE"""),"Cash")</f>
        <v>Cash</v>
      </c>
      <c r="M371" s="100"/>
      <c r="N371" s="97" t="b">
        <v>0</v>
      </c>
      <c r="O371" s="93" t="str">
        <f>IFERROR(__xludf.DUMMYFUNCTION("""COMPUTED_VALUE"""),"Fundraising, PR, TNR, Feeding, Shelter Maintenance")</f>
        <v>Fundraising, PR, TNR, Feeding, Shelter Maintenance</v>
      </c>
      <c r="P37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71" s="99"/>
    </row>
    <row r="372" ht="13.5" customHeight="1">
      <c r="A372" s="88">
        <f>IFERROR(__xludf.DUMMYFUNCTION("""COMPUTED_VALUE"""),45533.41911702546)</f>
        <v>45533.41912</v>
      </c>
      <c r="B372" s="89" t="b">
        <v>1</v>
      </c>
      <c r="C372" s="90" t="str">
        <f t="shared" si="2"/>
        <v>Fall 2024</v>
      </c>
      <c r="D372" s="91" t="str">
        <f>IFERROR(__xludf.DUMMYFUNCTION("""COMPUTED_VALUE"""),"kxv5730@mavs.uta.edu")</f>
        <v>kxv5730@mavs.uta.edu</v>
      </c>
      <c r="E372" s="92" t="str">
        <f>IFERROR(__xludf.DUMMYFUNCTION("""COMPUTED_VALUE"""),"Kelly Vong")</f>
        <v>Kelly Vong</v>
      </c>
      <c r="F372" s="93" t="str">
        <f>IFERROR(__xludf.DUMMYFUNCTION("""COMPUTED_VALUE"""),"@kellogs_cat")</f>
        <v>@kellogs_cat</v>
      </c>
      <c r="G372" s="92"/>
      <c r="H372" s="94" t="str">
        <f>IFERROR(__xludf.DUMMYFUNCTION("""COMPUTED_VALUE"""),"(817) 449-3295")</f>
        <v>(817) 449-3295</v>
      </c>
      <c r="I372" s="94" t="str">
        <f>IFERROR(__xludf.DUMMYFUNCTION("""COMPUTED_VALUE"""),"Student")</f>
        <v>Student</v>
      </c>
      <c r="J372" s="93" t="str">
        <f>IFERROR(__xludf.DUMMYFUNCTION("""COMPUTED_VALUE"""),"$15 Donation, Discord Verification")</f>
        <v>$15 Donation, Discord Verification</v>
      </c>
      <c r="K372" s="100" t="b">
        <v>0</v>
      </c>
      <c r="L372" s="101" t="str">
        <f>IFERROR(__xludf.DUMMYFUNCTION("""COMPUTED_VALUE"""),"Paypal")</f>
        <v>Paypal</v>
      </c>
      <c r="M372" s="95">
        <v>0.0</v>
      </c>
      <c r="N372" s="97" t="b">
        <v>1</v>
      </c>
      <c r="O372" s="93" t="str">
        <f>IFERROR(__xludf.DUMMYFUNCTION("""COMPUTED_VALUE"""),"Fundraising, PR, Membership, TNR, Shelter Maintenance")</f>
        <v>Fundraising, PR, Membership, TNR, Shelter Maintenance</v>
      </c>
      <c r="P37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72" s="99"/>
    </row>
    <row r="373" ht="13.5" customHeight="1">
      <c r="A373" s="88">
        <f>IFERROR(__xludf.DUMMYFUNCTION("""COMPUTED_VALUE"""),45533.52063532408)</f>
        <v>45533.52064</v>
      </c>
      <c r="B373" s="88" t="b">
        <v>0</v>
      </c>
      <c r="C373" s="90" t="str">
        <f t="shared" si="2"/>
        <v>Fall 2024</v>
      </c>
      <c r="D373" s="91" t="str">
        <f>IFERROR(__xludf.DUMMYFUNCTION("""COMPUTED_VALUE"""),"cxc8937@mavs.uta.edu")</f>
        <v>cxc8937@mavs.uta.edu</v>
      </c>
      <c r="E373" s="92" t="str">
        <f>IFERROR(__xludf.DUMMYFUNCTION("""COMPUTED_VALUE"""),"Christopher Chagoya ")</f>
        <v>Christopher Chagoya </v>
      </c>
      <c r="F373" s="93" t="str">
        <f>IFERROR(__xludf.DUMMYFUNCTION("""COMPUTED_VALUE"""),"Christhecardude")</f>
        <v>Christhecardude</v>
      </c>
      <c r="G373" s="92"/>
      <c r="H373" s="94" t="str">
        <f>IFERROR(__xludf.DUMMYFUNCTION("""COMPUTED_VALUE"""),"(682) 356-8129")</f>
        <v>(682) 356-8129</v>
      </c>
      <c r="I373" s="94" t="str">
        <f>IFERROR(__xludf.DUMMYFUNCTION("""COMPUTED_VALUE"""),"Student")</f>
        <v>Student</v>
      </c>
      <c r="J373" s="93" t="str">
        <f>IFERROR(__xludf.DUMMYFUNCTION("""COMPUTED_VALUE"""),"$15 Donation, Discord Verification")</f>
        <v>$15 Donation, Discord Verification</v>
      </c>
      <c r="K373" s="100" t="b">
        <v>0</v>
      </c>
      <c r="L373" s="101" t="str">
        <f>IFERROR(__xludf.DUMMYFUNCTION("""COMPUTED_VALUE"""),"Cashapp")</f>
        <v>Cashapp</v>
      </c>
      <c r="M373" s="100"/>
      <c r="N373" s="97" t="b">
        <v>0</v>
      </c>
      <c r="O373" s="93" t="str">
        <f>IFERROR(__xludf.DUMMYFUNCTION("""COMPUTED_VALUE"""),"Fundraising, Membership, Fostering, Shelter Maintenance")</f>
        <v>Fundraising, Membership, Fostering, Shelter Maintenance</v>
      </c>
      <c r="P37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73" s="99"/>
    </row>
    <row r="374" ht="13.5" customHeight="1">
      <c r="A374" s="88">
        <f>IFERROR(__xludf.DUMMYFUNCTION("""COMPUTED_VALUE"""),45533.606535150466)</f>
        <v>45533.60654</v>
      </c>
      <c r="B374" s="88" t="b">
        <v>0</v>
      </c>
      <c r="C374" s="90" t="str">
        <f t="shared" si="2"/>
        <v>Fall 2024</v>
      </c>
      <c r="D374" s="91" t="str">
        <f>IFERROR(__xludf.DUMMYFUNCTION("""COMPUTED_VALUE"""),"axn2076@mavs.uta.edu")</f>
        <v>axn2076@mavs.uta.edu</v>
      </c>
      <c r="E374" s="92" t="str">
        <f>IFERROR(__xludf.DUMMYFUNCTION("""COMPUTED_VALUE"""),"Ayla Nguyen ")</f>
        <v>Ayla Nguyen </v>
      </c>
      <c r="F374" s="93" t="str">
        <f>IFERROR(__xludf.DUMMYFUNCTION("""COMPUTED_VALUE"""),"zeriovix")</f>
        <v>zeriovix</v>
      </c>
      <c r="G374" s="92"/>
      <c r="H374" s="94" t="str">
        <f>IFERROR(__xludf.DUMMYFUNCTION("""COMPUTED_VALUE"""),"(817) 401-3183")</f>
        <v>(817) 401-3183</v>
      </c>
      <c r="I374" s="94" t="str">
        <f>IFERROR(__xludf.DUMMYFUNCTION("""COMPUTED_VALUE"""),"Student")</f>
        <v>Student</v>
      </c>
      <c r="J374" s="93" t="str">
        <f>IFERROR(__xludf.DUMMYFUNCTION("""COMPUTED_VALUE"""),"Food/Litter Donation")</f>
        <v>Food/Litter Donation</v>
      </c>
      <c r="K374" s="100" t="b">
        <v>0</v>
      </c>
      <c r="L374" s="101" t="str">
        <f>IFERROR(__xludf.DUMMYFUNCTION("""COMPUTED_VALUE"""),"Cashapp")</f>
        <v>Cashapp</v>
      </c>
      <c r="M374" s="100"/>
      <c r="N374" s="97" t="b">
        <v>0</v>
      </c>
      <c r="O374" s="93" t="str">
        <f>IFERROR(__xludf.DUMMYFUNCTION("""COMPUTED_VALUE"""),"Feeding, Shelter Maintenance")</f>
        <v>Feeding, Shelter Maintenance</v>
      </c>
      <c r="P37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74" s="99"/>
    </row>
    <row r="375" ht="13.5" customHeight="1">
      <c r="A375" s="88">
        <f>IFERROR(__xludf.DUMMYFUNCTION("""COMPUTED_VALUE"""),45533.65529034722)</f>
        <v>45533.65529</v>
      </c>
      <c r="B375" s="89" t="b">
        <v>1</v>
      </c>
      <c r="C375" s="90" t="str">
        <f t="shared" si="2"/>
        <v>Fall 2024</v>
      </c>
      <c r="D375" s="91" t="str">
        <f>IFERROR(__xludf.DUMMYFUNCTION("""COMPUTED_VALUE"""),"arman.rahimzadehnassk@mavs.uta.edu")</f>
        <v>arman.rahimzadehnassk@mavs.uta.edu</v>
      </c>
      <c r="E375" s="92" t="str">
        <f>IFERROR(__xludf.DUMMYFUNCTION("""COMPUTED_VALUE"""),"Arman Rahimzadeh")</f>
        <v>Arman Rahimzadeh</v>
      </c>
      <c r="F375" s="93" t="str">
        <f>IFERROR(__xludf.DUMMYFUNCTION("""COMPUTED_VALUE"""),"Olyeball")</f>
        <v>Olyeball</v>
      </c>
      <c r="G375" s="92"/>
      <c r="H375" s="94" t="str">
        <f>IFERROR(__xludf.DUMMYFUNCTION("""COMPUTED_VALUE"""),"(817) 201-6224")</f>
        <v>(817) 201-6224</v>
      </c>
      <c r="I375" s="94" t="str">
        <f>IFERROR(__xludf.DUMMYFUNCTION("""COMPUTED_VALUE"""),"Student")</f>
        <v>Student</v>
      </c>
      <c r="J375" s="93" t="str">
        <f>IFERROR(__xludf.DUMMYFUNCTION("""COMPUTED_VALUE"""),"$15 Donation, Discord Verification")</f>
        <v>$15 Donation, Discord Verification</v>
      </c>
      <c r="K375" s="100" t="b">
        <v>0</v>
      </c>
      <c r="L375" s="101" t="str">
        <f>IFERROR(__xludf.DUMMYFUNCTION("""COMPUTED_VALUE"""),"Venmo")</f>
        <v>Venmo</v>
      </c>
      <c r="M375" s="95">
        <v>0.0</v>
      </c>
      <c r="N375" s="97" t="b">
        <v>1</v>
      </c>
      <c r="O375" s="93" t="str">
        <f>IFERROR(__xludf.DUMMYFUNCTION("""COMPUTED_VALUE"""),"TNR, Feeding, Shelter Maintenance")</f>
        <v>TNR, Feeding, Shelter Maintenance</v>
      </c>
      <c r="P37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75" s="99"/>
    </row>
    <row r="376" ht="13.5" customHeight="1">
      <c r="A376" s="88">
        <f>IFERROR(__xludf.DUMMYFUNCTION("""COMPUTED_VALUE"""),45533.76593512732)</f>
        <v>45533.76594</v>
      </c>
      <c r="B376" s="89" t="b">
        <v>1</v>
      </c>
      <c r="C376" s="90" t="str">
        <f t="shared" si="2"/>
        <v>Fall 2024</v>
      </c>
      <c r="D376" s="91" t="str">
        <f>IFERROR(__xludf.DUMMYFUNCTION("""COMPUTED_VALUE"""),"mxm1348@mavs.uta.edu")</f>
        <v>mxm1348@mavs.uta.edu</v>
      </c>
      <c r="E376" s="92" t="str">
        <f>IFERROR(__xludf.DUMMYFUNCTION("""COMPUTED_VALUE"""),"Marco Alejandro Mendoza")</f>
        <v>Marco Alejandro Mendoza</v>
      </c>
      <c r="F376" s="93" t="str">
        <f>IFERROR(__xludf.DUMMYFUNCTION("""COMPUTED_VALUE"""),"mmarc.mdz")</f>
        <v>mmarc.mdz</v>
      </c>
      <c r="G376" s="92"/>
      <c r="H376" s="94" t="str">
        <f>IFERROR(__xludf.DUMMYFUNCTION("""COMPUTED_VALUE"""),"(817) 569-0673")</f>
        <v>(817) 569-0673</v>
      </c>
      <c r="I376" s="94" t="str">
        <f>IFERROR(__xludf.DUMMYFUNCTION("""COMPUTED_VALUE"""),"Student")</f>
        <v>Student</v>
      </c>
      <c r="J376" s="93" t="str">
        <f>IFERROR(__xludf.DUMMYFUNCTION("""COMPUTED_VALUE"""),"$15 Donation, Discord Verification")</f>
        <v>$15 Donation, Discord Verification</v>
      </c>
      <c r="K376" s="100" t="b">
        <v>0</v>
      </c>
      <c r="L376" s="101" t="str">
        <f>IFERROR(__xludf.DUMMYFUNCTION("""COMPUTED_VALUE"""),"Paypal")</f>
        <v>Paypal</v>
      </c>
      <c r="M376" s="95">
        <v>0.0</v>
      </c>
      <c r="N376" s="97" t="b">
        <v>1</v>
      </c>
      <c r="O376" s="93" t="str">
        <f>IFERROR(__xludf.DUMMYFUNCTION("""COMPUTED_VALUE"""),"PR, Feeding, Fostering, Shelter Maintenance")</f>
        <v>PR, Feeding, Fostering, Shelter Maintenance</v>
      </c>
      <c r="P37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76" s="99"/>
    </row>
    <row r="377" ht="13.5" customHeight="1">
      <c r="A377" s="88">
        <f>IFERROR(__xludf.DUMMYFUNCTION("""COMPUTED_VALUE"""),45533.845899004635)</f>
        <v>45533.8459</v>
      </c>
      <c r="B377" s="88" t="b">
        <v>0</v>
      </c>
      <c r="C377" s="90" t="str">
        <f t="shared" si="2"/>
        <v>Fall 2024</v>
      </c>
      <c r="D377" s="91" t="str">
        <f>IFERROR(__xludf.DUMMYFUNCTION("""COMPUTED_VALUE"""),"jvl9930@mavs.uta.edu")</f>
        <v>jvl9930@mavs.uta.edu</v>
      </c>
      <c r="E377" s="92" t="str">
        <f>IFERROR(__xludf.DUMMYFUNCTION("""COMPUTED_VALUE"""),"Johana Laird")</f>
        <v>Johana Laird</v>
      </c>
      <c r="F377" s="93" t="str">
        <f>IFERROR(__xludf.DUMMYFUNCTION("""COMPUTED_VALUE"""),"horndoggy_")</f>
        <v>horndoggy_</v>
      </c>
      <c r="G377" s="92"/>
      <c r="H377" s="94" t="str">
        <f>IFERROR(__xludf.DUMMYFUNCTION("""COMPUTED_VALUE"""),"(214) 680-3269")</f>
        <v>(214) 680-3269</v>
      </c>
      <c r="I377" s="94" t="str">
        <f>IFERROR(__xludf.DUMMYFUNCTION("""COMPUTED_VALUE"""),"Student")</f>
        <v>Student</v>
      </c>
      <c r="J377" s="93" t="str">
        <f>IFERROR(__xludf.DUMMYFUNCTION("""COMPUTED_VALUE"""),"Food/Litter Donation")</f>
        <v>Food/Litter Donation</v>
      </c>
      <c r="K377" s="100" t="b">
        <v>0</v>
      </c>
      <c r="L377" s="101"/>
      <c r="M377" s="100"/>
      <c r="N377" s="97" t="b">
        <v>0</v>
      </c>
      <c r="O377" s="93" t="str">
        <f>IFERROR(__xludf.DUMMYFUNCTION("""COMPUTED_VALUE"""),"Fundraising, Feeding, Shelter Maintenance")</f>
        <v>Fundraising, Feeding, Shelter Maintenance</v>
      </c>
      <c r="P37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77" s="99"/>
    </row>
    <row r="378" ht="13.5" customHeight="1">
      <c r="A378" s="88">
        <f>IFERROR(__xludf.DUMMYFUNCTION("""COMPUTED_VALUE"""),45533.877585381946)</f>
        <v>45533.87759</v>
      </c>
      <c r="B378" s="89" t="b">
        <v>1</v>
      </c>
      <c r="C378" s="90" t="str">
        <f t="shared" si="2"/>
        <v>Fall 2024</v>
      </c>
      <c r="D378" s="91" t="str">
        <f>IFERROR(__xludf.DUMMYFUNCTION("""COMPUTED_VALUE"""),"agc1946@mavs.uta.edu")</f>
        <v>agc1946@mavs.uta.edu</v>
      </c>
      <c r="E378" s="92" t="str">
        <f>IFERROR(__xludf.DUMMYFUNCTION("""COMPUTED_VALUE"""),"Alexander Cusano ")</f>
        <v>Alexander Cusano </v>
      </c>
      <c r="F378" s="93" t="str">
        <f>IFERROR(__xludf.DUMMYFUNCTION("""COMPUTED_VALUE"""),"pluto24625")</f>
        <v>pluto24625</v>
      </c>
      <c r="G378" s="92"/>
      <c r="H378" s="94" t="str">
        <f>IFERROR(__xludf.DUMMYFUNCTION("""COMPUTED_VALUE"""),"(682) 239-1297")</f>
        <v>(682) 239-1297</v>
      </c>
      <c r="I378" s="94" t="str">
        <f>IFERROR(__xludf.DUMMYFUNCTION("""COMPUTED_VALUE"""),"Student")</f>
        <v>Student</v>
      </c>
      <c r="J378" s="93" t="str">
        <f>IFERROR(__xludf.DUMMYFUNCTION("""COMPUTED_VALUE"""),"$15 Donation, Discord Verification")</f>
        <v>$15 Donation, Discord Verification</v>
      </c>
      <c r="K378" s="100" t="b">
        <v>0</v>
      </c>
      <c r="L378" s="101" t="str">
        <f>IFERROR(__xludf.DUMMYFUNCTION("""COMPUTED_VALUE"""),"Paypal")</f>
        <v>Paypal</v>
      </c>
      <c r="M378" s="95">
        <v>15.0</v>
      </c>
      <c r="N378" s="97" t="b">
        <v>1</v>
      </c>
      <c r="O378" s="93" t="str">
        <f>IFERROR(__xludf.DUMMYFUNCTION("""COMPUTED_VALUE"""),"Membership, TNR, Overnight TNR, Feeding, Shelter Maintenance")</f>
        <v>Membership, TNR, Overnight TNR, Feeding, Shelter Maintenance</v>
      </c>
      <c r="P37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78" s="99"/>
    </row>
    <row r="379" ht="13.5" customHeight="1">
      <c r="A379" s="88">
        <f>IFERROR(__xludf.DUMMYFUNCTION("""COMPUTED_VALUE"""),45534.6711634838)</f>
        <v>45534.67116</v>
      </c>
      <c r="B379" s="88" t="b">
        <v>0</v>
      </c>
      <c r="C379" s="90" t="str">
        <f t="shared" si="2"/>
        <v>Fall 2024</v>
      </c>
      <c r="D379" s="91" t="str">
        <f>IFERROR(__xludf.DUMMYFUNCTION("""COMPUTED_VALUE"""),"vrs8450@mavs.uta.edu")</f>
        <v>vrs8450@mavs.uta.edu</v>
      </c>
      <c r="E379" s="92" t="str">
        <f>IFERROR(__xludf.DUMMYFUNCTION("""COMPUTED_VALUE"""),"Vithin Reddy Sandadi")</f>
        <v>Vithin Reddy Sandadi</v>
      </c>
      <c r="F379" s="93" t="str">
        <f>IFERROR(__xludf.DUMMYFUNCTION("""COMPUTED_VALUE"""),"Vithin")</f>
        <v>Vithin</v>
      </c>
      <c r="G379" s="92"/>
      <c r="H379" s="94" t="str">
        <f>IFERROR(__xludf.DUMMYFUNCTION("""COMPUTED_VALUE"""),"(682) 246-0776")</f>
        <v>(682) 246-0776</v>
      </c>
      <c r="I379" s="94" t="str">
        <f>IFERROR(__xludf.DUMMYFUNCTION("""COMPUTED_VALUE"""),"Student")</f>
        <v>Student</v>
      </c>
      <c r="J379" s="93" t="str">
        <f>IFERROR(__xludf.DUMMYFUNCTION("""COMPUTED_VALUE"""),"$15 Donation, Discord Verification")</f>
        <v>$15 Donation, Discord Verification</v>
      </c>
      <c r="K379" s="100" t="b">
        <v>0</v>
      </c>
      <c r="L379" s="101" t="str">
        <f>IFERROR(__xludf.DUMMYFUNCTION("""COMPUTED_VALUE"""),"Cash")</f>
        <v>Cash</v>
      </c>
      <c r="M379" s="100"/>
      <c r="N379" s="97" t="b">
        <v>0</v>
      </c>
      <c r="O379" s="93" t="str">
        <f>IFERROR(__xludf.DUMMYFUNCTION("""COMPUTED_VALUE"""),"Fundraising, PR, Membership, TNR, Feeding, Fostering, Shelter Maintenance")</f>
        <v>Fundraising, PR, Membership, TNR, Feeding, Fostering, Shelter Maintenance</v>
      </c>
      <c r="P37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79" s="99"/>
    </row>
    <row r="380" ht="15.0" customHeight="1">
      <c r="A380" s="160">
        <f>IFERROR(__xludf.DUMMYFUNCTION("""COMPUTED_VALUE"""),45534.98202863426)</f>
        <v>45534.98203</v>
      </c>
      <c r="B380" s="161" t="b">
        <v>0</v>
      </c>
      <c r="C380" s="160" t="str">
        <f t="shared" si="2"/>
        <v>Fall 2024</v>
      </c>
      <c r="D380" s="162" t="str">
        <f>IFERROR(__xludf.DUMMYFUNCTION("""COMPUTED_VALUE"""),"testbutt2000@boobs.gov")</f>
        <v>testbutt2000@boobs.gov</v>
      </c>
      <c r="E380" s="163" t="str">
        <f>IFERROR(__xludf.DUMMYFUNCTION("""COMPUTED_VALUE"""),"Hi")</f>
        <v>Hi</v>
      </c>
      <c r="F380" s="164" t="str">
        <f>IFERROR(__xludf.DUMMYFUNCTION("""COMPUTED_VALUE"""),"austinbaustinb")</f>
        <v>austinbaustinb</v>
      </c>
      <c r="G380" s="163"/>
      <c r="H380" s="165" t="str">
        <f>IFERROR(__xludf.DUMMYFUNCTION("""COMPUTED_VALUE"""),"(3) -")</f>
        <v>(3) -</v>
      </c>
      <c r="I380" s="165" t="str">
        <f>IFERROR(__xludf.DUMMYFUNCTION("""COMPUTED_VALUE"""),"Student")</f>
        <v>Student</v>
      </c>
      <c r="J380" s="164" t="str">
        <f>IFERROR(__xludf.DUMMYFUNCTION("""COMPUTED_VALUE"""),"$15 Donation, Discord Verification")</f>
        <v>$15 Donation, Discord Verification</v>
      </c>
      <c r="K380" s="166" t="b">
        <v>0</v>
      </c>
      <c r="L380" s="167" t="str">
        <f>IFERROR(__xludf.DUMMYFUNCTION("""COMPUTED_VALUE"""),"Paypal")</f>
        <v>Paypal</v>
      </c>
      <c r="M380" s="166"/>
      <c r="N380" s="168" t="b">
        <v>0</v>
      </c>
      <c r="O380" s="164" t="str">
        <f>IFERROR(__xludf.DUMMYFUNCTION("""COMPUTED_VALUE"""),"Abbabab")</f>
        <v>Abbabab</v>
      </c>
      <c r="P380" s="169"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80" s="170" t="s">
        <v>73</v>
      </c>
    </row>
    <row r="381" ht="14.25" customHeight="1">
      <c r="A381" s="88">
        <f>IFERROR(__xludf.DUMMYFUNCTION("""COMPUTED_VALUE"""),45534.99058113426)</f>
        <v>45534.99058</v>
      </c>
      <c r="B381" s="89" t="b">
        <v>1</v>
      </c>
      <c r="C381" s="90" t="str">
        <f t="shared" si="2"/>
        <v>Fall 2024</v>
      </c>
      <c r="D381" s="91" t="str">
        <f>IFERROR(__xludf.DUMMYFUNCTION("""COMPUTED_VALUE"""),"adb8510@mavs.uta.edu")</f>
        <v>adb8510@mavs.uta.edu</v>
      </c>
      <c r="E381" s="92" t="str">
        <f>IFERROR(__xludf.DUMMYFUNCTION("""COMPUTED_VALUE"""),"Ayva Black")</f>
        <v>Ayva Black</v>
      </c>
      <c r="F381" s="93" t="str">
        <f>IFERROR(__xludf.DUMMYFUNCTION("""COMPUTED_VALUE"""),"aye3eva")</f>
        <v>aye3eva</v>
      </c>
      <c r="G381" s="92"/>
      <c r="H381" s="94" t="str">
        <f>IFERROR(__xludf.DUMMYFUNCTION("""COMPUTED_VALUE"""),"(817) 538-0208")</f>
        <v>(817) 538-0208</v>
      </c>
      <c r="I381" s="94" t="str">
        <f>IFERROR(__xludf.DUMMYFUNCTION("""COMPUTED_VALUE"""),"Student")</f>
        <v>Student</v>
      </c>
      <c r="J381" s="93" t="str">
        <f>IFERROR(__xludf.DUMMYFUNCTION("""COMPUTED_VALUE"""),"$15 Donation, Discord Verification")</f>
        <v>$15 Donation, Discord Verification</v>
      </c>
      <c r="K381" s="100" t="b">
        <v>0</v>
      </c>
      <c r="L381" s="101" t="str">
        <f>IFERROR(__xludf.DUMMYFUNCTION("""COMPUTED_VALUE"""),"Venmo")</f>
        <v>Venmo</v>
      </c>
      <c r="M381" s="95">
        <v>0.0</v>
      </c>
      <c r="N381" s="97" t="b">
        <v>1</v>
      </c>
      <c r="O381" s="93" t="str">
        <f>IFERROR(__xludf.DUMMYFUNCTION("""COMPUTED_VALUE"""),"Membership, Feeding, Shelter Maintenance")</f>
        <v>Membership, Feeding, Shelter Maintenance</v>
      </c>
      <c r="P38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81" s="99"/>
    </row>
    <row r="382" ht="13.5" customHeight="1">
      <c r="A382" s="88">
        <f>IFERROR(__xludf.DUMMYFUNCTION("""COMPUTED_VALUE"""),45535.80285869213)</f>
        <v>45535.80286</v>
      </c>
      <c r="B382" s="89" t="b">
        <v>1</v>
      </c>
      <c r="C382" s="90" t="str">
        <f t="shared" si="2"/>
        <v>Fall 2024</v>
      </c>
      <c r="D382" s="91" t="str">
        <f>IFERROR(__xludf.DUMMYFUNCTION("""COMPUTED_VALUE"""),"ald2369@mavs.uta.edu")</f>
        <v>ald2369@mavs.uta.edu</v>
      </c>
      <c r="E382" s="92" t="str">
        <f>IFERROR(__xludf.DUMMYFUNCTION("""COMPUTED_VALUE"""),"Annabelle Delpin")</f>
        <v>Annabelle Delpin</v>
      </c>
      <c r="F382" s="93" t="str">
        <f>IFERROR(__xludf.DUMMYFUNCTION("""COMPUTED_VALUE"""),"evermoreswift13")</f>
        <v>evermoreswift13</v>
      </c>
      <c r="G382" s="92"/>
      <c r="H382" s="94" t="str">
        <f>IFERROR(__xludf.DUMMYFUNCTION("""COMPUTED_VALUE"""),"(817) 630-5096")</f>
        <v>(817) 630-5096</v>
      </c>
      <c r="I382" s="94" t="str">
        <f>IFERROR(__xludf.DUMMYFUNCTION("""COMPUTED_VALUE"""),"Student")</f>
        <v>Student</v>
      </c>
      <c r="J382" s="93" t="str">
        <f>IFERROR(__xludf.DUMMYFUNCTION("""COMPUTED_VALUE"""),"$15 Donation, Discord Verification")</f>
        <v>$15 Donation, Discord Verification</v>
      </c>
      <c r="K382" s="100" t="b">
        <v>0</v>
      </c>
      <c r="L382" s="101" t="str">
        <f>IFERROR(__xludf.DUMMYFUNCTION("""COMPUTED_VALUE"""),"Paypal")</f>
        <v>Paypal</v>
      </c>
      <c r="M382" s="95">
        <v>0.0</v>
      </c>
      <c r="N382" s="97" t="b">
        <v>1</v>
      </c>
      <c r="O382" s="93" t="str">
        <f>IFERROR(__xludf.DUMMYFUNCTION("""COMPUTED_VALUE"""),"Fundraising, PR, Membership, Feeding, Fostering, Shelter Maintenance")</f>
        <v>Fundraising, PR, Membership, Feeding, Fostering, Shelter Maintenance</v>
      </c>
      <c r="P38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82" s="102" t="s">
        <v>74</v>
      </c>
    </row>
    <row r="383" ht="13.5" customHeight="1">
      <c r="A383" s="88">
        <f>IFERROR(__xludf.DUMMYFUNCTION("""COMPUTED_VALUE"""),45536.38623048611)</f>
        <v>45536.38623</v>
      </c>
      <c r="B383" s="89" t="b">
        <v>1</v>
      </c>
      <c r="C383" s="90" t="str">
        <f t="shared" si="2"/>
        <v>Fall 2024</v>
      </c>
      <c r="D383" s="91" t="str">
        <f>IFERROR(__xludf.DUMMYFUNCTION("""COMPUTED_VALUE"""),"med3041@mavs.uta.edu")</f>
        <v>med3041@mavs.uta.edu</v>
      </c>
      <c r="E383" s="92" t="str">
        <f>IFERROR(__xludf.DUMMYFUNCTION("""COMPUTED_VALUE"""),"Megan DiGiovanni")</f>
        <v>Megan DiGiovanni</v>
      </c>
      <c r="F383" s="93" t="str">
        <f>IFERROR(__xludf.DUMMYFUNCTION("""COMPUTED_VALUE"""),"m_digio")</f>
        <v>m_digio</v>
      </c>
      <c r="G383" s="92"/>
      <c r="H383" s="94" t="str">
        <f>IFERROR(__xludf.DUMMYFUNCTION("""COMPUTED_VALUE"""),"(409)  22-3325")</f>
        <v>(409)  22-3325</v>
      </c>
      <c r="I383" s="94" t="str">
        <f>IFERROR(__xludf.DUMMYFUNCTION("""COMPUTED_VALUE"""),"Student")</f>
        <v>Student</v>
      </c>
      <c r="J383" s="93" t="str">
        <f>IFERROR(__xludf.DUMMYFUNCTION("""COMPUTED_VALUE"""),"$15 Donation, Discord Verification")</f>
        <v>$15 Donation, Discord Verification</v>
      </c>
      <c r="K383" s="100" t="b">
        <v>0</v>
      </c>
      <c r="L383" s="101" t="str">
        <f>IFERROR(__xludf.DUMMYFUNCTION("""COMPUTED_VALUE"""),"Venmo")</f>
        <v>Venmo</v>
      </c>
      <c r="M383" s="95">
        <v>0.0</v>
      </c>
      <c r="N383" s="97" t="b">
        <v>1</v>
      </c>
      <c r="O383" s="93" t="str">
        <f>IFERROR(__xludf.DUMMYFUNCTION("""COMPUTED_VALUE"""),"Fundraising, PR, Membership, TNR, Feeding, Shelter Maintenance")</f>
        <v>Fundraising, PR, Membership, TNR, Feeding, Shelter Maintenance</v>
      </c>
      <c r="P38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83" s="102" t="s">
        <v>75</v>
      </c>
    </row>
    <row r="384" ht="13.5" customHeight="1">
      <c r="A384" s="88">
        <f>IFERROR(__xludf.DUMMYFUNCTION("""COMPUTED_VALUE"""),45538.48727803241)</f>
        <v>45538.48728</v>
      </c>
      <c r="B384" s="89" t="b">
        <v>1</v>
      </c>
      <c r="C384" s="90" t="str">
        <f t="shared" si="2"/>
        <v>Fall 2024</v>
      </c>
      <c r="D384" s="91" t="str">
        <f>IFERROR(__xludf.DUMMYFUNCTION("""COMPUTED_VALUE"""),"nxr2634@mavs.uta.edu")</f>
        <v>nxr2634@mavs.uta.edu</v>
      </c>
      <c r="E384" s="92" t="str">
        <f>IFERROR(__xludf.DUMMYFUNCTION("""COMPUTED_VALUE"""),"Natalie Ramirez ")</f>
        <v>Natalie Ramirez </v>
      </c>
      <c r="F384" s="93" t="str">
        <f>IFERROR(__xludf.DUMMYFUNCTION("""COMPUTED_VALUE"""),"Nataliermz.")</f>
        <v>Nataliermz.</v>
      </c>
      <c r="G384" s="92"/>
      <c r="H384" s="94" t="str">
        <f>IFERROR(__xludf.DUMMYFUNCTION("""COMPUTED_VALUE"""),"(682) 472-7469")</f>
        <v>(682) 472-7469</v>
      </c>
      <c r="I384" s="94" t="str">
        <f>IFERROR(__xludf.DUMMYFUNCTION("""COMPUTED_VALUE"""),"Student")</f>
        <v>Student</v>
      </c>
      <c r="J384" s="93" t="str">
        <f>IFERROR(__xludf.DUMMYFUNCTION("""COMPUTED_VALUE"""),"Food/Litter Donation")</f>
        <v>Food/Litter Donation</v>
      </c>
      <c r="K384" s="100" t="b">
        <v>0</v>
      </c>
      <c r="L384" s="101"/>
      <c r="M384" s="100"/>
      <c r="N384" s="97" t="b">
        <v>1</v>
      </c>
      <c r="O384" s="93" t="str">
        <f>IFERROR(__xludf.DUMMYFUNCTION("""COMPUTED_VALUE"""),"PR, Membership, Feeding, Shelter Maintenance")</f>
        <v>PR, Membership, Feeding, Shelter Maintenance</v>
      </c>
      <c r="P38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84" s="99"/>
    </row>
    <row r="385" ht="13.5" customHeight="1">
      <c r="A385" s="88">
        <f>IFERROR(__xludf.DUMMYFUNCTION("""COMPUTED_VALUE"""),45538.571077037035)</f>
        <v>45538.57108</v>
      </c>
      <c r="B385" s="88" t="b">
        <v>0</v>
      </c>
      <c r="C385" s="90" t="str">
        <f t="shared" si="2"/>
        <v>Fall 2024</v>
      </c>
      <c r="D385" s="91" t="str">
        <f>IFERROR(__xludf.DUMMYFUNCTION("""COMPUTED_VALUE"""),"jag1592@mavs.uta.edu")</f>
        <v>jag1592@mavs.uta.edu</v>
      </c>
      <c r="E385" s="92" t="str">
        <f>IFERROR(__xludf.DUMMYFUNCTION("""COMPUTED_VALUE"""),"Jesus A Gandara")</f>
        <v>Jesus A Gandara</v>
      </c>
      <c r="F385" s="93" t="str">
        <f>IFERROR(__xludf.DUMMYFUNCTION("""COMPUTED_VALUE"""),"Aze")</f>
        <v>Aze</v>
      </c>
      <c r="G385" s="92"/>
      <c r="H385" s="94" t="str">
        <f>IFERROR(__xludf.DUMMYFUNCTION("""COMPUTED_VALUE"""),"(817) 773-1845")</f>
        <v>(817) 773-1845</v>
      </c>
      <c r="I385" s="94" t="str">
        <f>IFERROR(__xludf.DUMMYFUNCTION("""COMPUTED_VALUE"""),"Student")</f>
        <v>Student</v>
      </c>
      <c r="J385" s="93" t="str">
        <f>IFERROR(__xludf.DUMMYFUNCTION("""COMPUTED_VALUE"""),"Food/Litter Donation")</f>
        <v>Food/Litter Donation</v>
      </c>
      <c r="K385" s="100" t="b">
        <v>0</v>
      </c>
      <c r="L385" s="101" t="str">
        <f>IFERROR(__xludf.DUMMYFUNCTION("""COMPUTED_VALUE"""),"Cash")</f>
        <v>Cash</v>
      </c>
      <c r="M385" s="100"/>
      <c r="N385" s="97" t="b">
        <v>0</v>
      </c>
      <c r="O385" s="93" t="str">
        <f>IFERROR(__xludf.DUMMYFUNCTION("""COMPUTED_VALUE"""),"Fundraising, PR, Membership, TNR, Overnight TNR, Feeding, Fostering, Shelter Maintenance")</f>
        <v>Fundraising, PR, Membership, TNR, Overnight TNR, Feeding, Fostering, Shelter Maintenance</v>
      </c>
      <c r="P38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85" s="102" t="s">
        <v>76</v>
      </c>
    </row>
    <row r="386" ht="13.5" customHeight="1">
      <c r="A386" s="88">
        <f>IFERROR(__xludf.DUMMYFUNCTION("""COMPUTED_VALUE"""),45539.42520917824)</f>
        <v>45539.42521</v>
      </c>
      <c r="B386" s="89" t="b">
        <v>1</v>
      </c>
      <c r="C386" s="90" t="str">
        <f t="shared" si="2"/>
        <v>Fall 2024</v>
      </c>
      <c r="D386" s="91" t="str">
        <f>IFERROR(__xludf.DUMMYFUNCTION("""COMPUTED_VALUE"""),"mrc7516@mavs.uta.edu")</f>
        <v>mrc7516@mavs.uta.edu</v>
      </c>
      <c r="E386" s="92" t="str">
        <f>IFERROR(__xludf.DUMMYFUNCTION("""COMPUTED_VALUE"""),"Matt Carroll")</f>
        <v>Matt Carroll</v>
      </c>
      <c r="F386" s="93" t="str">
        <f>IFERROR(__xludf.DUMMYFUNCTION("""COMPUTED_VALUE"""),"maximus0011")</f>
        <v>maximus0011</v>
      </c>
      <c r="G386" s="92"/>
      <c r="H386" s="94" t="str">
        <f>IFERROR(__xludf.DUMMYFUNCTION("""COMPUTED_VALUE"""),"(682) 251-3334")</f>
        <v>(682) 251-3334</v>
      </c>
      <c r="I386" s="94" t="str">
        <f>IFERROR(__xludf.DUMMYFUNCTION("""COMPUTED_VALUE"""),"Student")</f>
        <v>Student</v>
      </c>
      <c r="J386" s="93" t="str">
        <f>IFERROR(__xludf.DUMMYFUNCTION("""COMPUTED_VALUE"""),"$15 Donation, Discord Verification")</f>
        <v>$15 Donation, Discord Verification</v>
      </c>
      <c r="K386" s="100" t="b">
        <v>0</v>
      </c>
      <c r="L386" s="101" t="str">
        <f>IFERROR(__xludf.DUMMYFUNCTION("""COMPUTED_VALUE"""),"Paypal")</f>
        <v>Paypal</v>
      </c>
      <c r="M386" s="95">
        <v>5.0</v>
      </c>
      <c r="N386" s="97" t="b">
        <v>1</v>
      </c>
      <c r="O386" s="93" t="str">
        <f>IFERROR(__xludf.DUMMYFUNCTION("""COMPUTED_VALUE"""),"Feeding")</f>
        <v>Feeding</v>
      </c>
      <c r="P38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86" s="99"/>
    </row>
    <row r="387" ht="13.5" customHeight="1">
      <c r="A387" s="88">
        <f>IFERROR(__xludf.DUMMYFUNCTION("""COMPUTED_VALUE"""),45539.439536527774)</f>
        <v>45539.43954</v>
      </c>
      <c r="B387" s="89" t="b">
        <v>1</v>
      </c>
      <c r="C387" s="90" t="str">
        <f t="shared" si="2"/>
        <v>Fall 2024</v>
      </c>
      <c r="D387" s="91" t="str">
        <f>IFERROR(__xludf.DUMMYFUNCTION("""COMPUTED_VALUE"""),"dxk1878@mavs.uta.edu")</f>
        <v>dxk1878@mavs.uta.edu</v>
      </c>
      <c r="E387" s="92" t="str">
        <f>IFERROR(__xludf.DUMMYFUNCTION("""COMPUTED_VALUE"""),"Diana Kaurin")</f>
        <v>Diana Kaurin</v>
      </c>
      <c r="F387" s="93" t="str">
        <f>IFERROR(__xludf.DUMMYFUNCTION("""COMPUTED_VALUE"""),"dianafun1161")</f>
        <v>dianafun1161</v>
      </c>
      <c r="G387" s="92"/>
      <c r="H387" s="94" t="str">
        <f>IFERROR(__xludf.DUMMYFUNCTION("""COMPUTED_VALUE"""),"(682) 240-0902")</f>
        <v>(682) 240-0902</v>
      </c>
      <c r="I387" s="94" t="str">
        <f>IFERROR(__xludf.DUMMYFUNCTION("""COMPUTED_VALUE"""),"Student")</f>
        <v>Student</v>
      </c>
      <c r="J387" s="93" t="str">
        <f>IFERROR(__xludf.DUMMYFUNCTION("""COMPUTED_VALUE"""),"$15 Donation, Discord Verification")</f>
        <v>$15 Donation, Discord Verification</v>
      </c>
      <c r="K387" s="100" t="b">
        <v>0</v>
      </c>
      <c r="L387" s="101" t="str">
        <f>IFERROR(__xludf.DUMMYFUNCTION("""COMPUTED_VALUE"""),"Venmo")</f>
        <v>Venmo</v>
      </c>
      <c r="M387" s="95">
        <v>0.0</v>
      </c>
      <c r="N387" s="97" t="b">
        <v>1</v>
      </c>
      <c r="O387" s="93" t="str">
        <f>IFERROR(__xludf.DUMMYFUNCTION("""COMPUTED_VALUE"""),"Fundraising, PR, Membership, TNR, Overnight TNR, Feeding, Fostering, Shelter Maintenance")</f>
        <v>Fundraising, PR, Membership, TNR, Overnight TNR, Feeding, Fostering, Shelter Maintenance</v>
      </c>
      <c r="P38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87" s="99"/>
    </row>
    <row r="388" ht="13.5" customHeight="1">
      <c r="A388" s="88">
        <f>IFERROR(__xludf.DUMMYFUNCTION("""COMPUTED_VALUE"""),45539.44467701389)</f>
        <v>45539.44468</v>
      </c>
      <c r="B388" s="89" t="b">
        <v>1</v>
      </c>
      <c r="C388" s="90" t="str">
        <f t="shared" si="2"/>
        <v>Fall 2024</v>
      </c>
      <c r="D388" s="91" t="str">
        <f>IFERROR(__xludf.DUMMYFUNCTION("""COMPUTED_VALUE"""),"agc0548@mavs.uta.edu")</f>
        <v>agc0548@mavs.uta.edu</v>
      </c>
      <c r="E388" s="92" t="str">
        <f>IFERROR(__xludf.DUMMYFUNCTION("""COMPUTED_VALUE"""),"Angel Campos")</f>
        <v>Angel Campos</v>
      </c>
      <c r="F388" s="93" t="str">
        <f>IFERROR(__xludf.DUMMYFUNCTION("""COMPUTED_VALUE"""),"Npo")</f>
        <v>Npo</v>
      </c>
      <c r="G388" s="92"/>
      <c r="H388" s="94" t="str">
        <f>IFERROR(__xludf.DUMMYFUNCTION("""COMPUTED_VALUE"""),"(214) 717-9995")</f>
        <v>(214) 717-9995</v>
      </c>
      <c r="I388" s="94" t="str">
        <f>IFERROR(__xludf.DUMMYFUNCTION("""COMPUTED_VALUE"""),"Student")</f>
        <v>Student</v>
      </c>
      <c r="J388" s="93" t="str">
        <f>IFERROR(__xludf.DUMMYFUNCTION("""COMPUTED_VALUE"""),"$15 Donation, Discord Verification")</f>
        <v>$15 Donation, Discord Verification</v>
      </c>
      <c r="K388" s="100" t="b">
        <v>0</v>
      </c>
      <c r="L388" s="101" t="str">
        <f>IFERROR(__xludf.DUMMYFUNCTION("""COMPUTED_VALUE"""),"Paypal")</f>
        <v>Paypal</v>
      </c>
      <c r="M388" s="95">
        <v>0.0</v>
      </c>
      <c r="N388" s="97" t="b">
        <v>1</v>
      </c>
      <c r="O388" s="93" t="str">
        <f>IFERROR(__xludf.DUMMYFUNCTION("""COMPUTED_VALUE"""),"Feeding")</f>
        <v>Feeding</v>
      </c>
      <c r="P38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88" s="99"/>
    </row>
    <row r="389" ht="13.5" customHeight="1">
      <c r="A389" s="88">
        <f>IFERROR(__xludf.DUMMYFUNCTION("""COMPUTED_VALUE"""),45540.410010625)</f>
        <v>45540.41001</v>
      </c>
      <c r="B389" s="89" t="b">
        <v>1</v>
      </c>
      <c r="C389" s="90" t="str">
        <f t="shared" si="2"/>
        <v>Fall 2024</v>
      </c>
      <c r="D389" s="91" t="str">
        <f>IFERROR(__xludf.DUMMYFUNCTION("""COMPUTED_VALUE"""),"cmm4522@mavs.uta.edu")</f>
        <v>cmm4522@mavs.uta.edu</v>
      </c>
      <c r="E389" s="92" t="str">
        <f>IFERROR(__xludf.DUMMYFUNCTION("""COMPUTED_VALUE"""),"Cecelia Murphy")</f>
        <v>Cecelia Murphy</v>
      </c>
      <c r="F389" s="93" t="str">
        <f>IFERROR(__xludf.DUMMYFUNCTION("""COMPUTED_VALUE"""),"cecemurphy14")</f>
        <v>cecemurphy14</v>
      </c>
      <c r="G389" s="92"/>
      <c r="H389" s="94" t="str">
        <f>IFERROR(__xludf.DUMMYFUNCTION("""COMPUTED_VALUE"""),"(214) 551-7505")</f>
        <v>(214) 551-7505</v>
      </c>
      <c r="I389" s="94" t="str">
        <f>IFERROR(__xludf.DUMMYFUNCTION("""COMPUTED_VALUE"""),"Student")</f>
        <v>Student</v>
      </c>
      <c r="J389" s="93" t="str">
        <f>IFERROR(__xludf.DUMMYFUNCTION("""COMPUTED_VALUE"""),"$15 Donation, Discord Verification")</f>
        <v>$15 Donation, Discord Verification</v>
      </c>
      <c r="K389" s="100" t="b">
        <v>0</v>
      </c>
      <c r="L389" s="101" t="str">
        <f>IFERROR(__xludf.DUMMYFUNCTION("""COMPUTED_VALUE"""),"Venmo")</f>
        <v>Venmo</v>
      </c>
      <c r="M389" s="95">
        <v>0.0</v>
      </c>
      <c r="N389" s="97" t="b">
        <v>1</v>
      </c>
      <c r="O389" s="93" t="str">
        <f>IFERROR(__xludf.DUMMYFUNCTION("""COMPUTED_VALUE"""),"Fundraising, TNR, Feeding")</f>
        <v>Fundraising, TNR, Feeding</v>
      </c>
      <c r="P38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89" s="99"/>
    </row>
    <row r="390" ht="13.5" customHeight="1">
      <c r="A390" s="88">
        <f>IFERROR(__xludf.DUMMYFUNCTION("""COMPUTED_VALUE"""),45540.694043703705)</f>
        <v>45540.69404</v>
      </c>
      <c r="B390" s="89" t="b">
        <v>1</v>
      </c>
      <c r="C390" s="90" t="str">
        <f t="shared" si="2"/>
        <v>Fall 2024</v>
      </c>
      <c r="D390" s="91" t="str">
        <f>IFERROR(__xludf.DUMMYFUNCTION("""COMPUTED_VALUE"""),"arg1945@mavs.uta.edu")</f>
        <v>arg1945@mavs.uta.edu</v>
      </c>
      <c r="E390" s="92" t="str">
        <f>IFERROR(__xludf.DUMMYFUNCTION("""COMPUTED_VALUE"""),"Anabelle Garcia")</f>
        <v>Anabelle Garcia</v>
      </c>
      <c r="F390" s="93" t="str">
        <f>IFERROR(__xludf.DUMMYFUNCTION("""COMPUTED_VALUE"""),"blank_name0 ")</f>
        <v>blank_name0 </v>
      </c>
      <c r="G390" s="92"/>
      <c r="H390" s="94" t="str">
        <f>IFERROR(__xludf.DUMMYFUNCTION("""COMPUTED_VALUE"""),"(682) 597-8603")</f>
        <v>(682) 597-8603</v>
      </c>
      <c r="I390" s="94" t="str">
        <f>IFERROR(__xludf.DUMMYFUNCTION("""COMPUTED_VALUE"""),"Student")</f>
        <v>Student</v>
      </c>
      <c r="J390" s="93" t="str">
        <f>IFERROR(__xludf.DUMMYFUNCTION("""COMPUTED_VALUE"""),"$15 Donation, Discord Verification")</f>
        <v>$15 Donation, Discord Verification</v>
      </c>
      <c r="K390" s="100" t="b">
        <v>0</v>
      </c>
      <c r="L390" s="101" t="str">
        <f>IFERROR(__xludf.DUMMYFUNCTION("""COMPUTED_VALUE"""),"Cash")</f>
        <v>Cash</v>
      </c>
      <c r="M390" s="95">
        <v>0.0</v>
      </c>
      <c r="N390" s="97" t="b">
        <v>1</v>
      </c>
      <c r="O390" s="93" t="str">
        <f>IFERROR(__xludf.DUMMYFUNCTION("""COMPUTED_VALUE"""),"TNR, Feeding")</f>
        <v>TNR, Feeding</v>
      </c>
      <c r="P39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90" s="99"/>
    </row>
    <row r="391" ht="11.25" customHeight="1">
      <c r="A391" s="88">
        <f>IFERROR(__xludf.DUMMYFUNCTION("""COMPUTED_VALUE"""),45540.81944361111)</f>
        <v>45540.81944</v>
      </c>
      <c r="B391" s="89" t="b">
        <v>1</v>
      </c>
      <c r="C391" s="90" t="str">
        <f t="shared" si="2"/>
        <v>Fall 2024</v>
      </c>
      <c r="D391" s="91" t="str">
        <f>IFERROR(__xludf.DUMMYFUNCTION("""COMPUTED_VALUE"""),"axj5577@mavs.uta.edu")</f>
        <v>axj5577@mavs.uta.edu</v>
      </c>
      <c r="E391" s="92" t="str">
        <f>IFERROR(__xludf.DUMMYFUNCTION("""COMPUTED_VALUE"""),"Akshita Joshi")</f>
        <v>Akshita Joshi</v>
      </c>
      <c r="F391" s="93" t="str">
        <f>IFERROR(__xludf.DUMMYFUNCTION("""COMPUTED_VALUE"""),"aksh1705")</f>
        <v>aksh1705</v>
      </c>
      <c r="G391" s="92"/>
      <c r="H391" s="94" t="str">
        <f>IFERROR(__xludf.DUMMYFUNCTION("""COMPUTED_VALUE"""),"(732) 273-5454")</f>
        <v>(732) 273-5454</v>
      </c>
      <c r="I391" s="94" t="str">
        <f>IFERROR(__xludf.DUMMYFUNCTION("""COMPUTED_VALUE"""),"Student")</f>
        <v>Student</v>
      </c>
      <c r="J391" s="93" t="str">
        <f>IFERROR(__xludf.DUMMYFUNCTION("""COMPUTED_VALUE"""),"$15 Donation, Discord Verification")</f>
        <v>$15 Donation, Discord Verification</v>
      </c>
      <c r="K391" s="100" t="b">
        <v>0</v>
      </c>
      <c r="L391" s="101" t="str">
        <f>IFERROR(__xludf.DUMMYFUNCTION("""COMPUTED_VALUE"""),"Paypal")</f>
        <v>Paypal</v>
      </c>
      <c r="M391" s="95">
        <v>0.0</v>
      </c>
      <c r="N391" s="97" t="b">
        <v>1</v>
      </c>
      <c r="O391" s="93" t="str">
        <f>IFERROR(__xludf.DUMMYFUNCTION("""COMPUTED_VALUE"""),"Fundraising, PR, Membership")</f>
        <v>Fundraising, PR, Membership</v>
      </c>
      <c r="P39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91" s="99"/>
    </row>
    <row r="392" ht="12.0" customHeight="1">
      <c r="A392" s="88">
        <f>IFERROR(__xludf.DUMMYFUNCTION("""COMPUTED_VALUE"""),45541.42056554398)</f>
        <v>45541.42057</v>
      </c>
      <c r="B392" s="89" t="b">
        <v>1</v>
      </c>
      <c r="C392" s="90" t="str">
        <f t="shared" si="2"/>
        <v>Fall 2024</v>
      </c>
      <c r="D392" s="91" t="str">
        <f>IFERROR(__xludf.DUMMYFUNCTION("""COMPUTED_VALUE"""),"johnjoseph.sanchez@mavs.uta.edu")</f>
        <v>johnjoseph.sanchez@mavs.uta.edu</v>
      </c>
      <c r="E392" s="92" t="str">
        <f>IFERROR(__xludf.DUMMYFUNCTION("""COMPUTED_VALUE"""),"John Joseph Sanchez")</f>
        <v>John Joseph Sanchez</v>
      </c>
      <c r="F392" s="93" t="str">
        <f>IFERROR(__xludf.DUMMYFUNCTION("""COMPUTED_VALUE"""),"JJ")</f>
        <v>JJ</v>
      </c>
      <c r="G392" s="92"/>
      <c r="H392" s="94" t="str">
        <f>IFERROR(__xludf.DUMMYFUNCTION("""COMPUTED_VALUE"""),"(972) 345-8258")</f>
        <v>(972) 345-8258</v>
      </c>
      <c r="I392" s="94" t="str">
        <f>IFERROR(__xludf.DUMMYFUNCTION("""COMPUTED_VALUE"""),"Student")</f>
        <v>Student</v>
      </c>
      <c r="J392" s="93" t="str">
        <f>IFERROR(__xludf.DUMMYFUNCTION("""COMPUTED_VALUE"""),"$15 Donation, Discord Verification")</f>
        <v>$15 Donation, Discord Verification</v>
      </c>
      <c r="K392" s="100" t="b">
        <v>0</v>
      </c>
      <c r="L392" s="101" t="str">
        <f>IFERROR(__xludf.DUMMYFUNCTION("""COMPUTED_VALUE"""),"Cashapp")</f>
        <v>Cashapp</v>
      </c>
      <c r="M392" s="95">
        <v>0.0</v>
      </c>
      <c r="N392" s="97" t="b">
        <v>1</v>
      </c>
      <c r="O392" s="93" t="str">
        <f>IFERROR(__xludf.DUMMYFUNCTION("""COMPUTED_VALUE"""),"TNR, Overnight TNR, Feeding, Fostering, Shelter Maintenance")</f>
        <v>TNR, Overnight TNR, Feeding, Fostering, Shelter Maintenance</v>
      </c>
      <c r="P39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92" s="99"/>
    </row>
    <row r="393" ht="13.5" customHeight="1">
      <c r="A393" s="88">
        <f>IFERROR(__xludf.DUMMYFUNCTION("""COMPUTED_VALUE"""),45541.48286467593)</f>
        <v>45541.48286</v>
      </c>
      <c r="B393" s="89" t="b">
        <v>1</v>
      </c>
      <c r="C393" s="90" t="str">
        <f t="shared" si="2"/>
        <v>Fall 2024</v>
      </c>
      <c r="D393" s="91" t="str">
        <f>IFERROR(__xludf.DUMMYFUNCTION("""COMPUTED_VALUE"""),"ryan.johnson2@uta.edu")</f>
        <v>ryan.johnson2@uta.edu</v>
      </c>
      <c r="E393" s="92" t="str">
        <f>IFERROR(__xludf.DUMMYFUNCTION("""COMPUTED_VALUE"""),"Ryan Johnson")</f>
        <v>Ryan Johnson</v>
      </c>
      <c r="F393" s="93" t="str">
        <f>IFERROR(__xludf.DUMMYFUNCTION("""COMPUTED_VALUE"""),"gupguppy")</f>
        <v>gupguppy</v>
      </c>
      <c r="G393" s="92"/>
      <c r="H393" s="94" t="str">
        <f>IFERROR(__xludf.DUMMYFUNCTION("""COMPUTED_VALUE"""),"(409) 233-7926")</f>
        <v>(409) 233-7926</v>
      </c>
      <c r="I393" s="94" t="str">
        <f>IFERROR(__xludf.DUMMYFUNCTION("""COMPUTED_VALUE"""),"UTA Faculty")</f>
        <v>UTA Faculty</v>
      </c>
      <c r="J393" s="93" t="str">
        <f>IFERROR(__xludf.DUMMYFUNCTION("""COMPUTED_VALUE"""),"$15 Donation, Discord Verification")</f>
        <v>$15 Donation, Discord Verification</v>
      </c>
      <c r="K393" s="100" t="b">
        <v>0</v>
      </c>
      <c r="L393" s="101" t="str">
        <f>IFERROR(__xludf.DUMMYFUNCTION("""COMPUTED_VALUE"""),"Cashapp")</f>
        <v>Cashapp</v>
      </c>
      <c r="M393" s="95">
        <v>0.0</v>
      </c>
      <c r="N393" s="97" t="b">
        <v>1</v>
      </c>
      <c r="O393" s="93" t="str">
        <f>IFERROR(__xludf.DUMMYFUNCTION("""COMPUTED_VALUE"""),"TNR, Overnight TNR, Feeding, Fostering, Shelter Maintenance")</f>
        <v>TNR, Overnight TNR, Feeding, Fostering, Shelter Maintenance</v>
      </c>
      <c r="P39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93" s="99"/>
    </row>
    <row r="394" ht="13.5" customHeight="1">
      <c r="A394" s="88">
        <f>IFERROR(__xludf.DUMMYFUNCTION("""COMPUTED_VALUE"""),45541.57676439815)</f>
        <v>45541.57676</v>
      </c>
      <c r="B394" s="89" t="b">
        <v>1</v>
      </c>
      <c r="C394" s="90" t="str">
        <f t="shared" si="2"/>
        <v>Fall 2024</v>
      </c>
      <c r="D394" s="91" t="str">
        <f>IFERROR(__xludf.DUMMYFUNCTION("""COMPUTED_VALUE"""),"aileen.sengupta@mavs.uta.edu")</f>
        <v>aileen.sengupta@mavs.uta.edu</v>
      </c>
      <c r="E394" s="92" t="str">
        <f>IFERROR(__xludf.DUMMYFUNCTION("""COMPUTED_VALUE"""),"Aileen Sengupta")</f>
        <v>Aileen Sengupta</v>
      </c>
      <c r="F394" s="93" t="str">
        <f>IFERROR(__xludf.DUMMYFUNCTION("""COMPUTED_VALUE"""),"aileen_justaregularcat")</f>
        <v>aileen_justaregularcat</v>
      </c>
      <c r="G394" s="92"/>
      <c r="H394" s="94" t="str">
        <f>IFERROR(__xludf.DUMMYFUNCTION("""COMPUTED_VALUE"""),"(682) 559-7115")</f>
        <v>(682) 559-7115</v>
      </c>
      <c r="I394" s="94" t="str">
        <f>IFERROR(__xludf.DUMMYFUNCTION("""COMPUTED_VALUE"""),"Student")</f>
        <v>Student</v>
      </c>
      <c r="J394" s="93" t="str">
        <f>IFERROR(__xludf.DUMMYFUNCTION("""COMPUTED_VALUE"""),"$15 Donation, Discord Verification")</f>
        <v>$15 Donation, Discord Verification</v>
      </c>
      <c r="K394" s="100" t="b">
        <v>0</v>
      </c>
      <c r="L394" s="101" t="str">
        <f>IFERROR(__xludf.DUMMYFUNCTION("""COMPUTED_VALUE"""),"Cash")</f>
        <v>Cash</v>
      </c>
      <c r="M394" s="95">
        <v>60.0</v>
      </c>
      <c r="N394" s="97" t="b">
        <v>1</v>
      </c>
      <c r="O394" s="93" t="str">
        <f>IFERROR(__xludf.DUMMYFUNCTION("""COMPUTED_VALUE"""),"Feeding")</f>
        <v>Feeding</v>
      </c>
      <c r="P39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94" s="102" t="s">
        <v>77</v>
      </c>
    </row>
    <row r="395" ht="13.5" customHeight="1">
      <c r="A395" s="149">
        <f>IFERROR(__xludf.DUMMYFUNCTION("""COMPUTED_VALUE"""),45542.67865665509)</f>
        <v>45542.67866</v>
      </c>
      <c r="B395" s="150" t="b">
        <v>1</v>
      </c>
      <c r="C395" s="149" t="str">
        <f t="shared" si="2"/>
        <v>Fall 2024</v>
      </c>
      <c r="D395" s="151" t="str">
        <f>IFERROR(__xludf.DUMMYFUNCTION("""COMPUTED_VALUE"""),"jds9559@mavs.uta.edu")</f>
        <v>jds9559@mavs.uta.edu</v>
      </c>
      <c r="E395" s="152" t="str">
        <f>IFERROR(__xludf.DUMMYFUNCTION("""COMPUTED_VALUE"""),"Jaeden Sizelove ")</f>
        <v>Jaeden Sizelove </v>
      </c>
      <c r="F395" s="153" t="str">
        <f>IFERROR(__xludf.DUMMYFUNCTION("""COMPUTED_VALUE"""),"Catasourus ")</f>
        <v>Catasourus </v>
      </c>
      <c r="G395" s="152"/>
      <c r="H395" s="154" t="str">
        <f>IFERROR(__xludf.DUMMYFUNCTION("""COMPUTED_VALUE"""),"(830) 822-6648")</f>
        <v>(830) 822-6648</v>
      </c>
      <c r="I395" s="154" t="str">
        <f>IFERROR(__xludf.DUMMYFUNCTION("""COMPUTED_VALUE"""),"Student")</f>
        <v>Student</v>
      </c>
      <c r="J395" s="153" t="str">
        <f>IFERROR(__xludf.DUMMYFUNCTION("""COMPUTED_VALUE"""),"Food/Litter Donation")</f>
        <v>Food/Litter Donation</v>
      </c>
      <c r="K395" s="155" t="b">
        <v>0</v>
      </c>
      <c r="L395" s="156"/>
      <c r="M395" s="155"/>
      <c r="N395" s="171" t="b">
        <v>0</v>
      </c>
      <c r="O395" s="153" t="str">
        <f>IFERROR(__xludf.DUMMYFUNCTION("""COMPUTED_VALUE"""),"Feeding, Fostering, Shelter Maintenance")</f>
        <v>Feeding, Fostering, Shelter Maintenance</v>
      </c>
      <c r="P395" s="157"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95" s="158" t="s">
        <v>71</v>
      </c>
    </row>
    <row r="396" ht="13.5" customHeight="1">
      <c r="A396" s="88">
        <f>IFERROR(__xludf.DUMMYFUNCTION("""COMPUTED_VALUE"""),45542.727343356484)</f>
        <v>45542.72734</v>
      </c>
      <c r="B396" s="89" t="b">
        <v>1</v>
      </c>
      <c r="C396" s="90" t="str">
        <f t="shared" si="2"/>
        <v>Fall 2024</v>
      </c>
      <c r="D396" s="91" t="str">
        <f>IFERROR(__xludf.DUMMYFUNCTION("""COMPUTED_VALUE"""),"jds9559@mavs.uta.edu")</f>
        <v>jds9559@mavs.uta.edu</v>
      </c>
      <c r="E396" s="92" t="str">
        <f>IFERROR(__xludf.DUMMYFUNCTION("""COMPUTED_VALUE"""),"Jaeden Sizelove ")</f>
        <v>Jaeden Sizelove </v>
      </c>
      <c r="F396" s="93" t="str">
        <f>IFERROR(__xludf.DUMMYFUNCTION("""COMPUTED_VALUE"""),"Catasourus")</f>
        <v>Catasourus</v>
      </c>
      <c r="G396" s="92"/>
      <c r="H396" s="94" t="str">
        <f>IFERROR(__xludf.DUMMYFUNCTION("""COMPUTED_VALUE"""),"(830) 822-6648")</f>
        <v>(830) 822-6648</v>
      </c>
      <c r="I396" s="94" t="str">
        <f>IFERROR(__xludf.DUMMYFUNCTION("""COMPUTED_VALUE"""),"Student")</f>
        <v>Student</v>
      </c>
      <c r="J396" s="93" t="str">
        <f>IFERROR(__xludf.DUMMYFUNCTION("""COMPUTED_VALUE"""),"Food/Litter Donation")</f>
        <v>Food/Litter Donation</v>
      </c>
      <c r="K396" s="100" t="b">
        <v>0</v>
      </c>
      <c r="L396" s="101"/>
      <c r="M396" s="100"/>
      <c r="N396" s="97" t="b">
        <v>1</v>
      </c>
      <c r="O396" s="93" t="str">
        <f>IFERROR(__xludf.DUMMYFUNCTION("""COMPUTED_VALUE"""),"Feeding, Fostering, Shelter Maintenance")</f>
        <v>Feeding, Fostering, Shelter Maintenance</v>
      </c>
      <c r="P39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96" s="99"/>
    </row>
    <row r="397" ht="13.5" customHeight="1">
      <c r="A397" s="88">
        <f>IFERROR(__xludf.DUMMYFUNCTION("""COMPUTED_VALUE"""),45542.73225722222)</f>
        <v>45542.73226</v>
      </c>
      <c r="B397" s="89" t="b">
        <v>1</v>
      </c>
      <c r="C397" s="90" t="str">
        <f t="shared" si="2"/>
        <v>Fall 2024</v>
      </c>
      <c r="D397" s="91" t="str">
        <f>IFERROR(__xludf.DUMMYFUNCTION("""COMPUTED_VALUE"""),"bmb6678@mavs.uta.edu")</f>
        <v>bmb6678@mavs.uta.edu</v>
      </c>
      <c r="E397" s="92" t="str">
        <f>IFERROR(__xludf.DUMMYFUNCTION("""COMPUTED_VALUE"""),"Brett Boggs")</f>
        <v>Brett Boggs</v>
      </c>
      <c r="F397" s="93" t="str">
        <f>IFERROR(__xludf.DUMMYFUNCTION("""COMPUTED_VALUE"""),"breadbooks ")</f>
        <v>breadbooks </v>
      </c>
      <c r="G397" s="92"/>
      <c r="H397" s="94" t="str">
        <f>IFERROR(__xludf.DUMMYFUNCTION("""COMPUTED_VALUE"""),"")</f>
        <v/>
      </c>
      <c r="I397" s="94" t="str">
        <f>IFERROR(__xludf.DUMMYFUNCTION("""COMPUTED_VALUE"""),"Student")</f>
        <v>Student</v>
      </c>
      <c r="J397" s="93" t="str">
        <f>IFERROR(__xludf.DUMMYFUNCTION("""COMPUTED_VALUE"""),"$15 Donation, Discord Verification")</f>
        <v>$15 Donation, Discord Verification</v>
      </c>
      <c r="K397" s="100" t="b">
        <v>0</v>
      </c>
      <c r="L397" s="101" t="str">
        <f>IFERROR(__xludf.DUMMYFUNCTION("""COMPUTED_VALUE"""),"Venmo")</f>
        <v>Venmo</v>
      </c>
      <c r="M397" s="95">
        <v>0.0</v>
      </c>
      <c r="N397" s="97" t="b">
        <v>1</v>
      </c>
      <c r="O397" s="93" t="str">
        <f>IFERROR(__xludf.DUMMYFUNCTION("""COMPUTED_VALUE"""),"Feeding")</f>
        <v>Feeding</v>
      </c>
      <c r="P39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97" s="99"/>
    </row>
    <row r="398" ht="13.5" customHeight="1">
      <c r="A398" s="88">
        <f>IFERROR(__xludf.DUMMYFUNCTION("""COMPUTED_VALUE"""),45543.74042559028)</f>
        <v>45543.74043</v>
      </c>
      <c r="B398" s="89" t="b">
        <v>1</v>
      </c>
      <c r="C398" s="90" t="str">
        <f t="shared" si="2"/>
        <v>Fall 2024</v>
      </c>
      <c r="D398" s="91" t="str">
        <f>IFERROR(__xludf.DUMMYFUNCTION("""COMPUTED_VALUE"""),"judeiwright@gmail.com")</f>
        <v>judeiwright@gmail.com</v>
      </c>
      <c r="E398" s="92" t="str">
        <f>IFERROR(__xludf.DUMMYFUNCTION("""COMPUTED_VALUE"""),"Jude Wright")</f>
        <v>Jude Wright</v>
      </c>
      <c r="F398" s="93" t="str">
        <f>IFERROR(__xludf.DUMMYFUNCTION("""COMPUTED_VALUE"""),"jude32648")</f>
        <v>jude32648</v>
      </c>
      <c r="G398" s="92"/>
      <c r="H398" s="94" t="str">
        <f>IFERROR(__xludf.DUMMYFUNCTION("""COMPUTED_VALUE"""),"(817) 718-1341")</f>
        <v>(817) 718-1341</v>
      </c>
      <c r="I398" s="94" t="str">
        <f>IFERROR(__xludf.DUMMYFUNCTION("""COMPUTED_VALUE"""),"Student")</f>
        <v>Student</v>
      </c>
      <c r="J398" s="93" t="str">
        <f>IFERROR(__xludf.DUMMYFUNCTION("""COMPUTED_VALUE"""),"$15 Donation, Discord Verification")</f>
        <v>$15 Donation, Discord Verification</v>
      </c>
      <c r="K398" s="100" t="b">
        <v>0</v>
      </c>
      <c r="L398" s="101" t="str">
        <f>IFERROR(__xludf.DUMMYFUNCTION("""COMPUTED_VALUE"""),"Venmo")</f>
        <v>Venmo</v>
      </c>
      <c r="M398" s="95">
        <v>0.0</v>
      </c>
      <c r="N398" s="97" t="b">
        <v>1</v>
      </c>
      <c r="O398" s="93" t="str">
        <f>IFERROR(__xludf.DUMMYFUNCTION("""COMPUTED_VALUE"""),"PR, Membership, Feeding")</f>
        <v>PR, Membership, Feeding</v>
      </c>
      <c r="P39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98" s="99"/>
    </row>
    <row r="399" ht="13.5" customHeight="1">
      <c r="A399" s="88">
        <f>IFERROR(__xludf.DUMMYFUNCTION("""COMPUTED_VALUE"""),45543.867121400464)</f>
        <v>45543.86712</v>
      </c>
      <c r="B399" s="89" t="b">
        <v>1</v>
      </c>
      <c r="C399" s="90" t="str">
        <f t="shared" si="2"/>
        <v>Fall 2024</v>
      </c>
      <c r="D399" s="91" t="str">
        <f>IFERROR(__xludf.DUMMYFUNCTION("""COMPUTED_VALUE"""),"axeltorres810@gmail.com")</f>
        <v>axeltorres810@gmail.com</v>
      </c>
      <c r="E399" s="92" t="str">
        <f>IFERROR(__xludf.DUMMYFUNCTION("""COMPUTED_VALUE"""),"Axel Torres")</f>
        <v>Axel Torres</v>
      </c>
      <c r="F399" s="93" t="str">
        <f>IFERROR(__xludf.DUMMYFUNCTION("""COMPUTED_VALUE"""),"Ludavis")</f>
        <v>Ludavis</v>
      </c>
      <c r="G399" s="92"/>
      <c r="H399" s="94" t="str">
        <f>IFERROR(__xludf.DUMMYFUNCTION("""COMPUTED_VALUE"""),"(817) 437-1285")</f>
        <v>(817) 437-1285</v>
      </c>
      <c r="I399" s="94" t="str">
        <f>IFERROR(__xludf.DUMMYFUNCTION("""COMPUTED_VALUE"""),"Community Member")</f>
        <v>Community Member</v>
      </c>
      <c r="J399" s="93" t="str">
        <f>IFERROR(__xludf.DUMMYFUNCTION("""COMPUTED_VALUE"""),"$15 Donation, Discord Verification")</f>
        <v>$15 Donation, Discord Verification</v>
      </c>
      <c r="K399" s="100" t="b">
        <v>0</v>
      </c>
      <c r="L399" s="101" t="str">
        <f>IFERROR(__xludf.DUMMYFUNCTION("""COMPUTED_VALUE"""),"Paypal")</f>
        <v>Paypal</v>
      </c>
      <c r="M399" s="95">
        <v>35.0</v>
      </c>
      <c r="N399" s="97" t="b">
        <v>1</v>
      </c>
      <c r="O399" s="93" t="str">
        <f>IFERROR(__xludf.DUMMYFUNCTION("""COMPUTED_VALUE"""),"Overnight TNR, Feeding, Shelter Maintenance")</f>
        <v>Overnight TNR, Feeding, Shelter Maintenance</v>
      </c>
      <c r="P39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399" s="99"/>
    </row>
    <row r="400" ht="13.5" customHeight="1">
      <c r="A400" s="88">
        <f>IFERROR(__xludf.DUMMYFUNCTION("""COMPUTED_VALUE"""),45544.65726947917)</f>
        <v>45544.65727</v>
      </c>
      <c r="B400" s="89" t="b">
        <v>1</v>
      </c>
      <c r="C400" s="90" t="str">
        <f t="shared" si="2"/>
        <v>Fall 2024</v>
      </c>
      <c r="D400" s="91" t="str">
        <f>IFERROR(__xludf.DUMMYFUNCTION("""COMPUTED_VALUE"""),"txb4206@mavs.uta.edu")</f>
        <v>txb4206@mavs.uta.edu</v>
      </c>
      <c r="E400" s="92" t="str">
        <f>IFERROR(__xludf.DUMMYFUNCTION("""COMPUTED_VALUE"""),"Tiara Bhatia")</f>
        <v>Tiara Bhatia</v>
      </c>
      <c r="F400" s="93" t="str">
        <f>IFERROR(__xludf.DUMMYFUNCTION("""COMPUTED_VALUE"""),"queentiara")</f>
        <v>queentiara</v>
      </c>
      <c r="G400" s="92"/>
      <c r="H400" s="94" t="str">
        <f>IFERROR(__xludf.DUMMYFUNCTION("""COMPUTED_VALUE"""),"(512) 663-6075")</f>
        <v>(512) 663-6075</v>
      </c>
      <c r="I400" s="94" t="str">
        <f>IFERROR(__xludf.DUMMYFUNCTION("""COMPUTED_VALUE"""),"Student")</f>
        <v>Student</v>
      </c>
      <c r="J400" s="93" t="str">
        <f>IFERROR(__xludf.DUMMYFUNCTION("""COMPUTED_VALUE"""),"$15 Donation, Discord Verification")</f>
        <v>$15 Donation, Discord Verification</v>
      </c>
      <c r="K400" s="100" t="b">
        <v>0</v>
      </c>
      <c r="L400" s="101" t="str">
        <f>IFERROR(__xludf.DUMMYFUNCTION("""COMPUTED_VALUE"""),"Cash")</f>
        <v>Cash</v>
      </c>
      <c r="M400" s="95">
        <v>0.0</v>
      </c>
      <c r="N400" s="97" t="b">
        <v>1</v>
      </c>
      <c r="O400" s="93" t="str">
        <f>IFERROR(__xludf.DUMMYFUNCTION("""COMPUTED_VALUE"""),"Fundraising, TNR, Feeding, Shelter Maintenance")</f>
        <v>Fundraising, TNR, Feeding, Shelter Maintenance</v>
      </c>
      <c r="P40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00" s="99"/>
    </row>
    <row r="401" ht="13.5" customHeight="1">
      <c r="A401" s="88">
        <f>IFERROR(__xludf.DUMMYFUNCTION("""COMPUTED_VALUE"""),45544.65807247685)</f>
        <v>45544.65807</v>
      </c>
      <c r="B401" s="89" t="b">
        <v>1</v>
      </c>
      <c r="C401" s="90" t="str">
        <f t="shared" si="2"/>
        <v>Fall 2024</v>
      </c>
      <c r="D401" s="91" t="str">
        <f>IFERROR(__xludf.DUMMYFUNCTION("""COMPUTED_VALUE"""),"bnt6465@mavs.uta.edu")</f>
        <v>bnt6465@mavs.uta.edu</v>
      </c>
      <c r="E401" s="92" t="str">
        <f>IFERROR(__xludf.DUMMYFUNCTION("""COMPUTED_VALUE"""),"Brittany Tran")</f>
        <v>Brittany Tran</v>
      </c>
      <c r="F401" s="93" t="str">
        <f>IFERROR(__xludf.DUMMYFUNCTION("""COMPUTED_VALUE"""),"Kit Kat")</f>
        <v>Kit Kat</v>
      </c>
      <c r="G401" s="92"/>
      <c r="H401" s="94" t="str">
        <f>IFERROR(__xludf.DUMMYFUNCTION("""COMPUTED_VALUE"""),"(214) 796-9307")</f>
        <v>(214) 796-9307</v>
      </c>
      <c r="I401" s="94" t="str">
        <f>IFERROR(__xludf.DUMMYFUNCTION("""COMPUTED_VALUE"""),"Student")</f>
        <v>Student</v>
      </c>
      <c r="J401" s="93" t="str">
        <f>IFERROR(__xludf.DUMMYFUNCTION("""COMPUTED_VALUE"""),"$15 Donation, Discord Verification")</f>
        <v>$15 Donation, Discord Verification</v>
      </c>
      <c r="K401" s="100" t="b">
        <v>0</v>
      </c>
      <c r="L401" s="101" t="str">
        <f>IFERROR(__xludf.DUMMYFUNCTION("""COMPUTED_VALUE"""),"Cash")</f>
        <v>Cash</v>
      </c>
      <c r="M401" s="95">
        <v>0.0</v>
      </c>
      <c r="N401" s="97" t="b">
        <v>1</v>
      </c>
      <c r="O401" s="93" t="str">
        <f>IFERROR(__xludf.DUMMYFUNCTION("""COMPUTED_VALUE"""),"Fundraising, PR, Overnight TNR, Feeding")</f>
        <v>Fundraising, PR, Overnight TNR, Feeding</v>
      </c>
      <c r="P40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01" s="99"/>
    </row>
    <row r="402" ht="13.5" customHeight="1">
      <c r="A402" s="88">
        <f>IFERROR(__xludf.DUMMYFUNCTION("""COMPUTED_VALUE"""),45544.65959127314)</f>
        <v>45544.65959</v>
      </c>
      <c r="B402" s="89" t="b">
        <v>1</v>
      </c>
      <c r="C402" s="90" t="str">
        <f t="shared" si="2"/>
        <v>Fall 2024</v>
      </c>
      <c r="D402" s="91" t="str">
        <f>IFERROR(__xludf.DUMMYFUNCTION("""COMPUTED_VALUE"""),"hxn4760@mavs.uta.edu")</f>
        <v>hxn4760@mavs.uta.edu</v>
      </c>
      <c r="E402" s="92" t="str">
        <f>IFERROR(__xludf.DUMMYFUNCTION("""COMPUTED_VALUE"""),"hieu nguyen")</f>
        <v>hieu nguyen</v>
      </c>
      <c r="F402" s="93" t="str">
        <f>IFERROR(__xludf.DUMMYFUNCTION("""COMPUTED_VALUE"""),"watermelonluvr194")</f>
        <v>watermelonluvr194</v>
      </c>
      <c r="G402" s="92"/>
      <c r="H402" s="94" t="str">
        <f>IFERROR(__xludf.DUMMYFUNCTION("""COMPUTED_VALUE"""),"(832) 349-0145")</f>
        <v>(832) 349-0145</v>
      </c>
      <c r="I402" s="94" t="str">
        <f>IFERROR(__xludf.DUMMYFUNCTION("""COMPUTED_VALUE"""),"Student")</f>
        <v>Student</v>
      </c>
      <c r="J402" s="93" t="str">
        <f>IFERROR(__xludf.DUMMYFUNCTION("""COMPUTED_VALUE"""),"$15 Donation, Discord Verification")</f>
        <v>$15 Donation, Discord Verification</v>
      </c>
      <c r="K402" s="100" t="b">
        <v>0</v>
      </c>
      <c r="L402" s="101" t="str">
        <f>IFERROR(__xludf.DUMMYFUNCTION("""COMPUTED_VALUE"""),"Cash")</f>
        <v>Cash</v>
      </c>
      <c r="M402" s="95">
        <v>0.0</v>
      </c>
      <c r="N402" s="97" t="b">
        <v>1</v>
      </c>
      <c r="O402" s="93" t="str">
        <f>IFERROR(__xludf.DUMMYFUNCTION("""COMPUTED_VALUE"""),"PR, Feeding")</f>
        <v>PR, Feeding</v>
      </c>
      <c r="P40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02" s="99"/>
    </row>
    <row r="403" ht="13.5" customHeight="1">
      <c r="A403" s="88">
        <f>IFERROR(__xludf.DUMMYFUNCTION("""COMPUTED_VALUE"""),45544.666086412035)</f>
        <v>45544.66609</v>
      </c>
      <c r="B403" s="89" t="b">
        <v>1</v>
      </c>
      <c r="C403" s="90" t="str">
        <f t="shared" si="2"/>
        <v>Fall 2024</v>
      </c>
      <c r="D403" s="91" t="str">
        <f>IFERROR(__xludf.DUMMYFUNCTION("""COMPUTED_VALUE"""),"elt6838@mavs.uta.edu")</f>
        <v>elt6838@mavs.uta.edu</v>
      </c>
      <c r="E403" s="92" t="str">
        <f>IFERROR(__xludf.DUMMYFUNCTION("""COMPUTED_VALUE"""),"Evelyn Trevino ")</f>
        <v>Evelyn Trevino </v>
      </c>
      <c r="F403" s="93" t="str">
        <f>IFERROR(__xludf.DUMMYFUNCTION("""COMPUTED_VALUE"""),"ethevereal")</f>
        <v>ethevereal</v>
      </c>
      <c r="G403" s="92"/>
      <c r="H403" s="94" t="str">
        <f>IFERROR(__xludf.DUMMYFUNCTION("""COMPUTED_VALUE"""),"(214) 579-8458")</f>
        <v>(214) 579-8458</v>
      </c>
      <c r="I403" s="94" t="str">
        <f>IFERROR(__xludf.DUMMYFUNCTION("""COMPUTED_VALUE"""),"Student")</f>
        <v>Student</v>
      </c>
      <c r="J403" s="93" t="str">
        <f>IFERROR(__xludf.DUMMYFUNCTION("""COMPUTED_VALUE"""),"$15 Donation, Discord Verification")</f>
        <v>$15 Donation, Discord Verification</v>
      </c>
      <c r="K403" s="100" t="b">
        <v>0</v>
      </c>
      <c r="L403" s="101" t="str">
        <f>IFERROR(__xludf.DUMMYFUNCTION("""COMPUTED_VALUE"""),"Cash")</f>
        <v>Cash</v>
      </c>
      <c r="M403" s="95">
        <v>0.0</v>
      </c>
      <c r="N403" s="97" t="b">
        <v>1</v>
      </c>
      <c r="O403" s="93" t="str">
        <f>IFERROR(__xludf.DUMMYFUNCTION("""COMPUTED_VALUE"""),"Feeding")</f>
        <v>Feeding</v>
      </c>
      <c r="P40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03" s="99"/>
    </row>
    <row r="404" ht="13.5" customHeight="1">
      <c r="A404" s="88">
        <f>IFERROR(__xludf.DUMMYFUNCTION("""COMPUTED_VALUE"""),45544.68720714121)</f>
        <v>45544.68721</v>
      </c>
      <c r="B404" s="89" t="b">
        <v>1</v>
      </c>
      <c r="C404" s="90" t="str">
        <f t="shared" si="2"/>
        <v>Fall 2024</v>
      </c>
      <c r="D404" s="91" t="str">
        <f>IFERROR(__xludf.DUMMYFUNCTION("""COMPUTED_VALUE"""),"rxr7693@mavs.uta.edu")</f>
        <v>rxr7693@mavs.uta.edu</v>
      </c>
      <c r="E404" s="92" t="str">
        <f>IFERROR(__xludf.DUMMYFUNCTION("""COMPUTED_VALUE"""),"Rowan Rutherford")</f>
        <v>Rowan Rutherford</v>
      </c>
      <c r="F404" s="93" t="str">
        <f>IFERROR(__xludf.DUMMYFUNCTION("""COMPUTED_VALUE"""),"littlelindentree")</f>
        <v>littlelindentree</v>
      </c>
      <c r="G404" s="92"/>
      <c r="H404" s="94" t="str">
        <f>IFERROR(__xludf.DUMMYFUNCTION("""COMPUTED_VALUE"""),"(214) 906-6674")</f>
        <v>(214) 906-6674</v>
      </c>
      <c r="I404" s="94" t="str">
        <f>IFERROR(__xludf.DUMMYFUNCTION("""COMPUTED_VALUE"""),"Student")</f>
        <v>Student</v>
      </c>
      <c r="J404" s="93" t="str">
        <f>IFERROR(__xludf.DUMMYFUNCTION("""COMPUTED_VALUE"""),"$15 Donation, Discord Verification")</f>
        <v>$15 Donation, Discord Verification</v>
      </c>
      <c r="K404" s="100" t="b">
        <v>0</v>
      </c>
      <c r="L404" s="101" t="str">
        <f>IFERROR(__xludf.DUMMYFUNCTION("""COMPUTED_VALUE"""),"Cash")</f>
        <v>Cash</v>
      </c>
      <c r="M404" s="95">
        <v>0.0</v>
      </c>
      <c r="N404" s="97" t="b">
        <v>1</v>
      </c>
      <c r="O404" s="93" t="str">
        <f>IFERROR(__xludf.DUMMYFUNCTION("""COMPUTED_VALUE"""),"PR, Membership, Feeding, Shelter Maintenance")</f>
        <v>PR, Membership, Feeding, Shelter Maintenance</v>
      </c>
      <c r="P40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04" s="99"/>
    </row>
    <row r="405" ht="13.5" customHeight="1">
      <c r="A405" s="88">
        <f>IFERROR(__xludf.DUMMYFUNCTION("""COMPUTED_VALUE"""),45544.88283387732)</f>
        <v>45544.88283</v>
      </c>
      <c r="B405" s="89" t="b">
        <v>1</v>
      </c>
      <c r="C405" s="90" t="str">
        <f t="shared" si="2"/>
        <v>Fall 2024</v>
      </c>
      <c r="D405" s="91" t="str">
        <f>IFERROR(__xludf.DUMMYFUNCTION("""COMPUTED_VALUE"""),"ixh4917@mavs.uta.edu")</f>
        <v>ixh4917@mavs.uta.edu</v>
      </c>
      <c r="E405" s="92" t="str">
        <f>IFERROR(__xludf.DUMMYFUNCTION("""COMPUTED_VALUE"""),"Isabella Hernandez")</f>
        <v>Isabella Hernandez</v>
      </c>
      <c r="F405" s="93" t="str">
        <f>IFERROR(__xludf.DUMMYFUNCTION("""COMPUTED_VALUE"""),"Izzy_H")</f>
        <v>Izzy_H</v>
      </c>
      <c r="G405" s="92"/>
      <c r="H405" s="94" t="str">
        <f>IFERROR(__xludf.DUMMYFUNCTION("""COMPUTED_VALUE"""),"(682) 419-4343")</f>
        <v>(682) 419-4343</v>
      </c>
      <c r="I405" s="94" t="str">
        <f>IFERROR(__xludf.DUMMYFUNCTION("""COMPUTED_VALUE"""),"Student")</f>
        <v>Student</v>
      </c>
      <c r="J405" s="93" t="str">
        <f>IFERROR(__xludf.DUMMYFUNCTION("""COMPUTED_VALUE"""),"$15 Donation, Discord Verification")</f>
        <v>$15 Donation, Discord Verification</v>
      </c>
      <c r="K405" s="100" t="b">
        <v>0</v>
      </c>
      <c r="L405" s="101" t="str">
        <f>IFERROR(__xludf.DUMMYFUNCTION("""COMPUTED_VALUE"""),"Cash")</f>
        <v>Cash</v>
      </c>
      <c r="M405" s="95">
        <v>0.0</v>
      </c>
      <c r="N405" s="97" t="b">
        <v>1</v>
      </c>
      <c r="O405" s="93" t="str">
        <f>IFERROR(__xludf.DUMMYFUNCTION("""COMPUTED_VALUE"""),"Feeding, Shelter Maintenance")</f>
        <v>Feeding, Shelter Maintenance</v>
      </c>
      <c r="P40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05" s="99"/>
    </row>
    <row r="406" ht="13.5" customHeight="1">
      <c r="A406" s="149">
        <f>IFERROR(__xludf.DUMMYFUNCTION("""COMPUTED_VALUE"""),45547.520332835644)</f>
        <v>45547.52033</v>
      </c>
      <c r="B406" s="149" t="b">
        <v>0</v>
      </c>
      <c r="C406" s="149" t="str">
        <f t="shared" si="2"/>
        <v>Fall 2024</v>
      </c>
      <c r="D406" s="151" t="str">
        <f>IFERROR(__xludf.DUMMYFUNCTION("""COMPUTED_VALUE"""),"p5.scastellanos@gmail.com")</f>
        <v>p5.scastellanos@gmail.com</v>
      </c>
      <c r="E406" s="152" t="str">
        <f>IFERROR(__xludf.DUMMYFUNCTION("""COMPUTED_VALUE"""),"Samantha Castellanos")</f>
        <v>Samantha Castellanos</v>
      </c>
      <c r="F406" s="153" t="str">
        <f>IFERROR(__xludf.DUMMYFUNCTION("""COMPUTED_VALUE"""),"Samantha19")</f>
        <v>Samantha19</v>
      </c>
      <c r="G406" s="152"/>
      <c r="H406" s="154" t="str">
        <f>IFERROR(__xludf.DUMMYFUNCTION("""COMPUTED_VALUE"""),"(760) 993-7501")</f>
        <v>(760) 993-7501</v>
      </c>
      <c r="I406" s="154" t="str">
        <f>IFERROR(__xludf.DUMMYFUNCTION("""COMPUTED_VALUE"""),"Student")</f>
        <v>Student</v>
      </c>
      <c r="J406" s="153" t="str">
        <f>IFERROR(__xludf.DUMMYFUNCTION("""COMPUTED_VALUE"""),"$15 Donation, Discord Verification")</f>
        <v>$15 Donation, Discord Verification</v>
      </c>
      <c r="K406" s="155" t="b">
        <v>0</v>
      </c>
      <c r="L406" s="156" t="str">
        <f>IFERROR(__xludf.DUMMYFUNCTION("""COMPUTED_VALUE"""),"Cashapp")</f>
        <v>Cashapp</v>
      </c>
      <c r="M406" s="155"/>
      <c r="N406" s="171" t="b">
        <v>0</v>
      </c>
      <c r="O406" s="153" t="str">
        <f>IFERROR(__xludf.DUMMYFUNCTION("""COMPUTED_VALUE"""),"Fundraising, PR, Membership, TNR, Overnight TNR, Feeding, Fostering, Shelter Maintenance")</f>
        <v>Fundraising, PR, Membership, TNR, Overnight TNR, Feeding, Fostering, Shelter Maintenance</v>
      </c>
      <c r="P406" s="157"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06" s="158" t="s">
        <v>71</v>
      </c>
    </row>
    <row r="407" ht="13.5" customHeight="1">
      <c r="A407" s="88">
        <f>IFERROR(__xludf.DUMMYFUNCTION("""COMPUTED_VALUE"""),45547.52462326389)</f>
        <v>45547.52462</v>
      </c>
      <c r="B407" s="89" t="b">
        <v>1</v>
      </c>
      <c r="C407" s="90" t="str">
        <f t="shared" si="2"/>
        <v>Fall 2024</v>
      </c>
      <c r="D407" s="91" t="str">
        <f>IFERROR(__xludf.DUMMYFUNCTION("""COMPUTED_VALUE"""),"amt5209@mavs.uta.edu")</f>
        <v>amt5209@mavs.uta.edu</v>
      </c>
      <c r="E407" s="92" t="str">
        <f>IFERROR(__xludf.DUMMYFUNCTION("""COMPUTED_VALUE"""),"Alice Tran")</f>
        <v>Alice Tran</v>
      </c>
      <c r="F407" s="93" t="str">
        <f>IFERROR(__xludf.DUMMYFUNCTION("""COMPUTED_VALUE"""),"darkbluedove")</f>
        <v>darkbluedove</v>
      </c>
      <c r="G407" s="92"/>
      <c r="H407" s="94" t="str">
        <f>IFERROR(__xludf.DUMMYFUNCTION("""COMPUTED_VALUE"""),"(702) 518-7530")</f>
        <v>(702) 518-7530</v>
      </c>
      <c r="I407" s="94" t="str">
        <f>IFERROR(__xludf.DUMMYFUNCTION("""COMPUTED_VALUE"""),"Student")</f>
        <v>Student</v>
      </c>
      <c r="J407" s="93" t="str">
        <f>IFERROR(__xludf.DUMMYFUNCTION("""COMPUTED_VALUE"""),"$15 Donation, Discord Verification")</f>
        <v>$15 Donation, Discord Verification</v>
      </c>
      <c r="K407" s="100" t="b">
        <v>0</v>
      </c>
      <c r="L407" s="101" t="str">
        <f>IFERROR(__xludf.DUMMYFUNCTION("""COMPUTED_VALUE"""),"Cashapp")</f>
        <v>Cashapp</v>
      </c>
      <c r="M407" s="95">
        <v>0.0</v>
      </c>
      <c r="N407" s="97" t="b">
        <v>1</v>
      </c>
      <c r="O407" s="93" t="str">
        <f>IFERROR(__xludf.DUMMYFUNCTION("""COMPUTED_VALUE"""),"TNR, Overnight TNR, Shelter Maintenance")</f>
        <v>TNR, Overnight TNR, Shelter Maintenance</v>
      </c>
      <c r="P40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07" s="99"/>
    </row>
    <row r="408" ht="13.5" customHeight="1">
      <c r="A408" s="88">
        <f>IFERROR(__xludf.DUMMYFUNCTION("""COMPUTED_VALUE"""),45547.5262362037)</f>
        <v>45547.52624</v>
      </c>
      <c r="B408" s="89" t="b">
        <v>1</v>
      </c>
      <c r="C408" s="90" t="str">
        <f t="shared" si="2"/>
        <v>Fall 2024</v>
      </c>
      <c r="D408" s="91" t="str">
        <f>IFERROR(__xludf.DUMMYFUNCTION("""COMPUTED_VALUE"""),"smc7514@mavs.uta.edu")</f>
        <v>smc7514@mavs.uta.edu</v>
      </c>
      <c r="E408" s="92" t="str">
        <f>IFERROR(__xludf.DUMMYFUNCTION("""COMPUTED_VALUE"""),"Samantha Castellanos")</f>
        <v>Samantha Castellanos</v>
      </c>
      <c r="F408" s="93" t="str">
        <f>IFERROR(__xludf.DUMMYFUNCTION("""COMPUTED_VALUE"""),"Samantha19")</f>
        <v>Samantha19</v>
      </c>
      <c r="G408" s="92"/>
      <c r="H408" s="94" t="str">
        <f>IFERROR(__xludf.DUMMYFUNCTION("""COMPUTED_VALUE"""),"(760) 993-7501")</f>
        <v>(760) 993-7501</v>
      </c>
      <c r="I408" s="94" t="str">
        <f>IFERROR(__xludf.DUMMYFUNCTION("""COMPUTED_VALUE"""),"Student")</f>
        <v>Student</v>
      </c>
      <c r="J408" s="93" t="str">
        <f>IFERROR(__xludf.DUMMYFUNCTION("""COMPUTED_VALUE"""),"$15 Donation, Discord Verification")</f>
        <v>$15 Donation, Discord Verification</v>
      </c>
      <c r="K408" s="100" t="b">
        <v>0</v>
      </c>
      <c r="L408" s="101" t="str">
        <f>IFERROR(__xludf.DUMMYFUNCTION("""COMPUTED_VALUE"""),"Cashapp")</f>
        <v>Cashapp</v>
      </c>
      <c r="M408" s="95">
        <v>0.0</v>
      </c>
      <c r="N408" s="97" t="b">
        <v>1</v>
      </c>
      <c r="O408" s="93" t="str">
        <f>IFERROR(__xludf.DUMMYFUNCTION("""COMPUTED_VALUE"""),"Fundraising, PR, Membership, TNR, Overnight TNR, Feeding, Fostering, Shelter Maintenance, ")</f>
        <v>Fundraising, PR, Membership, TNR, Overnight TNR, Feeding, Fostering, Shelter Maintenance, </v>
      </c>
      <c r="P40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08" s="99"/>
    </row>
    <row r="409" ht="13.5" customHeight="1">
      <c r="A409" s="88">
        <f>IFERROR(__xludf.DUMMYFUNCTION("""COMPUTED_VALUE"""),45547.56425752315)</f>
        <v>45547.56426</v>
      </c>
      <c r="B409" s="88" t="b">
        <v>0</v>
      </c>
      <c r="C409" s="90" t="str">
        <f t="shared" si="2"/>
        <v>Fall 2024</v>
      </c>
      <c r="D409" s="91" t="str">
        <f>IFERROR(__xludf.DUMMYFUNCTION("""COMPUTED_VALUE"""),"cjt2253@mava.uta.edu")</f>
        <v>cjt2253@mava.uta.edu</v>
      </c>
      <c r="E409" s="92" t="str">
        <f>IFERROR(__xludf.DUMMYFUNCTION("""COMPUTED_VALUE"""),"Chloe Tong")</f>
        <v>Chloe Tong</v>
      </c>
      <c r="F409" s="93" t="str">
        <f>IFERROR(__xludf.DUMMYFUNCTION("""COMPUTED_VALUE"""),"Cjt3175")</f>
        <v>Cjt3175</v>
      </c>
      <c r="G409" s="92"/>
      <c r="H409" s="94" t="str">
        <f>IFERROR(__xludf.DUMMYFUNCTION("""COMPUTED_VALUE"""),"(817) 366-8413")</f>
        <v>(817) 366-8413</v>
      </c>
      <c r="I409" s="94" t="str">
        <f>IFERROR(__xludf.DUMMYFUNCTION("""COMPUTED_VALUE"""),"Student")</f>
        <v>Student</v>
      </c>
      <c r="J409" s="93" t="str">
        <f>IFERROR(__xludf.DUMMYFUNCTION("""COMPUTED_VALUE"""),"Food/Litter Donation")</f>
        <v>Food/Litter Donation</v>
      </c>
      <c r="K409" s="100" t="b">
        <v>0</v>
      </c>
      <c r="L409" s="101"/>
      <c r="M409" s="100"/>
      <c r="N409" s="97" t="b">
        <v>0</v>
      </c>
      <c r="O409" s="93" t="str">
        <f>IFERROR(__xludf.DUMMYFUNCTION("""COMPUTED_VALUE"""),"Fundraising, PR, Membership, Feeding, Fostering")</f>
        <v>Fundraising, PR, Membership, Feeding, Fostering</v>
      </c>
      <c r="P40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09" s="99"/>
    </row>
    <row r="410" ht="13.5" customHeight="1">
      <c r="A410" s="88">
        <f>IFERROR(__xludf.DUMMYFUNCTION("""COMPUTED_VALUE"""),45548.58289708333)</f>
        <v>45548.5829</v>
      </c>
      <c r="B410" s="89" t="b">
        <v>1</v>
      </c>
      <c r="C410" s="90" t="str">
        <f t="shared" si="2"/>
        <v>Fall 2024</v>
      </c>
      <c r="D410" s="91" t="str">
        <f>IFERROR(__xludf.DUMMYFUNCTION("""COMPUTED_VALUE"""),"mxh5508@mavs.uta.edu")</f>
        <v>mxh5508@mavs.uta.edu</v>
      </c>
      <c r="E410" s="92" t="str">
        <f>IFERROR(__xludf.DUMMYFUNCTION("""COMPUTED_VALUE"""),"Maritza Hernandez")</f>
        <v>Maritza Hernandez</v>
      </c>
      <c r="F410" s="93" t="str">
        <f>IFERROR(__xludf.DUMMYFUNCTION("""COMPUTED_VALUE"""),"cora.suki")</f>
        <v>cora.suki</v>
      </c>
      <c r="G410" s="92"/>
      <c r="H410" s="94" t="str">
        <f>IFERROR(__xludf.DUMMYFUNCTION("""COMPUTED_VALUE"""),"(940) 503-7139")</f>
        <v>(940) 503-7139</v>
      </c>
      <c r="I410" s="94" t="str">
        <f>IFERROR(__xludf.DUMMYFUNCTION("""COMPUTED_VALUE"""),"Student")</f>
        <v>Student</v>
      </c>
      <c r="J410" s="93" t="str">
        <f>IFERROR(__xludf.DUMMYFUNCTION("""COMPUTED_VALUE"""),"$15 Donation, Discord Verification")</f>
        <v>$15 Donation, Discord Verification</v>
      </c>
      <c r="K410" s="100" t="b">
        <v>0</v>
      </c>
      <c r="L410" s="101" t="str">
        <f>IFERROR(__xludf.DUMMYFUNCTION("""COMPUTED_VALUE"""),"Paypal")</f>
        <v>Paypal</v>
      </c>
      <c r="M410" s="95">
        <v>0.0</v>
      </c>
      <c r="N410" s="97" t="b">
        <v>1</v>
      </c>
      <c r="O410" s="93" t="str">
        <f>IFERROR(__xludf.DUMMYFUNCTION("""COMPUTED_VALUE"""),"Membership, TNR, Overnight TNR, Feeding")</f>
        <v>Membership, TNR, Overnight TNR, Feeding</v>
      </c>
      <c r="P41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10" s="99"/>
    </row>
    <row r="411" ht="13.5" customHeight="1">
      <c r="A411" s="88">
        <f>IFERROR(__xludf.DUMMYFUNCTION("""COMPUTED_VALUE"""),45550.619734583335)</f>
        <v>45550.61973</v>
      </c>
      <c r="B411" s="89" t="b">
        <v>1</v>
      </c>
      <c r="C411" s="90" t="str">
        <f t="shared" si="2"/>
        <v>Fall 2024</v>
      </c>
      <c r="D411" s="91" t="str">
        <f>IFERROR(__xludf.DUMMYFUNCTION("""COMPUTED_VALUE"""),"bnl8016@mavs.uta.edu")</f>
        <v>bnl8016@mavs.uta.edu</v>
      </c>
      <c r="E411" s="92" t="str">
        <f>IFERROR(__xludf.DUMMYFUNCTION("""COMPUTED_VALUE"""),"Brencis Le")</f>
        <v>Brencis Le</v>
      </c>
      <c r="F411" s="93" t="str">
        <f>IFERROR(__xludf.DUMMYFUNCTION("""COMPUTED_VALUE"""),"argonaut_1")</f>
        <v>argonaut_1</v>
      </c>
      <c r="G411" s="92"/>
      <c r="H411" s="94" t="str">
        <f>IFERROR(__xludf.DUMMYFUNCTION("""COMPUTED_VALUE"""),"(346) 332-9692")</f>
        <v>(346) 332-9692</v>
      </c>
      <c r="I411" s="94" t="str">
        <f>IFERROR(__xludf.DUMMYFUNCTION("""COMPUTED_VALUE"""),"Student")</f>
        <v>Student</v>
      </c>
      <c r="J411" s="93" t="str">
        <f>IFERROR(__xludf.DUMMYFUNCTION("""COMPUTED_VALUE"""),"$15 Donation, Discord Verification")</f>
        <v>$15 Donation, Discord Verification</v>
      </c>
      <c r="K411" s="100" t="b">
        <v>0</v>
      </c>
      <c r="L411" s="101" t="str">
        <f>IFERROR(__xludf.DUMMYFUNCTION("""COMPUTED_VALUE"""),"Venmo")</f>
        <v>Venmo</v>
      </c>
      <c r="M411" s="95">
        <v>0.0</v>
      </c>
      <c r="N411" s="97" t="b">
        <v>1</v>
      </c>
      <c r="O411" s="93" t="str">
        <f>IFERROR(__xludf.DUMMYFUNCTION("""COMPUTED_VALUE"""),"Feeding, Fostering")</f>
        <v>Feeding, Fostering</v>
      </c>
      <c r="P41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11" s="99"/>
    </row>
    <row r="412" ht="13.5" customHeight="1">
      <c r="A412" s="88">
        <f>IFERROR(__xludf.DUMMYFUNCTION("""COMPUTED_VALUE"""),45552.521745439815)</f>
        <v>45552.52175</v>
      </c>
      <c r="B412" s="89" t="b">
        <v>1</v>
      </c>
      <c r="C412" s="90" t="str">
        <f t="shared" si="2"/>
        <v>Fall 2024</v>
      </c>
      <c r="D412" s="91" t="str">
        <f>IFERROR(__xludf.DUMMYFUNCTION("""COMPUTED_VALUE"""),"axc4959@mavs.uta.edu")</f>
        <v>axc4959@mavs.uta.edu</v>
      </c>
      <c r="E412" s="92" t="str">
        <f>IFERROR(__xludf.DUMMYFUNCTION("""COMPUTED_VALUE"""),"AshleeMae (preferred name: Ash) Camacho")</f>
        <v>AshleeMae (preferred name: Ash) Camacho</v>
      </c>
      <c r="F412" s="93" t="str">
        <f>IFERROR(__xludf.DUMMYFUNCTION("""COMPUTED_VALUE"""),"squish_dahlia_61388")</f>
        <v>squish_dahlia_61388</v>
      </c>
      <c r="G412" s="92"/>
      <c r="H412" s="94" t="str">
        <f>IFERROR(__xludf.DUMMYFUNCTION("""COMPUTED_VALUE"""),"(682)  31-3422")</f>
        <v>(682)  31-3422</v>
      </c>
      <c r="I412" s="94" t="str">
        <f>IFERROR(__xludf.DUMMYFUNCTION("""COMPUTED_VALUE"""),"Student")</f>
        <v>Student</v>
      </c>
      <c r="J412" s="93" t="str">
        <f>IFERROR(__xludf.DUMMYFUNCTION("""COMPUTED_VALUE"""),"$15 Donation, Discord Verification")</f>
        <v>$15 Donation, Discord Verification</v>
      </c>
      <c r="K412" s="100" t="b">
        <v>0</v>
      </c>
      <c r="L412" s="101" t="str">
        <f>IFERROR(__xludf.DUMMYFUNCTION("""COMPUTED_VALUE"""),"Cashapp")</f>
        <v>Cashapp</v>
      </c>
      <c r="M412" s="95">
        <v>0.0</v>
      </c>
      <c r="N412" s="97" t="b">
        <v>1</v>
      </c>
      <c r="O412" s="93" t="str">
        <f>IFERROR(__xludf.DUMMYFUNCTION("""COMPUTED_VALUE"""),"Fundraising, Feeding")</f>
        <v>Fundraising, Feeding</v>
      </c>
      <c r="P41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12" s="99"/>
    </row>
    <row r="413" ht="13.5" customHeight="1">
      <c r="A413" s="88">
        <f>IFERROR(__xludf.DUMMYFUNCTION("""COMPUTED_VALUE"""),45553.44972831018)</f>
        <v>45553.44973</v>
      </c>
      <c r="B413" s="89" t="b">
        <v>1</v>
      </c>
      <c r="C413" s="90" t="str">
        <f t="shared" si="2"/>
        <v>Fall 2024</v>
      </c>
      <c r="D413" s="91" t="str">
        <f>IFERROR(__xludf.DUMMYFUNCTION("""COMPUTED_VALUE"""),"gxs0630@mavs.uta.edu")</f>
        <v>gxs0630@mavs.uta.edu</v>
      </c>
      <c r="E413" s="92" t="str">
        <f>IFERROR(__xludf.DUMMYFUNCTION("""COMPUTED_VALUE"""),"Gunjan Shrestha")</f>
        <v>Gunjan Shrestha</v>
      </c>
      <c r="F413" s="93" t="str">
        <f>IFERROR(__xludf.DUMMYFUNCTION("""COMPUTED_VALUE"""),"_costco_wholesale_")</f>
        <v>_costco_wholesale_</v>
      </c>
      <c r="G413" s="92"/>
      <c r="H413" s="94" t="str">
        <f>IFERROR(__xludf.DUMMYFUNCTION("""COMPUTED_VALUE"""),"(347) 727-9856")</f>
        <v>(347) 727-9856</v>
      </c>
      <c r="I413" s="94" t="str">
        <f>IFERROR(__xludf.DUMMYFUNCTION("""COMPUTED_VALUE"""),"Student")</f>
        <v>Student</v>
      </c>
      <c r="J413" s="93" t="str">
        <f>IFERROR(__xludf.DUMMYFUNCTION("""COMPUTED_VALUE"""),"$15 Donation, Discord Verification")</f>
        <v>$15 Donation, Discord Verification</v>
      </c>
      <c r="K413" s="100" t="b">
        <v>0</v>
      </c>
      <c r="L413" s="101" t="str">
        <f>IFERROR(__xludf.DUMMYFUNCTION("""COMPUTED_VALUE"""),"Cash")</f>
        <v>Cash</v>
      </c>
      <c r="M413" s="95">
        <v>5.0</v>
      </c>
      <c r="N413" s="97" t="b">
        <v>1</v>
      </c>
      <c r="O413" s="93" t="str">
        <f>IFERROR(__xludf.DUMMYFUNCTION("""COMPUTED_VALUE"""),"PR, Feeding, Shelter Maintenance")</f>
        <v>PR, Feeding, Shelter Maintenance</v>
      </c>
      <c r="P41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13" s="102" t="s">
        <v>78</v>
      </c>
    </row>
    <row r="414" ht="13.5" customHeight="1">
      <c r="A414" s="88">
        <f>IFERROR(__xludf.DUMMYFUNCTION("""COMPUTED_VALUE"""),45554.56002984954)</f>
        <v>45554.56003</v>
      </c>
      <c r="B414" s="89" t="b">
        <v>1</v>
      </c>
      <c r="C414" s="90" t="str">
        <f t="shared" si="2"/>
        <v>Fall 2024</v>
      </c>
      <c r="D414" s="91" t="str">
        <f>IFERROR(__xludf.DUMMYFUNCTION("""COMPUTED_VALUE"""),"mxr5105@mavs.uta.edu")</f>
        <v>mxr5105@mavs.uta.edu</v>
      </c>
      <c r="E414" s="92" t="str">
        <f>IFERROR(__xludf.DUMMYFUNCTION("""COMPUTED_VALUE"""),"Mia Reyes")</f>
        <v>Mia Reyes</v>
      </c>
      <c r="F414" s="93" t="str">
        <f>IFERROR(__xludf.DUMMYFUNCTION("""COMPUTED_VALUE"""),"Skelehusk")</f>
        <v>Skelehusk</v>
      </c>
      <c r="G414" s="92"/>
      <c r="H414" s="94" t="str">
        <f>IFERROR(__xludf.DUMMYFUNCTION("""COMPUTED_VALUE"""),"(912) 777-9101")</f>
        <v>(912) 777-9101</v>
      </c>
      <c r="I414" s="94" t="str">
        <f>IFERROR(__xludf.DUMMYFUNCTION("""COMPUTED_VALUE"""),"Student")</f>
        <v>Student</v>
      </c>
      <c r="J414" s="93" t="str">
        <f>IFERROR(__xludf.DUMMYFUNCTION("""COMPUTED_VALUE"""),"$15 Donation, Discord Verification")</f>
        <v>$15 Donation, Discord Verification</v>
      </c>
      <c r="K414" s="100" t="b">
        <v>0</v>
      </c>
      <c r="L414" s="101" t="str">
        <f>IFERROR(__xludf.DUMMYFUNCTION("""COMPUTED_VALUE"""),"Paypal")</f>
        <v>Paypal</v>
      </c>
      <c r="M414" s="95">
        <v>0.0</v>
      </c>
      <c r="N414" s="97" t="b">
        <v>1</v>
      </c>
      <c r="O414" s="93" t="str">
        <f>IFERROR(__xludf.DUMMYFUNCTION("""COMPUTED_VALUE"""),"Fundraising, PR, TNR, Shelter Maintenance, Creating Graphic Designs for the Club")</f>
        <v>Fundraising, PR, TNR, Shelter Maintenance, Creating Graphic Designs for the Club</v>
      </c>
      <c r="P41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14" s="99"/>
    </row>
    <row r="415" ht="13.5" customHeight="1">
      <c r="A415" s="88">
        <f>IFERROR(__xludf.DUMMYFUNCTION("""COMPUTED_VALUE"""),45554.740825381945)</f>
        <v>45554.74083</v>
      </c>
      <c r="B415" s="89" t="b">
        <v>1</v>
      </c>
      <c r="C415" s="90" t="str">
        <f t="shared" si="2"/>
        <v>Fall 2024</v>
      </c>
      <c r="D415" s="91" t="str">
        <f>IFERROR(__xludf.DUMMYFUNCTION("""COMPUTED_VALUE"""),"jmb9748@mavs.uta.edu")</f>
        <v>jmb9748@mavs.uta.edu</v>
      </c>
      <c r="E415" s="92" t="str">
        <f>IFERROR(__xludf.DUMMYFUNCTION("""COMPUTED_VALUE"""),"Julia-Brittney Boma")</f>
        <v>Julia-Brittney Boma</v>
      </c>
      <c r="F415" s="93" t="str">
        <f>IFERROR(__xludf.DUMMYFUNCTION("""COMPUTED_VALUE"""),"menjiii")</f>
        <v>menjiii</v>
      </c>
      <c r="G415" s="92"/>
      <c r="H415" s="94" t="str">
        <f>IFERROR(__xludf.DUMMYFUNCTION("""COMPUTED_VALUE"""),"(682) 365-2618")</f>
        <v>(682) 365-2618</v>
      </c>
      <c r="I415" s="94" t="str">
        <f>IFERROR(__xludf.DUMMYFUNCTION("""COMPUTED_VALUE"""),"Student")</f>
        <v>Student</v>
      </c>
      <c r="J415" s="93" t="str">
        <f>IFERROR(__xludf.DUMMYFUNCTION("""COMPUTED_VALUE"""),"$15 Donation, Discord Verification")</f>
        <v>$15 Donation, Discord Verification</v>
      </c>
      <c r="K415" s="100" t="b">
        <v>0</v>
      </c>
      <c r="L415" s="101" t="str">
        <f>IFERROR(__xludf.DUMMYFUNCTION("""COMPUTED_VALUE"""),"Cashapp")</f>
        <v>Cashapp</v>
      </c>
      <c r="M415" s="95">
        <v>0.0</v>
      </c>
      <c r="N415" s="97" t="b">
        <v>1</v>
      </c>
      <c r="O415" s="93" t="str">
        <f>IFERROR(__xludf.DUMMYFUNCTION("""COMPUTED_VALUE"""),"Feeding")</f>
        <v>Feeding</v>
      </c>
      <c r="P41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15" s="99"/>
    </row>
    <row r="416" ht="13.5" customHeight="1">
      <c r="A416" s="88">
        <f>IFERROR(__xludf.DUMMYFUNCTION("""COMPUTED_VALUE"""),45555.308779768515)</f>
        <v>45555.30878</v>
      </c>
      <c r="B416" s="89" t="b">
        <v>1</v>
      </c>
      <c r="C416" s="90" t="str">
        <f t="shared" si="2"/>
        <v>Fall 2024</v>
      </c>
      <c r="D416" s="91" t="str">
        <f>IFERROR(__xludf.DUMMYFUNCTION("""COMPUTED_VALUE"""),"amg3293@mavs.uta.edu")</f>
        <v>amg3293@mavs.uta.edu</v>
      </c>
      <c r="E416" s="92" t="str">
        <f>IFERROR(__xludf.DUMMYFUNCTION("""COMPUTED_VALUE"""),"Arriana Mattingly Gonzalez")</f>
        <v>Arriana Mattingly Gonzalez</v>
      </c>
      <c r="F416" s="93" t="str">
        <f>IFERROR(__xludf.DUMMYFUNCTION("""COMPUTED_VALUE"""),"arrig123")</f>
        <v>arrig123</v>
      </c>
      <c r="G416" s="92"/>
      <c r="H416" s="94" t="str">
        <f>IFERROR(__xludf.DUMMYFUNCTION("""COMPUTED_VALUE"""),"(682) 717-7486")</f>
        <v>(682) 717-7486</v>
      </c>
      <c r="I416" s="94" t="str">
        <f>IFERROR(__xludf.DUMMYFUNCTION("""COMPUTED_VALUE"""),"Student")</f>
        <v>Student</v>
      </c>
      <c r="J416" s="93" t="str">
        <f>IFERROR(__xludf.DUMMYFUNCTION("""COMPUTED_VALUE"""),"$15 Donation, Discord Verification")</f>
        <v>$15 Donation, Discord Verification</v>
      </c>
      <c r="K416" s="100" t="b">
        <v>0</v>
      </c>
      <c r="L416" s="101" t="str">
        <f>IFERROR(__xludf.DUMMYFUNCTION("""COMPUTED_VALUE"""),"Cash")</f>
        <v>Cash</v>
      </c>
      <c r="M416" s="95">
        <v>0.0</v>
      </c>
      <c r="N416" s="97" t="b">
        <v>1</v>
      </c>
      <c r="O416" s="93" t="str">
        <f>IFERROR(__xludf.DUMMYFUNCTION("""COMPUTED_VALUE"""),"Fundraising, Feeding, Shelter Maintenance")</f>
        <v>Fundraising, Feeding, Shelter Maintenance</v>
      </c>
      <c r="P41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16" s="102" t="s">
        <v>79</v>
      </c>
    </row>
    <row r="417" ht="13.5" customHeight="1">
      <c r="A417" s="88">
        <f>IFERROR(__xludf.DUMMYFUNCTION("""COMPUTED_VALUE"""),45558.471396469904)</f>
        <v>45558.4714</v>
      </c>
      <c r="B417" s="89" t="b">
        <v>1</v>
      </c>
      <c r="C417" s="90" t="str">
        <f t="shared" si="2"/>
        <v>Fall 2024</v>
      </c>
      <c r="D417" s="91" t="str">
        <f>IFERROR(__xludf.DUMMYFUNCTION("""COMPUTED_VALUE"""),"whm7563@mavs.uta.edu")</f>
        <v>whm7563@mavs.uta.edu</v>
      </c>
      <c r="E417" s="92" t="str">
        <f>IFERROR(__xludf.DUMMYFUNCTION("""COMPUTED_VALUE"""),"Will Maberry")</f>
        <v>Will Maberry</v>
      </c>
      <c r="F417" s="93" t="str">
        <f>IFERROR(__xludf.DUMMYFUNCTION("""COMPUTED_VALUE"""),"dino.oats")</f>
        <v>dino.oats</v>
      </c>
      <c r="G417" s="92"/>
      <c r="H417" s="94" t="str">
        <f>IFERROR(__xludf.DUMMYFUNCTION("""COMPUTED_VALUE"""),"(972) 837-9008")</f>
        <v>(972) 837-9008</v>
      </c>
      <c r="I417" s="94" t="str">
        <f>IFERROR(__xludf.DUMMYFUNCTION("""COMPUTED_VALUE"""),"Student")</f>
        <v>Student</v>
      </c>
      <c r="J417" s="93" t="str">
        <f>IFERROR(__xludf.DUMMYFUNCTION("""COMPUTED_VALUE"""),"$15 Donation, Discord Verification")</f>
        <v>$15 Donation, Discord Verification</v>
      </c>
      <c r="K417" s="100" t="b">
        <v>0</v>
      </c>
      <c r="L417" s="101" t="str">
        <f>IFERROR(__xludf.DUMMYFUNCTION("""COMPUTED_VALUE"""),"Paypal")</f>
        <v>Paypal</v>
      </c>
      <c r="M417" s="95">
        <v>0.0</v>
      </c>
      <c r="N417" s="97" t="b">
        <v>1</v>
      </c>
      <c r="O417" s="93" t="str">
        <f>IFERROR(__xludf.DUMMYFUNCTION("""COMPUTED_VALUE"""),"Fundraising, PR")</f>
        <v>Fundraising, PR</v>
      </c>
      <c r="P41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17" s="99"/>
    </row>
    <row r="418" ht="13.5" customHeight="1">
      <c r="A418" s="88">
        <f>IFERROR(__xludf.DUMMYFUNCTION("""COMPUTED_VALUE"""),45558.52355049769)</f>
        <v>45558.52355</v>
      </c>
      <c r="B418" s="89" t="b">
        <v>1</v>
      </c>
      <c r="C418" s="90" t="str">
        <f t="shared" si="2"/>
        <v>Fall 2024</v>
      </c>
      <c r="D418" s="91" t="str">
        <f>IFERROR(__xludf.DUMMYFUNCTION("""COMPUTED_VALUE"""),"jtm7980@mavs.uta.edu")</f>
        <v>jtm7980@mavs.uta.edu</v>
      </c>
      <c r="E418" s="92" t="str">
        <f>IFERROR(__xludf.DUMMYFUNCTION("""COMPUTED_VALUE"""),"Jacob Mathew")</f>
        <v>Jacob Mathew</v>
      </c>
      <c r="F418" s="93" t="str">
        <f>IFERROR(__xludf.DUMMYFUNCTION("""COMPUTED_VALUE"""),"honeydewmelon")</f>
        <v>honeydewmelon</v>
      </c>
      <c r="G418" s="92"/>
      <c r="H418" s="94" t="str">
        <f>IFERROR(__xludf.DUMMYFUNCTION("""COMPUTED_VALUE"""),"(469) 740-1967")</f>
        <v>(469) 740-1967</v>
      </c>
      <c r="I418" s="94" t="str">
        <f>IFERROR(__xludf.DUMMYFUNCTION("""COMPUTED_VALUE"""),"Student")</f>
        <v>Student</v>
      </c>
      <c r="J418" s="93" t="str">
        <f>IFERROR(__xludf.DUMMYFUNCTION("""COMPUTED_VALUE"""),"$15 Donation, Discord Verification")</f>
        <v>$15 Donation, Discord Verification</v>
      </c>
      <c r="K418" s="100" t="b">
        <v>0</v>
      </c>
      <c r="L418" s="101" t="str">
        <f>IFERROR(__xludf.DUMMYFUNCTION("""COMPUTED_VALUE"""),"Paypal")</f>
        <v>Paypal</v>
      </c>
      <c r="M418" s="95">
        <v>0.0</v>
      </c>
      <c r="N418" s="97" t="b">
        <v>1</v>
      </c>
      <c r="O418" s="93" t="str">
        <f>IFERROR(__xludf.DUMMYFUNCTION("""COMPUTED_VALUE"""),"Fundraising, PR, Membership")</f>
        <v>Fundraising, PR, Membership</v>
      </c>
      <c r="P41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18" s="99"/>
    </row>
    <row r="419" ht="13.5" customHeight="1">
      <c r="A419" s="88">
        <f>IFERROR(__xludf.DUMMYFUNCTION("""COMPUTED_VALUE"""),45559.85371041667)</f>
        <v>45559.85371</v>
      </c>
      <c r="B419" s="89" t="b">
        <v>1</v>
      </c>
      <c r="C419" s="90" t="str">
        <f t="shared" si="2"/>
        <v>Fall 2024</v>
      </c>
      <c r="D419" s="91" t="str">
        <f>IFERROR(__xludf.DUMMYFUNCTION("""COMPUTED_VALUE"""),"axg5200@mavs.uta.edu")</f>
        <v>axg5200@mavs.uta.edu</v>
      </c>
      <c r="E419" s="92" t="str">
        <f>IFERROR(__xludf.DUMMYFUNCTION("""COMPUTED_VALUE"""),"Anabel Gonzalez")</f>
        <v>Anabel Gonzalez</v>
      </c>
      <c r="F419" s="93" t="str">
        <f>IFERROR(__xludf.DUMMYFUNCTION("""COMPUTED_VALUE"""),"mochenoch")</f>
        <v>mochenoch</v>
      </c>
      <c r="G419" s="92"/>
      <c r="H419" s="94" t="str">
        <f>IFERROR(__xludf.DUMMYFUNCTION("""COMPUTED_VALUE"""),"(214) 718-5167")</f>
        <v>(214) 718-5167</v>
      </c>
      <c r="I419" s="94" t="str">
        <f>IFERROR(__xludf.DUMMYFUNCTION("""COMPUTED_VALUE"""),"Student")</f>
        <v>Student</v>
      </c>
      <c r="J419" s="93" t="str">
        <f>IFERROR(__xludf.DUMMYFUNCTION("""COMPUTED_VALUE"""),"$15 Donation, Discord Verification")</f>
        <v>$15 Donation, Discord Verification</v>
      </c>
      <c r="K419" s="100" t="b">
        <v>0</v>
      </c>
      <c r="L419" s="101" t="str">
        <f>IFERROR(__xludf.DUMMYFUNCTION("""COMPUTED_VALUE"""),"Paypal")</f>
        <v>Paypal</v>
      </c>
      <c r="M419" s="95">
        <v>0.0</v>
      </c>
      <c r="N419" s="97" t="b">
        <v>1</v>
      </c>
      <c r="O419" s="93" t="str">
        <f>IFERROR(__xludf.DUMMYFUNCTION("""COMPUTED_VALUE"""),"Membership, TNR, Overnight TNR, Feeding")</f>
        <v>Membership, TNR, Overnight TNR, Feeding</v>
      </c>
      <c r="P41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19" s="99"/>
    </row>
    <row r="420" ht="13.5" customHeight="1">
      <c r="A420" s="88">
        <f>IFERROR(__xludf.DUMMYFUNCTION("""COMPUTED_VALUE"""),45570.37283275463)</f>
        <v>45570.37283</v>
      </c>
      <c r="B420" s="89" t="b">
        <v>1</v>
      </c>
      <c r="C420" s="90" t="str">
        <f t="shared" si="2"/>
        <v>Fall 2024</v>
      </c>
      <c r="D420" s="91" t="str">
        <f>IFERROR(__xludf.DUMMYFUNCTION("""COMPUTED_VALUE"""),"acl6785@mavs.uta.edu")</f>
        <v>acl6785@mavs.uta.edu</v>
      </c>
      <c r="E420" s="92" t="str">
        <f>IFERROR(__xludf.DUMMYFUNCTION("""COMPUTED_VALUE"""),"Ashton Laughlin")</f>
        <v>Ashton Laughlin</v>
      </c>
      <c r="F420" s="93" t="str">
        <f>IFERROR(__xludf.DUMMYFUNCTION("""COMPUTED_VALUE"""),"ashton021254")</f>
        <v>ashton021254</v>
      </c>
      <c r="G420" s="92"/>
      <c r="H420" s="94" t="str">
        <f>IFERROR(__xludf.DUMMYFUNCTION("""COMPUTED_VALUE"""),"(972) 754-2648")</f>
        <v>(972) 754-2648</v>
      </c>
      <c r="I420" s="94" t="str">
        <f>IFERROR(__xludf.DUMMYFUNCTION("""COMPUTED_VALUE"""),"Student")</f>
        <v>Student</v>
      </c>
      <c r="J420" s="93" t="str">
        <f>IFERROR(__xludf.DUMMYFUNCTION("""COMPUTED_VALUE"""),"$15 Donation, Discord Verification")</f>
        <v>$15 Donation, Discord Verification</v>
      </c>
      <c r="K420" s="100" t="b">
        <v>0</v>
      </c>
      <c r="L420" s="101" t="str">
        <f>IFERROR(__xludf.DUMMYFUNCTION("""COMPUTED_VALUE"""),"Venmo")</f>
        <v>Venmo</v>
      </c>
      <c r="M420" s="95">
        <v>0.0</v>
      </c>
      <c r="N420" s="97" t="b">
        <v>1</v>
      </c>
      <c r="O420" s="93" t="str">
        <f>IFERROR(__xludf.DUMMYFUNCTION("""COMPUTED_VALUE"""),"Fundraising, PR, Membership, TNR, Shelter Maintenance")</f>
        <v>Fundraising, PR, Membership, TNR, Shelter Maintenance</v>
      </c>
      <c r="P42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20" s="99"/>
    </row>
    <row r="421" ht="13.5" customHeight="1">
      <c r="A421" s="88">
        <f>IFERROR(__xludf.DUMMYFUNCTION("""COMPUTED_VALUE"""),45572.484828877314)</f>
        <v>45572.48483</v>
      </c>
      <c r="B421" s="89" t="b">
        <v>1</v>
      </c>
      <c r="C421" s="90" t="str">
        <f t="shared" si="2"/>
        <v>Fall 2024</v>
      </c>
      <c r="D421" s="91" t="str">
        <f>IFERROR(__xludf.DUMMYFUNCTION("""COMPUTED_VALUE"""),"brandon.isom@mavs.uta.edu")</f>
        <v>brandon.isom@mavs.uta.edu</v>
      </c>
      <c r="E421" s="92" t="str">
        <f>IFERROR(__xludf.DUMMYFUNCTION("""COMPUTED_VALUE"""),"Brandon Isom")</f>
        <v>Brandon Isom</v>
      </c>
      <c r="F421" s="93" t="str">
        <f>IFERROR(__xludf.DUMMYFUNCTION("""COMPUTED_VALUE"""),"ImpalaLord")</f>
        <v>ImpalaLord</v>
      </c>
      <c r="G421" s="92"/>
      <c r="H421" s="94" t="str">
        <f>IFERROR(__xludf.DUMMYFUNCTION("""COMPUTED_VALUE"""),"(469) 403-9856")</f>
        <v>(469) 403-9856</v>
      </c>
      <c r="I421" s="94" t="str">
        <f>IFERROR(__xludf.DUMMYFUNCTION("""COMPUTED_VALUE"""),"Student")</f>
        <v>Student</v>
      </c>
      <c r="J421" s="93" t="str">
        <f>IFERROR(__xludf.DUMMYFUNCTION("""COMPUTED_VALUE"""),"$15 Donation, Discord Verification")</f>
        <v>$15 Donation, Discord Verification</v>
      </c>
      <c r="K421" s="100" t="b">
        <v>0</v>
      </c>
      <c r="L421" s="101" t="str">
        <f>IFERROR(__xludf.DUMMYFUNCTION("""COMPUTED_VALUE"""),"Cashapp")</f>
        <v>Cashapp</v>
      </c>
      <c r="M421" s="95">
        <v>0.0</v>
      </c>
      <c r="N421" s="97" t="b">
        <v>1</v>
      </c>
      <c r="O421" s="93" t="str">
        <f>IFERROR(__xludf.DUMMYFUNCTION("""COMPUTED_VALUE"""),"Vice President")</f>
        <v>Vice President</v>
      </c>
      <c r="P42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21" s="99"/>
    </row>
    <row r="422" ht="13.5" customHeight="1">
      <c r="A422" s="88">
        <f>IFERROR(__xludf.DUMMYFUNCTION("""COMPUTED_VALUE"""),45572.85124231481)</f>
        <v>45572.85124</v>
      </c>
      <c r="B422" s="89" t="b">
        <v>1</v>
      </c>
      <c r="C422" s="90" t="str">
        <f t="shared" si="2"/>
        <v>Fall 2024</v>
      </c>
      <c r="D422" s="91" t="str">
        <f>IFERROR(__xludf.DUMMYFUNCTION("""COMPUTED_VALUE"""),"jtn4576@mavs.uta.edu")</f>
        <v>jtn4576@mavs.uta.edu</v>
      </c>
      <c r="E422" s="92" t="str">
        <f>IFERROR(__xludf.DUMMYFUNCTION("""COMPUTED_VALUE"""),"Jenny Thai Nguyen")</f>
        <v>Jenny Thai Nguyen</v>
      </c>
      <c r="F422" s="93" t="str">
        <f>IFERROR(__xludf.DUMMYFUNCTION("""COMPUTED_VALUE"""),"naniinsight")</f>
        <v>naniinsight</v>
      </c>
      <c r="G422" s="92"/>
      <c r="H422" s="94" t="str">
        <f>IFERROR(__xludf.DUMMYFUNCTION("""COMPUTED_VALUE"""),"(469) 441-4801")</f>
        <v>(469) 441-4801</v>
      </c>
      <c r="I422" s="94" t="str">
        <f>IFERROR(__xludf.DUMMYFUNCTION("""COMPUTED_VALUE"""),"Student")</f>
        <v>Student</v>
      </c>
      <c r="J422" s="93" t="str">
        <f>IFERROR(__xludf.DUMMYFUNCTION("""COMPUTED_VALUE"""),"$15 Donation, Discord Verification")</f>
        <v>$15 Donation, Discord Verification</v>
      </c>
      <c r="K422" s="100" t="b">
        <v>0</v>
      </c>
      <c r="L422" s="101" t="str">
        <f>IFERROR(__xludf.DUMMYFUNCTION("""COMPUTED_VALUE"""),"Paypal")</f>
        <v>Paypal</v>
      </c>
      <c r="M422" s="95">
        <v>0.0</v>
      </c>
      <c r="N422" s="97" t="b">
        <v>1</v>
      </c>
      <c r="O422" s="93" t="str">
        <f>IFERROR(__xludf.DUMMYFUNCTION("""COMPUTED_VALUE"""),"Fundraising, PR, Overnight TNR")</f>
        <v>Fundraising, PR, Overnight TNR</v>
      </c>
      <c r="P42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22" s="99"/>
    </row>
    <row r="423" ht="13.5" customHeight="1">
      <c r="A423" s="88">
        <f>IFERROR(__xludf.DUMMYFUNCTION("""COMPUTED_VALUE"""),45574.49412662037)</f>
        <v>45574.49413</v>
      </c>
      <c r="B423" s="89" t="b">
        <v>1</v>
      </c>
      <c r="C423" s="90" t="str">
        <f t="shared" si="2"/>
        <v>Fall 2024</v>
      </c>
      <c r="D423" s="91" t="str">
        <f>IFERROR(__xludf.DUMMYFUNCTION("""COMPUTED_VALUE"""),"sxd1899@mavs.uta.edu")</f>
        <v>sxd1899@mavs.uta.edu</v>
      </c>
      <c r="E423" s="92" t="str">
        <f>IFERROR(__xludf.DUMMYFUNCTION("""COMPUTED_VALUE"""),"Srabastee De Bhaumik")</f>
        <v>Srabastee De Bhaumik</v>
      </c>
      <c r="F423" s="93" t="str">
        <f>IFERROR(__xludf.DUMMYFUNCTION("""COMPUTED_VALUE"""),"Srabastee")</f>
        <v>Srabastee</v>
      </c>
      <c r="G423" s="92"/>
      <c r="H423" s="94" t="str">
        <f>IFERROR(__xludf.DUMMYFUNCTION("""COMPUTED_VALUE"""),"(682) 376-7357")</f>
        <v>(682) 376-7357</v>
      </c>
      <c r="I423" s="94" t="str">
        <f>IFERROR(__xludf.DUMMYFUNCTION("""COMPUTED_VALUE"""),"Student")</f>
        <v>Student</v>
      </c>
      <c r="J423" s="93" t="str">
        <f>IFERROR(__xludf.DUMMYFUNCTION("""COMPUTED_VALUE"""),"$15 Donation, Discord Verification")</f>
        <v>$15 Donation, Discord Verification</v>
      </c>
      <c r="K423" s="100" t="b">
        <v>0</v>
      </c>
      <c r="L423" s="101" t="str">
        <f>IFERROR(__xludf.DUMMYFUNCTION("""COMPUTED_VALUE"""),"Venmo")</f>
        <v>Venmo</v>
      </c>
      <c r="M423" s="95">
        <v>0.0</v>
      </c>
      <c r="N423" s="97" t="b">
        <v>1</v>
      </c>
      <c r="O423" s="93" t="str">
        <f>IFERROR(__xludf.DUMMYFUNCTION("""COMPUTED_VALUE"""),"Feeding, Shelter Maintenance")</f>
        <v>Feeding, Shelter Maintenance</v>
      </c>
      <c r="P42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23" s="102" t="s">
        <v>80</v>
      </c>
    </row>
    <row r="424" ht="13.5" customHeight="1">
      <c r="A424" s="88">
        <f>IFERROR(__xludf.DUMMYFUNCTION("""COMPUTED_VALUE"""),45586.6376469213)</f>
        <v>45586.63765</v>
      </c>
      <c r="B424" s="89" t="b">
        <v>1</v>
      </c>
      <c r="C424" s="90" t="str">
        <f t="shared" si="2"/>
        <v>Fall 2024</v>
      </c>
      <c r="D424" s="91" t="str">
        <f>IFERROR(__xludf.DUMMYFUNCTION("""COMPUTED_VALUE"""),"rxd4693@mavs.uta.edu")</f>
        <v>rxd4693@mavs.uta.edu</v>
      </c>
      <c r="E424" s="92" t="str">
        <f>IFERROR(__xludf.DUMMYFUNCTION("""COMPUTED_VALUE"""),"Richard DiGiovanni")</f>
        <v>Richard DiGiovanni</v>
      </c>
      <c r="F424" s="93" t="str">
        <f>IFERROR(__xludf.DUMMYFUNCTION("""COMPUTED_VALUE"""),"pumkin")</f>
        <v>pumkin</v>
      </c>
      <c r="G424" s="92"/>
      <c r="H424" s="94" t="str">
        <f>IFERROR(__xludf.DUMMYFUNCTION("""COMPUTED_VALUE"""),"(409) 828-2308")</f>
        <v>(409) 828-2308</v>
      </c>
      <c r="I424" s="94" t="str">
        <f>IFERROR(__xludf.DUMMYFUNCTION("""COMPUTED_VALUE"""),"Student")</f>
        <v>Student</v>
      </c>
      <c r="J424" s="93" t="str">
        <f>IFERROR(__xludf.DUMMYFUNCTION("""COMPUTED_VALUE"""),"$15 Donation, Discord Verification")</f>
        <v>$15 Donation, Discord Verification</v>
      </c>
      <c r="K424" s="100" t="b">
        <v>0</v>
      </c>
      <c r="L424" s="101" t="str">
        <f>IFERROR(__xludf.DUMMYFUNCTION("""COMPUTED_VALUE"""),"Venmo")</f>
        <v>Venmo</v>
      </c>
      <c r="M424" s="95">
        <v>0.0</v>
      </c>
      <c r="N424" s="97" t="b">
        <v>1</v>
      </c>
      <c r="O424" s="93" t="str">
        <f>IFERROR(__xludf.DUMMYFUNCTION("""COMPUTED_VALUE"""),"Shelter Maintenance")</f>
        <v>Shelter Maintenance</v>
      </c>
      <c r="P42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24" s="172" t="s">
        <v>81</v>
      </c>
    </row>
    <row r="425" ht="13.5" customHeight="1">
      <c r="A425" s="88">
        <f>IFERROR(__xludf.DUMMYFUNCTION("""COMPUTED_VALUE"""),45586.64126913194)</f>
        <v>45586.64127</v>
      </c>
      <c r="B425" s="89" t="b">
        <v>1</v>
      </c>
      <c r="C425" s="90" t="str">
        <f t="shared" si="2"/>
        <v>Fall 2024</v>
      </c>
      <c r="D425" s="91" t="str">
        <f>IFERROR(__xludf.DUMMYFUNCTION("""COMPUTED_VALUE"""),"zxd4094@mavs.uta.edu")</f>
        <v>zxd4094@mavs.uta.edu</v>
      </c>
      <c r="E425" s="92" t="str">
        <f>IFERROR(__xludf.DUMMYFUNCTION("""COMPUTED_VALUE"""),"Zoe Dennis")</f>
        <v>Zoe Dennis</v>
      </c>
      <c r="F425" s="93" t="str">
        <f>IFERROR(__xludf.DUMMYFUNCTION("""COMPUTED_VALUE"""),"cinninmonbabe")</f>
        <v>cinninmonbabe</v>
      </c>
      <c r="G425" s="92"/>
      <c r="H425" s="94" t="str">
        <f>IFERROR(__xludf.DUMMYFUNCTION("""COMPUTED_VALUE"""),"(817) 739-1378")</f>
        <v>(817) 739-1378</v>
      </c>
      <c r="I425" s="94" t="str">
        <f>IFERROR(__xludf.DUMMYFUNCTION("""COMPUTED_VALUE"""),"Student")</f>
        <v>Student</v>
      </c>
      <c r="J425" s="93" t="str">
        <f>IFERROR(__xludf.DUMMYFUNCTION("""COMPUTED_VALUE"""),"$15 Donation, Discord Verification")</f>
        <v>$15 Donation, Discord Verification</v>
      </c>
      <c r="K425" s="100" t="b">
        <v>0</v>
      </c>
      <c r="L425" s="101" t="str">
        <f>IFERROR(__xludf.DUMMYFUNCTION("""COMPUTED_VALUE"""),"Venmo")</f>
        <v>Venmo</v>
      </c>
      <c r="M425" s="95">
        <v>0.0</v>
      </c>
      <c r="N425" s="97" t="b">
        <v>1</v>
      </c>
      <c r="O425" s="93" t="str">
        <f>IFERROR(__xludf.DUMMYFUNCTION("""COMPUTED_VALUE"""),"idk yet :)")</f>
        <v>idk yet :)</v>
      </c>
      <c r="P42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25" s="173"/>
    </row>
    <row r="426" ht="13.5" customHeight="1">
      <c r="A426" s="88">
        <f>IFERROR(__xludf.DUMMYFUNCTION("""COMPUTED_VALUE"""),45544.0)</f>
        <v>45544</v>
      </c>
      <c r="B426" s="89" t="b">
        <v>1</v>
      </c>
      <c r="C426" s="90" t="str">
        <f t="shared" si="2"/>
        <v>Fall 2024</v>
      </c>
      <c r="D426" s="91" t="str">
        <f>IFERROR(__xludf.DUMMYFUNCTION("""COMPUTED_VALUE"""),"gnw3008@mavs.uta.edu")</f>
        <v>gnw3008@mavs.uta.edu</v>
      </c>
      <c r="E426" s="92" t="str">
        <f>IFERROR(__xludf.DUMMYFUNCTION("""COMPUTED_VALUE"""),"Grace Whitney")</f>
        <v>Grace Whitney</v>
      </c>
      <c r="F426" s="93" t="str">
        <f>IFERROR(__xludf.DUMMYFUNCTION("""COMPUTED_VALUE"""),"queengracelinna")</f>
        <v>queengracelinna</v>
      </c>
      <c r="G426" s="92"/>
      <c r="H426" s="94" t="str">
        <f>IFERROR(__xludf.DUMMYFUNCTION("""COMPUTED_VALUE"""),"(509) 440-3200")</f>
        <v>(509) 440-3200</v>
      </c>
      <c r="I426" s="94" t="str">
        <f>IFERROR(__xludf.DUMMYFUNCTION("""COMPUTED_VALUE"""),"Student")</f>
        <v>Student</v>
      </c>
      <c r="J426" s="93" t="str">
        <f>IFERROR(__xludf.DUMMYFUNCTION("""COMPUTED_VALUE"""),"$15 Donation, Discord Verification")</f>
        <v>$15 Donation, Discord Verification</v>
      </c>
      <c r="K426" s="100" t="b">
        <v>0</v>
      </c>
      <c r="L426" s="101" t="str">
        <f>IFERROR(__xludf.DUMMYFUNCTION("""COMPUTED_VALUE"""),"Cashapp")</f>
        <v>Cashapp</v>
      </c>
      <c r="M426" s="95">
        <v>0.0</v>
      </c>
      <c r="N426" s="97" t="b">
        <v>1</v>
      </c>
      <c r="O426" s="93" t="str">
        <f>IFERROR(__xludf.DUMMYFUNCTION("""COMPUTED_VALUE"""),"Fundraising, Membership, Feeding, Shelter Maintenance")</f>
        <v>Fundraising, Membership, Feeding, Shelter Maintenance</v>
      </c>
      <c r="P42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26" s="102" t="s">
        <v>82</v>
      </c>
    </row>
    <row r="427" ht="13.5" customHeight="1">
      <c r="A427" s="88">
        <f>IFERROR(__xludf.DUMMYFUNCTION("""COMPUTED_VALUE"""),45663.58845451389)</f>
        <v>45663.58845</v>
      </c>
      <c r="B427" s="89" t="b">
        <v>1</v>
      </c>
      <c r="C427" s="90" t="str">
        <f t="shared" si="2"/>
        <v>Spring 2025</v>
      </c>
      <c r="D427" s="91" t="str">
        <f>IFERROR(__xludf.DUMMYFUNCTION("""COMPUTED_VALUE"""),"ssi4241@mavs.uta.edu")</f>
        <v>ssi4241@mavs.uta.edu</v>
      </c>
      <c r="E427" s="92" t="str">
        <f>IFERROR(__xludf.DUMMYFUNCTION("""COMPUTED_VALUE"""),"Seja Ismail")</f>
        <v>Seja Ismail</v>
      </c>
      <c r="F427" s="93" t="str">
        <f>IFERROR(__xludf.DUMMYFUNCTION("""COMPUTED_VALUE"""),"s3j")</f>
        <v>s3j</v>
      </c>
      <c r="G427" s="92"/>
      <c r="H427" s="94" t="str">
        <f>IFERROR(__xludf.DUMMYFUNCTION("""COMPUTED_VALUE"""),"(214) 918-2345")</f>
        <v>(214) 918-2345</v>
      </c>
      <c r="I427" s="94" t="str">
        <f>IFERROR(__xludf.DUMMYFUNCTION("""COMPUTED_VALUE"""),"Student")</f>
        <v>Student</v>
      </c>
      <c r="J427" s="93" t="str">
        <f>IFERROR(__xludf.DUMMYFUNCTION("""COMPUTED_VALUE"""),"$15 Donation, Discord Verification")</f>
        <v>$15 Donation, Discord Verification</v>
      </c>
      <c r="K427" s="100" t="b">
        <v>0</v>
      </c>
      <c r="L427" s="101" t="str">
        <f>IFERROR(__xludf.DUMMYFUNCTION("""COMPUTED_VALUE"""),"Cashapp")</f>
        <v>Cashapp</v>
      </c>
      <c r="M427" s="95">
        <v>0.0</v>
      </c>
      <c r="N427" s="97" t="b">
        <v>1</v>
      </c>
      <c r="O427" s="93" t="str">
        <f>IFERROR(__xludf.DUMMYFUNCTION("""COMPUTED_VALUE"""),"Fundraising, PR, Membership, TNR, Overnight TNR, Feeding, Fostering, Shelter Maintenance")</f>
        <v>Fundraising, PR, Membership, TNR, Overnight TNR, Feeding, Fostering, Shelter Maintenance</v>
      </c>
      <c r="P42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27" s="99"/>
    </row>
    <row r="428" ht="13.5" customHeight="1">
      <c r="A428" s="88">
        <f>IFERROR(__xludf.DUMMYFUNCTION("""COMPUTED_VALUE"""),45663.59640445602)</f>
        <v>45663.5964</v>
      </c>
      <c r="B428" s="89" t="b">
        <v>1</v>
      </c>
      <c r="C428" s="90" t="str">
        <f t="shared" si="2"/>
        <v>Spring 2025</v>
      </c>
      <c r="D428" s="91" t="str">
        <f>IFERROR(__xludf.DUMMYFUNCTION("""COMPUTED_VALUE"""),"deb3777@mavs.uta.edu")</f>
        <v>deb3777@mavs.uta.edu</v>
      </c>
      <c r="E428" s="92" t="str">
        <f>IFERROR(__xludf.DUMMYFUNCTION("""COMPUTED_VALUE"""),"Daniel Brown")</f>
        <v>Daniel Brown</v>
      </c>
      <c r="F428" s="93" t="str">
        <f>IFERROR(__xludf.DUMMYFUNCTION("""COMPUTED_VALUE"""),"Astro_DB")</f>
        <v>Astro_DB</v>
      </c>
      <c r="G428" s="92"/>
      <c r="H428" s="94" t="str">
        <f>IFERROR(__xludf.DUMMYFUNCTION("""COMPUTED_VALUE"""),"(682) 404-9943")</f>
        <v>(682) 404-9943</v>
      </c>
      <c r="I428" s="94" t="str">
        <f>IFERROR(__xludf.DUMMYFUNCTION("""COMPUTED_VALUE"""),"Student")</f>
        <v>Student</v>
      </c>
      <c r="J428" s="93" t="str">
        <f>IFERROR(__xludf.DUMMYFUNCTION("""COMPUTED_VALUE"""),"Food/Litter Donation")</f>
        <v>Food/Litter Donation</v>
      </c>
      <c r="K428" s="100" t="b">
        <v>0</v>
      </c>
      <c r="L428" s="101"/>
      <c r="M428" s="100"/>
      <c r="N428" s="97" t="b">
        <v>1</v>
      </c>
      <c r="O428" s="93" t="str">
        <f>IFERROR(__xludf.DUMMYFUNCTION("""COMPUTED_VALUE"""),"Fundraising, PR, TNR, Feeding, Shelter Maintenance")</f>
        <v>Fundraising, PR, TNR, Feeding, Shelter Maintenance</v>
      </c>
      <c r="P42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28" s="102" t="s">
        <v>83</v>
      </c>
    </row>
    <row r="429" ht="13.5" customHeight="1">
      <c r="A429" s="88">
        <f>IFERROR(__xludf.DUMMYFUNCTION("""COMPUTED_VALUE"""),45663.646043773144)</f>
        <v>45663.64604</v>
      </c>
      <c r="B429" s="89" t="b">
        <v>1</v>
      </c>
      <c r="C429" s="90" t="str">
        <f t="shared" si="2"/>
        <v>Spring 2025</v>
      </c>
      <c r="D429" s="91" t="str">
        <f>IFERROR(__xludf.DUMMYFUNCTION("""COMPUTED_VALUE"""),"btt4576@mavs.uta.edu")</f>
        <v>btt4576@mavs.uta.edu</v>
      </c>
      <c r="E429" s="92" t="str">
        <f>IFERROR(__xludf.DUMMYFUNCTION("""COMPUTED_VALUE"""),"Benjamin Tucker")</f>
        <v>Benjamin Tucker</v>
      </c>
      <c r="F429" s="93" t="str">
        <f>IFERROR(__xludf.DUMMYFUNCTION("""COMPUTED_VALUE"""),"void_now")</f>
        <v>void_now</v>
      </c>
      <c r="G429" s="92"/>
      <c r="H429" s="94" t="str">
        <f>IFERROR(__xludf.DUMMYFUNCTION("""COMPUTED_VALUE"""),"(214) 972-5108")</f>
        <v>(214) 972-5108</v>
      </c>
      <c r="I429" s="94" t="str">
        <f>IFERROR(__xludf.DUMMYFUNCTION("""COMPUTED_VALUE"""),"Student")</f>
        <v>Student</v>
      </c>
      <c r="J429" s="93" t="str">
        <f>IFERROR(__xludf.DUMMYFUNCTION("""COMPUTED_VALUE"""),"$15 Donation, Discord Verification")</f>
        <v>$15 Donation, Discord Verification</v>
      </c>
      <c r="K429" s="100" t="b">
        <v>0</v>
      </c>
      <c r="L429" s="101" t="str">
        <f>IFERROR(__xludf.DUMMYFUNCTION("""COMPUTED_VALUE"""),"Paypal")</f>
        <v>Paypal</v>
      </c>
      <c r="M429" s="95">
        <v>0.0</v>
      </c>
      <c r="N429" s="97" t="b">
        <v>1</v>
      </c>
      <c r="O429" s="93" t="str">
        <f>IFERROR(__xludf.DUMMYFUNCTION("""COMPUTED_VALUE"""),"Fundraising, PR, Membership, Feeding, Shelter Maintenance")</f>
        <v>Fundraising, PR, Membership, Feeding, Shelter Maintenance</v>
      </c>
      <c r="P42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29" s="99"/>
    </row>
    <row r="430" ht="13.5" customHeight="1">
      <c r="A430" s="149">
        <f>IFERROR(__xludf.DUMMYFUNCTION("""COMPUTED_VALUE"""),45666.68782039352)</f>
        <v>45666.68782</v>
      </c>
      <c r="B430" s="149" t="b">
        <v>0</v>
      </c>
      <c r="C430" s="149" t="str">
        <f t="shared" si="2"/>
        <v>Spring 2025</v>
      </c>
      <c r="D430" s="151" t="str">
        <f>IFERROR(__xludf.DUMMYFUNCTION("""COMPUTED_VALUE"""),"jimmie.davis@uta.edu")</f>
        <v>jimmie.davis@uta.edu</v>
      </c>
      <c r="E430" s="152" t="str">
        <f>IFERROR(__xludf.DUMMYFUNCTION("""COMPUTED_VALUE"""),"Bud Davis ")</f>
        <v>Bud Davis </v>
      </c>
      <c r="F430" s="153" t="str">
        <f>IFERROR(__xludf.DUMMYFUNCTION("""COMPUTED_VALUE"""),"Bdavis_25738")</f>
        <v>Bdavis_25738</v>
      </c>
      <c r="G430" s="152"/>
      <c r="H430" s="154" t="str">
        <f>IFERROR(__xludf.DUMMYFUNCTION("""COMPUTED_VALUE"""),"")</f>
        <v/>
      </c>
      <c r="I430" s="154" t="str">
        <f>IFERROR(__xludf.DUMMYFUNCTION("""COMPUTED_VALUE"""),"UTA Faculty")</f>
        <v>UTA Faculty</v>
      </c>
      <c r="J430" s="153" t="str">
        <f>IFERROR(__xludf.DUMMYFUNCTION("""COMPUTED_VALUE"""),"$15 Donation, Discord Verification")</f>
        <v>$15 Donation, Discord Verification</v>
      </c>
      <c r="K430" s="174" t="b">
        <v>0</v>
      </c>
      <c r="L430" s="156" t="str">
        <f>IFERROR(__xludf.DUMMYFUNCTION("""COMPUTED_VALUE"""),"Cashapp")</f>
        <v>Cashapp</v>
      </c>
      <c r="M430" s="174">
        <v>0.0</v>
      </c>
      <c r="N430" s="171" t="b">
        <v>0</v>
      </c>
      <c r="O430" s="153" t="str">
        <f>IFERROR(__xludf.DUMMYFUNCTION("""COMPUTED_VALUE"""),".")</f>
        <v>.</v>
      </c>
      <c r="P430" s="157"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30" s="158" t="s">
        <v>84</v>
      </c>
    </row>
    <row r="431" ht="13.5" customHeight="1">
      <c r="A431" s="88">
        <f>IFERROR(__xludf.DUMMYFUNCTION("""COMPUTED_VALUE"""),45666.84743141204)</f>
        <v>45666.84743</v>
      </c>
      <c r="B431" s="89" t="b">
        <v>1</v>
      </c>
      <c r="C431" s="90" t="str">
        <f t="shared" si="2"/>
        <v>Spring 2025</v>
      </c>
      <c r="D431" s="91" t="str">
        <f>IFERROR(__xludf.DUMMYFUNCTION("""COMPUTED_VALUE"""),"jimmie.davis@uta.edu")</f>
        <v>jimmie.davis@uta.edu</v>
      </c>
      <c r="E431" s="92" t="str">
        <f>IFERROR(__xludf.DUMMYFUNCTION("""COMPUTED_VALUE"""),"Bud Davis")</f>
        <v>Bud Davis</v>
      </c>
      <c r="F431" s="93" t="str">
        <f>IFERROR(__xludf.DUMMYFUNCTION("""COMPUTED_VALUE"""),"none")</f>
        <v>none</v>
      </c>
      <c r="G431" s="92"/>
      <c r="H431" s="94" t="str">
        <f>IFERROR(__xludf.DUMMYFUNCTION("""COMPUTED_VALUE"""),"(817) 323-7143")</f>
        <v>(817) 323-7143</v>
      </c>
      <c r="I431" s="94" t="str">
        <f>IFERROR(__xludf.DUMMYFUNCTION("""COMPUTED_VALUE"""),"UTA Faculty")</f>
        <v>UTA Faculty</v>
      </c>
      <c r="J431" s="93" t="str">
        <f>IFERROR(__xludf.DUMMYFUNCTION("""COMPUTED_VALUE"""),"$15 Donation, Discord Verification")</f>
        <v>$15 Donation, Discord Verification</v>
      </c>
      <c r="K431" s="100" t="b">
        <v>0</v>
      </c>
      <c r="L431" s="101" t="str">
        <f>IFERROR(__xludf.DUMMYFUNCTION("""COMPUTED_VALUE"""),"Cashapp")</f>
        <v>Cashapp</v>
      </c>
      <c r="M431" s="175">
        <v>0.0</v>
      </c>
      <c r="N431" s="97" t="b">
        <v>1</v>
      </c>
      <c r="O431" s="93" t="str">
        <f>IFERROR(__xludf.DUMMYFUNCTION("""COMPUTED_VALUE"""),"Fostering")</f>
        <v>Fostering</v>
      </c>
      <c r="P43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31" s="102" t="s">
        <v>85</v>
      </c>
    </row>
    <row r="432" ht="13.5" customHeight="1">
      <c r="A432" s="88">
        <f>IFERROR(__xludf.DUMMYFUNCTION("""COMPUTED_VALUE"""),45670.459189988425)</f>
        <v>45670.45919</v>
      </c>
      <c r="B432" s="89" t="b">
        <v>1</v>
      </c>
      <c r="C432" s="90" t="str">
        <f t="shared" si="2"/>
        <v>Spring 2025</v>
      </c>
      <c r="D432" s="91" t="str">
        <f>IFERROR(__xludf.DUMMYFUNCTION("""COMPUTED_VALUE"""),"ald2369@mavs.uta.edu")</f>
        <v>ald2369@mavs.uta.edu</v>
      </c>
      <c r="E432" s="92" t="str">
        <f>IFERROR(__xludf.DUMMYFUNCTION("""COMPUTED_VALUE"""),"Annabelle Delpin ")</f>
        <v>Annabelle Delpin </v>
      </c>
      <c r="F432" s="93" t="str">
        <f>IFERROR(__xludf.DUMMYFUNCTION("""COMPUTED_VALUE"""),"swiftieanna13")</f>
        <v>swiftieanna13</v>
      </c>
      <c r="G432" s="92"/>
      <c r="H432" s="94" t="str">
        <f>IFERROR(__xludf.DUMMYFUNCTION("""COMPUTED_VALUE"""),"(817) 630-5096")</f>
        <v>(817) 630-5096</v>
      </c>
      <c r="I432" s="94" t="str">
        <f>IFERROR(__xludf.DUMMYFUNCTION("""COMPUTED_VALUE"""),"Student")</f>
        <v>Student</v>
      </c>
      <c r="J432" s="93" t="str">
        <f>IFERROR(__xludf.DUMMYFUNCTION("""COMPUTED_VALUE"""),"$15 Donation, Discord Verification")</f>
        <v>$15 Donation, Discord Verification</v>
      </c>
      <c r="K432" s="100" t="b">
        <v>0</v>
      </c>
      <c r="L432" s="101" t="str">
        <f>IFERROR(__xludf.DUMMYFUNCTION("""COMPUTED_VALUE"""),"Paypal")</f>
        <v>Paypal</v>
      </c>
      <c r="M432" s="175">
        <v>0.0</v>
      </c>
      <c r="N432" s="97" t="b">
        <v>1</v>
      </c>
      <c r="O432" s="93" t="str">
        <f>IFERROR(__xludf.DUMMYFUNCTION("""COMPUTED_VALUE"""),"Fundraising, PR, Membership, TNR, Feeding, Shelter Maintenance")</f>
        <v>Fundraising, PR, Membership, TNR, Feeding, Shelter Maintenance</v>
      </c>
      <c r="P43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32" s="99"/>
    </row>
    <row r="433" ht="13.5" customHeight="1">
      <c r="A433" s="88">
        <f>IFERROR(__xludf.DUMMYFUNCTION("""COMPUTED_VALUE"""),45670.46860373842)</f>
        <v>45670.4686</v>
      </c>
      <c r="B433" s="89" t="b">
        <v>1</v>
      </c>
      <c r="C433" s="90" t="str">
        <f t="shared" si="2"/>
        <v>Spring 2025</v>
      </c>
      <c r="D433" s="91" t="str">
        <f>IFERROR(__xludf.DUMMYFUNCTION("""COMPUTED_VALUE"""),"kec4657@mavs.uta.edu")</f>
        <v>kec4657@mavs.uta.edu</v>
      </c>
      <c r="E433" s="92" t="str">
        <f>IFERROR(__xludf.DUMMYFUNCTION("""COMPUTED_VALUE"""),"Kyra Crawford")</f>
        <v>Kyra Crawford</v>
      </c>
      <c r="F433" s="93" t="str">
        <f>IFERROR(__xludf.DUMMYFUNCTION("""COMPUTED_VALUE"""),".crawdaddy142")</f>
        <v>.crawdaddy142</v>
      </c>
      <c r="G433" s="92"/>
      <c r="H433" s="94" t="str">
        <f>IFERROR(__xludf.DUMMYFUNCTION("""COMPUTED_VALUE"""),"(214) 549-5249")</f>
        <v>(214) 549-5249</v>
      </c>
      <c r="I433" s="94" t="str">
        <f>IFERROR(__xludf.DUMMYFUNCTION("""COMPUTED_VALUE"""),"Student")</f>
        <v>Student</v>
      </c>
      <c r="J433" s="93" t="str">
        <f>IFERROR(__xludf.DUMMYFUNCTION("""COMPUTED_VALUE"""),"$15 Donation, Discord Verification")</f>
        <v>$15 Donation, Discord Verification</v>
      </c>
      <c r="K433" s="100" t="b">
        <v>0</v>
      </c>
      <c r="L433" s="101" t="str">
        <f>IFERROR(__xludf.DUMMYFUNCTION("""COMPUTED_VALUE"""),"Cashapp")</f>
        <v>Cashapp</v>
      </c>
      <c r="M433" s="175">
        <v>0.0</v>
      </c>
      <c r="N433" s="97" t="b">
        <v>1</v>
      </c>
      <c r="O433" s="93" t="str">
        <f>IFERROR(__xludf.DUMMYFUNCTION("""COMPUTED_VALUE"""),"Feeding, Shelter Maintenance")</f>
        <v>Feeding, Shelter Maintenance</v>
      </c>
      <c r="P43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33" s="99"/>
    </row>
    <row r="434" ht="13.5" customHeight="1">
      <c r="A434" s="88">
        <f>IFERROR(__xludf.DUMMYFUNCTION("""COMPUTED_VALUE"""),45670.507037303236)</f>
        <v>45670.50704</v>
      </c>
      <c r="B434" s="89" t="b">
        <v>1</v>
      </c>
      <c r="C434" s="90" t="str">
        <f t="shared" si="2"/>
        <v>Spring 2025</v>
      </c>
      <c r="D434" s="91" t="str">
        <f>IFERROR(__xludf.DUMMYFUNCTION("""COMPUTED_VALUE"""),"amp3840@mavs.uta.edu")</f>
        <v>amp3840@mavs.uta.edu</v>
      </c>
      <c r="E434" s="92" t="str">
        <f>IFERROR(__xludf.DUMMYFUNCTION("""COMPUTED_VALUE"""),"Alysa Potter")</f>
        <v>Alysa Potter</v>
      </c>
      <c r="F434" s="93" t="str">
        <f>IFERROR(__xludf.DUMMYFUNCTION("""COMPUTED_VALUE"""),"SimplyShadow171295")</f>
        <v>SimplyShadow171295</v>
      </c>
      <c r="G434" s="92"/>
      <c r="H434" s="94" t="str">
        <f>IFERROR(__xludf.DUMMYFUNCTION("""COMPUTED_VALUE"""),"(817) 307-3437")</f>
        <v>(817) 307-3437</v>
      </c>
      <c r="I434" s="94" t="str">
        <f>IFERROR(__xludf.DUMMYFUNCTION("""COMPUTED_VALUE"""),"Student")</f>
        <v>Student</v>
      </c>
      <c r="J434" s="93" t="str">
        <f>IFERROR(__xludf.DUMMYFUNCTION("""COMPUTED_VALUE"""),"$15 Donation, Discord Verification")</f>
        <v>$15 Donation, Discord Verification</v>
      </c>
      <c r="K434" s="100" t="b">
        <v>0</v>
      </c>
      <c r="L434" s="101" t="str">
        <f>IFERROR(__xludf.DUMMYFUNCTION("""COMPUTED_VALUE"""),"Paypal")</f>
        <v>Paypal</v>
      </c>
      <c r="M434" s="175">
        <v>0.0</v>
      </c>
      <c r="N434" s="97" t="b">
        <v>1</v>
      </c>
      <c r="O434" s="93" t="str">
        <f>IFERROR(__xludf.DUMMYFUNCTION("""COMPUTED_VALUE"""),"Fundraising, PR, Feeding")</f>
        <v>Fundraising, PR, Feeding</v>
      </c>
      <c r="P43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34" s="99"/>
    </row>
    <row r="435" ht="13.5" customHeight="1">
      <c r="A435" s="88">
        <f>IFERROR(__xludf.DUMMYFUNCTION("""COMPUTED_VALUE"""),45670.55655311343)</f>
        <v>45670.55655</v>
      </c>
      <c r="B435" s="89" t="b">
        <v>1</v>
      </c>
      <c r="C435" s="90" t="str">
        <f t="shared" si="2"/>
        <v>Spring 2025</v>
      </c>
      <c r="D435" s="91" t="str">
        <f>IFERROR(__xludf.DUMMYFUNCTION("""COMPUTED_VALUE"""),"gxs0630@mavs.uta.edu")</f>
        <v>gxs0630@mavs.uta.edu</v>
      </c>
      <c r="E435" s="92" t="str">
        <f>IFERROR(__xludf.DUMMYFUNCTION("""COMPUTED_VALUE"""),"Gunjan Shrestha")</f>
        <v>Gunjan Shrestha</v>
      </c>
      <c r="F435" s="93" t="str">
        <f>IFERROR(__xludf.DUMMYFUNCTION("""COMPUTED_VALUE"""),"elusive")</f>
        <v>elusive</v>
      </c>
      <c r="G435" s="92"/>
      <c r="H435" s="94" t="str">
        <f>IFERROR(__xludf.DUMMYFUNCTION("""COMPUTED_VALUE"""),"(347) 727-9856")</f>
        <v>(347) 727-9856</v>
      </c>
      <c r="I435" s="94" t="str">
        <f>IFERROR(__xludf.DUMMYFUNCTION("""COMPUTED_VALUE"""),"Student")</f>
        <v>Student</v>
      </c>
      <c r="J435" s="93" t="str">
        <f>IFERROR(__xludf.DUMMYFUNCTION("""COMPUTED_VALUE"""),"$15 Donation, Discord Verification")</f>
        <v>$15 Donation, Discord Verification</v>
      </c>
      <c r="K435" s="100" t="b">
        <v>0</v>
      </c>
      <c r="L435" s="101" t="str">
        <f>IFERROR(__xludf.DUMMYFUNCTION("""COMPUTED_VALUE"""),"Paypal")</f>
        <v>Paypal</v>
      </c>
      <c r="M435" s="175">
        <v>0.0</v>
      </c>
      <c r="N435" s="97" t="b">
        <v>1</v>
      </c>
      <c r="O435" s="93" t="str">
        <f>IFERROR(__xludf.DUMMYFUNCTION("""COMPUTED_VALUE"""),"PR, TNR, Overnight TNR, Feeding, Shelter Maintenance")</f>
        <v>PR, TNR, Overnight TNR, Feeding, Shelter Maintenance</v>
      </c>
      <c r="P43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35" s="99"/>
    </row>
    <row r="436" ht="13.5" customHeight="1">
      <c r="A436" s="88">
        <f>IFERROR(__xludf.DUMMYFUNCTION("""COMPUTED_VALUE"""),45671.637458530095)</f>
        <v>45671.63746</v>
      </c>
      <c r="B436" s="89" t="b">
        <v>1</v>
      </c>
      <c r="C436" s="90" t="str">
        <f t="shared" si="2"/>
        <v>Spring 2025</v>
      </c>
      <c r="D436" s="91" t="str">
        <f>IFERROR(__xludf.DUMMYFUNCTION("""COMPUTED_VALUE"""),"jxw1244@mavs.uta.edu")</f>
        <v>jxw1244@mavs.uta.edu</v>
      </c>
      <c r="E436" s="92" t="str">
        <f>IFERROR(__xludf.DUMMYFUNCTION("""COMPUTED_VALUE"""),"Jane Wang")</f>
        <v>Jane Wang</v>
      </c>
      <c r="F436" s="93" t="str">
        <f>IFERROR(__xludf.DUMMYFUNCTION("""COMPUTED_VALUE"""),"janeirl")</f>
        <v>janeirl</v>
      </c>
      <c r="G436" s="92"/>
      <c r="H436" s="94" t="str">
        <f>IFERROR(__xludf.DUMMYFUNCTION("""COMPUTED_VALUE"""),"")</f>
        <v/>
      </c>
      <c r="I436" s="94" t="str">
        <f>IFERROR(__xludf.DUMMYFUNCTION("""COMPUTED_VALUE"""),"Student")</f>
        <v>Student</v>
      </c>
      <c r="J436" s="93" t="str">
        <f>IFERROR(__xludf.DUMMYFUNCTION("""COMPUTED_VALUE"""),"$15 Donation, Discord Verification")</f>
        <v>$15 Donation, Discord Verification</v>
      </c>
      <c r="K436" s="100" t="b">
        <v>0</v>
      </c>
      <c r="L436" s="101" t="str">
        <f>IFERROR(__xludf.DUMMYFUNCTION("""COMPUTED_VALUE"""),"Venmo")</f>
        <v>Venmo</v>
      </c>
      <c r="M436" s="95">
        <v>0.0</v>
      </c>
      <c r="N436" s="97" t="b">
        <v>1</v>
      </c>
      <c r="O436" s="93" t="str">
        <f>IFERROR(__xludf.DUMMYFUNCTION("""COMPUTED_VALUE"""),"TNR, Feeding")</f>
        <v>TNR, Feeding</v>
      </c>
      <c r="P43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36" s="99"/>
    </row>
    <row r="437" ht="13.5" customHeight="1">
      <c r="A437" s="88">
        <f>IFERROR(__xludf.DUMMYFUNCTION("""COMPUTED_VALUE"""),45671.9264784838)</f>
        <v>45671.92648</v>
      </c>
      <c r="B437" s="149" t="b">
        <v>0</v>
      </c>
      <c r="C437" s="90" t="str">
        <f t="shared" si="2"/>
        <v>Spring 2025</v>
      </c>
      <c r="D437" s="176" t="str">
        <f>IFERROR(__xludf.DUMMYFUNCTION("""COMPUTED_VALUE"""),"williamcleland04@gmail.com")</f>
        <v>williamcleland04@gmail.com</v>
      </c>
      <c r="E437" s="92" t="str">
        <f>IFERROR(__xludf.DUMMYFUNCTION("""COMPUTED_VALUE"""),"William Cleland")</f>
        <v>William Cleland</v>
      </c>
      <c r="F437" s="93" t="str">
        <f>IFERROR(__xludf.DUMMYFUNCTION("""COMPUTED_VALUE"""),"kcreepertux04")</f>
        <v>kcreepertux04</v>
      </c>
      <c r="G437" s="92"/>
      <c r="H437" s="94" t="str">
        <f>IFERROR(__xludf.DUMMYFUNCTION("""COMPUTED_VALUE"""),"(972) 765-1536")</f>
        <v>(972) 765-1536</v>
      </c>
      <c r="I437" s="94" t="str">
        <f>IFERROR(__xludf.DUMMYFUNCTION("""COMPUTED_VALUE"""),"Community Member")</f>
        <v>Community Member</v>
      </c>
      <c r="J437" s="93" t="str">
        <f>IFERROR(__xludf.DUMMYFUNCTION("""COMPUTED_VALUE"""),"$15 Donation, Discord Verification")</f>
        <v>$15 Donation, Discord Verification</v>
      </c>
      <c r="K437" s="100" t="b">
        <v>0</v>
      </c>
      <c r="L437" s="101" t="str">
        <f>IFERROR(__xludf.DUMMYFUNCTION("""COMPUTED_VALUE"""),"Paypal")</f>
        <v>Paypal</v>
      </c>
      <c r="M437" s="95">
        <v>0.0</v>
      </c>
      <c r="N437" s="97" t="b">
        <v>1</v>
      </c>
      <c r="O437" s="93" t="str">
        <f>IFERROR(__xludf.DUMMYFUNCTION("""COMPUTED_VALUE"""),"im just here to vibe and gib moneyz")</f>
        <v>im just here to vibe and gib moneyz</v>
      </c>
      <c r="P43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37" s="102" t="s">
        <v>86</v>
      </c>
    </row>
    <row r="438" ht="13.5" customHeight="1">
      <c r="A438" s="88">
        <f>IFERROR(__xludf.DUMMYFUNCTION("""COMPUTED_VALUE"""),45673.513419317125)</f>
        <v>45673.51342</v>
      </c>
      <c r="B438" s="89" t="b">
        <v>1</v>
      </c>
      <c r="C438" s="90" t="str">
        <f t="shared" si="2"/>
        <v>Spring 2025</v>
      </c>
      <c r="D438" s="91" t="str">
        <f>IFERROR(__xludf.DUMMYFUNCTION("""COMPUTED_VALUE"""),"kendall.hendrix@mavs.uta.edu")</f>
        <v>kendall.hendrix@mavs.uta.edu</v>
      </c>
      <c r="E438" s="92" t="str">
        <f>IFERROR(__xludf.DUMMYFUNCTION("""COMPUTED_VALUE"""),"Kendall Hendrix")</f>
        <v>Kendall Hendrix</v>
      </c>
      <c r="F438" s="93" t="str">
        <f>IFERROR(__xludf.DUMMYFUNCTION("""COMPUTED_VALUE"""),"kendallhx")</f>
        <v>kendallhx</v>
      </c>
      <c r="G438" s="92"/>
      <c r="H438" s="94" t="str">
        <f>IFERROR(__xludf.DUMMYFUNCTION("""COMPUTED_VALUE"""),"")</f>
        <v/>
      </c>
      <c r="I438" s="94" t="str">
        <f>IFERROR(__xludf.DUMMYFUNCTION("""COMPUTED_VALUE"""),"Student")</f>
        <v>Student</v>
      </c>
      <c r="J438" s="93" t="str">
        <f>IFERROR(__xludf.DUMMYFUNCTION("""COMPUTED_VALUE"""),"$15 Donation, Discord Verification")</f>
        <v>$15 Donation, Discord Verification</v>
      </c>
      <c r="K438" s="100" t="b">
        <v>0</v>
      </c>
      <c r="L438" s="101" t="str">
        <f>IFERROR(__xludf.DUMMYFUNCTION("""COMPUTED_VALUE"""),"Venmo")</f>
        <v>Venmo</v>
      </c>
      <c r="M438" s="95">
        <v>0.0</v>
      </c>
      <c r="N438" s="97" t="b">
        <v>1</v>
      </c>
      <c r="O438" s="93" t="str">
        <f>IFERROR(__xludf.DUMMYFUNCTION("""COMPUTED_VALUE"""),"Fundraising, PR, Membership, TNR, Feeding, Shelter Maintenance")</f>
        <v>Fundraising, PR, Membership, TNR, Feeding, Shelter Maintenance</v>
      </c>
      <c r="P43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38" s="99"/>
    </row>
    <row r="439" ht="13.5" customHeight="1">
      <c r="A439" s="88">
        <f>IFERROR(__xludf.DUMMYFUNCTION("""COMPUTED_VALUE"""),45675.056694618055)</f>
        <v>45675.05669</v>
      </c>
      <c r="B439" s="89" t="b">
        <v>1</v>
      </c>
      <c r="C439" s="90" t="str">
        <f t="shared" si="2"/>
        <v>Spring 2025</v>
      </c>
      <c r="D439" s="91" t="str">
        <f>IFERROR(__xludf.DUMMYFUNCTION("""COMPUTED_VALUE"""),"amanda.wegner@uta.edu")</f>
        <v>amanda.wegner@uta.edu</v>
      </c>
      <c r="E439" s="92" t="str">
        <f>IFERROR(__xludf.DUMMYFUNCTION("""COMPUTED_VALUE"""),"Amanda Wegner")</f>
        <v>Amanda Wegner</v>
      </c>
      <c r="F439" s="93" t="str">
        <f>IFERROR(__xludf.DUMMYFUNCTION("""COMPUTED_VALUE"""),"Amanda/amashko")</f>
        <v>Amanda/amashko</v>
      </c>
      <c r="G439" s="92"/>
      <c r="H439" s="94" t="str">
        <f>IFERROR(__xludf.DUMMYFUNCTION("""COMPUTED_VALUE"""),"")</f>
        <v/>
      </c>
      <c r="I439" s="94" t="str">
        <f>IFERROR(__xludf.DUMMYFUNCTION("""COMPUTED_VALUE"""),"UTA Faculty")</f>
        <v>UTA Faculty</v>
      </c>
      <c r="J439" s="93" t="str">
        <f>IFERROR(__xludf.DUMMYFUNCTION("""COMPUTED_VALUE"""),"$15 Donation, Discord Verification")</f>
        <v>$15 Donation, Discord Verification</v>
      </c>
      <c r="K439" s="100" t="b">
        <v>0</v>
      </c>
      <c r="L439" s="101" t="str">
        <f>IFERROR(__xludf.DUMMYFUNCTION("""COMPUTED_VALUE"""),"Venmo")</f>
        <v>Venmo</v>
      </c>
      <c r="M439" s="95">
        <v>0.0</v>
      </c>
      <c r="N439" s="97" t="b">
        <v>1</v>
      </c>
      <c r="O439" s="93" t="str">
        <f>IFERROR(__xludf.DUMMYFUNCTION("""COMPUTED_VALUE"""),"Fundraising, TNR, Feeding, Shelter Maintenance")</f>
        <v>Fundraising, TNR, Feeding, Shelter Maintenance</v>
      </c>
      <c r="P43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39" s="99"/>
    </row>
    <row r="440" ht="13.5" customHeight="1">
      <c r="A440" s="88">
        <f>IFERROR(__xludf.DUMMYFUNCTION("""COMPUTED_VALUE"""),45675.50977096065)</f>
        <v>45675.50977</v>
      </c>
      <c r="B440" s="89" t="b">
        <v>1</v>
      </c>
      <c r="C440" s="90" t="str">
        <f t="shared" si="2"/>
        <v>Spring 2025</v>
      </c>
      <c r="D440" s="91" t="str">
        <f>IFERROR(__xludf.DUMMYFUNCTION("""COMPUTED_VALUE"""),"cxm7161@mavs.uta.edu")</f>
        <v>cxm7161@mavs.uta.edu</v>
      </c>
      <c r="E440" s="92" t="str">
        <f>IFERROR(__xludf.DUMMYFUNCTION("""COMPUTED_VALUE"""),"Caleb Moran")</f>
        <v>Caleb Moran</v>
      </c>
      <c r="F440" s="93" t="str">
        <f>IFERROR(__xludf.DUMMYFUNCTION("""COMPUTED_VALUE"""),"sgt.mammoth")</f>
        <v>sgt.mammoth</v>
      </c>
      <c r="G440" s="92"/>
      <c r="H440" s="94" t="str">
        <f>IFERROR(__xludf.DUMMYFUNCTION("""COMPUTED_VALUE"""),"(817) 201-1988")</f>
        <v>(817) 201-1988</v>
      </c>
      <c r="I440" s="94" t="str">
        <f>IFERROR(__xludf.DUMMYFUNCTION("""COMPUTED_VALUE"""),"Student")</f>
        <v>Student</v>
      </c>
      <c r="J440" s="93" t="str">
        <f>IFERROR(__xludf.DUMMYFUNCTION("""COMPUTED_VALUE"""),"$15 Donation, Discord Verification")</f>
        <v>$15 Donation, Discord Verification</v>
      </c>
      <c r="K440" s="100" t="b">
        <v>0</v>
      </c>
      <c r="L440" s="101" t="str">
        <f>IFERROR(__xludf.DUMMYFUNCTION("""COMPUTED_VALUE"""),"Venmo")</f>
        <v>Venmo</v>
      </c>
      <c r="M440" s="95">
        <v>0.0</v>
      </c>
      <c r="N440" s="97" t="b">
        <v>1</v>
      </c>
      <c r="O440" s="93" t="str">
        <f>IFERROR(__xludf.DUMMYFUNCTION("""COMPUTED_VALUE"""),"PR, Membership, TNR, Overnight TNR, Feeding, Shelter Maintenance")</f>
        <v>PR, Membership, TNR, Overnight TNR, Feeding, Shelter Maintenance</v>
      </c>
      <c r="P44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40" s="99"/>
    </row>
    <row r="441" ht="13.5" customHeight="1">
      <c r="A441" s="88">
        <f>IFERROR(__xludf.DUMMYFUNCTION("""COMPUTED_VALUE"""),45676.96143081019)</f>
        <v>45676.96143</v>
      </c>
      <c r="B441" s="89" t="b">
        <v>1</v>
      </c>
      <c r="C441" s="90" t="str">
        <f t="shared" si="2"/>
        <v>Spring 2025</v>
      </c>
      <c r="D441" s="91" t="str">
        <f>IFERROR(__xludf.DUMMYFUNCTION("""COMPUTED_VALUE"""),"dsf1084@mavs.uta.edu")</f>
        <v>dsf1084@mavs.uta.edu</v>
      </c>
      <c r="E441" s="92" t="str">
        <f>IFERROR(__xludf.DUMMYFUNCTION("""COMPUTED_VALUE"""),"Derek Fuentes")</f>
        <v>Derek Fuentes</v>
      </c>
      <c r="F441" s="93" t="str">
        <f>IFERROR(__xludf.DUMMYFUNCTION("""COMPUTED_VALUE"""),"a1darek")</f>
        <v>a1darek</v>
      </c>
      <c r="G441" s="92"/>
      <c r="H441" s="94" t="str">
        <f>IFERROR(__xludf.DUMMYFUNCTION("""COMPUTED_VALUE"""),"(682) 203-0235")</f>
        <v>(682) 203-0235</v>
      </c>
      <c r="I441" s="94" t="str">
        <f>IFERROR(__xludf.DUMMYFUNCTION("""COMPUTED_VALUE"""),"Student")</f>
        <v>Student</v>
      </c>
      <c r="J441" s="93" t="str">
        <f>IFERROR(__xludf.DUMMYFUNCTION("""COMPUTED_VALUE"""),"$15 Donation, Discord Verification")</f>
        <v>$15 Donation, Discord Verification</v>
      </c>
      <c r="K441" s="100" t="b">
        <v>0</v>
      </c>
      <c r="L441" s="101" t="str">
        <f>IFERROR(__xludf.DUMMYFUNCTION("""COMPUTED_VALUE"""),"Paypal")</f>
        <v>Paypal</v>
      </c>
      <c r="M441" s="95">
        <v>0.0</v>
      </c>
      <c r="N441" s="97" t="b">
        <v>1</v>
      </c>
      <c r="O441" s="93" t="str">
        <f>IFERROR(__xludf.DUMMYFUNCTION("""COMPUTED_VALUE"""),"burger")</f>
        <v>burger</v>
      </c>
      <c r="P44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41" s="102" t="s">
        <v>87</v>
      </c>
    </row>
    <row r="442" ht="13.5" customHeight="1">
      <c r="A442" s="88">
        <f>IFERROR(__xludf.DUMMYFUNCTION("""COMPUTED_VALUE"""),45677.47201949074)</f>
        <v>45677.47202</v>
      </c>
      <c r="B442" s="89" t="b">
        <v>1</v>
      </c>
      <c r="C442" s="90" t="str">
        <f t="shared" si="2"/>
        <v>Spring 2025</v>
      </c>
      <c r="D442" s="91" t="str">
        <f>IFERROR(__xludf.DUMMYFUNCTION("""COMPUTED_VALUE"""),"ixs2264@mavs.uta.edu")</f>
        <v>ixs2264@mavs.uta.edu</v>
      </c>
      <c r="E442" s="92" t="str">
        <f>IFERROR(__xludf.DUMMYFUNCTION("""COMPUTED_VALUE"""),"Isabel Silva")</f>
        <v>Isabel Silva</v>
      </c>
      <c r="F442" s="93" t="str">
        <f>IFERROR(__xludf.DUMMYFUNCTION("""COMPUTED_VALUE"""),"the.lemonade.stand")</f>
        <v>the.lemonade.stand</v>
      </c>
      <c r="G442" s="92"/>
      <c r="H442" s="94" t="str">
        <f>IFERROR(__xludf.DUMMYFUNCTION("""COMPUTED_VALUE"""),"(817) 818-6106")</f>
        <v>(817) 818-6106</v>
      </c>
      <c r="I442" s="94" t="str">
        <f>IFERROR(__xludf.DUMMYFUNCTION("""COMPUTED_VALUE"""),"Student")</f>
        <v>Student</v>
      </c>
      <c r="J442" s="93" t="str">
        <f>IFERROR(__xludf.DUMMYFUNCTION("""COMPUTED_VALUE"""),"$15 Donation, Discord Verification")</f>
        <v>$15 Donation, Discord Verification</v>
      </c>
      <c r="K442" s="100" t="b">
        <v>0</v>
      </c>
      <c r="L442" s="101" t="str">
        <f>IFERROR(__xludf.DUMMYFUNCTION("""COMPUTED_VALUE"""),"Venmo")</f>
        <v>Venmo</v>
      </c>
      <c r="M442" s="95">
        <v>0.0</v>
      </c>
      <c r="N442" s="97" t="b">
        <v>1</v>
      </c>
      <c r="O442" s="93" t="str">
        <f>IFERROR(__xludf.DUMMYFUNCTION("""COMPUTED_VALUE"""),"treasurerrrrrrrrrrrrr")</f>
        <v>treasurerrrrrrrrrrrrr</v>
      </c>
      <c r="P44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42" s="99"/>
    </row>
    <row r="443" ht="13.5" customHeight="1">
      <c r="A443" s="88">
        <f>IFERROR(__xludf.DUMMYFUNCTION("""COMPUTED_VALUE"""),45677.715014988426)</f>
        <v>45677.71501</v>
      </c>
      <c r="B443" s="89" t="b">
        <v>1</v>
      </c>
      <c r="C443" s="90" t="str">
        <f t="shared" si="2"/>
        <v>Spring 2025</v>
      </c>
      <c r="D443" s="91" t="str">
        <f>IFERROR(__xludf.DUMMYFUNCTION("""COMPUTED_VALUE"""),"cgs0882@mavs.uta.edu")</f>
        <v>cgs0882@mavs.uta.edu</v>
      </c>
      <c r="E443" s="92" t="str">
        <f>IFERROR(__xludf.DUMMYFUNCTION("""COMPUTED_VALUE"""),"Celeste Smith")</f>
        <v>Celeste Smith</v>
      </c>
      <c r="F443" s="93" t="str">
        <f>IFERROR(__xludf.DUMMYFUNCTION("""COMPUTED_VALUE"""),"celeryiscelery")</f>
        <v>celeryiscelery</v>
      </c>
      <c r="G443" s="92"/>
      <c r="H443" s="94" t="str">
        <f>IFERROR(__xludf.DUMMYFUNCTION("""COMPUTED_VALUE"""),"(801) 970-0281")</f>
        <v>(801) 970-0281</v>
      </c>
      <c r="I443" s="94" t="str">
        <f>IFERROR(__xludf.DUMMYFUNCTION("""COMPUTED_VALUE"""),"Student")</f>
        <v>Student</v>
      </c>
      <c r="J443" s="93" t="str">
        <f>IFERROR(__xludf.DUMMYFUNCTION("""COMPUTED_VALUE"""),"$15 Donation, Discord Verification")</f>
        <v>$15 Donation, Discord Verification</v>
      </c>
      <c r="K443" s="100" t="b">
        <v>0</v>
      </c>
      <c r="L443" s="101" t="str">
        <f>IFERROR(__xludf.DUMMYFUNCTION("""COMPUTED_VALUE"""),"Cashapp")</f>
        <v>Cashapp</v>
      </c>
      <c r="M443" s="95">
        <v>0.0</v>
      </c>
      <c r="N443" s="97" t="b">
        <v>1</v>
      </c>
      <c r="O443" s="93" t="str">
        <f>IFERROR(__xludf.DUMMYFUNCTION("""COMPUTED_VALUE"""),"Fostering")</f>
        <v>Fostering</v>
      </c>
      <c r="P44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43" s="99"/>
    </row>
    <row r="444" ht="13.5" customHeight="1">
      <c r="A444" s="88">
        <f>IFERROR(__xludf.DUMMYFUNCTION("""COMPUTED_VALUE"""),45677.73088347222)</f>
        <v>45677.73088</v>
      </c>
      <c r="B444" s="89" t="b">
        <v>1</v>
      </c>
      <c r="C444" s="90" t="str">
        <f t="shared" si="2"/>
        <v>Spring 2025</v>
      </c>
      <c r="D444" s="91" t="str">
        <f>IFERROR(__xludf.DUMMYFUNCTION("""COMPUTED_VALUE"""),"bnw0860@mavs.uta.edu")</f>
        <v>bnw0860@mavs.uta.edu</v>
      </c>
      <c r="E444" s="92" t="str">
        <f>IFERROR(__xludf.DUMMYFUNCTION("""COMPUTED_VALUE"""),"Dorcha Whitney ")</f>
        <v>Dorcha Whitney </v>
      </c>
      <c r="F444" s="93" t="str">
        <f>IFERROR(__xludf.DUMMYFUNCTION("""COMPUTED_VALUE"""),"@reyesthighs/ stringworm Roach enjoyer")</f>
        <v>@reyesthighs/ stringworm Roach enjoyer</v>
      </c>
      <c r="G444" s="92"/>
      <c r="H444" s="94" t="str">
        <f>IFERROR(__xludf.DUMMYFUNCTION("""COMPUTED_VALUE"""),"(817) 231-3826")</f>
        <v>(817) 231-3826</v>
      </c>
      <c r="I444" s="94" t="str">
        <f>IFERROR(__xludf.DUMMYFUNCTION("""COMPUTED_VALUE"""),"Student")</f>
        <v>Student</v>
      </c>
      <c r="J444" s="93" t="str">
        <f>IFERROR(__xludf.DUMMYFUNCTION("""COMPUTED_VALUE"""),"Food/Litter Donation")</f>
        <v>Food/Litter Donation</v>
      </c>
      <c r="K444" s="100" t="b">
        <v>0</v>
      </c>
      <c r="L444" s="101"/>
      <c r="M444" s="100"/>
      <c r="N444" s="97" t="b">
        <v>1</v>
      </c>
      <c r="O444" s="93" t="str">
        <f>IFERROR(__xludf.DUMMYFUNCTION("""COMPUTED_VALUE"""),"TNR, Overnight TNR, Feeding")</f>
        <v>TNR, Overnight TNR, Feeding</v>
      </c>
      <c r="P44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44" s="99"/>
    </row>
    <row r="445" ht="13.5" customHeight="1">
      <c r="A445" s="88">
        <f>IFERROR(__xludf.DUMMYFUNCTION("""COMPUTED_VALUE"""),45678.60584787037)</f>
        <v>45678.60585</v>
      </c>
      <c r="B445" s="89" t="b">
        <v>1</v>
      </c>
      <c r="C445" s="90" t="str">
        <f t="shared" si="2"/>
        <v>Spring 2025</v>
      </c>
      <c r="D445" s="91" t="str">
        <f>IFERROR(__xludf.DUMMYFUNCTION("""COMPUTED_VALUE"""),"exb7401@mavs.uta.edu")</f>
        <v>exb7401@mavs.uta.edu</v>
      </c>
      <c r="E445" s="92" t="str">
        <f>IFERROR(__xludf.DUMMYFUNCTION("""COMPUTED_VALUE"""),"Eduardo Barrera")</f>
        <v>Eduardo Barrera</v>
      </c>
      <c r="F445" s="93" t="str">
        <f>IFERROR(__xludf.DUMMYFUNCTION("""COMPUTED_VALUE"""),"diaxart")</f>
        <v>diaxart</v>
      </c>
      <c r="G445" s="92"/>
      <c r="H445" s="94" t="str">
        <f>IFERROR(__xludf.DUMMYFUNCTION("""COMPUTED_VALUE"""),"(682) 320-1972")</f>
        <v>(682) 320-1972</v>
      </c>
      <c r="I445" s="94" t="str">
        <f>IFERROR(__xludf.DUMMYFUNCTION("""COMPUTED_VALUE"""),"Student")</f>
        <v>Student</v>
      </c>
      <c r="J445" s="93" t="str">
        <f>IFERROR(__xludf.DUMMYFUNCTION("""COMPUTED_VALUE"""),"$15 Donation, Discord Verification")</f>
        <v>$15 Donation, Discord Verification</v>
      </c>
      <c r="K445" s="100" t="b">
        <v>0</v>
      </c>
      <c r="L445" s="101" t="str">
        <f>IFERROR(__xludf.DUMMYFUNCTION("""COMPUTED_VALUE"""),"Paypal")</f>
        <v>Paypal</v>
      </c>
      <c r="M445" s="95">
        <v>0.0</v>
      </c>
      <c r="N445" s="97" t="b">
        <v>1</v>
      </c>
      <c r="O445" s="93" t="str">
        <f>IFERROR(__xludf.DUMMYFUNCTION("""COMPUTED_VALUE"""),"Feeding")</f>
        <v>Feeding</v>
      </c>
      <c r="P44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45" s="99"/>
    </row>
    <row r="446" ht="13.5" customHeight="1">
      <c r="A446" s="88">
        <f>IFERROR(__xludf.DUMMYFUNCTION("""COMPUTED_VALUE"""),45679.515626458335)</f>
        <v>45679.51563</v>
      </c>
      <c r="B446" s="89" t="b">
        <v>1</v>
      </c>
      <c r="C446" s="90" t="str">
        <f t="shared" si="2"/>
        <v>Spring 2025</v>
      </c>
      <c r="D446" s="91" t="str">
        <f>IFERROR(__xludf.DUMMYFUNCTION("""COMPUTED_VALUE"""),"hgl7818@mavs.uta.edu")</f>
        <v>hgl7818@mavs.uta.edu</v>
      </c>
      <c r="E446" s="92" t="str">
        <f>IFERROR(__xludf.DUMMYFUNCTION("""COMPUTED_VALUE"""),"Han Gia Le")</f>
        <v>Han Gia Le</v>
      </c>
      <c r="F446" s="93" t="str">
        <f>IFERROR(__xludf.DUMMYFUNCTION("""COMPUTED_VALUE"""),"goldedragonfruit")</f>
        <v>goldedragonfruit</v>
      </c>
      <c r="G446" s="92"/>
      <c r="H446" s="94" t="str">
        <f>IFERROR(__xludf.DUMMYFUNCTION("""COMPUTED_VALUE"""),"(972) 589-1372")</f>
        <v>(972) 589-1372</v>
      </c>
      <c r="I446" s="94" t="str">
        <f>IFERROR(__xludf.DUMMYFUNCTION("""COMPUTED_VALUE"""),"Student")</f>
        <v>Student</v>
      </c>
      <c r="J446" s="93" t="str">
        <f>IFERROR(__xludf.DUMMYFUNCTION("""COMPUTED_VALUE"""),"$15 Donation, Discord Verification")</f>
        <v>$15 Donation, Discord Verification</v>
      </c>
      <c r="K446" s="100" t="b">
        <v>0</v>
      </c>
      <c r="L446" s="101" t="str">
        <f>IFERROR(__xludf.DUMMYFUNCTION("""COMPUTED_VALUE"""),"Paypal")</f>
        <v>Paypal</v>
      </c>
      <c r="M446" s="95">
        <v>0.0</v>
      </c>
      <c r="N446" s="97" t="b">
        <v>1</v>
      </c>
      <c r="O446" s="93" t="str">
        <f>IFERROR(__xludf.DUMMYFUNCTION("""COMPUTED_VALUE"""),"Fostering")</f>
        <v>Fostering</v>
      </c>
      <c r="P44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46" s="99"/>
    </row>
    <row r="447" ht="13.5" customHeight="1">
      <c r="A447" s="88">
        <f>IFERROR(__xludf.DUMMYFUNCTION("""COMPUTED_VALUE"""),45679.54662145833)</f>
        <v>45679.54662</v>
      </c>
      <c r="B447" s="89" t="b">
        <v>1</v>
      </c>
      <c r="C447" s="90" t="str">
        <f t="shared" si="2"/>
        <v>Spring 2025</v>
      </c>
      <c r="D447" s="91" t="str">
        <f>IFERROR(__xludf.DUMMYFUNCTION("""COMPUTED_VALUE"""),"agc1946@mavs.uta.edu")</f>
        <v>agc1946@mavs.uta.edu</v>
      </c>
      <c r="E447" s="177" t="str">
        <f>IFERROR(__xludf.DUMMYFUNCTION("""COMPUTED_VALUE"""),"Alexander Cusano ")</f>
        <v>Alexander Cusano </v>
      </c>
      <c r="F447" s="178" t="str">
        <f>IFERROR(__xludf.DUMMYFUNCTION("""COMPUTED_VALUE"""),"Alex")</f>
        <v>Alex</v>
      </c>
      <c r="G447" s="177"/>
      <c r="H447" s="94" t="str">
        <f>IFERROR(__xludf.DUMMYFUNCTION("""COMPUTED_VALUE"""),"(682) 239-1296")</f>
        <v>(682) 239-1296</v>
      </c>
      <c r="I447" s="94" t="str">
        <f>IFERROR(__xludf.DUMMYFUNCTION("""COMPUTED_VALUE"""),"Student")</f>
        <v>Student</v>
      </c>
      <c r="J447" s="93" t="str">
        <f>IFERROR(__xludf.DUMMYFUNCTION("""COMPUTED_VALUE"""),"$15 Donation, Discord Verification")</f>
        <v>$15 Donation, Discord Verification</v>
      </c>
      <c r="K447" s="100" t="b">
        <v>0</v>
      </c>
      <c r="L447" s="101" t="str">
        <f>IFERROR(__xludf.DUMMYFUNCTION("""COMPUTED_VALUE"""),"Paypal")</f>
        <v>Paypal</v>
      </c>
      <c r="M447" s="95">
        <v>0.0</v>
      </c>
      <c r="N447" s="97" t="b">
        <v>1</v>
      </c>
      <c r="O447" s="93" t="str">
        <f>IFERROR(__xludf.DUMMYFUNCTION("""COMPUTED_VALUE"""),"Fundraising, PR, Membership, TNR, Feeding, Shelter Maintenance")</f>
        <v>Fundraising, PR, Membership, TNR, Feeding, Shelter Maintenance</v>
      </c>
      <c r="P44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47" s="99"/>
    </row>
    <row r="448" ht="13.5" customHeight="1">
      <c r="A448" s="88">
        <f>IFERROR(__xludf.DUMMYFUNCTION("""COMPUTED_VALUE"""),45679.59810407407)</f>
        <v>45679.5981</v>
      </c>
      <c r="B448" s="89" t="b">
        <v>1</v>
      </c>
      <c r="C448" s="90" t="str">
        <f t="shared" si="2"/>
        <v>Spring 2025</v>
      </c>
      <c r="D448" s="91" t="str">
        <f>IFERROR(__xludf.DUMMYFUNCTION("""COMPUTED_VALUE"""),"tch8510@mavs.uta.edu")</f>
        <v>tch8510@mavs.uta.edu</v>
      </c>
      <c r="E448" s="92" t="str">
        <f>IFERROR(__xludf.DUMMYFUNCTION("""COMPUTED_VALUE"""),"Tracey Huynh")</f>
        <v>Tracey Huynh</v>
      </c>
      <c r="F448" s="93" t="str">
        <f>IFERROR(__xludf.DUMMYFUNCTION("""COMPUTED_VALUE"""),"mousedayo")</f>
        <v>mousedayo</v>
      </c>
      <c r="G448" s="92"/>
      <c r="H448" s="94" t="str">
        <f>IFERROR(__xludf.DUMMYFUNCTION("""COMPUTED_VALUE"""),"(672) 380-2225")</f>
        <v>(672) 380-2225</v>
      </c>
      <c r="I448" s="94" t="str">
        <f>IFERROR(__xludf.DUMMYFUNCTION("""COMPUTED_VALUE"""),"Student")</f>
        <v>Student</v>
      </c>
      <c r="J448" s="93" t="str">
        <f>IFERROR(__xludf.DUMMYFUNCTION("""COMPUTED_VALUE"""),"$15 Donation, Discord Verification")</f>
        <v>$15 Donation, Discord Verification</v>
      </c>
      <c r="K448" s="100" t="b">
        <v>0</v>
      </c>
      <c r="L448" s="101" t="str">
        <f>IFERROR(__xludf.DUMMYFUNCTION("""COMPUTED_VALUE"""),"Cash")</f>
        <v>Cash</v>
      </c>
      <c r="M448" s="95">
        <v>0.0</v>
      </c>
      <c r="N448" s="97" t="b">
        <v>1</v>
      </c>
      <c r="O448" s="93" t="str">
        <f>IFERROR(__xludf.DUMMYFUNCTION("""COMPUTED_VALUE"""),"Fundraising, Membership")</f>
        <v>Fundraising, Membership</v>
      </c>
      <c r="P44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48" s="99"/>
    </row>
    <row r="449" ht="13.5" customHeight="1">
      <c r="A449" s="88">
        <f>IFERROR(__xludf.DUMMYFUNCTION("""COMPUTED_VALUE"""),45679.702267870365)</f>
        <v>45679.70227</v>
      </c>
      <c r="B449" s="89" t="b">
        <v>1</v>
      </c>
      <c r="C449" s="90" t="str">
        <f t="shared" si="2"/>
        <v>Spring 2025</v>
      </c>
      <c r="D449" s="91" t="str">
        <f>IFERROR(__xludf.DUMMYFUNCTION("""COMPUTED_VALUE"""),"jdj0892@mavs.uta.edu")</f>
        <v>jdj0892@mavs.uta.edu</v>
      </c>
      <c r="E449" s="92" t="str">
        <f>IFERROR(__xludf.DUMMYFUNCTION("""COMPUTED_VALUE"""),"Jesse Jarrell")</f>
        <v>Jesse Jarrell</v>
      </c>
      <c r="F449" s="93" t="str">
        <f>IFERROR(__xludf.DUMMYFUNCTION("""COMPUTED_VALUE"""),"moineau_l.oiseau")</f>
        <v>moineau_l.oiseau</v>
      </c>
      <c r="G449" s="92"/>
      <c r="H449" s="94" t="str">
        <f>IFERROR(__xludf.DUMMYFUNCTION("""COMPUTED_VALUE"""),"(817) 492-6706")</f>
        <v>(817) 492-6706</v>
      </c>
      <c r="I449" s="94" t="str">
        <f>IFERROR(__xludf.DUMMYFUNCTION("""COMPUTED_VALUE"""),"Student")</f>
        <v>Student</v>
      </c>
      <c r="J449" s="93" t="str">
        <f>IFERROR(__xludf.DUMMYFUNCTION("""COMPUTED_VALUE"""),"$15 Donation, Discord Verification")</f>
        <v>$15 Donation, Discord Verification</v>
      </c>
      <c r="K449" s="100" t="b">
        <v>0</v>
      </c>
      <c r="L449" s="101" t="str">
        <f>IFERROR(__xludf.DUMMYFUNCTION("""COMPUTED_VALUE"""),"Paypal")</f>
        <v>Paypal</v>
      </c>
      <c r="M449" s="95">
        <v>5.0</v>
      </c>
      <c r="N449" s="97" t="b">
        <v>1</v>
      </c>
      <c r="O449" s="93" t="str">
        <f>IFERROR(__xludf.DUMMYFUNCTION("""COMPUTED_VALUE"""),"Fundraising, PR, Membership, TNR, Overnight TNR, Feeding, Fostering, Shelter Maintenance")</f>
        <v>Fundraising, PR, Membership, TNR, Overnight TNR, Feeding, Fostering, Shelter Maintenance</v>
      </c>
      <c r="P44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49" s="99"/>
    </row>
    <row r="450" ht="13.5" customHeight="1">
      <c r="A450" s="88">
        <f>IFERROR(__xludf.DUMMYFUNCTION("""COMPUTED_VALUE"""),45679.888920972226)</f>
        <v>45679.88892</v>
      </c>
      <c r="B450" s="89" t="b">
        <v>1</v>
      </c>
      <c r="C450" s="90" t="str">
        <f t="shared" si="2"/>
        <v>Spring 2025</v>
      </c>
      <c r="D450" s="91" t="str">
        <f>IFERROR(__xludf.DUMMYFUNCTION("""COMPUTED_VALUE"""),"bth9860@mavs.uta.edu")</f>
        <v>bth9860@mavs.uta.edu</v>
      </c>
      <c r="E450" s="92" t="str">
        <f>IFERROR(__xludf.DUMMYFUNCTION("""COMPUTED_VALUE"""),"Bryan Huynh")</f>
        <v>Bryan Huynh</v>
      </c>
      <c r="F450" s="93" t="str">
        <f>IFERROR(__xludf.DUMMYFUNCTION("""COMPUTED_VALUE"""),"Hatshura")</f>
        <v>Hatshura</v>
      </c>
      <c r="G450" s="92"/>
      <c r="H450" s="94" t="str">
        <f>IFERROR(__xludf.DUMMYFUNCTION("""COMPUTED_VALUE"""),"(817) 896-8895")</f>
        <v>(817) 896-8895</v>
      </c>
      <c r="I450" s="94" t="str">
        <f>IFERROR(__xludf.DUMMYFUNCTION("""COMPUTED_VALUE"""),"Student")</f>
        <v>Student</v>
      </c>
      <c r="J450" s="93" t="str">
        <f>IFERROR(__xludf.DUMMYFUNCTION("""COMPUTED_VALUE"""),"$15 Donation, Discord Verification")</f>
        <v>$15 Donation, Discord Verification</v>
      </c>
      <c r="K450" s="100" t="b">
        <v>0</v>
      </c>
      <c r="L450" s="101" t="str">
        <f>IFERROR(__xludf.DUMMYFUNCTION("""COMPUTED_VALUE"""),"Venmo")</f>
        <v>Venmo</v>
      </c>
      <c r="M450" s="95">
        <v>35.0</v>
      </c>
      <c r="N450" s="97" t="b">
        <v>1</v>
      </c>
      <c r="O450" s="93" t="str">
        <f>IFERROR(__xludf.DUMMYFUNCTION("""COMPUTED_VALUE"""),"Feeding")</f>
        <v>Feeding</v>
      </c>
      <c r="P45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50" s="99"/>
    </row>
    <row r="451" ht="13.5" customHeight="1">
      <c r="A451" s="88">
        <f>IFERROR(__xludf.DUMMYFUNCTION("""COMPUTED_VALUE"""),45684.95551662037)</f>
        <v>45684.95552</v>
      </c>
      <c r="B451" s="89" t="b">
        <v>1</v>
      </c>
      <c r="C451" s="90" t="str">
        <f t="shared" si="2"/>
        <v>Spring 2025</v>
      </c>
      <c r="D451" s="91" t="str">
        <f>IFERROR(__xludf.DUMMYFUNCTION("""COMPUTED_VALUE"""),"mag9071@mavs.uta.edu")</f>
        <v>mag9071@mavs.uta.edu</v>
      </c>
      <c r="E451" s="92" t="str">
        <f>IFERROR(__xludf.DUMMYFUNCTION("""COMPUTED_VALUE"""),"Mary Abby Goss")</f>
        <v>Mary Abby Goss</v>
      </c>
      <c r="F451" s="93" t="str">
        <f>IFERROR(__xludf.DUMMYFUNCTION("""COMPUTED_VALUE"""),"magfrog")</f>
        <v>magfrog</v>
      </c>
      <c r="G451" s="92"/>
      <c r="H451" s="94" t="str">
        <f>IFERROR(__xludf.DUMMYFUNCTION("""COMPUTED_VALUE"""),"")</f>
        <v/>
      </c>
      <c r="I451" s="94" t="str">
        <f>IFERROR(__xludf.DUMMYFUNCTION("""COMPUTED_VALUE"""),"Student")</f>
        <v>Student</v>
      </c>
      <c r="J451" s="93" t="str">
        <f>IFERROR(__xludf.DUMMYFUNCTION("""COMPUTED_VALUE"""),"$15 Donation, Discord Verification")</f>
        <v>$15 Donation, Discord Verification</v>
      </c>
      <c r="K451" s="100" t="b">
        <v>0</v>
      </c>
      <c r="L451" s="101" t="str">
        <f>IFERROR(__xludf.DUMMYFUNCTION("""COMPUTED_VALUE"""),"Venmo")</f>
        <v>Venmo</v>
      </c>
      <c r="M451" s="95">
        <v>0.0</v>
      </c>
      <c r="N451" s="97" t="b">
        <v>1</v>
      </c>
      <c r="O451" s="93" t="str">
        <f>IFERROR(__xludf.DUMMYFUNCTION("""COMPUTED_VALUE"""),"Fundraising, PR, Shelter Maintenance")</f>
        <v>Fundraising, PR, Shelter Maintenance</v>
      </c>
      <c r="P45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51" s="99"/>
    </row>
    <row r="452" ht="13.5" customHeight="1">
      <c r="A452" s="88">
        <f>IFERROR(__xludf.DUMMYFUNCTION("""COMPUTED_VALUE"""),45686.122568437495)</f>
        <v>45686.12257</v>
      </c>
      <c r="B452" s="88" t="b">
        <v>0</v>
      </c>
      <c r="C452" s="90" t="str">
        <f t="shared" si="2"/>
        <v>Spring 2025</v>
      </c>
      <c r="D452" s="91" t="str">
        <f>IFERROR(__xludf.DUMMYFUNCTION("""COMPUTED_VALUE"""),"jnt5322@mavs.uta.edu")</f>
        <v>jnt5322@mavs.uta.edu</v>
      </c>
      <c r="E452" s="92" t="str">
        <f>IFERROR(__xludf.DUMMYFUNCTION("""COMPUTED_VALUE"""),"Julie Tran")</f>
        <v>Julie Tran</v>
      </c>
      <c r="F452" s="93" t="str">
        <f>IFERROR(__xludf.DUMMYFUNCTION("""COMPUTED_VALUE"""),"julie012216")</f>
        <v>julie012216</v>
      </c>
      <c r="G452" s="92"/>
      <c r="H452" s="94" t="str">
        <f>IFERROR(__xludf.DUMMYFUNCTION("""COMPUTED_VALUE"""),"(682) 802-3238")</f>
        <v>(682) 802-3238</v>
      </c>
      <c r="I452" s="94" t="str">
        <f>IFERROR(__xludf.DUMMYFUNCTION("""COMPUTED_VALUE"""),"Student")</f>
        <v>Student</v>
      </c>
      <c r="J452" s="93" t="str">
        <f>IFERROR(__xludf.DUMMYFUNCTION("""COMPUTED_VALUE"""),"Food/Litter Donation")</f>
        <v>Food/Litter Donation</v>
      </c>
      <c r="K452" s="100" t="b">
        <v>0</v>
      </c>
      <c r="L452" s="101"/>
      <c r="M452" s="100"/>
      <c r="N452" s="97" t="b">
        <v>0</v>
      </c>
      <c r="O452" s="93" t="str">
        <f>IFERROR(__xludf.DUMMYFUNCTION("""COMPUTED_VALUE"""),"Fundraising, PR, Membership, Feeding")</f>
        <v>Fundraising, PR, Membership, Feeding</v>
      </c>
      <c r="P45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52" s="99"/>
    </row>
    <row r="453" ht="13.5" customHeight="1">
      <c r="A453" s="88">
        <f>IFERROR(__xludf.DUMMYFUNCTION("""COMPUTED_VALUE"""),45686.722061736116)</f>
        <v>45686.72206</v>
      </c>
      <c r="B453" s="89" t="b">
        <v>1</v>
      </c>
      <c r="C453" s="90" t="str">
        <f t="shared" si="2"/>
        <v>Spring 2025</v>
      </c>
      <c r="D453" s="91" t="str">
        <f>IFERROR(__xludf.DUMMYFUNCTION("""COMPUTED_VALUE"""),"cmn9165@mavs.uta.edu")</f>
        <v>cmn9165@mavs.uta.edu</v>
      </c>
      <c r="E453" s="92" t="str">
        <f>IFERROR(__xludf.DUMMYFUNCTION("""COMPUTED_VALUE"""),"Cassandra (Cici) Nelson")</f>
        <v>Cassandra (Cici) Nelson</v>
      </c>
      <c r="F453" s="93" t="str">
        <f>IFERROR(__xludf.DUMMYFUNCTION("""COMPUTED_VALUE"""),"Cici4f3")</f>
        <v>Cici4f3</v>
      </c>
      <c r="G453" s="92"/>
      <c r="H453" s="94" t="str">
        <f>IFERROR(__xludf.DUMMYFUNCTION("""COMPUTED_VALUE"""),"(972) 302-8379")</f>
        <v>(972) 302-8379</v>
      </c>
      <c r="I453" s="94" t="str">
        <f>IFERROR(__xludf.DUMMYFUNCTION("""COMPUTED_VALUE"""),"Student")</f>
        <v>Student</v>
      </c>
      <c r="J453" s="93" t="str">
        <f>IFERROR(__xludf.DUMMYFUNCTION("""COMPUTED_VALUE"""),"$15 Donation, Discord Verification")</f>
        <v>$15 Donation, Discord Verification</v>
      </c>
      <c r="K453" s="100" t="b">
        <v>0</v>
      </c>
      <c r="L453" s="101" t="str">
        <f>IFERROR(__xludf.DUMMYFUNCTION("""COMPUTED_VALUE"""),"Cashapp")</f>
        <v>Cashapp</v>
      </c>
      <c r="M453" s="95">
        <v>0.0</v>
      </c>
      <c r="N453" s="97" t="b">
        <v>1</v>
      </c>
      <c r="O453" s="93" t="str">
        <f>IFERROR(__xludf.DUMMYFUNCTION("""COMPUTED_VALUE"""),"Fundraising, PR, Membership, Feeding, Shelter Maintenance")</f>
        <v>Fundraising, PR, Membership, Feeding, Shelter Maintenance</v>
      </c>
      <c r="P45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53" s="99"/>
    </row>
    <row r="454" ht="13.5" customHeight="1">
      <c r="A454" s="88">
        <f>IFERROR(__xludf.DUMMYFUNCTION("""COMPUTED_VALUE"""),45686.852914131945)</f>
        <v>45686.85291</v>
      </c>
      <c r="B454" s="89" t="b">
        <v>1</v>
      </c>
      <c r="C454" s="90" t="str">
        <f t="shared" si="2"/>
        <v>Spring 2025</v>
      </c>
      <c r="D454" s="91" t="str">
        <f>IFERROR(__xludf.DUMMYFUNCTION("""COMPUTED_VALUE"""),"nsh9723@mavs.uta.edu")</f>
        <v>nsh9723@mavs.uta.edu</v>
      </c>
      <c r="E454" s="92" t="str">
        <f>IFERROR(__xludf.DUMMYFUNCTION("""COMPUTED_VALUE"""),"Nicholas Ho")</f>
        <v>Nicholas Ho</v>
      </c>
      <c r="F454" s="93" t="str">
        <f>IFERROR(__xludf.DUMMYFUNCTION("""COMPUTED_VALUE"""),"rice.muncher")</f>
        <v>rice.muncher</v>
      </c>
      <c r="G454" s="92"/>
      <c r="H454" s="94" t="str">
        <f>IFERROR(__xludf.DUMMYFUNCTION("""COMPUTED_VALUE"""),"(832) 668-4651")</f>
        <v>(832) 668-4651</v>
      </c>
      <c r="I454" s="94" t="str">
        <f>IFERROR(__xludf.DUMMYFUNCTION("""COMPUTED_VALUE"""),"Student")</f>
        <v>Student</v>
      </c>
      <c r="J454" s="93" t="str">
        <f>IFERROR(__xludf.DUMMYFUNCTION("""COMPUTED_VALUE"""),"$15 Donation, Discord Verification")</f>
        <v>$15 Donation, Discord Verification</v>
      </c>
      <c r="K454" s="100" t="b">
        <v>0</v>
      </c>
      <c r="L454" s="101" t="str">
        <f>IFERROR(__xludf.DUMMYFUNCTION("""COMPUTED_VALUE"""),"Paypal")</f>
        <v>Paypal</v>
      </c>
      <c r="M454" s="95">
        <v>0.0</v>
      </c>
      <c r="N454" s="97" t="b">
        <v>1</v>
      </c>
      <c r="O454" s="93" t="str">
        <f>IFERROR(__xludf.DUMMYFUNCTION("""COMPUTED_VALUE"""),"Fundraising, PR, Membership, Feeding")</f>
        <v>Fundraising, PR, Membership, Feeding</v>
      </c>
      <c r="P45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54" s="99"/>
    </row>
    <row r="455" ht="13.5" customHeight="1">
      <c r="A455" s="88">
        <f>IFERROR(__xludf.DUMMYFUNCTION("""COMPUTED_VALUE"""),45687.48965574074)</f>
        <v>45687.48966</v>
      </c>
      <c r="B455" s="89" t="b">
        <v>1</v>
      </c>
      <c r="C455" s="90" t="str">
        <f t="shared" si="2"/>
        <v>Spring 2025</v>
      </c>
      <c r="D455" s="91" t="str">
        <f>IFERROR(__xludf.DUMMYFUNCTION("""COMPUTED_VALUE"""),"cmm4522@mavs.uta.edu")</f>
        <v>cmm4522@mavs.uta.edu</v>
      </c>
      <c r="E455" s="92" t="str">
        <f>IFERROR(__xludf.DUMMYFUNCTION("""COMPUTED_VALUE"""),"Cecelia Murphy")</f>
        <v>Cecelia Murphy</v>
      </c>
      <c r="F455" s="93" t="str">
        <f>IFERROR(__xludf.DUMMYFUNCTION("""COMPUTED_VALUE"""),"Cecemurphy14")</f>
        <v>Cecemurphy14</v>
      </c>
      <c r="G455" s="92"/>
      <c r="H455" s="94" t="str">
        <f>IFERROR(__xludf.DUMMYFUNCTION("""COMPUTED_VALUE"""),"(214) 551-7505")</f>
        <v>(214) 551-7505</v>
      </c>
      <c r="I455" s="94" t="str">
        <f>IFERROR(__xludf.DUMMYFUNCTION("""COMPUTED_VALUE"""),"Student")</f>
        <v>Student</v>
      </c>
      <c r="J455" s="93" t="str">
        <f>IFERROR(__xludf.DUMMYFUNCTION("""COMPUTED_VALUE"""),"$15 Donation, Discord Verification")</f>
        <v>$15 Donation, Discord Verification</v>
      </c>
      <c r="K455" s="100" t="b">
        <v>0</v>
      </c>
      <c r="L455" s="101" t="str">
        <f>IFERROR(__xludf.DUMMYFUNCTION("""COMPUTED_VALUE"""),"Venmo")</f>
        <v>Venmo</v>
      </c>
      <c r="M455" s="95">
        <v>0.0</v>
      </c>
      <c r="N455" s="97" t="b">
        <v>1</v>
      </c>
      <c r="O455" s="93" t="str">
        <f>IFERROR(__xludf.DUMMYFUNCTION("""COMPUTED_VALUE"""),"Fundraising, TNR, Feeding, Shelter Maintenance")</f>
        <v>Fundraising, TNR, Feeding, Shelter Maintenance</v>
      </c>
      <c r="P45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55" s="99"/>
    </row>
    <row r="456" ht="13.5" customHeight="1">
      <c r="A456" s="88">
        <f>IFERROR(__xludf.DUMMYFUNCTION("""COMPUTED_VALUE"""),45687.564755740736)</f>
        <v>45687.56476</v>
      </c>
      <c r="B456" s="89" t="b">
        <v>1</v>
      </c>
      <c r="C456" s="90" t="str">
        <f t="shared" si="2"/>
        <v>Spring 2025</v>
      </c>
      <c r="D456" s="91" t="str">
        <f>IFERROR(__xludf.DUMMYFUNCTION("""COMPUTED_VALUE"""),"Csc9100@my.mavs.uta.edu")</f>
        <v>Csc9100@my.mavs.uta.edu</v>
      </c>
      <c r="E456" s="92" t="str">
        <f>IFERROR(__xludf.DUMMYFUNCTION("""COMPUTED_VALUE"""),"Carlos Chevez")</f>
        <v>Carlos Chevez</v>
      </c>
      <c r="F456" s="93" t="str">
        <f>IFERROR(__xludf.DUMMYFUNCTION("""COMPUTED_VALUE"""),"Cheotry")</f>
        <v>Cheotry</v>
      </c>
      <c r="G456" s="92"/>
      <c r="H456" s="94" t="str">
        <f>IFERROR(__xludf.DUMMYFUNCTION("""COMPUTED_VALUE"""),"(682) 559-8657")</f>
        <v>(682) 559-8657</v>
      </c>
      <c r="I456" s="94" t="str">
        <f>IFERROR(__xludf.DUMMYFUNCTION("""COMPUTED_VALUE"""),"Student")</f>
        <v>Student</v>
      </c>
      <c r="J456" s="93" t="str">
        <f>IFERROR(__xludf.DUMMYFUNCTION("""COMPUTED_VALUE"""),"$15 Donation, Discord Verification")</f>
        <v>$15 Donation, Discord Verification</v>
      </c>
      <c r="K456" s="100" t="b">
        <v>0</v>
      </c>
      <c r="L456" s="101" t="str">
        <f>IFERROR(__xludf.DUMMYFUNCTION("""COMPUTED_VALUE"""),"Paypal")</f>
        <v>Paypal</v>
      </c>
      <c r="M456" s="95">
        <v>0.0</v>
      </c>
      <c r="N456" s="97" t="b">
        <v>1</v>
      </c>
      <c r="O456" s="93" t="str">
        <f>IFERROR(__xludf.DUMMYFUNCTION("""COMPUTED_VALUE"""),"Fundraising, Membership")</f>
        <v>Fundraising, Membership</v>
      </c>
      <c r="P45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56" s="99"/>
    </row>
    <row r="457" ht="13.5" customHeight="1">
      <c r="A457" s="88">
        <f>IFERROR(__xludf.DUMMYFUNCTION("""COMPUTED_VALUE"""),45687.80262814814)</f>
        <v>45687.80263</v>
      </c>
      <c r="B457" s="89" t="b">
        <v>1</v>
      </c>
      <c r="C457" s="90" t="str">
        <f t="shared" si="2"/>
        <v>Spring 2025</v>
      </c>
      <c r="D457" s="91" t="str">
        <f>IFERROR(__xludf.DUMMYFUNCTION("""COMPUTED_VALUE"""),"lsh6876@mavs.uta.edu")</f>
        <v>lsh6876@mavs.uta.edu</v>
      </c>
      <c r="E457" s="92" t="str">
        <f>IFERROR(__xludf.DUMMYFUNCTION("""COMPUTED_VALUE"""),"Nick Hatcher")</f>
        <v>Nick Hatcher</v>
      </c>
      <c r="F457" s="93" t="str">
        <f>IFERROR(__xludf.DUMMYFUNCTION("""COMPUTED_VALUE"""),"blanketdruid")</f>
        <v>blanketdruid</v>
      </c>
      <c r="G457" s="92"/>
      <c r="H457" s="94" t="str">
        <f>IFERROR(__xludf.DUMMYFUNCTION("""COMPUTED_VALUE"""),"(936) 355-6238")</f>
        <v>(936) 355-6238</v>
      </c>
      <c r="I457" s="94" t="str">
        <f>IFERROR(__xludf.DUMMYFUNCTION("""COMPUTED_VALUE"""),"Student")</f>
        <v>Student</v>
      </c>
      <c r="J457" s="93" t="str">
        <f>IFERROR(__xludf.DUMMYFUNCTION("""COMPUTED_VALUE"""),"$15 Donation, Discord Verification")</f>
        <v>$15 Donation, Discord Verification</v>
      </c>
      <c r="K457" s="100" t="b">
        <v>0</v>
      </c>
      <c r="L457" s="101" t="str">
        <f>IFERROR(__xludf.DUMMYFUNCTION("""COMPUTED_VALUE"""),"Venmo")</f>
        <v>Venmo</v>
      </c>
      <c r="M457" s="95">
        <v>0.0</v>
      </c>
      <c r="N457" s="97" t="b">
        <v>1</v>
      </c>
      <c r="O457" s="93" t="str">
        <f>IFERROR(__xludf.DUMMYFUNCTION("""COMPUTED_VALUE"""),"Fundraising, PR, Membership, TNR, Overnight TNR, Feeding, Fostering, Shelter Maintenance, Stinky Team (Team for Enabling Stinkage)")</f>
        <v>Fundraising, PR, Membership, TNR, Overnight TNR, Feeding, Fostering, Shelter Maintenance, Stinky Team (Team for Enabling Stinkage)</v>
      </c>
      <c r="P45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57" s="99"/>
    </row>
    <row r="458" ht="13.5" customHeight="1">
      <c r="A458" s="88">
        <f>IFERROR(__xludf.DUMMYFUNCTION("""COMPUTED_VALUE"""),45688.51895657407)</f>
        <v>45688.51896</v>
      </c>
      <c r="B458" s="89" t="b">
        <v>1</v>
      </c>
      <c r="C458" s="90" t="str">
        <f t="shared" si="2"/>
        <v>Spring 2025</v>
      </c>
      <c r="D458" s="91" t="str">
        <f>IFERROR(__xludf.DUMMYFUNCTION("""COMPUTED_VALUE"""),"arg1945@mavs.uta.edu")</f>
        <v>arg1945@mavs.uta.edu</v>
      </c>
      <c r="E458" s="92" t="str">
        <f>IFERROR(__xludf.DUMMYFUNCTION("""COMPUTED_VALUE"""),"Anabelle Garcia ")</f>
        <v>Anabelle Garcia </v>
      </c>
      <c r="F458" s="93" t="str">
        <f>IFERROR(__xludf.DUMMYFUNCTION("""COMPUTED_VALUE"""),"blank_name0")</f>
        <v>blank_name0</v>
      </c>
      <c r="G458" s="92"/>
      <c r="H458" s="94" t="str">
        <f>IFERROR(__xludf.DUMMYFUNCTION("""COMPUTED_VALUE"""),"(682) 597-8603")</f>
        <v>(682) 597-8603</v>
      </c>
      <c r="I458" s="94" t="str">
        <f>IFERROR(__xludf.DUMMYFUNCTION("""COMPUTED_VALUE"""),"Student")</f>
        <v>Student</v>
      </c>
      <c r="J458" s="93" t="str">
        <f>IFERROR(__xludf.DUMMYFUNCTION("""COMPUTED_VALUE"""),"$15 Donation, Discord Verification")</f>
        <v>$15 Donation, Discord Verification</v>
      </c>
      <c r="K458" s="100" t="b">
        <v>0</v>
      </c>
      <c r="L458" s="101" t="str">
        <f>IFERROR(__xludf.DUMMYFUNCTION("""COMPUTED_VALUE"""),"Cash")</f>
        <v>Cash</v>
      </c>
      <c r="M458" s="95">
        <v>0.0</v>
      </c>
      <c r="N458" s="97" t="b">
        <v>1</v>
      </c>
      <c r="O458" s="93" t="str">
        <f>IFERROR(__xludf.DUMMYFUNCTION("""COMPUTED_VALUE"""),"TNR")</f>
        <v>TNR</v>
      </c>
      <c r="P45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58" s="99"/>
    </row>
    <row r="459" ht="13.5" customHeight="1">
      <c r="A459" s="88">
        <f>IFERROR(__xludf.DUMMYFUNCTION("""COMPUTED_VALUE"""),45688.63317527778)</f>
        <v>45688.63318</v>
      </c>
      <c r="B459" s="89" t="b">
        <v>1</v>
      </c>
      <c r="C459" s="90" t="str">
        <f t="shared" si="2"/>
        <v>Spring 2025</v>
      </c>
      <c r="D459" s="91" t="str">
        <f>IFERROR(__xludf.DUMMYFUNCTION("""COMPUTED_VALUE"""),"jge7262@mavs.uta.edu")</f>
        <v>jge7262@mavs.uta.edu</v>
      </c>
      <c r="E459" s="92" t="str">
        <f>IFERROR(__xludf.DUMMYFUNCTION("""COMPUTED_VALUE"""),"Jordan Escobedo")</f>
        <v>Jordan Escobedo</v>
      </c>
      <c r="F459" s="93" t="str">
        <f>IFERROR(__xludf.DUMMYFUNCTION("""COMPUTED_VALUE"""),"sputnikdahomie")</f>
        <v>sputnikdahomie</v>
      </c>
      <c r="G459" s="92"/>
      <c r="H459" s="94" t="str">
        <f>IFERROR(__xludf.DUMMYFUNCTION("""COMPUTED_VALUE"""),"(214) 519-1494")</f>
        <v>(214) 519-1494</v>
      </c>
      <c r="I459" s="94" t="str">
        <f>IFERROR(__xludf.DUMMYFUNCTION("""COMPUTED_VALUE"""),"Student")</f>
        <v>Student</v>
      </c>
      <c r="J459" s="93" t="str">
        <f>IFERROR(__xludf.DUMMYFUNCTION("""COMPUTED_VALUE"""),"$15 Donation, Discord Verification")</f>
        <v>$15 Donation, Discord Verification</v>
      </c>
      <c r="K459" s="100" t="b">
        <v>0</v>
      </c>
      <c r="L459" s="101" t="str">
        <f>IFERROR(__xludf.DUMMYFUNCTION("""COMPUTED_VALUE"""),"Venmo")</f>
        <v>Venmo</v>
      </c>
      <c r="M459" s="95">
        <v>0.0</v>
      </c>
      <c r="N459" s="97" t="b">
        <v>1</v>
      </c>
      <c r="O459" s="93" t="str">
        <f>IFERROR(__xludf.DUMMYFUNCTION("""COMPUTED_VALUE"""),"Fundraising, PR, TNR, Shelter Maintenance")</f>
        <v>Fundraising, PR, TNR, Shelter Maintenance</v>
      </c>
      <c r="P45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59" s="99"/>
    </row>
    <row r="460" ht="13.5" customHeight="1">
      <c r="A460" s="88">
        <f>IFERROR(__xludf.DUMMYFUNCTION("""COMPUTED_VALUE"""),45688.76668231482)</f>
        <v>45688.76668</v>
      </c>
      <c r="B460" s="89" t="b">
        <v>1</v>
      </c>
      <c r="C460" s="90" t="str">
        <f t="shared" si="2"/>
        <v>Spring 2025</v>
      </c>
      <c r="D460" s="91" t="str">
        <f>IFERROR(__xludf.DUMMYFUNCTION("""COMPUTED_VALUE"""),"nxg8467@mavs.uta.edu")</f>
        <v>nxg8467@mavs.uta.edu</v>
      </c>
      <c r="E460" s="92" t="str">
        <f>IFERROR(__xludf.DUMMYFUNCTION("""COMPUTED_VALUE"""),"Nicole Guajardo")</f>
        <v>Nicole Guajardo</v>
      </c>
      <c r="F460" s="93" t="str">
        <f>IFERROR(__xludf.DUMMYFUNCTION("""COMPUTED_VALUE"""),"Nicoleguajardo")</f>
        <v>Nicoleguajardo</v>
      </c>
      <c r="G460" s="92"/>
      <c r="H460" s="94" t="str">
        <f>IFERROR(__xludf.DUMMYFUNCTION("""COMPUTED_VALUE"""),"(817) 739-1531")</f>
        <v>(817) 739-1531</v>
      </c>
      <c r="I460" s="94" t="str">
        <f>IFERROR(__xludf.DUMMYFUNCTION("""COMPUTED_VALUE"""),"Student")</f>
        <v>Student</v>
      </c>
      <c r="J460" s="93" t="str">
        <f>IFERROR(__xludf.DUMMYFUNCTION("""COMPUTED_VALUE"""),"$15 Donation, Discord Verification")</f>
        <v>$15 Donation, Discord Verification</v>
      </c>
      <c r="K460" s="100" t="b">
        <v>0</v>
      </c>
      <c r="L460" s="101" t="str">
        <f>IFERROR(__xludf.DUMMYFUNCTION("""COMPUTED_VALUE"""),"Paypal")</f>
        <v>Paypal</v>
      </c>
      <c r="M460" s="95">
        <v>0.0</v>
      </c>
      <c r="N460" s="97" t="b">
        <v>1</v>
      </c>
      <c r="O460" s="93" t="str">
        <f>IFERROR(__xludf.DUMMYFUNCTION("""COMPUTED_VALUE"""),"Feeding, Fostering")</f>
        <v>Feeding, Fostering</v>
      </c>
      <c r="P46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60" s="99"/>
    </row>
    <row r="461" ht="13.5" customHeight="1">
      <c r="A461" s="88">
        <f>IFERROR(__xludf.DUMMYFUNCTION("""COMPUTED_VALUE"""),45688.82075092592)</f>
        <v>45688.82075</v>
      </c>
      <c r="B461" s="89" t="b">
        <v>1</v>
      </c>
      <c r="C461" s="90" t="str">
        <f t="shared" si="2"/>
        <v>Spring 2025</v>
      </c>
      <c r="D461" s="91" t="str">
        <f>IFERROR(__xludf.DUMMYFUNCTION("""COMPUTED_VALUE"""),"kxm7657@mavs.uta.edu")</f>
        <v>kxm7657@mavs.uta.edu</v>
      </c>
      <c r="E461" s="92" t="str">
        <f>IFERROR(__xludf.DUMMYFUNCTION("""COMPUTED_VALUE"""),"Kevin Molina")</f>
        <v>Kevin Molina</v>
      </c>
      <c r="F461" s="93" t="str">
        <f>IFERROR(__xludf.DUMMYFUNCTION("""COMPUTED_VALUE"""),"gooptoes")</f>
        <v>gooptoes</v>
      </c>
      <c r="G461" s="92"/>
      <c r="H461" s="94" t="str">
        <f>IFERROR(__xludf.DUMMYFUNCTION("""COMPUTED_VALUE"""),"(469) 235-9595")</f>
        <v>(469) 235-9595</v>
      </c>
      <c r="I461" s="94" t="str">
        <f>IFERROR(__xludf.DUMMYFUNCTION("""COMPUTED_VALUE"""),"Student")</f>
        <v>Student</v>
      </c>
      <c r="J461" s="93" t="str">
        <f>IFERROR(__xludf.DUMMYFUNCTION("""COMPUTED_VALUE"""),"$15 Donation, Discord Verification")</f>
        <v>$15 Donation, Discord Verification</v>
      </c>
      <c r="K461" s="100" t="b">
        <v>0</v>
      </c>
      <c r="L461" s="101" t="str">
        <f>IFERROR(__xludf.DUMMYFUNCTION("""COMPUTED_VALUE"""),"Venmo")</f>
        <v>Venmo</v>
      </c>
      <c r="M461" s="95">
        <v>0.0</v>
      </c>
      <c r="N461" s="97" t="b">
        <v>1</v>
      </c>
      <c r="O461" s="93" t="str">
        <f>IFERROR(__xludf.DUMMYFUNCTION("""COMPUTED_VALUE"""),"Feeding")</f>
        <v>Feeding</v>
      </c>
      <c r="P46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61" s="99"/>
    </row>
    <row r="462" ht="13.5" customHeight="1">
      <c r="A462" s="88">
        <f>IFERROR(__xludf.DUMMYFUNCTION("""COMPUTED_VALUE"""),45691.62762408565)</f>
        <v>45691.62762</v>
      </c>
      <c r="B462" s="89" t="b">
        <v>1</v>
      </c>
      <c r="C462" s="90" t="str">
        <f t="shared" si="2"/>
        <v>Spring 2025</v>
      </c>
      <c r="D462" s="91" t="str">
        <f>IFERROR(__xludf.DUMMYFUNCTION("""COMPUTED_VALUE"""),"mtl3955@mavs.uta.edu")</f>
        <v>mtl3955@mavs.uta.edu</v>
      </c>
      <c r="E462" s="92" t="str">
        <f>IFERROR(__xludf.DUMMYFUNCTION("""COMPUTED_VALUE"""),"Miranda Lee")</f>
        <v>Miranda Lee</v>
      </c>
      <c r="F462" s="93" t="str">
        <f>IFERROR(__xludf.DUMMYFUNCTION("""COMPUTED_VALUE"""),"adeyumii")</f>
        <v>adeyumii</v>
      </c>
      <c r="G462" s="92"/>
      <c r="H462" s="94" t="str">
        <f>IFERROR(__xludf.DUMMYFUNCTION("""COMPUTED_VALUE"""),"(832) 243-2216")</f>
        <v>(832) 243-2216</v>
      </c>
      <c r="I462" s="94" t="str">
        <f>IFERROR(__xludf.DUMMYFUNCTION("""COMPUTED_VALUE"""),"Student")</f>
        <v>Student</v>
      </c>
      <c r="J462" s="93" t="str">
        <f>IFERROR(__xludf.DUMMYFUNCTION("""COMPUTED_VALUE"""),"$15 Donation, Discord Verification")</f>
        <v>$15 Donation, Discord Verification</v>
      </c>
      <c r="K462" s="100" t="b">
        <v>0</v>
      </c>
      <c r="L462" s="101" t="str">
        <f>IFERROR(__xludf.DUMMYFUNCTION("""COMPUTED_VALUE"""),"Cashapp")</f>
        <v>Cashapp</v>
      </c>
      <c r="M462" s="95">
        <v>0.0</v>
      </c>
      <c r="N462" s="97" t="b">
        <v>1</v>
      </c>
      <c r="O462" s="93" t="str">
        <f>IFERROR(__xludf.DUMMYFUNCTION("""COMPUTED_VALUE"""),"Fundraising, PR, Feeding, Shelter Maintenance")</f>
        <v>Fundraising, PR, Feeding, Shelter Maintenance</v>
      </c>
      <c r="P46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62" s="99"/>
    </row>
    <row r="463" ht="13.5" customHeight="1">
      <c r="A463" s="88">
        <f>IFERROR(__xludf.DUMMYFUNCTION("""COMPUTED_VALUE"""),45691.681997824075)</f>
        <v>45691.682</v>
      </c>
      <c r="B463" s="89" t="b">
        <v>1</v>
      </c>
      <c r="C463" s="90" t="str">
        <f t="shared" si="2"/>
        <v>Spring 2025</v>
      </c>
      <c r="D463" s="91" t="str">
        <f>IFERROR(__xludf.DUMMYFUNCTION("""COMPUTED_VALUE"""),"ajb1480@mavs.uta.edu")</f>
        <v>ajb1480@mavs.uta.edu</v>
      </c>
      <c r="E463" s="92" t="str">
        <f>IFERROR(__xludf.DUMMYFUNCTION("""COMPUTED_VALUE"""),"Austin Brown")</f>
        <v>Austin Brown</v>
      </c>
      <c r="F463" s="93" t="str">
        <f>IFERROR(__xludf.DUMMYFUNCTION("""COMPUTED_VALUE"""),"austinbaustinb")</f>
        <v>austinbaustinb</v>
      </c>
      <c r="G463" s="92"/>
      <c r="H463" s="94" t="str">
        <f>IFERROR(__xludf.DUMMYFUNCTION("""COMPUTED_VALUE"""),"(815) 278-3496")</f>
        <v>(815) 278-3496</v>
      </c>
      <c r="I463" s="94" t="str">
        <f>IFERROR(__xludf.DUMMYFUNCTION("""COMPUTED_VALUE"""),"Student")</f>
        <v>Student</v>
      </c>
      <c r="J463" s="93" t="str">
        <f>IFERROR(__xludf.DUMMYFUNCTION("""COMPUTED_VALUE"""),"$15 Donation, Discord Verification")</f>
        <v>$15 Donation, Discord Verification</v>
      </c>
      <c r="K463" s="100" t="b">
        <v>0</v>
      </c>
      <c r="L463" s="101" t="str">
        <f>IFERROR(__xludf.DUMMYFUNCTION("""COMPUTED_VALUE"""),"Paypal")</f>
        <v>Paypal</v>
      </c>
      <c r="M463" s="95">
        <v>0.0</v>
      </c>
      <c r="N463" s="97" t="b">
        <v>1</v>
      </c>
      <c r="O463" s="93" t="str">
        <f>IFERROR(__xludf.DUMMYFUNCTION("""COMPUTED_VALUE"""),"Fart")</f>
        <v>Fart</v>
      </c>
      <c r="P46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63" s="99"/>
    </row>
    <row r="464" ht="13.5" customHeight="1">
      <c r="A464" s="88">
        <f>IFERROR(__xludf.DUMMYFUNCTION("""COMPUTED_VALUE"""),45691.74489783565)</f>
        <v>45691.7449</v>
      </c>
      <c r="B464" s="89" t="b">
        <v>1</v>
      </c>
      <c r="C464" s="90" t="str">
        <f t="shared" si="2"/>
        <v>Spring 2025</v>
      </c>
      <c r="D464" s="91" t="str">
        <f>IFERROR(__xludf.DUMMYFUNCTION("""COMPUTED_VALUE"""),"med3041@mavs.uta.edu")</f>
        <v>med3041@mavs.uta.edu</v>
      </c>
      <c r="E464" s="92" t="str">
        <f>IFERROR(__xludf.DUMMYFUNCTION("""COMPUTED_VALUE"""),"Megan Digiovanni")</f>
        <v>Megan Digiovanni</v>
      </c>
      <c r="F464" s="93" t="str">
        <f>IFERROR(__xludf.DUMMYFUNCTION("""COMPUTED_VALUE"""),"m_digio")</f>
        <v>m_digio</v>
      </c>
      <c r="G464" s="92"/>
      <c r="H464" s="94" t="str">
        <f>IFERROR(__xludf.DUMMYFUNCTION("""COMPUTED_VALUE"""),"(409) 223-3257")</f>
        <v>(409) 223-3257</v>
      </c>
      <c r="I464" s="94" t="str">
        <f>IFERROR(__xludf.DUMMYFUNCTION("""COMPUTED_VALUE"""),"Student")</f>
        <v>Student</v>
      </c>
      <c r="J464" s="93" t="str">
        <f>IFERROR(__xludf.DUMMYFUNCTION("""COMPUTED_VALUE"""),"Food/Litter Donation")</f>
        <v>Food/Litter Donation</v>
      </c>
      <c r="K464" s="100" t="b">
        <v>0</v>
      </c>
      <c r="L464" s="101"/>
      <c r="M464" s="100"/>
      <c r="N464" s="97" t="b">
        <v>1</v>
      </c>
      <c r="O464" s="93" t="str">
        <f>IFERROR(__xludf.DUMMYFUNCTION("""COMPUTED_VALUE"""),"Fundraising, PR, Membership, TNR, Feeding, Shelter Maintenance")</f>
        <v>Fundraising, PR, Membership, TNR, Feeding, Shelter Maintenance</v>
      </c>
      <c r="P46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64" s="99"/>
    </row>
    <row r="465" ht="13.5" customHeight="1">
      <c r="A465" s="88">
        <f>IFERROR(__xludf.DUMMYFUNCTION("""COMPUTED_VALUE"""),45694.92357298611)</f>
        <v>45694.92357</v>
      </c>
      <c r="B465" s="89" t="b">
        <v>1</v>
      </c>
      <c r="C465" s="90" t="str">
        <f t="shared" si="2"/>
        <v>Spring 2025</v>
      </c>
      <c r="D465" s="91" t="str">
        <f>IFERROR(__xludf.DUMMYFUNCTION("""COMPUTED_VALUE"""),"nxh8420@mavs.uta.edu")</f>
        <v>nxh8420@mavs.uta.edu</v>
      </c>
      <c r="E465" s="92" t="str">
        <f>IFERROR(__xludf.DUMMYFUNCTION("""COMPUTED_VALUE"""),"Nancy Hernandez")</f>
        <v>Nancy Hernandez</v>
      </c>
      <c r="F465" s="93" t="str">
        <f>IFERROR(__xludf.DUMMYFUNCTION("""COMPUTED_VALUE"""),"h3rnand3zzzzz")</f>
        <v>h3rnand3zzzzz</v>
      </c>
      <c r="G465" s="92"/>
      <c r="H465" s="94" t="str">
        <f>IFERROR(__xludf.DUMMYFUNCTION("""COMPUTED_VALUE"""),"(682) 234-3926")</f>
        <v>(682) 234-3926</v>
      </c>
      <c r="I465" s="94" t="str">
        <f>IFERROR(__xludf.DUMMYFUNCTION("""COMPUTED_VALUE"""),"Student")</f>
        <v>Student</v>
      </c>
      <c r="J465" s="93" t="str">
        <f>IFERROR(__xludf.DUMMYFUNCTION("""COMPUTED_VALUE"""),"$15 Donation, Discord Verification")</f>
        <v>$15 Donation, Discord Verification</v>
      </c>
      <c r="K465" s="100" t="b">
        <v>0</v>
      </c>
      <c r="L465" s="101" t="str">
        <f>IFERROR(__xludf.DUMMYFUNCTION("""COMPUTED_VALUE"""),"Paypal")</f>
        <v>Paypal</v>
      </c>
      <c r="M465" s="95">
        <v>0.0</v>
      </c>
      <c r="N465" s="97" t="b">
        <v>1</v>
      </c>
      <c r="O465" s="93" t="str">
        <f>IFERROR(__xludf.DUMMYFUNCTION("""COMPUTED_VALUE"""),"Feeding")</f>
        <v>Feeding</v>
      </c>
      <c r="P46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65" s="99"/>
    </row>
    <row r="466" ht="13.5" customHeight="1">
      <c r="A466" s="88">
        <f>IFERROR(__xludf.DUMMYFUNCTION("""COMPUTED_VALUE"""),45694.949806226854)</f>
        <v>45694.94981</v>
      </c>
      <c r="B466" s="89" t="b">
        <v>1</v>
      </c>
      <c r="C466" s="90" t="str">
        <f t="shared" si="2"/>
        <v>Spring 2025</v>
      </c>
      <c r="D466" s="91" t="str">
        <f>IFERROR(__xludf.DUMMYFUNCTION("""COMPUTED_VALUE"""),"eef1310@mavs.uta.edu")</f>
        <v>eef1310@mavs.uta.edu</v>
      </c>
      <c r="E466" s="92" t="str">
        <f>IFERROR(__xludf.DUMMYFUNCTION("""COMPUTED_VALUE"""),"Emma Folkmann")</f>
        <v>Emma Folkmann</v>
      </c>
      <c r="F466" s="93" t="str">
        <f>IFERROR(__xludf.DUMMYFUNCTION("""COMPUTED_VALUE"""),"emma.folk")</f>
        <v>emma.folk</v>
      </c>
      <c r="G466" s="92"/>
      <c r="H466" s="94" t="str">
        <f>IFERROR(__xludf.DUMMYFUNCTION("""COMPUTED_VALUE"""),"(319) 660-0349")</f>
        <v>(319) 660-0349</v>
      </c>
      <c r="I466" s="94" t="str">
        <f>IFERROR(__xludf.DUMMYFUNCTION("""COMPUTED_VALUE"""),"Student")</f>
        <v>Student</v>
      </c>
      <c r="J466" s="93" t="str">
        <f>IFERROR(__xludf.DUMMYFUNCTION("""COMPUTED_VALUE"""),"$15 Donation, Discord Verification")</f>
        <v>$15 Donation, Discord Verification</v>
      </c>
      <c r="K466" s="100" t="b">
        <v>0</v>
      </c>
      <c r="L466" s="101" t="str">
        <f>IFERROR(__xludf.DUMMYFUNCTION("""COMPUTED_VALUE"""),"Venmo")</f>
        <v>Venmo</v>
      </c>
      <c r="M466" s="95">
        <v>0.0</v>
      </c>
      <c r="N466" s="97" t="b">
        <v>1</v>
      </c>
      <c r="O466" s="93" t="str">
        <f>IFERROR(__xludf.DUMMYFUNCTION("""COMPUTED_VALUE"""),"PR")</f>
        <v>PR</v>
      </c>
      <c r="P46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66" s="99"/>
    </row>
    <row r="467" ht="13.5" customHeight="1">
      <c r="A467" s="88">
        <f>IFERROR(__xludf.DUMMYFUNCTION("""COMPUTED_VALUE"""),45695.01471790509)</f>
        <v>45695.01472</v>
      </c>
      <c r="B467" s="89" t="b">
        <v>0</v>
      </c>
      <c r="C467" s="90" t="str">
        <f t="shared" si="2"/>
        <v>Spring 2025</v>
      </c>
      <c r="D467" s="91" t="str">
        <f>IFERROR(__xludf.DUMMYFUNCTION("""COMPUTED_VALUE"""),"jordhard@hotmail.com")</f>
        <v>jordhard@hotmail.com</v>
      </c>
      <c r="E467" s="92" t="str">
        <f>IFERROR(__xludf.DUMMYFUNCTION("""COMPUTED_VALUE"""),"Jordan Hardin")</f>
        <v>Jordan Hardin</v>
      </c>
      <c r="F467" s="93" t="str">
        <f>IFERROR(__xludf.DUMMYFUNCTION("""COMPUTED_VALUE"""),"Kitadin")</f>
        <v>Kitadin</v>
      </c>
      <c r="G467" s="92"/>
      <c r="H467" s="94" t="str">
        <f>IFERROR(__xludf.DUMMYFUNCTION("""COMPUTED_VALUE"""),"")</f>
        <v/>
      </c>
      <c r="I467" s="94" t="str">
        <f>IFERROR(__xludf.DUMMYFUNCTION("""COMPUTED_VALUE"""),"Community Member")</f>
        <v>Community Member</v>
      </c>
      <c r="J467" s="93" t="str">
        <f>IFERROR(__xludf.DUMMYFUNCTION("""COMPUTED_VALUE"""),"Food/Litter Donation")</f>
        <v>Food/Litter Donation</v>
      </c>
      <c r="K467" s="100" t="b">
        <v>0</v>
      </c>
      <c r="L467" s="101"/>
      <c r="M467" s="100"/>
      <c r="N467" s="97" t="b">
        <v>1</v>
      </c>
      <c r="O467" s="93" t="str">
        <f>IFERROR(__xludf.DUMMYFUNCTION("""COMPUTED_VALUE"""),"TNR, Feeding")</f>
        <v>TNR, Feeding</v>
      </c>
      <c r="P46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67" s="99"/>
    </row>
    <row r="468" ht="13.5" customHeight="1">
      <c r="A468" s="88">
        <f>IFERROR(__xludf.DUMMYFUNCTION("""COMPUTED_VALUE"""),45695.44985725694)</f>
        <v>45695.44986</v>
      </c>
      <c r="B468" s="89" t="b">
        <v>1</v>
      </c>
      <c r="C468" s="90" t="str">
        <f t="shared" si="2"/>
        <v>Spring 2025</v>
      </c>
      <c r="D468" s="91" t="str">
        <f>IFERROR(__xludf.DUMMYFUNCTION("""COMPUTED_VALUE"""),"axm2610@mavs.uta.edu")</f>
        <v>axm2610@mavs.uta.edu</v>
      </c>
      <c r="E468" s="92" t="str">
        <f>IFERROR(__xludf.DUMMYFUNCTION("""COMPUTED_VALUE"""),"Andres Morales")</f>
        <v>Andres Morales</v>
      </c>
      <c r="F468" s="93" t="str">
        <f>IFERROR(__xludf.DUMMYFUNCTION("""COMPUTED_VALUE"""),"that.colombian")</f>
        <v>that.colombian</v>
      </c>
      <c r="G468" s="92"/>
      <c r="H468" s="94" t="str">
        <f>IFERROR(__xludf.DUMMYFUNCTION("""COMPUTED_VALUE"""),"(682) 701-0469")</f>
        <v>(682) 701-0469</v>
      </c>
      <c r="I468" s="94" t="str">
        <f>IFERROR(__xludf.DUMMYFUNCTION("""COMPUTED_VALUE"""),"Student")</f>
        <v>Student</v>
      </c>
      <c r="J468" s="93" t="str">
        <f>IFERROR(__xludf.DUMMYFUNCTION("""COMPUTED_VALUE"""),"Food/Litter Donation")</f>
        <v>Food/Litter Donation</v>
      </c>
      <c r="K468" s="100" t="b">
        <v>0</v>
      </c>
      <c r="L468" s="101"/>
      <c r="M468" s="100"/>
      <c r="N468" s="97" t="b">
        <v>1</v>
      </c>
      <c r="O468" s="93" t="str">
        <f>IFERROR(__xludf.DUMMYFUNCTION("""COMPUTED_VALUE"""),"PR")</f>
        <v>PR</v>
      </c>
      <c r="P46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68" s="99"/>
    </row>
    <row r="469" ht="13.5" customHeight="1">
      <c r="A469" s="88">
        <f>IFERROR(__xludf.DUMMYFUNCTION("""COMPUTED_VALUE"""),45695.481716863425)</f>
        <v>45695.48172</v>
      </c>
      <c r="B469" s="89" t="b">
        <v>1</v>
      </c>
      <c r="C469" s="90" t="str">
        <f t="shared" si="2"/>
        <v>Spring 2025</v>
      </c>
      <c r="D469" s="91" t="str">
        <f>IFERROR(__xludf.DUMMYFUNCTION("""COMPUTED_VALUE"""),"rxd4693@mavs.uta.edu")</f>
        <v>rxd4693@mavs.uta.edu</v>
      </c>
      <c r="E469" s="177" t="str">
        <f>IFERROR(__xludf.DUMMYFUNCTION("""COMPUTED_VALUE"""),"Richard DiGiovanni")</f>
        <v>Richard DiGiovanni</v>
      </c>
      <c r="F469" s="178" t="str">
        <f>IFERROR(__xludf.DUMMYFUNCTION("""COMPUTED_VALUE"""),"Pumpkin")</f>
        <v>Pumpkin</v>
      </c>
      <c r="G469" s="177"/>
      <c r="H469" s="94" t="str">
        <f>IFERROR(__xludf.DUMMYFUNCTION("""COMPUTED_VALUE"""),"(409) 828-2308")</f>
        <v>(409) 828-2308</v>
      </c>
      <c r="I469" s="94" t="str">
        <f>IFERROR(__xludf.DUMMYFUNCTION("""COMPUTED_VALUE"""),"Student")</f>
        <v>Student</v>
      </c>
      <c r="J469" s="93" t="str">
        <f>IFERROR(__xludf.DUMMYFUNCTION("""COMPUTED_VALUE"""),"$15 Donation, Discord Verification")</f>
        <v>$15 Donation, Discord Verification</v>
      </c>
      <c r="K469" s="100" t="b">
        <v>0</v>
      </c>
      <c r="L469" s="101" t="str">
        <f>IFERROR(__xludf.DUMMYFUNCTION("""COMPUTED_VALUE"""),"Venmo")</f>
        <v>Venmo</v>
      </c>
      <c r="M469" s="95">
        <v>0.0</v>
      </c>
      <c r="N469" s="97" t="b">
        <v>1</v>
      </c>
      <c r="O469" s="93" t="str">
        <f>IFERROR(__xludf.DUMMYFUNCTION("""COMPUTED_VALUE"""),"Shelter Maintenance")</f>
        <v>Shelter Maintenance</v>
      </c>
      <c r="P46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69" s="102" t="s">
        <v>88</v>
      </c>
    </row>
    <row r="470" ht="13.5" customHeight="1">
      <c r="A470" s="88">
        <f>IFERROR(__xludf.DUMMYFUNCTION("""COMPUTED_VALUE"""),45695.485634895835)</f>
        <v>45695.48563</v>
      </c>
      <c r="B470" s="89" t="b">
        <v>1</v>
      </c>
      <c r="C470" s="90" t="str">
        <f t="shared" si="2"/>
        <v>Spring 2025</v>
      </c>
      <c r="D470" s="91" t="str">
        <f>IFERROR(__xludf.DUMMYFUNCTION("""COMPUTED_VALUE"""),"exj4016@mavs.uta.edu")</f>
        <v>exj4016@mavs.uta.edu</v>
      </c>
      <c r="E470" s="177" t="str">
        <f>IFERROR(__xludf.DUMMYFUNCTION("""COMPUTED_VALUE"""),"Effua Jordan")</f>
        <v>Effua Jordan</v>
      </c>
      <c r="F470" s="178" t="str">
        <f>IFERROR(__xludf.DUMMYFUNCTION("""COMPUTED_VALUE"""),"eggyweggypiggy")</f>
        <v>eggyweggypiggy</v>
      </c>
      <c r="G470" s="177"/>
      <c r="H470" s="94" t="str">
        <f>IFERROR(__xludf.DUMMYFUNCTION("""COMPUTED_VALUE"""),"(346) 337-8531")</f>
        <v>(346) 337-8531</v>
      </c>
      <c r="I470" s="94" t="str">
        <f>IFERROR(__xludf.DUMMYFUNCTION("""COMPUTED_VALUE"""),"Student")</f>
        <v>Student</v>
      </c>
      <c r="J470" s="93" t="str">
        <f>IFERROR(__xludf.DUMMYFUNCTION("""COMPUTED_VALUE"""),"$15 Donation, Discord Verification")</f>
        <v>$15 Donation, Discord Verification</v>
      </c>
      <c r="K470" s="100" t="b">
        <v>0</v>
      </c>
      <c r="L470" s="101" t="str">
        <f>IFERROR(__xludf.DUMMYFUNCTION("""COMPUTED_VALUE"""),"Venmo")</f>
        <v>Venmo</v>
      </c>
      <c r="M470" s="95">
        <v>0.0</v>
      </c>
      <c r="N470" s="97" t="b">
        <v>1</v>
      </c>
      <c r="O470" s="93" t="str">
        <f>IFERROR(__xludf.DUMMYFUNCTION("""COMPUTED_VALUE"""),"Feeding")</f>
        <v>Feeding</v>
      </c>
      <c r="P47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70" s="99"/>
    </row>
    <row r="471" ht="13.5" customHeight="1">
      <c r="A471" s="88">
        <f>IFERROR(__xludf.DUMMYFUNCTION("""COMPUTED_VALUE"""),45695.49154341435)</f>
        <v>45695.49154</v>
      </c>
      <c r="B471" s="89" t="b">
        <v>1</v>
      </c>
      <c r="C471" s="90" t="str">
        <f t="shared" si="2"/>
        <v>Spring 2025</v>
      </c>
      <c r="D471" s="91" t="str">
        <f>IFERROR(__xludf.DUMMYFUNCTION("""COMPUTED_VALUE"""),"ryan.johnson2@mavs.uta.edu")</f>
        <v>ryan.johnson2@mavs.uta.edu</v>
      </c>
      <c r="E471" s="177" t="str">
        <f>IFERROR(__xludf.DUMMYFUNCTION("""COMPUTED_VALUE"""),"Ryan Johnson")</f>
        <v>Ryan Johnson</v>
      </c>
      <c r="F471" s="178" t="str">
        <f>IFERROR(__xludf.DUMMYFUNCTION("""COMPUTED_VALUE"""),"gupguppy")</f>
        <v>gupguppy</v>
      </c>
      <c r="G471" s="177"/>
      <c r="H471" s="94" t="str">
        <f>IFERROR(__xludf.DUMMYFUNCTION("""COMPUTED_VALUE"""),"(409) 233-7926")</f>
        <v>(409) 233-7926</v>
      </c>
      <c r="I471" s="94" t="str">
        <f>IFERROR(__xludf.DUMMYFUNCTION("""COMPUTED_VALUE"""),"UTA Faculty")</f>
        <v>UTA Faculty</v>
      </c>
      <c r="J471" s="93" t="str">
        <f>IFERROR(__xludf.DUMMYFUNCTION("""COMPUTED_VALUE"""),"$15 Donation, Discord Verification")</f>
        <v>$15 Donation, Discord Verification</v>
      </c>
      <c r="K471" s="100" t="b">
        <v>0</v>
      </c>
      <c r="L471" s="101" t="str">
        <f>IFERROR(__xludf.DUMMYFUNCTION("""COMPUTED_VALUE"""),"Cashapp")</f>
        <v>Cashapp</v>
      </c>
      <c r="M471" s="95">
        <v>0.0</v>
      </c>
      <c r="N471" s="97" t="b">
        <v>1</v>
      </c>
      <c r="O471" s="93" t="str">
        <f>IFERROR(__xludf.DUMMYFUNCTION("""COMPUTED_VALUE"""),"TNR, Overnight TNR, Feeding, Fostering, Shelter Maintenance")</f>
        <v>TNR, Overnight TNR, Feeding, Fostering, Shelter Maintenance</v>
      </c>
      <c r="P47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71" s="99"/>
    </row>
    <row r="472" ht="13.5" customHeight="1">
      <c r="A472" s="88">
        <f>IFERROR(__xludf.DUMMYFUNCTION("""COMPUTED_VALUE"""),45695.82210752315)</f>
        <v>45695.82211</v>
      </c>
      <c r="B472" s="89" t="b">
        <v>1</v>
      </c>
      <c r="C472" s="90" t="str">
        <f t="shared" si="2"/>
        <v>Spring 2025</v>
      </c>
      <c r="D472" s="91" t="str">
        <f>IFERROR(__xludf.DUMMYFUNCTION("""COMPUTED_VALUE"""),"mxr5105@mavs.uta.edu")</f>
        <v>mxr5105@mavs.uta.edu</v>
      </c>
      <c r="E472" s="177" t="str">
        <f>IFERROR(__xludf.DUMMYFUNCTION("""COMPUTED_VALUE"""),"Mia Reyes")</f>
        <v>Mia Reyes</v>
      </c>
      <c r="F472" s="178" t="str">
        <f>IFERROR(__xludf.DUMMYFUNCTION("""COMPUTED_VALUE"""),"Skelehusk")</f>
        <v>Skelehusk</v>
      </c>
      <c r="G472" s="177"/>
      <c r="H472" s="94" t="str">
        <f>IFERROR(__xludf.DUMMYFUNCTION("""COMPUTED_VALUE"""),"(912) 777-9101")</f>
        <v>(912) 777-9101</v>
      </c>
      <c r="I472" s="94" t="str">
        <f>IFERROR(__xludf.DUMMYFUNCTION("""COMPUTED_VALUE"""),"Student")</f>
        <v>Student</v>
      </c>
      <c r="J472" s="93" t="str">
        <f>IFERROR(__xludf.DUMMYFUNCTION("""COMPUTED_VALUE"""),"$15 Donation, Discord Verification")</f>
        <v>$15 Donation, Discord Verification</v>
      </c>
      <c r="K472" s="100" t="b">
        <v>0</v>
      </c>
      <c r="L472" s="101" t="str">
        <f>IFERROR(__xludf.DUMMYFUNCTION("""COMPUTED_VALUE"""),"Venmo")</f>
        <v>Venmo</v>
      </c>
      <c r="M472" s="95">
        <v>0.0</v>
      </c>
      <c r="N472" s="97" t="b">
        <v>1</v>
      </c>
      <c r="O472" s="93" t="str">
        <f>IFERROR(__xludf.DUMMYFUNCTION("""COMPUTED_VALUE"""),"PR, TNR, Overnight TNR")</f>
        <v>PR, TNR, Overnight TNR</v>
      </c>
      <c r="P47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72" s="99"/>
    </row>
    <row r="473" ht="13.5" customHeight="1">
      <c r="A473" s="88">
        <f>IFERROR(__xludf.DUMMYFUNCTION("""COMPUTED_VALUE"""),45695.872576388894)</f>
        <v>45695.87258</v>
      </c>
      <c r="B473" s="89" t="b">
        <v>1</v>
      </c>
      <c r="C473" s="90" t="str">
        <f t="shared" si="2"/>
        <v>Spring 2025</v>
      </c>
      <c r="D473" s="91" t="str">
        <f>IFERROR(__xludf.DUMMYFUNCTION("""COMPUTED_VALUE"""),"zxd4094@mavs.uta.edu")</f>
        <v>zxd4094@mavs.uta.edu</v>
      </c>
      <c r="E473" s="177" t="str">
        <f>IFERROR(__xludf.DUMMYFUNCTION("""COMPUTED_VALUE"""),"Zoe Dennis")</f>
        <v>Zoe Dennis</v>
      </c>
      <c r="F473" s="178" t="str">
        <f>IFERROR(__xludf.DUMMYFUNCTION("""COMPUTED_VALUE"""),"Cinninmonbabe")</f>
        <v>Cinninmonbabe</v>
      </c>
      <c r="G473" s="177"/>
      <c r="H473" s="94" t="str">
        <f>IFERROR(__xludf.DUMMYFUNCTION("""COMPUTED_VALUE"""),"(817) 739-1378")</f>
        <v>(817) 739-1378</v>
      </c>
      <c r="I473" s="94" t="str">
        <f>IFERROR(__xludf.DUMMYFUNCTION("""COMPUTED_VALUE"""),"Student")</f>
        <v>Student</v>
      </c>
      <c r="J473" s="93" t="str">
        <f>IFERROR(__xludf.DUMMYFUNCTION("""COMPUTED_VALUE"""),"$15 Donation, Discord Verification")</f>
        <v>$15 Donation, Discord Verification</v>
      </c>
      <c r="K473" s="100" t="b">
        <v>0</v>
      </c>
      <c r="L473" s="101"/>
      <c r="M473" s="95">
        <v>0.0</v>
      </c>
      <c r="N473" s="97" t="b">
        <v>1</v>
      </c>
      <c r="O473" s="93" t="str">
        <f>IFERROR(__xludf.DUMMYFUNCTION("""COMPUTED_VALUE"""),"Feeding")</f>
        <v>Feeding</v>
      </c>
      <c r="P47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73" s="102" t="s">
        <v>88</v>
      </c>
    </row>
    <row r="474" ht="13.5" customHeight="1">
      <c r="A474" s="88">
        <f>IFERROR(__xludf.DUMMYFUNCTION("""COMPUTED_VALUE"""),45695.90504400463)</f>
        <v>45695.90504</v>
      </c>
      <c r="B474" s="89" t="b">
        <v>1</v>
      </c>
      <c r="C474" s="90" t="str">
        <f t="shared" si="2"/>
        <v>Spring 2025</v>
      </c>
      <c r="D474" s="91" t="str">
        <f>IFERROR(__xludf.DUMMYFUNCTION("""COMPUTED_VALUE"""),"arman.rahimzadehnassk@mavs.uta.edu")</f>
        <v>arman.rahimzadehnassk@mavs.uta.edu</v>
      </c>
      <c r="E474" s="177" t="str">
        <f>IFERROR(__xludf.DUMMYFUNCTION("""COMPUTED_VALUE"""),"Arman Rahimzadeh")</f>
        <v>Arman Rahimzadeh</v>
      </c>
      <c r="F474" s="178" t="str">
        <f>IFERROR(__xludf.DUMMYFUNCTION("""COMPUTED_VALUE"""),"Olyeball")</f>
        <v>Olyeball</v>
      </c>
      <c r="G474" s="177"/>
      <c r="H474" s="94" t="str">
        <f>IFERROR(__xludf.DUMMYFUNCTION("""COMPUTED_VALUE"""),"(817) 201-6224")</f>
        <v>(817) 201-6224</v>
      </c>
      <c r="I474" s="94" t="str">
        <f>IFERROR(__xludf.DUMMYFUNCTION("""COMPUTED_VALUE"""),"Student")</f>
        <v>Student</v>
      </c>
      <c r="J474" s="93" t="str">
        <f>IFERROR(__xludf.DUMMYFUNCTION("""COMPUTED_VALUE"""),"$15 Donation, Discord Verification")</f>
        <v>$15 Donation, Discord Verification</v>
      </c>
      <c r="K474" s="100" t="b">
        <v>0</v>
      </c>
      <c r="L474" s="101" t="str">
        <f>IFERROR(__xludf.DUMMYFUNCTION("""COMPUTED_VALUE"""),"Venmo")</f>
        <v>Venmo</v>
      </c>
      <c r="M474" s="95">
        <v>0.0</v>
      </c>
      <c r="N474" s="97" t="b">
        <v>1</v>
      </c>
      <c r="O474" s="93" t="str">
        <f>IFERROR(__xludf.DUMMYFUNCTION("""COMPUTED_VALUE"""),"Fundraising, Membership, TNR, Feeding, Shelter Maintenance, anything you guys need help with to be honest :)")</f>
        <v>Fundraising, Membership, TNR, Feeding, Shelter Maintenance, anything you guys need help with to be honest :)</v>
      </c>
      <c r="P47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74" s="99"/>
    </row>
    <row r="475" ht="13.5" customHeight="1">
      <c r="A475" s="88">
        <f>IFERROR(__xludf.DUMMYFUNCTION("""COMPUTED_VALUE"""),45695.971848437504)</f>
        <v>45695.97185</v>
      </c>
      <c r="B475" s="89" t="b">
        <v>1</v>
      </c>
      <c r="C475" s="90" t="str">
        <f t="shared" si="2"/>
        <v>Spring 2025</v>
      </c>
      <c r="D475" s="91" t="str">
        <f>IFERROR(__xludf.DUMMYFUNCTION("""COMPUTED_VALUE"""),"jrs6179@mavs.uta.edu")</f>
        <v>jrs6179@mavs.uta.edu</v>
      </c>
      <c r="E475" s="177" t="str">
        <f>IFERROR(__xludf.DUMMYFUNCTION("""COMPUTED_VALUE"""),"Jacob Sandoval")</f>
        <v>Jacob Sandoval</v>
      </c>
      <c r="F475" s="178" t="str">
        <f>IFERROR(__xludf.DUMMYFUNCTION("""COMPUTED_VALUE"""),"_Rambone_")</f>
        <v>_Rambone_</v>
      </c>
      <c r="G475" s="177"/>
      <c r="H475" s="94" t="str">
        <f>IFERROR(__xludf.DUMMYFUNCTION("""COMPUTED_VALUE"""),"(972) 730-7809")</f>
        <v>(972) 730-7809</v>
      </c>
      <c r="I475" s="94" t="str">
        <f>IFERROR(__xludf.DUMMYFUNCTION("""COMPUTED_VALUE"""),"Student")</f>
        <v>Student</v>
      </c>
      <c r="J475" s="93" t="str">
        <f>IFERROR(__xludf.DUMMYFUNCTION("""COMPUTED_VALUE"""),"$15 Donation, Discord Verification")</f>
        <v>$15 Donation, Discord Verification</v>
      </c>
      <c r="K475" s="100" t="b">
        <v>0</v>
      </c>
      <c r="L475" s="101" t="str">
        <f>IFERROR(__xludf.DUMMYFUNCTION("""COMPUTED_VALUE"""),"Cashapp")</f>
        <v>Cashapp</v>
      </c>
      <c r="M475" s="95">
        <v>0.0</v>
      </c>
      <c r="N475" s="97" t="b">
        <v>1</v>
      </c>
      <c r="O475" s="93" t="str">
        <f>IFERROR(__xludf.DUMMYFUNCTION("""COMPUTED_VALUE"""),"Fundraising, TNR, Feeding, Fostering, Shelter Maintenance")</f>
        <v>Fundraising, TNR, Feeding, Fostering, Shelter Maintenance</v>
      </c>
      <c r="P47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75" s="99"/>
    </row>
    <row r="476" ht="13.5" customHeight="1">
      <c r="A476" s="88">
        <f>IFERROR(__xludf.DUMMYFUNCTION("""COMPUTED_VALUE"""),45695.97771364583)</f>
        <v>45695.97771</v>
      </c>
      <c r="B476" s="89" t="b">
        <v>1</v>
      </c>
      <c r="C476" s="90" t="str">
        <f t="shared" si="2"/>
        <v>Spring 2025</v>
      </c>
      <c r="D476" s="91" t="str">
        <f>IFERROR(__xludf.DUMMYFUNCTION("""COMPUTED_VALUE"""),"mrr7508@mavs.uta.edu")</f>
        <v>mrr7508@mavs.uta.edu</v>
      </c>
      <c r="E476" s="177" t="str">
        <f>IFERROR(__xludf.DUMMYFUNCTION("""COMPUTED_VALUE"""),"Mario Rodriguez")</f>
        <v>Mario Rodriguez</v>
      </c>
      <c r="F476" s="178" t="str">
        <f>IFERROR(__xludf.DUMMYFUNCTION("""COMPUTED_VALUE"""),"itech12345")</f>
        <v>itech12345</v>
      </c>
      <c r="G476" s="177"/>
      <c r="H476" s="94" t="str">
        <f>IFERROR(__xludf.DUMMYFUNCTION("""COMPUTED_VALUE"""),"(682) 718-8818")</f>
        <v>(682) 718-8818</v>
      </c>
      <c r="I476" s="94" t="str">
        <f>IFERROR(__xludf.DUMMYFUNCTION("""COMPUTED_VALUE"""),"Student")</f>
        <v>Student</v>
      </c>
      <c r="J476" s="93" t="str">
        <f>IFERROR(__xludf.DUMMYFUNCTION("""COMPUTED_VALUE"""),"$15 Donation, Discord Verification")</f>
        <v>$15 Donation, Discord Verification</v>
      </c>
      <c r="K476" s="100" t="b">
        <v>0</v>
      </c>
      <c r="L476" s="101" t="str">
        <f>IFERROR(__xludf.DUMMYFUNCTION("""COMPUTED_VALUE"""),"Cashapp")</f>
        <v>Cashapp</v>
      </c>
      <c r="M476" s="95">
        <v>0.0</v>
      </c>
      <c r="N476" s="97" t="b">
        <v>1</v>
      </c>
      <c r="O476" s="93" t="str">
        <f>IFERROR(__xludf.DUMMYFUNCTION("""COMPUTED_VALUE"""),"Membership")</f>
        <v>Membership</v>
      </c>
      <c r="P47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76" s="99"/>
    </row>
    <row r="477" ht="13.5" customHeight="1">
      <c r="A477" s="88">
        <f>IFERROR(__xludf.DUMMYFUNCTION("""COMPUTED_VALUE"""),45695.97799478009)</f>
        <v>45695.97799</v>
      </c>
      <c r="B477" s="89" t="b">
        <v>1</v>
      </c>
      <c r="C477" s="90" t="str">
        <f t="shared" si="2"/>
        <v>Spring 2025</v>
      </c>
      <c r="D477" s="91" t="str">
        <f>IFERROR(__xludf.DUMMYFUNCTION("""COMPUTED_VALUE"""),"dxs7542@mavs.uta.edu")</f>
        <v>dxs7542@mavs.uta.edu</v>
      </c>
      <c r="E477" s="177" t="str">
        <f>IFERROR(__xludf.DUMMYFUNCTION("""COMPUTED_VALUE"""),"kaz schofield ")</f>
        <v>kaz schofield </v>
      </c>
      <c r="F477" s="178" t="str">
        <f>IFERROR(__xludf.DUMMYFUNCTION("""COMPUTED_VALUE"""),"slayc127")</f>
        <v>slayc127</v>
      </c>
      <c r="G477" s="177"/>
      <c r="H477" s="94" t="str">
        <f>IFERROR(__xludf.DUMMYFUNCTION("""COMPUTED_VALUE"""),"(940) 443-9586")</f>
        <v>(940) 443-9586</v>
      </c>
      <c r="I477" s="94" t="str">
        <f>IFERROR(__xludf.DUMMYFUNCTION("""COMPUTED_VALUE"""),"Student")</f>
        <v>Student</v>
      </c>
      <c r="J477" s="93" t="str">
        <f>IFERROR(__xludf.DUMMYFUNCTION("""COMPUTED_VALUE"""),"$15 Donation, Discord Verification")</f>
        <v>$15 Donation, Discord Verification</v>
      </c>
      <c r="K477" s="100" t="b">
        <v>0</v>
      </c>
      <c r="L477" s="101" t="str">
        <f>IFERROR(__xludf.DUMMYFUNCTION("""COMPUTED_VALUE"""),"Paypal")</f>
        <v>Paypal</v>
      </c>
      <c r="M477" s="95">
        <v>0.0</v>
      </c>
      <c r="N477" s="97" t="b">
        <v>1</v>
      </c>
      <c r="O477" s="93" t="str">
        <f>IFERROR(__xludf.DUMMYFUNCTION("""COMPUTED_VALUE"""),"boo")</f>
        <v>boo</v>
      </c>
      <c r="P47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77" s="99"/>
    </row>
    <row r="478" ht="13.5" customHeight="1">
      <c r="A478" s="88">
        <f>IFERROR(__xludf.DUMMYFUNCTION("""COMPUTED_VALUE"""),45696.314621944446)</f>
        <v>45696.31462</v>
      </c>
      <c r="B478" s="89" t="b">
        <v>1</v>
      </c>
      <c r="C478" s="90" t="str">
        <f t="shared" ref="C478:C497" si="3">IF(A478&lt;&gt;"", IFERROR(IF(MONTH(A478) &gt;= 7, "Fall ", "Spring ") &amp; YEAR(A478) + IF(MONTH(A478) &gt;= 7, 1, 0), ""), "")</f>
        <v>Spring 2025</v>
      </c>
      <c r="D478" s="91" t="str">
        <f>IFERROR(__xludf.DUMMYFUNCTION("""COMPUTED_VALUE"""),"Smc7514@mavs.uta.edu")</f>
        <v>Smc7514@mavs.uta.edu</v>
      </c>
      <c r="E478" s="92" t="str">
        <f>IFERROR(__xludf.DUMMYFUNCTION("""COMPUTED_VALUE"""),"Samantha Castellanos")</f>
        <v>Samantha Castellanos</v>
      </c>
      <c r="F478" s="93" t="str">
        <f>IFERROR(__xludf.DUMMYFUNCTION("""COMPUTED_VALUE"""),"Pocahontasamm")</f>
        <v>Pocahontasamm</v>
      </c>
      <c r="G478" s="92"/>
      <c r="H478" s="94" t="str">
        <f>IFERROR(__xludf.DUMMYFUNCTION("""COMPUTED_VALUE"""),"(760) 993-7501")</f>
        <v>(760) 993-7501</v>
      </c>
      <c r="I478" s="94" t="str">
        <f>IFERROR(__xludf.DUMMYFUNCTION("""COMPUTED_VALUE"""),"Student")</f>
        <v>Student</v>
      </c>
      <c r="J478" s="93" t="str">
        <f>IFERROR(__xludf.DUMMYFUNCTION("""COMPUTED_VALUE"""),"$15 Donation, Discord Verification")</f>
        <v>$15 Donation, Discord Verification</v>
      </c>
      <c r="K478" s="100" t="b">
        <v>0</v>
      </c>
      <c r="L478" s="101" t="str">
        <f>IFERROR(__xludf.DUMMYFUNCTION("""COMPUTED_VALUE"""),"Cashapp")</f>
        <v>Cashapp</v>
      </c>
      <c r="M478" s="95">
        <v>0.0</v>
      </c>
      <c r="N478" s="97" t="b">
        <v>1</v>
      </c>
      <c r="O478" s="93" t="str">
        <f>IFERROR(__xludf.DUMMYFUNCTION("""COMPUTED_VALUE"""),"Fundraising, Feeding")</f>
        <v>Fundraising, Feeding</v>
      </c>
      <c r="P47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78" s="99"/>
    </row>
    <row r="479" ht="13.5" customHeight="1">
      <c r="A479" s="88">
        <f>IFERROR(__xludf.DUMMYFUNCTION("""COMPUTED_VALUE"""),45696.49819118055)</f>
        <v>45696.49819</v>
      </c>
      <c r="B479" s="89" t="b">
        <v>1</v>
      </c>
      <c r="C479" s="90" t="str">
        <f t="shared" si="3"/>
        <v>Spring 2025</v>
      </c>
      <c r="D479" s="91" t="str">
        <f>IFERROR(__xludf.DUMMYFUNCTION("""COMPUTED_VALUE"""),"bnl8016@mavs.uta.edu")</f>
        <v>bnl8016@mavs.uta.edu</v>
      </c>
      <c r="E479" s="92" t="str">
        <f>IFERROR(__xludf.DUMMYFUNCTION("""COMPUTED_VALUE"""),"Brencis Le")</f>
        <v>Brencis Le</v>
      </c>
      <c r="F479" s="93" t="str">
        <f>IFERROR(__xludf.DUMMYFUNCTION("""COMPUTED_VALUE"""),"argonaut_1")</f>
        <v>argonaut_1</v>
      </c>
      <c r="G479" s="92"/>
      <c r="H479" s="94" t="str">
        <f>IFERROR(__xludf.DUMMYFUNCTION("""COMPUTED_VALUE"""),"(346) 332-9692")</f>
        <v>(346) 332-9692</v>
      </c>
      <c r="I479" s="94" t="str">
        <f>IFERROR(__xludf.DUMMYFUNCTION("""COMPUTED_VALUE"""),"Student")</f>
        <v>Student</v>
      </c>
      <c r="J479" s="93" t="str">
        <f>IFERROR(__xludf.DUMMYFUNCTION("""COMPUTED_VALUE"""),"$15 Donation, Discord Verification")</f>
        <v>$15 Donation, Discord Verification</v>
      </c>
      <c r="K479" s="100" t="b">
        <v>0</v>
      </c>
      <c r="L479" s="101" t="str">
        <f>IFERROR(__xludf.DUMMYFUNCTION("""COMPUTED_VALUE"""),"Venmo")</f>
        <v>Venmo</v>
      </c>
      <c r="M479" s="95">
        <v>0.0</v>
      </c>
      <c r="N479" s="97" t="b">
        <v>1</v>
      </c>
      <c r="O479" s="93" t="str">
        <f>IFERROR(__xludf.DUMMYFUNCTION("""COMPUTED_VALUE"""),"Feeding, Fostering")</f>
        <v>Feeding, Fostering</v>
      </c>
      <c r="P47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79" s="99"/>
    </row>
    <row r="480" ht="13.5" customHeight="1">
      <c r="A480" s="88">
        <f>IFERROR(__xludf.DUMMYFUNCTION("""COMPUTED_VALUE"""),45696.57171107639)</f>
        <v>45696.57171</v>
      </c>
      <c r="B480" s="89" t="b">
        <v>1</v>
      </c>
      <c r="C480" s="90" t="str">
        <f t="shared" si="3"/>
        <v>Spring 2025</v>
      </c>
      <c r="D480" s="91" t="str">
        <f>IFERROR(__xludf.DUMMYFUNCTION("""COMPUTED_VALUE"""),"acs7801@mavs.uta.edu")</f>
        <v>acs7801@mavs.uta.edu</v>
      </c>
      <c r="E480" s="92" t="str">
        <f>IFERROR(__xludf.DUMMYFUNCTION("""COMPUTED_VALUE"""),"Acacia Shiroma")</f>
        <v>Acacia Shiroma</v>
      </c>
      <c r="F480" s="93" t="str">
        <f>IFERROR(__xludf.DUMMYFUNCTION("""COMPUTED_VALUE"""),"spitonme")</f>
        <v>spitonme</v>
      </c>
      <c r="G480" s="92"/>
      <c r="H480" s="94" t="str">
        <f>IFERROR(__xludf.DUMMYFUNCTION("""COMPUTED_VALUE"""),"(682) 206-8098")</f>
        <v>(682) 206-8098</v>
      </c>
      <c r="I480" s="94" t="str">
        <f>IFERROR(__xludf.DUMMYFUNCTION("""COMPUTED_VALUE"""),"Student")</f>
        <v>Student</v>
      </c>
      <c r="J480" s="93" t="str">
        <f>IFERROR(__xludf.DUMMYFUNCTION("""COMPUTED_VALUE"""),"$15 Donation, Discord Verification")</f>
        <v>$15 Donation, Discord Verification</v>
      </c>
      <c r="K480" s="100" t="b">
        <v>0</v>
      </c>
      <c r="L480" s="101" t="str">
        <f>IFERROR(__xludf.DUMMYFUNCTION("""COMPUTED_VALUE"""),"Paypal")</f>
        <v>Paypal</v>
      </c>
      <c r="M480" s="95">
        <v>0.0</v>
      </c>
      <c r="N480" s="97" t="b">
        <v>1</v>
      </c>
      <c r="O480" s="93" t="str">
        <f>IFERROR(__xludf.DUMMYFUNCTION("""COMPUTED_VALUE"""),"Feeding, Fostering")</f>
        <v>Feeding, Fostering</v>
      </c>
      <c r="P48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80" s="99"/>
    </row>
    <row r="481" ht="13.5" customHeight="1">
      <c r="A481" s="88">
        <f>IFERROR(__xludf.DUMMYFUNCTION("""COMPUTED_VALUE"""),45696.721760914355)</f>
        <v>45696.72176</v>
      </c>
      <c r="B481" s="89" t="b">
        <v>1</v>
      </c>
      <c r="C481" s="90" t="str">
        <f t="shared" si="3"/>
        <v>Spring 2025</v>
      </c>
      <c r="D481" s="91" t="str">
        <f>IFERROR(__xludf.DUMMYFUNCTION("""COMPUTED_VALUE"""),"axc4959@mavs.uta.edu")</f>
        <v>axc4959@mavs.uta.edu</v>
      </c>
      <c r="E481" s="92" t="str">
        <f>IFERROR(__xludf.DUMMYFUNCTION("""COMPUTED_VALUE"""),"Ash Camacho")</f>
        <v>Ash Camacho</v>
      </c>
      <c r="F481" s="93" t="str">
        <f>IFERROR(__xludf.DUMMYFUNCTION("""COMPUTED_VALUE"""),"squish_dahlia_61388")</f>
        <v>squish_dahlia_61388</v>
      </c>
      <c r="G481" s="92"/>
      <c r="H481" s="94" t="str">
        <f>IFERROR(__xludf.DUMMYFUNCTION("""COMPUTED_VALUE"""),"")</f>
        <v/>
      </c>
      <c r="I481" s="94" t="str">
        <f>IFERROR(__xludf.DUMMYFUNCTION("""COMPUTED_VALUE"""),"Student")</f>
        <v>Student</v>
      </c>
      <c r="J481" s="93" t="str">
        <f>IFERROR(__xludf.DUMMYFUNCTION("""COMPUTED_VALUE"""),"$15 Donation, Discord Verification")</f>
        <v>$15 Donation, Discord Verification</v>
      </c>
      <c r="K481" s="100" t="b">
        <v>0</v>
      </c>
      <c r="L481" s="101" t="str">
        <f>IFERROR(__xludf.DUMMYFUNCTION("""COMPUTED_VALUE"""),"Cashapp")</f>
        <v>Cashapp</v>
      </c>
      <c r="M481" s="95">
        <v>0.0</v>
      </c>
      <c r="N481" s="97" t="b">
        <v>1</v>
      </c>
      <c r="O481" s="93" t="str">
        <f>IFERROR(__xludf.DUMMYFUNCTION("""COMPUTED_VALUE"""),"PR")</f>
        <v>PR</v>
      </c>
      <c r="P48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81" s="99"/>
    </row>
    <row r="482" ht="13.5" customHeight="1">
      <c r="A482" s="88">
        <f>IFERROR(__xludf.DUMMYFUNCTION("""COMPUTED_VALUE"""),45698.56727866898)</f>
        <v>45698.56728</v>
      </c>
      <c r="B482" s="89" t="b">
        <v>1</v>
      </c>
      <c r="C482" s="90" t="str">
        <f t="shared" si="3"/>
        <v>Spring 2025</v>
      </c>
      <c r="D482" s="91" t="str">
        <f>IFERROR(__xludf.DUMMYFUNCTION("""COMPUTED_VALUE"""),"dxp7561@mavs.uta.edu")</f>
        <v>dxp7561@mavs.uta.edu</v>
      </c>
      <c r="E482" s="92" t="str">
        <f>IFERROR(__xludf.DUMMYFUNCTION("""COMPUTED_VALUE"""),"Diana Phim")</f>
        <v>Diana Phim</v>
      </c>
      <c r="F482" s="93" t="str">
        <f>IFERROR(__xludf.DUMMYFUNCTION("""COMPUTED_VALUE"""),"Nyahao")</f>
        <v>Nyahao</v>
      </c>
      <c r="G482" s="92"/>
      <c r="H482" s="94" t="str">
        <f>IFERROR(__xludf.DUMMYFUNCTION("""COMPUTED_VALUE"""),"")</f>
        <v/>
      </c>
      <c r="I482" s="94" t="str">
        <f>IFERROR(__xludf.DUMMYFUNCTION("""COMPUTED_VALUE"""),"Student")</f>
        <v>Student</v>
      </c>
      <c r="J482" s="93" t="str">
        <f>IFERROR(__xludf.DUMMYFUNCTION("""COMPUTED_VALUE"""),"$15 Donation, Discord Verification")</f>
        <v>$15 Donation, Discord Verification</v>
      </c>
      <c r="K482" s="100" t="b">
        <v>0</v>
      </c>
      <c r="L482" s="101" t="str">
        <f>IFERROR(__xludf.DUMMYFUNCTION("""COMPUTED_VALUE"""),"Paypal")</f>
        <v>Paypal</v>
      </c>
      <c r="M482" s="95">
        <v>0.0</v>
      </c>
      <c r="N482" s="97" t="b">
        <v>1</v>
      </c>
      <c r="O482" s="93" t="str">
        <f>IFERROR(__xludf.DUMMYFUNCTION("""COMPUTED_VALUE"""),"Feeding, Shelter Maintenance")</f>
        <v>Feeding, Shelter Maintenance</v>
      </c>
      <c r="P48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82" s="99"/>
    </row>
    <row r="483" ht="13.5" customHeight="1">
      <c r="A483" s="88">
        <f>IFERROR(__xludf.DUMMYFUNCTION("""COMPUTED_VALUE"""),45698.81830789352)</f>
        <v>45698.81831</v>
      </c>
      <c r="B483" s="89" t="b">
        <v>1</v>
      </c>
      <c r="C483" s="90" t="str">
        <f t="shared" si="3"/>
        <v>Spring 2025</v>
      </c>
      <c r="D483" s="91" t="str">
        <f>IFERROR(__xludf.DUMMYFUNCTION("""COMPUTED_VALUE"""),"mcm0218@mavs.uta.edu")</f>
        <v>mcm0218@mavs.uta.edu</v>
      </c>
      <c r="E483" s="92" t="str">
        <f>IFERROR(__xludf.DUMMYFUNCTION("""COMPUTED_VALUE"""),"McKayla Mellen")</f>
        <v>McKayla Mellen</v>
      </c>
      <c r="F483" s="93" t="str">
        <f>IFERROR(__xludf.DUMMYFUNCTION("""COMPUTED_VALUE"""),"nostalgicsapphic")</f>
        <v>nostalgicsapphic</v>
      </c>
      <c r="G483" s="92"/>
      <c r="H483" s="94" t="str">
        <f>IFERROR(__xludf.DUMMYFUNCTION("""COMPUTED_VALUE"""),"")</f>
        <v/>
      </c>
      <c r="I483" s="94" t="str">
        <f>IFERROR(__xludf.DUMMYFUNCTION("""COMPUTED_VALUE"""),"Student")</f>
        <v>Student</v>
      </c>
      <c r="J483" s="93" t="str">
        <f>IFERROR(__xludf.DUMMYFUNCTION("""COMPUTED_VALUE"""),"$15 Donation, Discord Verification")</f>
        <v>$15 Donation, Discord Verification</v>
      </c>
      <c r="K483" s="100" t="b">
        <v>0</v>
      </c>
      <c r="L483" s="101" t="str">
        <f>IFERROR(__xludf.DUMMYFUNCTION("""COMPUTED_VALUE"""),"Venmo")</f>
        <v>Venmo</v>
      </c>
      <c r="M483" s="95">
        <v>0.0</v>
      </c>
      <c r="N483" s="97" t="b">
        <v>1</v>
      </c>
      <c r="O483" s="93" t="str">
        <f>IFERROR(__xludf.DUMMYFUNCTION("""COMPUTED_VALUE"""),"u know")</f>
        <v>u know</v>
      </c>
      <c r="P48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83" s="99"/>
    </row>
    <row r="484" ht="13.5" customHeight="1">
      <c r="A484" s="88">
        <f>IFERROR(__xludf.DUMMYFUNCTION("""COMPUTED_VALUE"""),45699.44670850695)</f>
        <v>45699.44671</v>
      </c>
      <c r="B484" s="89" t="b">
        <v>1</v>
      </c>
      <c r="C484" s="90" t="str">
        <f t="shared" si="3"/>
        <v>Spring 2025</v>
      </c>
      <c r="D484" s="91" t="str">
        <f>IFERROR(__xludf.DUMMYFUNCTION("""COMPUTED_VALUE"""),"mjp0088@mavs.uta.edu")</f>
        <v>mjp0088@mavs.uta.edu</v>
      </c>
      <c r="E484" s="92" t="str">
        <f>IFERROR(__xludf.DUMMYFUNCTION("""COMPUTED_VALUE"""),"Marco Paessler")</f>
        <v>Marco Paessler</v>
      </c>
      <c r="F484" s="93" t="str">
        <f>IFERROR(__xludf.DUMMYFUNCTION("""COMPUTED_VALUE"""),"Xhilarating")</f>
        <v>Xhilarating</v>
      </c>
      <c r="G484" s="92"/>
      <c r="H484" s="94" t="str">
        <f>IFERROR(__xludf.DUMMYFUNCTION("""COMPUTED_VALUE"""),"(409) 392-6880")</f>
        <v>(409) 392-6880</v>
      </c>
      <c r="I484" s="94" t="str">
        <f>IFERROR(__xludf.DUMMYFUNCTION("""COMPUTED_VALUE"""),"Student")</f>
        <v>Student</v>
      </c>
      <c r="J484" s="93" t="str">
        <f>IFERROR(__xludf.DUMMYFUNCTION("""COMPUTED_VALUE"""),"$15 Donation, Discord Verification")</f>
        <v>$15 Donation, Discord Verification</v>
      </c>
      <c r="K484" s="100" t="b">
        <v>0</v>
      </c>
      <c r="L484" s="101" t="str">
        <f>IFERROR(__xludf.DUMMYFUNCTION("""COMPUTED_VALUE"""),"Cash")</f>
        <v>Cash</v>
      </c>
      <c r="M484" s="95">
        <v>0.0</v>
      </c>
      <c r="N484" s="97" t="b">
        <v>1</v>
      </c>
      <c r="O484" s="93" t="str">
        <f>IFERROR(__xludf.DUMMYFUNCTION("""COMPUTED_VALUE"""),"TNR")</f>
        <v>TNR</v>
      </c>
      <c r="P48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84" s="99"/>
    </row>
    <row r="485" ht="13.5" customHeight="1">
      <c r="A485" s="88">
        <f>IFERROR(__xludf.DUMMYFUNCTION("""COMPUTED_VALUE"""),45702.52226298611)</f>
        <v>45702.52226</v>
      </c>
      <c r="B485" s="89" t="b">
        <v>1</v>
      </c>
      <c r="C485" s="90" t="str">
        <f t="shared" si="3"/>
        <v>Spring 2025</v>
      </c>
      <c r="D485" s="91" t="str">
        <f>IFERROR(__xludf.DUMMYFUNCTION("""COMPUTED_VALUE"""),"raf1665@mavs.uta.edu")</f>
        <v>raf1665@mavs.uta.edu</v>
      </c>
      <c r="E485" s="92" t="str">
        <f>IFERROR(__xludf.DUMMYFUNCTION("""COMPUTED_VALUE"""),"Ramsey Ferguson")</f>
        <v>Ramsey Ferguson</v>
      </c>
      <c r="F485" s="93" t="str">
        <f>IFERROR(__xludf.DUMMYFUNCTION("""COMPUTED_VALUE"""),"Ram-Ram or ramram03886")</f>
        <v>Ram-Ram or ramram03886</v>
      </c>
      <c r="G485" s="92"/>
      <c r="H485" s="94" t="str">
        <f>IFERROR(__xludf.DUMMYFUNCTION("""COMPUTED_VALUE"""),"(469) 245-5537")</f>
        <v>(469) 245-5537</v>
      </c>
      <c r="I485" s="94" t="str">
        <f>IFERROR(__xludf.DUMMYFUNCTION("""COMPUTED_VALUE"""),"Student")</f>
        <v>Student</v>
      </c>
      <c r="J485" s="93" t="str">
        <f>IFERROR(__xludf.DUMMYFUNCTION("""COMPUTED_VALUE"""),"$15 Donation, Discord Verification")</f>
        <v>$15 Donation, Discord Verification</v>
      </c>
      <c r="K485" s="100" t="b">
        <v>0</v>
      </c>
      <c r="L485" s="101" t="str">
        <f>IFERROR(__xludf.DUMMYFUNCTION("""COMPUTED_VALUE"""),"Cash")</f>
        <v>Cash</v>
      </c>
      <c r="M485" s="95">
        <v>0.0</v>
      </c>
      <c r="N485" s="97" t="b">
        <v>1</v>
      </c>
      <c r="O485" s="93" t="str">
        <f>IFERROR(__xludf.DUMMYFUNCTION("""COMPUTED_VALUE"""),"Feeding")</f>
        <v>Feeding</v>
      </c>
      <c r="P48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85" s="99"/>
    </row>
    <row r="486" ht="13.5" customHeight="1">
      <c r="A486" s="88">
        <f>IFERROR(__xludf.DUMMYFUNCTION("""COMPUTED_VALUE"""),45702.62950685185)</f>
        <v>45702.62951</v>
      </c>
      <c r="B486" s="89" t="b">
        <v>1</v>
      </c>
      <c r="C486" s="90" t="str">
        <f t="shared" si="3"/>
        <v>Spring 2025</v>
      </c>
      <c r="D486" s="91" t="str">
        <f>IFERROR(__xludf.DUMMYFUNCTION("""COMPUTED_VALUE"""),"ixu4801@mavs.uta.edu")</f>
        <v>ixu4801@mavs.uta.edu</v>
      </c>
      <c r="E486" s="92" t="str">
        <f>IFERROR(__xludf.DUMMYFUNCTION("""COMPUTED_VALUE"""),"Iftekhar Uddin")</f>
        <v>Iftekhar Uddin</v>
      </c>
      <c r="F486" s="93" t="str">
        <f>IFERROR(__xludf.DUMMYFUNCTION("""COMPUTED_VALUE"""),"Dovnthehollow")</f>
        <v>Dovnthehollow</v>
      </c>
      <c r="G486" s="92"/>
      <c r="H486" s="94" t="str">
        <f>IFERROR(__xludf.DUMMYFUNCTION("""COMPUTED_VALUE"""),"(252) 230-4144")</f>
        <v>(252) 230-4144</v>
      </c>
      <c r="I486" s="94" t="str">
        <f>IFERROR(__xludf.DUMMYFUNCTION("""COMPUTED_VALUE"""),"Student")</f>
        <v>Student</v>
      </c>
      <c r="J486" s="93" t="str">
        <f>IFERROR(__xludf.DUMMYFUNCTION("""COMPUTED_VALUE"""),"$15 Donation, Discord Verification")</f>
        <v>$15 Donation, Discord Verification</v>
      </c>
      <c r="K486" s="100" t="b">
        <v>0</v>
      </c>
      <c r="L486" s="101" t="str">
        <f>IFERROR(__xludf.DUMMYFUNCTION("""COMPUTED_VALUE"""),"Venmo")</f>
        <v>Venmo</v>
      </c>
      <c r="M486" s="95">
        <v>0.0</v>
      </c>
      <c r="N486" s="97" t="b">
        <v>1</v>
      </c>
      <c r="O486" s="93" t="str">
        <f>IFERROR(__xludf.DUMMYFUNCTION("""COMPUTED_VALUE"""),"Fundraising, PR, Membership, TNR, Feeding, Shelter Maintenance")</f>
        <v>Fundraising, PR, Membership, TNR, Feeding, Shelter Maintenance</v>
      </c>
      <c r="P48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86" s="99"/>
    </row>
    <row r="487" ht="13.5" customHeight="1">
      <c r="A487" s="88">
        <f>IFERROR(__xludf.DUMMYFUNCTION("""COMPUTED_VALUE"""),45702.0)</f>
        <v>45702</v>
      </c>
      <c r="B487" s="89" t="b">
        <v>1</v>
      </c>
      <c r="C487" s="90" t="str">
        <f t="shared" si="3"/>
        <v>Spring 2025</v>
      </c>
      <c r="D487" s="91" t="str">
        <f>IFERROR(__xludf.DUMMYFUNCTION("""COMPUTED_VALUE"""),"morgan@uta.edu")</f>
        <v>morgan@uta.edu</v>
      </c>
      <c r="E487" s="92" t="str">
        <f>IFERROR(__xludf.DUMMYFUNCTION("""COMPUTED_VALUE"""),"Morgan Chivers")</f>
        <v>Morgan Chivers</v>
      </c>
      <c r="F487" s="93" t="str">
        <f>IFERROR(__xludf.DUMMYFUNCTION("""COMPUTED_VALUE"""),"morganic._.")</f>
        <v>morganic._.</v>
      </c>
      <c r="G487" s="92"/>
      <c r="H487" s="94" t="str">
        <f>IFERROR(__xludf.DUMMYFUNCTION("""COMPUTED_VALUE"""),"(408) 421-7203")</f>
        <v>(408) 421-7203</v>
      </c>
      <c r="I487" s="94" t="str">
        <f>IFERROR(__xludf.DUMMYFUNCTION("""COMPUTED_VALUE"""),"UTA Faculty")</f>
        <v>UTA Faculty</v>
      </c>
      <c r="J487" s="93" t="str">
        <f>IFERROR(__xludf.DUMMYFUNCTION("""COMPUTED_VALUE"""),"Food/Litter Donation")</f>
        <v>Food/Litter Donation</v>
      </c>
      <c r="K487" s="100" t="b">
        <v>0</v>
      </c>
      <c r="L487" s="101"/>
      <c r="M487" s="95"/>
      <c r="N487" s="97" t="b">
        <v>1</v>
      </c>
      <c r="O487" s="93" t="str">
        <f>IFERROR(__xludf.DUMMYFUNCTION("""COMPUTED_VALUE"""),"TNR, Overnight TNR, Feeding")</f>
        <v>TNR, Overnight TNR, Feeding</v>
      </c>
      <c r="P48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87" s="99"/>
    </row>
    <row r="488" ht="13.5" customHeight="1">
      <c r="A488" s="88">
        <f>IFERROR(__xludf.DUMMYFUNCTION("""COMPUTED_VALUE"""),45705.524875034724)</f>
        <v>45705.52488</v>
      </c>
      <c r="B488" s="89" t="b">
        <v>1</v>
      </c>
      <c r="C488" s="90" t="str">
        <f t="shared" si="3"/>
        <v>Spring 2025</v>
      </c>
      <c r="D488" s="91" t="str">
        <f>IFERROR(__xludf.DUMMYFUNCTION("""COMPUTED_VALUE"""),"axg5200@mavs.uta.edu")</f>
        <v>axg5200@mavs.uta.edu</v>
      </c>
      <c r="E488" s="92" t="str">
        <f>IFERROR(__xludf.DUMMYFUNCTION("""COMPUTED_VALUE"""),"Anabel Gonzalez")</f>
        <v>Anabel Gonzalez</v>
      </c>
      <c r="F488" s="93" t="str">
        <f>IFERROR(__xludf.DUMMYFUNCTION("""COMPUTED_VALUE"""),"mochenoch")</f>
        <v>mochenoch</v>
      </c>
      <c r="G488" s="92"/>
      <c r="H488" s="94" t="str">
        <f>IFERROR(__xludf.DUMMYFUNCTION("""COMPUTED_VALUE"""),"(214) 718-5167")</f>
        <v>(214) 718-5167</v>
      </c>
      <c r="I488" s="94" t="str">
        <f>IFERROR(__xludf.DUMMYFUNCTION("""COMPUTED_VALUE"""),"Student")</f>
        <v>Student</v>
      </c>
      <c r="J488" s="93" t="str">
        <f>IFERROR(__xludf.DUMMYFUNCTION("""COMPUTED_VALUE"""),"$15 Donation, Discord Verification")</f>
        <v>$15 Donation, Discord Verification</v>
      </c>
      <c r="K488" s="100" t="b">
        <v>0</v>
      </c>
      <c r="L488" s="101" t="str">
        <f>IFERROR(__xludf.DUMMYFUNCTION("""COMPUTED_VALUE"""),"Paypal")</f>
        <v>Paypal</v>
      </c>
      <c r="M488" s="95">
        <v>0.0</v>
      </c>
      <c r="N488" s="97" t="b">
        <v>1</v>
      </c>
      <c r="O488" s="93" t="str">
        <f>IFERROR(__xludf.DUMMYFUNCTION("""COMPUTED_VALUE"""),"Fundraising, PR, Membership, Feeding, Shelter Maintenance")</f>
        <v>Fundraising, PR, Membership, Feeding, Shelter Maintenance</v>
      </c>
      <c r="P48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88" s="99"/>
    </row>
    <row r="489" ht="13.5" customHeight="1">
      <c r="A489" s="88">
        <f>IFERROR(__xludf.DUMMYFUNCTION("""COMPUTED_VALUE"""),45706.83315770833)</f>
        <v>45706.83316</v>
      </c>
      <c r="B489" s="89" t="b">
        <v>1</v>
      </c>
      <c r="C489" s="90" t="str">
        <f t="shared" si="3"/>
        <v>Spring 2025</v>
      </c>
      <c r="D489" s="91" t="str">
        <f>IFERROR(__xludf.DUMMYFUNCTION("""COMPUTED_VALUE"""),"abm6241@mavs.uta.edu")</f>
        <v>abm6241@mavs.uta.edu</v>
      </c>
      <c r="E489" s="92" t="str">
        <f>IFERROR(__xludf.DUMMYFUNCTION("""COMPUTED_VALUE"""),"Abby Montalvo")</f>
        <v>Abby Montalvo</v>
      </c>
      <c r="F489" s="93" t="str">
        <f>IFERROR(__xludf.DUMMYFUNCTION("""COMPUTED_VALUE"""),"abbym65")</f>
        <v>abbym65</v>
      </c>
      <c r="G489" s="92"/>
      <c r="H489" s="94" t="str">
        <f>IFERROR(__xludf.DUMMYFUNCTION("""COMPUTED_VALUE"""),"(682) 557-1751")</f>
        <v>(682) 557-1751</v>
      </c>
      <c r="I489" s="94" t="str">
        <f>IFERROR(__xludf.DUMMYFUNCTION("""COMPUTED_VALUE"""),"Student")</f>
        <v>Student</v>
      </c>
      <c r="J489" s="93" t="str">
        <f>IFERROR(__xludf.DUMMYFUNCTION("""COMPUTED_VALUE"""),"$15 Donation, Discord Verification")</f>
        <v>$15 Donation, Discord Verification</v>
      </c>
      <c r="K489" s="100" t="b">
        <v>0</v>
      </c>
      <c r="L489" s="101" t="str">
        <f>IFERROR(__xludf.DUMMYFUNCTION("""COMPUTED_VALUE"""),"Cashapp")</f>
        <v>Cashapp</v>
      </c>
      <c r="M489" s="95">
        <v>0.0</v>
      </c>
      <c r="N489" s="97" t="b">
        <v>1</v>
      </c>
      <c r="O489" s="93" t="str">
        <f>IFERROR(__xludf.DUMMYFUNCTION("""COMPUTED_VALUE"""),"Fundraising, TNR, Feeding, Shelter Maintenance")</f>
        <v>Fundraising, TNR, Feeding, Shelter Maintenance</v>
      </c>
      <c r="P48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89" s="99"/>
    </row>
    <row r="490" ht="13.5" customHeight="1">
      <c r="A490" s="88">
        <f>IFERROR(__xludf.DUMMYFUNCTION("""COMPUTED_VALUE"""),45707.57896702546)</f>
        <v>45707.57897</v>
      </c>
      <c r="B490" s="89" t="b">
        <v>1</v>
      </c>
      <c r="C490" s="90" t="str">
        <f t="shared" si="3"/>
        <v>Spring 2025</v>
      </c>
      <c r="D490" s="91" t="str">
        <f>IFERROR(__xludf.DUMMYFUNCTION("""COMPUTED_VALUE"""),"jtm7980@mavs.uta.edu")</f>
        <v>jtm7980@mavs.uta.edu</v>
      </c>
      <c r="E490" s="92" t="str">
        <f>IFERROR(__xludf.DUMMYFUNCTION("""COMPUTED_VALUE"""),"Jacob Mathew")</f>
        <v>Jacob Mathew</v>
      </c>
      <c r="F490" s="93" t="str">
        <f>IFERROR(__xludf.DUMMYFUNCTION("""COMPUTED_VALUE"""),"honeydewmelon")</f>
        <v>honeydewmelon</v>
      </c>
      <c r="G490" s="92"/>
      <c r="H490" s="94" t="str">
        <f>IFERROR(__xludf.DUMMYFUNCTION("""COMPUTED_VALUE"""),"(469) 740-1967")</f>
        <v>(469) 740-1967</v>
      </c>
      <c r="I490" s="94" t="str">
        <f>IFERROR(__xludf.DUMMYFUNCTION("""COMPUTED_VALUE"""),"Student")</f>
        <v>Student</v>
      </c>
      <c r="J490" s="93" t="str">
        <f>IFERROR(__xludf.DUMMYFUNCTION("""COMPUTED_VALUE"""),"$15 Donation, Discord Verification")</f>
        <v>$15 Donation, Discord Verification</v>
      </c>
      <c r="K490" s="100" t="b">
        <v>0</v>
      </c>
      <c r="L490" s="101" t="str">
        <f>IFERROR(__xludf.DUMMYFUNCTION("""COMPUTED_VALUE"""),"Paypal")</f>
        <v>Paypal</v>
      </c>
      <c r="M490" s="95">
        <v>0.0</v>
      </c>
      <c r="N490" s="97" t="b">
        <v>1</v>
      </c>
      <c r="O490" s="93" t="str">
        <f>IFERROR(__xludf.DUMMYFUNCTION("""COMPUTED_VALUE"""),"Membership")</f>
        <v>Membership</v>
      </c>
      <c r="P49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90" s="99"/>
    </row>
    <row r="491" ht="13.5" customHeight="1">
      <c r="A491" s="88">
        <f>IFERROR(__xludf.DUMMYFUNCTION("""COMPUTED_VALUE"""),45730.043456354164)</f>
        <v>45730.04346</v>
      </c>
      <c r="B491" s="89" t="b">
        <v>1</v>
      </c>
      <c r="C491" s="90" t="str">
        <f t="shared" si="3"/>
        <v>Spring 2025</v>
      </c>
      <c r="D491" s="91" t="str">
        <f>IFERROR(__xludf.DUMMYFUNCTION("""COMPUTED_VALUE"""),"bmn0721@mavs.uta.edu")</f>
        <v>bmn0721@mavs.uta.edu</v>
      </c>
      <c r="E491" s="92" t="str">
        <f>IFERROR(__xludf.DUMMYFUNCTION("""COMPUTED_VALUE"""),"Benjamin Nors")</f>
        <v>Benjamin Nors</v>
      </c>
      <c r="F491" s="93" t="str">
        <f>IFERROR(__xludf.DUMMYFUNCTION("""COMPUTED_VALUE"""),"Ben, BenThePerson outside of server or @bentheperson69")</f>
        <v>Ben, BenThePerson outside of server or @bentheperson69</v>
      </c>
      <c r="G491" s="92"/>
      <c r="H491" s="94" t="str">
        <f>IFERROR(__xludf.DUMMYFUNCTION("""COMPUTED_VALUE"""),"(682) 256-1571")</f>
        <v>(682) 256-1571</v>
      </c>
      <c r="I491" s="94" t="str">
        <f>IFERROR(__xludf.DUMMYFUNCTION("""COMPUTED_VALUE"""),"Student")</f>
        <v>Student</v>
      </c>
      <c r="J491" s="93" t="str">
        <f>IFERROR(__xludf.DUMMYFUNCTION("""COMPUTED_VALUE"""),"Food/Litter Donation")</f>
        <v>Food/Litter Donation</v>
      </c>
      <c r="K491" s="100" t="b">
        <v>0</v>
      </c>
      <c r="L491" s="101"/>
      <c r="M491" s="100"/>
      <c r="N491" s="97" t="b">
        <v>1</v>
      </c>
      <c r="O491" s="93" t="str">
        <f>IFERROR(__xludf.DUMMYFUNCTION("""COMPUTED_VALUE"""),"Fundraising, Feeding, Fostering, Shelter Maintenance")</f>
        <v>Fundraising, Feeding, Fostering, Shelter Maintenance</v>
      </c>
      <c r="P49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91" s="99"/>
    </row>
    <row r="492" ht="13.5" customHeight="1">
      <c r="A492" s="88">
        <f>IFERROR(__xludf.DUMMYFUNCTION("""COMPUTED_VALUE"""),45737.7980378125)</f>
        <v>45737.79804</v>
      </c>
      <c r="B492" s="89" t="b">
        <v>1</v>
      </c>
      <c r="C492" s="90" t="str">
        <f t="shared" si="3"/>
        <v>Spring 2025</v>
      </c>
      <c r="D492" s="91" t="str">
        <f>IFERROR(__xludf.DUMMYFUNCTION("""COMPUTED_VALUE"""),"egh5183@mavs.uta.edu")</f>
        <v>egh5183@mavs.uta.edu</v>
      </c>
      <c r="E492" s="92" t="str">
        <f>IFERROR(__xludf.DUMMYFUNCTION("""COMPUTED_VALUE"""),"Emma Haynie")</f>
        <v>Emma Haynie</v>
      </c>
      <c r="F492" s="93" t="str">
        <f>IFERROR(__xludf.DUMMYFUNCTION("""COMPUTED_VALUE"""),"emmav")</f>
        <v>emmav</v>
      </c>
      <c r="G492" s="92"/>
      <c r="H492" s="94" t="str">
        <f>IFERROR(__xludf.DUMMYFUNCTION("""COMPUTED_VALUE"""),"(972) 268-4471")</f>
        <v>(972) 268-4471</v>
      </c>
      <c r="I492" s="94" t="str">
        <f>IFERROR(__xludf.DUMMYFUNCTION("""COMPUTED_VALUE"""),"Student")</f>
        <v>Student</v>
      </c>
      <c r="J492" s="93" t="str">
        <f>IFERROR(__xludf.DUMMYFUNCTION("""COMPUTED_VALUE"""),"$15 Donation, Discord Verification")</f>
        <v>$15 Donation, Discord Verification</v>
      </c>
      <c r="K492" s="100" t="b">
        <v>0</v>
      </c>
      <c r="L492" s="101" t="str">
        <f>IFERROR(__xludf.DUMMYFUNCTION("""COMPUTED_VALUE"""),"Venmo")</f>
        <v>Venmo</v>
      </c>
      <c r="M492" s="95">
        <v>0.0</v>
      </c>
      <c r="N492" s="97" t="b">
        <v>1</v>
      </c>
      <c r="O492" s="93" t="str">
        <f>IFERROR(__xludf.DUMMYFUNCTION("""COMPUTED_VALUE"""),"Anything")</f>
        <v>Anything</v>
      </c>
      <c r="P49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92" s="99"/>
    </row>
    <row r="493" ht="13.5" customHeight="1">
      <c r="A493" s="88">
        <f>IFERROR(__xludf.DUMMYFUNCTION("""COMPUTED_VALUE"""),45762.77471449074)</f>
        <v>45762.77471</v>
      </c>
      <c r="B493" s="89" t="b">
        <v>1</v>
      </c>
      <c r="C493" s="90" t="str">
        <f t="shared" si="3"/>
        <v>Spring 2025</v>
      </c>
      <c r="D493" s="91" t="str">
        <f>IFERROR(__xludf.DUMMYFUNCTION("""COMPUTED_VALUE"""),"axt0315@mavs.uta.edu")</f>
        <v>axt0315@mavs.uta.edu</v>
      </c>
      <c r="E493" s="92" t="str">
        <f>IFERROR(__xludf.DUMMYFUNCTION("""COMPUTED_VALUE"""),"Alexandra Trejo")</f>
        <v>Alexandra Trejo</v>
      </c>
      <c r="F493" s="93" t="str">
        <f>IFERROR(__xludf.DUMMYFUNCTION("""COMPUTED_VALUE"""),"doodlefool.alex_07")</f>
        <v>doodlefool.alex_07</v>
      </c>
      <c r="G493" s="92"/>
      <c r="H493" s="94" t="str">
        <f>IFERROR(__xludf.DUMMYFUNCTION("""COMPUTED_VALUE"""),"(817) 301-7890")</f>
        <v>(817) 301-7890</v>
      </c>
      <c r="I493" s="94" t="str">
        <f>IFERROR(__xludf.DUMMYFUNCTION("""COMPUTED_VALUE"""),"Student")</f>
        <v>Student</v>
      </c>
      <c r="J493" s="93" t="str">
        <f>IFERROR(__xludf.DUMMYFUNCTION("""COMPUTED_VALUE"""),"$15 Donation, Discord Verification")</f>
        <v>$15 Donation, Discord Verification</v>
      </c>
      <c r="K493" s="100" t="b">
        <v>0</v>
      </c>
      <c r="L493" s="101" t="str">
        <f>IFERROR(__xludf.DUMMYFUNCTION("""COMPUTED_VALUE"""),"Paypal")</f>
        <v>Paypal</v>
      </c>
      <c r="M493" s="95">
        <v>0.0</v>
      </c>
      <c r="N493" s="97" t="b">
        <v>1</v>
      </c>
      <c r="O493" s="93" t="str">
        <f>IFERROR(__xludf.DUMMYFUNCTION("""COMPUTED_VALUE"""),"Fundraising, Feeding")</f>
        <v>Fundraising, Feeding</v>
      </c>
      <c r="P49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93" s="99"/>
    </row>
    <row r="494" ht="13.5" customHeight="1">
      <c r="A494" s="149">
        <f>IFERROR(__xludf.DUMMYFUNCTION("""COMPUTED_VALUE"""),45796.455519675925)</f>
        <v>45796.45552</v>
      </c>
      <c r="B494" s="150" t="b">
        <v>1</v>
      </c>
      <c r="C494" s="90" t="str">
        <f t="shared" si="3"/>
        <v>Spring 2025</v>
      </c>
      <c r="D494" s="151" t="str">
        <f>IFERROR(__xludf.DUMMYFUNCTION("""COMPUTED_VALUE"""),"zka0371@mavs.uta.edu")</f>
        <v>zka0371@mavs.uta.edu</v>
      </c>
      <c r="E494" s="152" t="str">
        <f>IFERROR(__xludf.DUMMYFUNCTION("""COMPUTED_VALUE"""),"Zahara Aluna ")</f>
        <v>Zahara Aluna </v>
      </c>
      <c r="F494" s="153" t="str">
        <f>IFERROR(__xludf.DUMMYFUNCTION("""COMPUTED_VALUE"""),"_lunanight")</f>
        <v>_lunanight</v>
      </c>
      <c r="G494" s="152"/>
      <c r="H494" s="154" t="str">
        <f>IFERROR(__xludf.DUMMYFUNCTION("""COMPUTED_VALUE"""),"(346) 318-2416")</f>
        <v>(346) 318-2416</v>
      </c>
      <c r="I494" s="154" t="str">
        <f>IFERROR(__xludf.DUMMYFUNCTION("""COMPUTED_VALUE"""),"Student")</f>
        <v>Student</v>
      </c>
      <c r="J494" s="153" t="str">
        <f>IFERROR(__xludf.DUMMYFUNCTION("""COMPUTED_VALUE"""),"$15 Donation, Discord Verification")</f>
        <v>$15 Donation, Discord Verification</v>
      </c>
      <c r="K494" s="155" t="b">
        <v>0</v>
      </c>
      <c r="L494" s="156"/>
      <c r="M494" s="155"/>
      <c r="N494" s="171" t="b">
        <v>0</v>
      </c>
      <c r="O494" s="153" t="str">
        <f>IFERROR(__xludf.DUMMYFUNCTION("""COMPUTED_VALUE"""),"Fundraising, Membership, Feeding, Shelter Maintenance")</f>
        <v>Fundraising, Membership, Feeding, Shelter Maintenance</v>
      </c>
      <c r="P494" s="157"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94" s="158" t="s">
        <v>89</v>
      </c>
    </row>
    <row r="495" ht="13.5" customHeight="1">
      <c r="A495" s="88">
        <f>IFERROR(__xludf.DUMMYFUNCTION("""COMPUTED_VALUE"""),45796.4659112963)</f>
        <v>45796.46591</v>
      </c>
      <c r="B495" s="89" t="b">
        <v>1</v>
      </c>
      <c r="C495" s="90" t="str">
        <f t="shared" si="3"/>
        <v>Spring 2025</v>
      </c>
      <c r="D495" s="91" t="str">
        <f>IFERROR(__xludf.DUMMYFUNCTION("""COMPUTED_VALUE"""),"zka0371@mavs.uta.edu")</f>
        <v>zka0371@mavs.uta.edu</v>
      </c>
      <c r="E495" s="92" t="str">
        <f>IFERROR(__xludf.DUMMYFUNCTION("""COMPUTED_VALUE"""),"Zahara Aluna ")</f>
        <v>Zahara Aluna </v>
      </c>
      <c r="F495" s="93" t="str">
        <f>IFERROR(__xludf.DUMMYFUNCTION("""COMPUTED_VALUE"""),"_lunanight")</f>
        <v>_lunanight</v>
      </c>
      <c r="G495" s="92"/>
      <c r="H495" s="94" t="str">
        <f>IFERROR(__xludf.DUMMYFUNCTION("""COMPUTED_VALUE"""),"(346) 318-2416")</f>
        <v>(346) 318-2416</v>
      </c>
      <c r="I495" s="94" t="str">
        <f>IFERROR(__xludf.DUMMYFUNCTION("""COMPUTED_VALUE"""),"Student")</f>
        <v>Student</v>
      </c>
      <c r="J495" s="93" t="str">
        <f>IFERROR(__xludf.DUMMYFUNCTION("""COMPUTED_VALUE"""),"$15 Donation, Discord Verification")</f>
        <v>$15 Donation, Discord Verification</v>
      </c>
      <c r="K495" s="100" t="b">
        <v>0</v>
      </c>
      <c r="L495" s="101" t="str">
        <f>IFERROR(__xludf.DUMMYFUNCTION("""COMPUTED_VALUE"""),"Paypal")</f>
        <v>Paypal</v>
      </c>
      <c r="M495" s="100"/>
      <c r="N495" s="97" t="b">
        <v>1</v>
      </c>
      <c r="O495" s="93" t="str">
        <f>IFERROR(__xludf.DUMMYFUNCTION("""COMPUTED_VALUE"""),"Fundraising, Membership, Feeding, Shelter Maintenance")</f>
        <v>Fundraising, Membership, Feeding, Shelter Maintenance</v>
      </c>
      <c r="P49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95" s="99"/>
    </row>
    <row r="496" ht="13.5" customHeight="1">
      <c r="A496" s="88">
        <f>IFERROR(__xludf.DUMMYFUNCTION("""COMPUTED_VALUE"""),45797.043030092595)</f>
        <v>45797.04303</v>
      </c>
      <c r="B496" s="88" t="b">
        <v>0</v>
      </c>
      <c r="C496" s="90" t="str">
        <f t="shared" si="3"/>
        <v>Spring 2025</v>
      </c>
      <c r="D496" s="91" t="str">
        <f>IFERROR(__xludf.DUMMYFUNCTION("""COMPUTED_VALUE"""),"ebp1323@mavs.uta.edu")</f>
        <v>ebp1323@mavs.uta.edu</v>
      </c>
      <c r="E496" s="92" t="str">
        <f>IFERROR(__xludf.DUMMYFUNCTION("""COMPUTED_VALUE"""),"Evelyn Pena")</f>
        <v>Evelyn Pena</v>
      </c>
      <c r="F496" s="93" t="str">
        <f>IFERROR(__xludf.DUMMYFUNCTION("""COMPUTED_VALUE"""),"evybreezy2771")</f>
        <v>evybreezy2771</v>
      </c>
      <c r="G496" s="92"/>
      <c r="H496" s="94" t="str">
        <f>IFERROR(__xludf.DUMMYFUNCTION("""COMPUTED_VALUE"""),"(469) 508-0712")</f>
        <v>(469) 508-0712</v>
      </c>
      <c r="I496" s="94" t="str">
        <f>IFERROR(__xludf.DUMMYFUNCTION("""COMPUTED_VALUE"""),"Student")</f>
        <v>Student</v>
      </c>
      <c r="J496" s="93" t="str">
        <f>IFERROR(__xludf.DUMMYFUNCTION("""COMPUTED_VALUE"""),"$15 Donation, Discord Verification")</f>
        <v>$15 Donation, Discord Verification</v>
      </c>
      <c r="K496" s="100" t="b">
        <v>0</v>
      </c>
      <c r="L496" s="101" t="str">
        <f>IFERROR(__xludf.DUMMYFUNCTION("""COMPUTED_VALUE"""),"Cashapp")</f>
        <v>Cashapp</v>
      </c>
      <c r="M496" s="100"/>
      <c r="N496" s="97" t="b">
        <v>0</v>
      </c>
      <c r="O496" s="93" t="str">
        <f>IFERROR(__xludf.DUMMYFUNCTION("""COMPUTED_VALUE"""),"PR, Feeding")</f>
        <v>PR, Feeding</v>
      </c>
      <c r="P49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96" s="102" t="s">
        <v>90</v>
      </c>
    </row>
    <row r="497" ht="13.5" customHeight="1">
      <c r="A497" s="88">
        <f>IFERROR(__xludf.DUMMYFUNCTION("""COMPUTED_VALUE"""),45822.6241687037)</f>
        <v>45822.62417</v>
      </c>
      <c r="B497" s="89" t="b">
        <v>1</v>
      </c>
      <c r="C497" s="90" t="str">
        <f t="shared" si="3"/>
        <v>Spring 2025</v>
      </c>
      <c r="D497" s="91" t="str">
        <f>IFERROR(__xludf.DUMMYFUNCTION("""COMPUTED_VALUE"""),"krk6714@mavs.uta.edu")</f>
        <v>krk6714@mavs.uta.edu</v>
      </c>
      <c r="E497" s="92" t="str">
        <f>IFERROR(__xludf.DUMMYFUNCTION("""COMPUTED_VALUE"""),"Katelyn Kreis")</f>
        <v>Katelyn Kreis</v>
      </c>
      <c r="F497" s="93" t="str">
        <f>IFERROR(__xludf.DUMMYFUNCTION("""COMPUTED_VALUE"""),"LemonCandle")</f>
        <v>LemonCandle</v>
      </c>
      <c r="G497" s="92"/>
      <c r="H497" s="94" t="str">
        <f>IFERROR(__xludf.DUMMYFUNCTION("""COMPUTED_VALUE"""),"(469) 865-5800")</f>
        <v>(469) 865-5800</v>
      </c>
      <c r="I497" s="94" t="str">
        <f>IFERROR(__xludf.DUMMYFUNCTION("""COMPUTED_VALUE"""),"Student")</f>
        <v>Student</v>
      </c>
      <c r="J497" s="93" t="str">
        <f>IFERROR(__xludf.DUMMYFUNCTION("""COMPUTED_VALUE"""),"$15 Donation, Discord Verification")</f>
        <v>$15 Donation, Discord Verification</v>
      </c>
      <c r="K497" s="100" t="b">
        <v>0</v>
      </c>
      <c r="L497" s="101" t="str">
        <f>IFERROR(__xludf.DUMMYFUNCTION("""COMPUTED_VALUE"""),"Paypal")</f>
        <v>Paypal</v>
      </c>
      <c r="M497" s="95">
        <v>0.0</v>
      </c>
      <c r="N497" s="97" t="b">
        <v>1</v>
      </c>
      <c r="O497" s="93" t="str">
        <f>IFERROR(__xludf.DUMMYFUNCTION("""COMPUTED_VALUE"""),"Feeding, Shelter Maintenance")</f>
        <v>Feeding, Shelter Maintenance</v>
      </c>
      <c r="P49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97" s="99"/>
    </row>
    <row r="498" ht="15.75" customHeight="1">
      <c r="A498" s="88">
        <f>IFERROR(__xludf.DUMMYFUNCTION("""COMPUTED_VALUE"""),45875.55826100694)</f>
        <v>45875.55826</v>
      </c>
      <c r="B498" s="89" t="b">
        <v>1</v>
      </c>
      <c r="C498" s="90" t="str">
        <f t="shared" ref="C498:C688" si="4">IF(A498="","", IF(MONTH(A498)&gt;=7, "Fall "&amp;YEAR(A498), "Spring "&amp;YEAR(A498)))</f>
        <v>Fall 2025</v>
      </c>
      <c r="D498" s="91" t="str">
        <f>IFERROR(__xludf.DUMMYFUNCTION("""COMPUTED_VALUE"""),"blb2567@mavs.uta.edu")</f>
        <v>blb2567@mavs.uta.edu</v>
      </c>
      <c r="E498" s="92" t="str">
        <f>IFERROR(__xludf.DUMMYFUNCTION("""COMPUTED_VALUE"""),"Brooke Bailey")</f>
        <v>Brooke Bailey</v>
      </c>
      <c r="F498" s="93" t="str">
        <f>IFERROR(__xludf.DUMMYFUNCTION("""COMPUTED_VALUE"""),"Silver0223")</f>
        <v>Silver0223</v>
      </c>
      <c r="G498" s="92" t="str">
        <f>IFERROR(__xludf.DUMMYFUNCTION("""COMPUTED_VALUE"""),"N/A")</f>
        <v>N/A</v>
      </c>
      <c r="H498" s="94" t="str">
        <f>IFERROR(__xludf.DUMMYFUNCTION("""COMPUTED_VALUE"""),"(817) 718-5234")</f>
        <v>(817) 718-5234</v>
      </c>
      <c r="I498" s="94" t="str">
        <f>IFERROR(__xludf.DUMMYFUNCTION("""COMPUTED_VALUE"""),"Student")</f>
        <v>Student</v>
      </c>
      <c r="J498" s="93" t="str">
        <f>IFERROR(__xludf.DUMMYFUNCTION("""COMPUTED_VALUE"""),"$15 Donation, Discord Verification")</f>
        <v>$15 Donation, Discord Verification</v>
      </c>
      <c r="K498" s="100" t="b">
        <v>0</v>
      </c>
      <c r="L498" s="101" t="str">
        <f>IFERROR(__xludf.DUMMYFUNCTION("""COMPUTED_VALUE"""),"Venmo")</f>
        <v>Venmo</v>
      </c>
      <c r="M498" s="100"/>
      <c r="N498" s="97" t="b">
        <v>1</v>
      </c>
      <c r="O498" s="93" t="str">
        <f>IFERROR(__xludf.DUMMYFUNCTION("""COMPUTED_VALUE"""),"Fundraising, Membership, Feeding, Shelter Maintenance")</f>
        <v>Fundraising, Membership, Feeding, Shelter Maintenance</v>
      </c>
      <c r="P49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98" s="99"/>
    </row>
    <row r="499" ht="15.75" customHeight="1">
      <c r="A499" s="88">
        <f>IFERROR(__xludf.DUMMYFUNCTION("""COMPUTED_VALUE"""),45875.80165364583)</f>
        <v>45875.80165</v>
      </c>
      <c r="B499" s="88" t="b">
        <v>0</v>
      </c>
      <c r="C499" s="90" t="str">
        <f t="shared" si="4"/>
        <v>Fall 2025</v>
      </c>
      <c r="D499" s="91" t="str">
        <f>IFERROR(__xludf.DUMMYFUNCTION("""COMPUTED_VALUE"""),"sxd8273@mavs.uta.edu")</f>
        <v>sxd8273@mavs.uta.edu</v>
      </c>
      <c r="E499" s="92" t="str">
        <f>IFERROR(__xludf.DUMMYFUNCTION("""COMPUTED_VALUE"""),"Sudip Dhungel ")</f>
        <v>Sudip Dhungel </v>
      </c>
      <c r="F499" s="93" t="str">
        <f>IFERROR(__xludf.DUMMYFUNCTION("""COMPUTED_VALUE"""),"Photon")</f>
        <v>Photon</v>
      </c>
      <c r="G499" s="92" t="str">
        <f>IFERROR(__xludf.DUMMYFUNCTION("""COMPUTED_VALUE"""),"Sudip Dhungel ")</f>
        <v>Sudip Dhungel </v>
      </c>
      <c r="H499" s="94" t="str">
        <f>IFERROR(__xludf.DUMMYFUNCTION("""COMPUTED_VALUE"""),"")</f>
        <v/>
      </c>
      <c r="I499" s="94" t="str">
        <f>IFERROR(__xludf.DUMMYFUNCTION("""COMPUTED_VALUE"""),"Student")</f>
        <v>Student</v>
      </c>
      <c r="J499" s="93" t="str">
        <f>IFERROR(__xludf.DUMMYFUNCTION("""COMPUTED_VALUE"""),"$15 Donation, Discord Verification")</f>
        <v>$15 Donation, Discord Verification</v>
      </c>
      <c r="K499" s="100" t="b">
        <v>0</v>
      </c>
      <c r="L499" s="101"/>
      <c r="M499" s="100"/>
      <c r="N499" s="97" t="b">
        <v>0</v>
      </c>
      <c r="O499" s="93" t="str">
        <f>IFERROR(__xludf.DUMMYFUNCTION("""COMPUTED_VALUE"""),"Fundraising, Membership")</f>
        <v>Fundraising, Membership</v>
      </c>
      <c r="P49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499" s="99"/>
    </row>
    <row r="500" ht="15.75" customHeight="1">
      <c r="A500" s="88">
        <f>IFERROR(__xludf.DUMMYFUNCTION("""COMPUTED_VALUE"""),45875.815379548614)</f>
        <v>45875.81538</v>
      </c>
      <c r="B500" s="89" t="b">
        <v>1</v>
      </c>
      <c r="C500" s="90" t="str">
        <f t="shared" si="4"/>
        <v>Fall 2025</v>
      </c>
      <c r="D500" s="91" t="str">
        <f>IFERROR(__xludf.DUMMYFUNCTION("""COMPUTED_VALUE"""),"jds9559@mavs.uta.edu")</f>
        <v>jds9559@mavs.uta.edu</v>
      </c>
      <c r="E500" s="92" t="str">
        <f>IFERROR(__xludf.DUMMYFUNCTION("""COMPUTED_VALUE"""),"Jaeden Sizelove")</f>
        <v>Jaeden Sizelove</v>
      </c>
      <c r="F500" s="93" t="str">
        <f>IFERROR(__xludf.DUMMYFUNCTION("""COMPUTED_VALUE"""),"Catasourus")</f>
        <v>Catasourus</v>
      </c>
      <c r="G500" s="92" t="str">
        <f>IFERROR(__xludf.DUMMYFUNCTION("""COMPUTED_VALUE"""),"PatchesisCool09")</f>
        <v>PatchesisCool09</v>
      </c>
      <c r="H500" s="94" t="str">
        <f>IFERROR(__xludf.DUMMYFUNCTION("""COMPUTED_VALUE"""),"(830) 822-6648")</f>
        <v>(830) 822-6648</v>
      </c>
      <c r="I500" s="94" t="str">
        <f>IFERROR(__xludf.DUMMYFUNCTION("""COMPUTED_VALUE"""),"Student")</f>
        <v>Student</v>
      </c>
      <c r="J500" s="93" t="str">
        <f>IFERROR(__xludf.DUMMYFUNCTION("""COMPUTED_VALUE"""),"$15 Donation, Discord Verification")</f>
        <v>$15 Donation, Discord Verification</v>
      </c>
      <c r="K500" s="100" t="b">
        <v>0</v>
      </c>
      <c r="L500" s="101" t="str">
        <f>IFERROR(__xludf.DUMMYFUNCTION("""COMPUTED_VALUE"""),"Cashapp")</f>
        <v>Cashapp</v>
      </c>
      <c r="M500" s="100"/>
      <c r="N500" s="97" t="b">
        <v>1</v>
      </c>
      <c r="O500" s="93" t="str">
        <f>IFERROR(__xludf.DUMMYFUNCTION("""COMPUTED_VALUE"""),"Membership, Feeding, Shelter Maintenance")</f>
        <v>Membership, Feeding, Shelter Maintenance</v>
      </c>
      <c r="P50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00" s="99"/>
    </row>
    <row r="501" ht="15.75" customHeight="1">
      <c r="A501" s="88">
        <f>IFERROR(__xludf.DUMMYFUNCTION("""COMPUTED_VALUE"""),45877.04119371528)</f>
        <v>45877.04119</v>
      </c>
      <c r="B501" s="89" t="b">
        <v>1</v>
      </c>
      <c r="C501" s="90" t="str">
        <f t="shared" si="4"/>
        <v>Fall 2025</v>
      </c>
      <c r="D501" s="91" t="str">
        <f>IFERROR(__xludf.DUMMYFUNCTION("""COMPUTED_VALUE"""),"ixi5492@mavs.uta.edu")</f>
        <v>ixi5492@mavs.uta.edu</v>
      </c>
      <c r="E501" s="92" t="str">
        <f>IFERROR(__xludf.DUMMYFUNCTION("""COMPUTED_VALUE"""),"Isabelle Islambasic")</f>
        <v>Isabelle Islambasic</v>
      </c>
      <c r="F501" s="93" t="str">
        <f>IFERROR(__xludf.DUMMYFUNCTION("""COMPUTED_VALUE"""),"izzyballz")</f>
        <v>izzyballz</v>
      </c>
      <c r="G501" s="92" t="str">
        <f>IFERROR(__xludf.DUMMYFUNCTION("""COMPUTED_VALUE"""),"$izzyballs display name isabelle ")</f>
        <v>$izzyballs display name isabelle </v>
      </c>
      <c r="H501" s="94" t="str">
        <f>IFERROR(__xludf.DUMMYFUNCTION("""COMPUTED_VALUE"""),"(586) 457-0378")</f>
        <v>(586) 457-0378</v>
      </c>
      <c r="I501" s="94" t="str">
        <f>IFERROR(__xludf.DUMMYFUNCTION("""COMPUTED_VALUE"""),"Student")</f>
        <v>Student</v>
      </c>
      <c r="J501" s="93" t="str">
        <f>IFERROR(__xludf.DUMMYFUNCTION("""COMPUTED_VALUE"""),"$15 Donation, Discord Verification")</f>
        <v>$15 Donation, Discord Verification</v>
      </c>
      <c r="K501" s="100" t="b">
        <v>0</v>
      </c>
      <c r="L501" s="101" t="str">
        <f>IFERROR(__xludf.DUMMYFUNCTION("""COMPUTED_VALUE"""),"Cashapp")</f>
        <v>Cashapp</v>
      </c>
      <c r="M501" s="100"/>
      <c r="N501" s="97" t="b">
        <v>1</v>
      </c>
      <c r="O501" s="93" t="str">
        <f>IFERROR(__xludf.DUMMYFUNCTION("""COMPUTED_VALUE"""),"Fundraising, PR, Membership, TNR, Feeding")</f>
        <v>Fundraising, PR, Membership, TNR, Feeding</v>
      </c>
      <c r="P50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01" s="99"/>
    </row>
    <row r="502" ht="15.75" customHeight="1">
      <c r="A502" s="88">
        <f>IFERROR(__xludf.DUMMYFUNCTION("""COMPUTED_VALUE"""),45880.584514525464)</f>
        <v>45880.58451</v>
      </c>
      <c r="B502" s="89" t="b">
        <v>1</v>
      </c>
      <c r="C502" s="90" t="str">
        <f t="shared" si="4"/>
        <v>Fall 2025</v>
      </c>
      <c r="D502" s="91" t="str">
        <f>IFERROR(__xludf.DUMMYFUNCTION("""COMPUTED_VALUE"""),"bth9860@mavs.uta.edu")</f>
        <v>bth9860@mavs.uta.edu</v>
      </c>
      <c r="E502" s="92" t="str">
        <f>IFERROR(__xludf.DUMMYFUNCTION("""COMPUTED_VALUE"""),"Bryan Huynh")</f>
        <v>Bryan Huynh</v>
      </c>
      <c r="F502" s="93" t="str">
        <f>IFERROR(__xludf.DUMMYFUNCTION("""COMPUTED_VALUE"""),"Hatshura")</f>
        <v>Hatshura</v>
      </c>
      <c r="G502" s="92" t="str">
        <f>IFERROR(__xludf.DUMMYFUNCTION("""COMPUTED_VALUE"""),"Idk maybe")</f>
        <v>Idk maybe</v>
      </c>
      <c r="H502" s="94" t="str">
        <f>IFERROR(__xludf.DUMMYFUNCTION("""COMPUTED_VALUE"""),"(817) 896-8895")</f>
        <v>(817) 896-8895</v>
      </c>
      <c r="I502" s="94" t="str">
        <f>IFERROR(__xludf.DUMMYFUNCTION("""COMPUTED_VALUE"""),"Student")</f>
        <v>Student</v>
      </c>
      <c r="J502" s="179" t="str">
        <f>IFERROR(__xludf.DUMMYFUNCTION("""COMPUTED_VALUE"""),"$15 Donation, Discord Verification")</f>
        <v>$15 Donation, Discord Verification</v>
      </c>
      <c r="K502" s="100" t="b">
        <v>0</v>
      </c>
      <c r="L502" s="101" t="str">
        <f>IFERROR(__xludf.DUMMYFUNCTION("""COMPUTED_VALUE"""),"Venmo")</f>
        <v>Venmo</v>
      </c>
      <c r="M502" s="95">
        <v>35.0</v>
      </c>
      <c r="N502" s="97" t="b">
        <v>1</v>
      </c>
      <c r="O502" s="93" t="str">
        <f>IFERROR(__xludf.DUMMYFUNCTION("""COMPUTED_VALUE"""),"Feeding")</f>
        <v>Feeding</v>
      </c>
      <c r="P50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02" s="102" t="s">
        <v>91</v>
      </c>
    </row>
    <row r="503" ht="15.75" customHeight="1">
      <c r="A503" s="88">
        <f>IFERROR(__xludf.DUMMYFUNCTION("""COMPUTED_VALUE"""),45881.96249243055)</f>
        <v>45881.96249</v>
      </c>
      <c r="B503" s="89" t="b">
        <v>1</v>
      </c>
      <c r="C503" s="90" t="str">
        <f t="shared" si="4"/>
        <v>Fall 2025</v>
      </c>
      <c r="D503" s="91" t="str">
        <f>IFERROR(__xludf.DUMMYFUNCTION("""COMPUTED_VALUE"""),"egh5183@mavs.uta.edu")</f>
        <v>egh5183@mavs.uta.edu</v>
      </c>
      <c r="E503" s="92" t="str">
        <f>IFERROR(__xludf.DUMMYFUNCTION("""COMPUTED_VALUE"""),"Emma Haynie")</f>
        <v>Emma Haynie</v>
      </c>
      <c r="F503" s="93" t="str">
        <f>IFERROR(__xludf.DUMMYFUNCTION("""COMPUTED_VALUE"""),"emmav")</f>
        <v>emmav</v>
      </c>
      <c r="G503" s="92" t="str">
        <f>IFERROR(__xludf.DUMMYFUNCTION("""COMPUTED_VALUE"""),"Emmy_lol on venmo")</f>
        <v>Emmy_lol on venmo</v>
      </c>
      <c r="H503" s="94" t="str">
        <f>IFERROR(__xludf.DUMMYFUNCTION("""COMPUTED_VALUE"""),"(972) 268-4471")</f>
        <v>(972) 268-4471</v>
      </c>
      <c r="I503" s="94" t="str">
        <f>IFERROR(__xludf.DUMMYFUNCTION("""COMPUTED_VALUE"""),"Student")</f>
        <v>Student</v>
      </c>
      <c r="J503" s="93" t="str">
        <f>IFERROR(__xludf.DUMMYFUNCTION("""COMPUTED_VALUE"""),"$15 Donation, Discord Verification")</f>
        <v>$15 Donation, Discord Verification</v>
      </c>
      <c r="K503" s="100" t="b">
        <v>0</v>
      </c>
      <c r="L503" s="101" t="str">
        <f>IFERROR(__xludf.DUMMYFUNCTION("""COMPUTED_VALUE"""),"Venmo")</f>
        <v>Venmo</v>
      </c>
      <c r="M503" s="100"/>
      <c r="N503" s="97" t="b">
        <v>1</v>
      </c>
      <c r="O503" s="93" t="str">
        <f>IFERROR(__xludf.DUMMYFUNCTION("""COMPUTED_VALUE"""),"Fundraising, PR, Membership, Feeding, Shelter Maintenance")</f>
        <v>Fundraising, PR, Membership, Feeding, Shelter Maintenance</v>
      </c>
      <c r="P50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03" s="99"/>
    </row>
    <row r="504" ht="15.75" customHeight="1">
      <c r="A504" s="88">
        <f>IFERROR(__xludf.DUMMYFUNCTION("""COMPUTED_VALUE"""),45884.46370142361)</f>
        <v>45884.4637</v>
      </c>
      <c r="B504" s="89" t="b">
        <v>1</v>
      </c>
      <c r="C504" s="90" t="str">
        <f t="shared" si="4"/>
        <v>Fall 2025</v>
      </c>
      <c r="D504" s="91" t="str">
        <f>IFERROR(__xludf.DUMMYFUNCTION("""COMPUTED_VALUE"""),"zka0371@mavs.uta.edu")</f>
        <v>zka0371@mavs.uta.edu</v>
      </c>
      <c r="E504" s="92" t="str">
        <f>IFERROR(__xludf.DUMMYFUNCTION("""COMPUTED_VALUE"""),"Zahara Aluna ")</f>
        <v>Zahara Aluna </v>
      </c>
      <c r="F504" s="93" t="str">
        <f>IFERROR(__xludf.DUMMYFUNCTION("""COMPUTED_VALUE"""),"lunanight_")</f>
        <v>lunanight_</v>
      </c>
      <c r="G504" s="92" t="str">
        <f>IFERROR(__xludf.DUMMYFUNCTION("""COMPUTED_VALUE"""),"Zahara Aluna / lunanight_")</f>
        <v>Zahara Aluna / lunanight_</v>
      </c>
      <c r="H504" s="94" t="str">
        <f>IFERROR(__xludf.DUMMYFUNCTION("""COMPUTED_VALUE"""),"(346) 318-2416")</f>
        <v>(346) 318-2416</v>
      </c>
      <c r="I504" s="94" t="str">
        <f>IFERROR(__xludf.DUMMYFUNCTION("""COMPUTED_VALUE"""),"Student")</f>
        <v>Student</v>
      </c>
      <c r="J504" s="93" t="str">
        <f>IFERROR(__xludf.DUMMYFUNCTION("""COMPUTED_VALUE"""),"$15 Donation, Discord Verification")</f>
        <v>$15 Donation, Discord Verification</v>
      </c>
      <c r="K504" s="100" t="b">
        <v>0</v>
      </c>
      <c r="L504" s="101" t="str">
        <f>IFERROR(__xludf.DUMMYFUNCTION("""COMPUTED_VALUE"""),"Cashapp")</f>
        <v>Cashapp</v>
      </c>
      <c r="M504" s="100"/>
      <c r="N504" s="97" t="b">
        <v>1</v>
      </c>
      <c r="O504" s="93" t="str">
        <f>IFERROR(__xludf.DUMMYFUNCTION("""COMPUTED_VALUE"""),"Fundraising, PR, Membership, Feeding, Shelter Maintenance")</f>
        <v>Fundraising, PR, Membership, Feeding, Shelter Maintenance</v>
      </c>
      <c r="P50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04" s="99"/>
    </row>
    <row r="505" ht="15.75" customHeight="1">
      <c r="A505" s="88">
        <f>IFERROR(__xludf.DUMMYFUNCTION("""COMPUTED_VALUE"""),45884.568197615736)</f>
        <v>45884.5682</v>
      </c>
      <c r="B505" s="89" t="b">
        <v>1</v>
      </c>
      <c r="C505" s="90" t="str">
        <f t="shared" si="4"/>
        <v>Fall 2025</v>
      </c>
      <c r="D505" s="91" t="str">
        <f>IFERROR(__xludf.DUMMYFUNCTION("""COMPUTED_VALUE"""),"vxe4389@mavs.uta.edu")</f>
        <v>vxe4389@mavs.uta.edu</v>
      </c>
      <c r="E505" s="92" t="str">
        <f>IFERROR(__xludf.DUMMYFUNCTION("""COMPUTED_VALUE"""),"Victoria Ensley")</f>
        <v>Victoria Ensley</v>
      </c>
      <c r="F505" s="93" t="str">
        <f>IFERROR(__xludf.DUMMYFUNCTION("""COMPUTED_VALUE"""),"@ratcorn.")</f>
        <v>@ratcorn.</v>
      </c>
      <c r="G505" s="92" t="str">
        <f>IFERROR(__xludf.DUMMYFUNCTION("""COMPUTED_VALUE"""),"I’m doing litter/food donation")</f>
        <v>I’m doing litter/food donation</v>
      </c>
      <c r="H505" s="94" t="str">
        <f>IFERROR(__xludf.DUMMYFUNCTION("""COMPUTED_VALUE"""),"(214) 707-2937")</f>
        <v>(214) 707-2937</v>
      </c>
      <c r="I505" s="94" t="str">
        <f>IFERROR(__xludf.DUMMYFUNCTION("""COMPUTED_VALUE"""),"Student")</f>
        <v>Student</v>
      </c>
      <c r="J505" s="179" t="str">
        <f>IFERROR(__xludf.DUMMYFUNCTION("""COMPUTED_VALUE"""),"Food/Litter Donation")</f>
        <v>Food/Litter Donation</v>
      </c>
      <c r="K505" s="100" t="b">
        <v>0</v>
      </c>
      <c r="L505" s="101"/>
      <c r="M505" s="100"/>
      <c r="N505" s="97" t="b">
        <v>1</v>
      </c>
      <c r="O505" s="93" t="str">
        <f>IFERROR(__xludf.DUMMYFUNCTION("""COMPUTED_VALUE"""),"PR, Membership, Feeding")</f>
        <v>PR, Membership, Feeding</v>
      </c>
      <c r="P50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05" s="102" t="s">
        <v>92</v>
      </c>
    </row>
    <row r="506" ht="15.75" customHeight="1">
      <c r="A506" s="88">
        <f>IFERROR(__xludf.DUMMYFUNCTION("""COMPUTED_VALUE"""),45885.57485665509)</f>
        <v>45885.57486</v>
      </c>
      <c r="B506" s="89" t="b">
        <v>1</v>
      </c>
      <c r="C506" s="90" t="str">
        <f t="shared" si="4"/>
        <v>Fall 2025</v>
      </c>
      <c r="D506" s="91" t="str">
        <f>IFERROR(__xludf.DUMMYFUNCTION("""COMPUTED_VALUE"""),"axt5571@mavs.uta.edu")</f>
        <v>axt5571@mavs.uta.edu</v>
      </c>
      <c r="E506" s="92" t="str">
        <f>IFERROR(__xludf.DUMMYFUNCTION("""COMPUTED_VALUE"""),"Amber Lauren Thomas")</f>
        <v>Amber Lauren Thomas</v>
      </c>
      <c r="F506" s="93" t="str">
        <f>IFERROR(__xludf.DUMMYFUNCTION("""COMPUTED_VALUE"""),"meowyyikes")</f>
        <v>meowyyikes</v>
      </c>
      <c r="G506" s="92" t="str">
        <f>IFERROR(__xludf.DUMMYFUNCTION("""COMPUTED_VALUE"""),"$AMBERYY03")</f>
        <v>$AMBERYY03</v>
      </c>
      <c r="H506" s="94" t="str">
        <f>IFERROR(__xludf.DUMMYFUNCTION("""COMPUTED_VALUE"""),"(817) 412-3959")</f>
        <v>(817) 412-3959</v>
      </c>
      <c r="I506" s="94" t="str">
        <f>IFERROR(__xludf.DUMMYFUNCTION("""COMPUTED_VALUE"""),"Student")</f>
        <v>Student</v>
      </c>
      <c r="J506" s="93" t="str">
        <f>IFERROR(__xludf.DUMMYFUNCTION("""COMPUTED_VALUE"""),"$15 Donation, Discord Verification")</f>
        <v>$15 Donation, Discord Verification</v>
      </c>
      <c r="K506" s="100" t="b">
        <v>0</v>
      </c>
      <c r="L506" s="101" t="str">
        <f>IFERROR(__xludf.DUMMYFUNCTION("""COMPUTED_VALUE"""),"Cashapp")</f>
        <v>Cashapp</v>
      </c>
      <c r="M506" s="95">
        <v>1.0</v>
      </c>
      <c r="N506" s="97" t="b">
        <v>1</v>
      </c>
      <c r="O506" s="93" t="str">
        <f>IFERROR(__xludf.DUMMYFUNCTION("""COMPUTED_VALUE"""),"Fundraising, Membership, Feeding, Shelter Maintenance")</f>
        <v>Fundraising, Membership, Feeding, Shelter Maintenance</v>
      </c>
      <c r="P50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06" s="99"/>
    </row>
    <row r="507" ht="15.75" customHeight="1">
      <c r="A507" s="88">
        <f>IFERROR(__xludf.DUMMYFUNCTION("""COMPUTED_VALUE"""),45885.88190620371)</f>
        <v>45885.88191</v>
      </c>
      <c r="B507" s="89" t="b">
        <v>1</v>
      </c>
      <c r="C507" s="90" t="str">
        <f t="shared" si="4"/>
        <v>Fall 2025</v>
      </c>
      <c r="D507" s="91" t="str">
        <f>IFERROR(__xludf.DUMMYFUNCTION("""COMPUTED_VALUE"""),"ilb3152@mavs.uta.edu")</f>
        <v>ilb3152@mavs.uta.edu</v>
      </c>
      <c r="E507" s="92" t="str">
        <f>IFERROR(__xludf.DUMMYFUNCTION("""COMPUTED_VALUE"""),"Isabella Beste")</f>
        <v>Isabella Beste</v>
      </c>
      <c r="F507" s="93" t="str">
        <f>IFERROR(__xludf.DUMMYFUNCTION("""COMPUTED_VALUE"""),"racerdg")</f>
        <v>racerdg</v>
      </c>
      <c r="G507" s="92" t="str">
        <f>IFERROR(__xludf.DUMMYFUNCTION("""COMPUTED_VALUE"""),"isabella.beste@gmail.com")</f>
        <v>isabella.beste@gmail.com</v>
      </c>
      <c r="H507" s="94" t="str">
        <f>IFERROR(__xludf.DUMMYFUNCTION("""COMPUTED_VALUE"""),"(817) 065-010")</f>
        <v>(817) 065-010</v>
      </c>
      <c r="I507" s="94" t="str">
        <f>IFERROR(__xludf.DUMMYFUNCTION("""COMPUTED_VALUE"""),"Student")</f>
        <v>Student</v>
      </c>
      <c r="J507" s="93" t="str">
        <f>IFERROR(__xludf.DUMMYFUNCTION("""COMPUTED_VALUE"""),"$15 Donation, Discord Verification")</f>
        <v>$15 Donation, Discord Verification</v>
      </c>
      <c r="K507" s="100" t="b">
        <v>0</v>
      </c>
      <c r="L507" s="101" t="str">
        <f>IFERROR(__xludf.DUMMYFUNCTION("""COMPUTED_VALUE"""),"Paypal")</f>
        <v>Paypal</v>
      </c>
      <c r="M507" s="100"/>
      <c r="N507" s="97" t="b">
        <v>1</v>
      </c>
      <c r="O507" s="93" t="str">
        <f>IFERROR(__xludf.DUMMYFUNCTION("""COMPUTED_VALUE"""),"Membership, TNR, Overnight TNR, Feeding, Shelter Maintenance")</f>
        <v>Membership, TNR, Overnight TNR, Feeding, Shelter Maintenance</v>
      </c>
      <c r="P50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07" s="99"/>
    </row>
    <row r="508" ht="15.75" customHeight="1">
      <c r="A508" s="88">
        <f>IFERROR(__xludf.DUMMYFUNCTION("""COMPUTED_VALUE"""),45886.28549415509)</f>
        <v>45886.28549</v>
      </c>
      <c r="B508" s="89" t="b">
        <v>1</v>
      </c>
      <c r="C508" s="90" t="str">
        <f t="shared" si="4"/>
        <v>Fall 2025</v>
      </c>
      <c r="D508" s="91" t="str">
        <f>IFERROR(__xludf.DUMMYFUNCTION("""COMPUTED_VALUE"""),"ors3509@mavs.uta.edu")</f>
        <v>ors3509@mavs.uta.edu</v>
      </c>
      <c r="E508" s="92" t="str">
        <f>IFERROR(__xludf.DUMMYFUNCTION("""COMPUTED_VALUE"""),"Oliver Scantling ")</f>
        <v>Oliver Scantling </v>
      </c>
      <c r="F508" s="93" t="str">
        <f>IFERROR(__xludf.DUMMYFUNCTION("""COMPUTED_VALUE"""),"Oliver S (or ChickenBee4868)")</f>
        <v>Oliver S (or ChickenBee4868)</v>
      </c>
      <c r="G508" s="92" t="str">
        <f>IFERROR(__xludf.DUMMYFUNCTION("""COMPUTED_VALUE"""),"Oliver Scantling ")</f>
        <v>Oliver Scantling </v>
      </c>
      <c r="H508" s="94" t="str">
        <f>IFERROR(__xludf.DUMMYFUNCTION("""COMPUTED_VALUE"""),"(903) 387-2011")</f>
        <v>(903) 387-2011</v>
      </c>
      <c r="I508" s="94" t="str">
        <f>IFERROR(__xludf.DUMMYFUNCTION("""COMPUTED_VALUE"""),"Student")</f>
        <v>Student</v>
      </c>
      <c r="J508" s="93" t="str">
        <f>IFERROR(__xludf.DUMMYFUNCTION("""COMPUTED_VALUE"""),"$15 Donation, Discord Verification")</f>
        <v>$15 Donation, Discord Verification</v>
      </c>
      <c r="K508" s="100" t="b">
        <v>0</v>
      </c>
      <c r="L508" s="101" t="str">
        <f>IFERROR(__xludf.DUMMYFUNCTION("""COMPUTED_VALUE"""),"Venmo")</f>
        <v>Venmo</v>
      </c>
      <c r="M508" s="100"/>
      <c r="N508" s="97" t="b">
        <v>1</v>
      </c>
      <c r="O508" s="93" t="str">
        <f>IFERROR(__xludf.DUMMYFUNCTION("""COMPUTED_VALUE"""),"Fundraising, Shelter Maintenance")</f>
        <v>Fundraising, Shelter Maintenance</v>
      </c>
      <c r="P50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08" s="99"/>
    </row>
    <row r="509" ht="15.75" customHeight="1">
      <c r="A509" s="88">
        <f>IFERROR(__xludf.DUMMYFUNCTION("""COMPUTED_VALUE"""),45886.75508362269)</f>
        <v>45886.75508</v>
      </c>
      <c r="B509" s="89" t="b">
        <v>1</v>
      </c>
      <c r="C509" s="90" t="str">
        <f t="shared" si="4"/>
        <v>Fall 2025</v>
      </c>
      <c r="D509" s="91" t="str">
        <f>IFERROR(__xludf.DUMMYFUNCTION("""COMPUTED_VALUE"""),"ceb7687@mavs.uta.edu")</f>
        <v>ceb7687@mavs.uta.edu</v>
      </c>
      <c r="E509" s="92" t="str">
        <f>IFERROR(__xludf.DUMMYFUNCTION("""COMPUTED_VALUE"""),"Charlotte Brownlee")</f>
        <v>Charlotte Brownlee</v>
      </c>
      <c r="F509" s="93" t="str">
        <f>IFERROR(__xludf.DUMMYFUNCTION("""COMPUTED_VALUE"""),"phat_cat_207")</f>
        <v>phat_cat_207</v>
      </c>
      <c r="G509" s="92" t="str">
        <f>IFERROR(__xludf.DUMMYFUNCTION("""COMPUTED_VALUE"""),"N/a")</f>
        <v>N/a</v>
      </c>
      <c r="H509" s="94" t="str">
        <f>IFERROR(__xludf.DUMMYFUNCTION("""COMPUTED_VALUE"""),"(713) 614-0721")</f>
        <v>(713) 614-0721</v>
      </c>
      <c r="I509" s="94" t="str">
        <f>IFERROR(__xludf.DUMMYFUNCTION("""COMPUTED_VALUE"""),"Student")</f>
        <v>Student</v>
      </c>
      <c r="J509" s="93" t="str">
        <f>IFERROR(__xludf.DUMMYFUNCTION("""COMPUTED_VALUE"""),"$15 Donation, Discord Verification")</f>
        <v>$15 Donation, Discord Verification</v>
      </c>
      <c r="K509" s="100" t="b">
        <v>0</v>
      </c>
      <c r="L509" s="101" t="str">
        <f>IFERROR(__xludf.DUMMYFUNCTION("""COMPUTED_VALUE"""),"Cash")</f>
        <v>Cash</v>
      </c>
      <c r="M509" s="100"/>
      <c r="N509" s="97" t="b">
        <v>1</v>
      </c>
      <c r="O509" s="93" t="str">
        <f>IFERROR(__xludf.DUMMYFUNCTION("""COMPUTED_VALUE"""),"Feeding, Fostering, Shelter Maintenance")</f>
        <v>Feeding, Fostering, Shelter Maintenance</v>
      </c>
      <c r="P50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09" s="99"/>
    </row>
    <row r="510" ht="15.75" customHeight="1">
      <c r="A510" s="88">
        <f>IFERROR(__xludf.DUMMYFUNCTION("""COMPUTED_VALUE"""),45887.3317634375)</f>
        <v>45887.33176</v>
      </c>
      <c r="B510" s="89" t="b">
        <v>1</v>
      </c>
      <c r="C510" s="90" t="str">
        <f t="shared" si="4"/>
        <v>Fall 2025</v>
      </c>
      <c r="D510" s="91" t="str">
        <f>IFERROR(__xludf.DUMMYFUNCTION("""COMPUTED_VALUE"""),"nsh9723@mavs.uta.edu")</f>
        <v>nsh9723@mavs.uta.edu</v>
      </c>
      <c r="E510" s="92" t="str">
        <f>IFERROR(__xludf.DUMMYFUNCTION("""COMPUTED_VALUE"""),"Nicholas Ho")</f>
        <v>Nicholas Ho</v>
      </c>
      <c r="F510" s="93" t="str">
        <f>IFERROR(__xludf.DUMMYFUNCTION("""COMPUTED_VALUE"""),"rice.muncher")</f>
        <v>rice.muncher</v>
      </c>
      <c r="G510" s="92" t="str">
        <f>IFERROR(__xludf.DUMMYFUNCTION("""COMPUTED_VALUE"""),"N/A")</f>
        <v>N/A</v>
      </c>
      <c r="H510" s="94" t="str">
        <f>IFERROR(__xludf.DUMMYFUNCTION("""COMPUTED_VALUE"""),"(832) 668-4651")</f>
        <v>(832) 668-4651</v>
      </c>
      <c r="I510" s="94" t="str">
        <f>IFERROR(__xludf.DUMMYFUNCTION("""COMPUTED_VALUE"""),"Student")</f>
        <v>Student</v>
      </c>
      <c r="J510" s="93" t="str">
        <f>IFERROR(__xludf.DUMMYFUNCTION("""COMPUTED_VALUE"""),"$15 Donation, Discord Verification")</f>
        <v>$15 Donation, Discord Verification</v>
      </c>
      <c r="K510" s="100" t="b">
        <v>0</v>
      </c>
      <c r="L510" s="101" t="str">
        <f>IFERROR(__xludf.DUMMYFUNCTION("""COMPUTED_VALUE"""),"Cash")</f>
        <v>Cash</v>
      </c>
      <c r="M510" s="100"/>
      <c r="N510" s="97" t="b">
        <v>1</v>
      </c>
      <c r="O510" s="93" t="str">
        <f>IFERROR(__xludf.DUMMYFUNCTION("""COMPUTED_VALUE"""),"PR, Overnight TNR, Feeding, Shelter Maintenance")</f>
        <v>PR, Overnight TNR, Feeding, Shelter Maintenance</v>
      </c>
      <c r="P51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10" s="99"/>
    </row>
    <row r="511" ht="15.75" customHeight="1">
      <c r="A511" s="88">
        <f>IFERROR(__xludf.DUMMYFUNCTION("""COMPUTED_VALUE"""),45887.49900185185)</f>
        <v>45887.499</v>
      </c>
      <c r="B511" s="89" t="b">
        <v>1</v>
      </c>
      <c r="C511" s="90" t="str">
        <f t="shared" si="4"/>
        <v>Fall 2025</v>
      </c>
      <c r="D511" s="91" t="str">
        <f>IFERROR(__xludf.DUMMYFUNCTION("""COMPUTED_VALUE"""),"asd3713@mavs.uta.edu")</f>
        <v>asd3713@mavs.uta.edu</v>
      </c>
      <c r="E511" s="92" t="str">
        <f>IFERROR(__xludf.DUMMYFUNCTION("""COMPUTED_VALUE"""),"Ariana Delgado")</f>
        <v>Ariana Delgado</v>
      </c>
      <c r="F511" s="93" t="str">
        <f>IFERROR(__xludf.DUMMYFUNCTION("""COMPUTED_VALUE"""),"kukieari")</f>
        <v>kukieari</v>
      </c>
      <c r="G511" s="92" t="str">
        <f>IFERROR(__xludf.DUMMYFUNCTION("""COMPUTED_VALUE"""),"$kukiemeow")</f>
        <v>$kukiemeow</v>
      </c>
      <c r="H511" s="94" t="str">
        <f>IFERROR(__xludf.DUMMYFUNCTION("""COMPUTED_VALUE"""),"(469) 877-5127")</f>
        <v>(469) 877-5127</v>
      </c>
      <c r="I511" s="94" t="str">
        <f>IFERROR(__xludf.DUMMYFUNCTION("""COMPUTED_VALUE"""),"Student")</f>
        <v>Student</v>
      </c>
      <c r="J511" s="93" t="str">
        <f>IFERROR(__xludf.DUMMYFUNCTION("""COMPUTED_VALUE"""),"$15 Donation, Discord Verification")</f>
        <v>$15 Donation, Discord Verification</v>
      </c>
      <c r="K511" s="100" t="b">
        <v>0</v>
      </c>
      <c r="L511" s="101" t="str">
        <f>IFERROR(__xludf.DUMMYFUNCTION("""COMPUTED_VALUE"""),"Cashapp")</f>
        <v>Cashapp</v>
      </c>
      <c r="M511" s="100"/>
      <c r="N511" s="97" t="b">
        <v>1</v>
      </c>
      <c r="O511" s="93" t="str">
        <f>IFERROR(__xludf.DUMMYFUNCTION("""COMPUTED_VALUE"""),"Fundraising, Membership, Feeding")</f>
        <v>Fundraising, Membership, Feeding</v>
      </c>
      <c r="P51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11" s="99"/>
    </row>
    <row r="512" ht="15.75" customHeight="1">
      <c r="A512" s="88">
        <f>IFERROR(__xludf.DUMMYFUNCTION("""COMPUTED_VALUE"""),45887.63576392361)</f>
        <v>45887.63576</v>
      </c>
      <c r="B512" s="89" t="b">
        <v>1</v>
      </c>
      <c r="C512" s="90" t="str">
        <f t="shared" si="4"/>
        <v>Fall 2025</v>
      </c>
      <c r="D512" s="91" t="str">
        <f>IFERROR(__xludf.DUMMYFUNCTION("""COMPUTED_VALUE"""),"axl9897@mavs.uta.edu")</f>
        <v>axl9897@mavs.uta.edu</v>
      </c>
      <c r="E512" s="92" t="str">
        <f>IFERROR(__xludf.DUMMYFUNCTION("""COMPUTED_VALUE"""),"Alexis Lovelady")</f>
        <v>Alexis Lovelady</v>
      </c>
      <c r="F512" s="93" t="str">
        <f>IFERROR(__xludf.DUMMYFUNCTION("""COMPUTED_VALUE"""),"lexiez23")</f>
        <v>lexiez23</v>
      </c>
      <c r="G512" s="92" t="str">
        <f>IFERROR(__xludf.DUMMYFUNCTION("""COMPUTED_VALUE"""),"Sent from @Amanda-Lovelady-1and my discord username is lexiez23")</f>
        <v>Sent from @Amanda-Lovelady-1and my discord username is lexiez23</v>
      </c>
      <c r="H512" s="94" t="str">
        <f>IFERROR(__xludf.DUMMYFUNCTION("""COMPUTED_VALUE"""),"(903)  57-8062")</f>
        <v>(903)  57-8062</v>
      </c>
      <c r="I512" s="94" t="str">
        <f>IFERROR(__xludf.DUMMYFUNCTION("""COMPUTED_VALUE"""),"Student")</f>
        <v>Student</v>
      </c>
      <c r="J512" s="93" t="str">
        <f>IFERROR(__xludf.DUMMYFUNCTION("""COMPUTED_VALUE"""),"$15 Donation, Discord Verification")</f>
        <v>$15 Donation, Discord Verification</v>
      </c>
      <c r="K512" s="100" t="b">
        <v>0</v>
      </c>
      <c r="L512" s="101" t="str">
        <f>IFERROR(__xludf.DUMMYFUNCTION("""COMPUTED_VALUE"""),"Cash")</f>
        <v>Cash</v>
      </c>
      <c r="M512" s="100"/>
      <c r="N512" s="97" t="b">
        <v>1</v>
      </c>
      <c r="O512" s="93" t="str">
        <f>IFERROR(__xludf.DUMMYFUNCTION("""COMPUTED_VALUE"""),"Fundraising, PR, Membership, Feeding, Shelter Maintenance")</f>
        <v>Fundraising, PR, Membership, Feeding, Shelter Maintenance</v>
      </c>
      <c r="P51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12" s="99"/>
    </row>
    <row r="513" ht="15.75" customHeight="1">
      <c r="A513" s="88">
        <f>IFERROR(__xludf.DUMMYFUNCTION("""COMPUTED_VALUE"""),45887.79720765047)</f>
        <v>45887.79721</v>
      </c>
      <c r="B513" s="89" t="b">
        <v>1</v>
      </c>
      <c r="C513" s="90" t="str">
        <f t="shared" si="4"/>
        <v>Fall 2025</v>
      </c>
      <c r="D513" s="91" t="str">
        <f>IFERROR(__xludf.DUMMYFUNCTION("""COMPUTED_VALUE"""),"nxr2634@mavs.uta.edu")</f>
        <v>nxr2634@mavs.uta.edu</v>
      </c>
      <c r="E513" s="92" t="str">
        <f>IFERROR(__xludf.DUMMYFUNCTION("""COMPUTED_VALUE"""),"Natalie Ramirez")</f>
        <v>Natalie Ramirez</v>
      </c>
      <c r="F513" s="93" t="str">
        <f>IFERROR(__xludf.DUMMYFUNCTION("""COMPUTED_VALUE"""),"Nataliermz.")</f>
        <v>Nataliermz.</v>
      </c>
      <c r="G513" s="92" t="str">
        <f>IFERROR(__xludf.DUMMYFUNCTION("""COMPUTED_VALUE"""),"$natal1ee")</f>
        <v>$natal1ee</v>
      </c>
      <c r="H513" s="94" t="str">
        <f>IFERROR(__xludf.DUMMYFUNCTION("""COMPUTED_VALUE"""),"(682) 472-7469")</f>
        <v>(682) 472-7469</v>
      </c>
      <c r="I513" s="94" t="str">
        <f>IFERROR(__xludf.DUMMYFUNCTION("""COMPUTED_VALUE"""),"Student")</f>
        <v>Student</v>
      </c>
      <c r="J513" s="93" t="str">
        <f>IFERROR(__xludf.DUMMYFUNCTION("""COMPUTED_VALUE"""),"$15 Donation, Discord Verification")</f>
        <v>$15 Donation, Discord Verification</v>
      </c>
      <c r="K513" s="100" t="b">
        <v>0</v>
      </c>
      <c r="L513" s="101" t="str">
        <f>IFERROR(__xludf.DUMMYFUNCTION("""COMPUTED_VALUE"""),"Cashapp")</f>
        <v>Cashapp</v>
      </c>
      <c r="M513" s="100"/>
      <c r="N513" s="97" t="b">
        <v>1</v>
      </c>
      <c r="O513" s="93" t="str">
        <f>IFERROR(__xludf.DUMMYFUNCTION("""COMPUTED_VALUE"""),"Fundraising, PR")</f>
        <v>Fundraising, PR</v>
      </c>
      <c r="P51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13" s="99"/>
    </row>
    <row r="514" ht="15.75" customHeight="1">
      <c r="A514" s="88">
        <f>IFERROR(__xludf.DUMMYFUNCTION("""COMPUTED_VALUE"""),45893.65358074074)</f>
        <v>45893.65358</v>
      </c>
      <c r="B514" s="89" t="b">
        <v>1</v>
      </c>
      <c r="C514" s="90" t="str">
        <f t="shared" si="4"/>
        <v>Fall 2025</v>
      </c>
      <c r="D514" s="91" t="str">
        <f>IFERROR(__xludf.DUMMYFUNCTION("""COMPUTED_VALUE"""),"exo3265@mavs.uta.edu")</f>
        <v>exo3265@mavs.uta.edu</v>
      </c>
      <c r="E514" s="92" t="str">
        <f>IFERROR(__xludf.DUMMYFUNCTION("""COMPUTED_VALUE"""),"Emre Koksal Ozkantar")</f>
        <v>Emre Koksal Ozkantar</v>
      </c>
      <c r="F514" s="93" t="str">
        <f>IFERROR(__xludf.DUMMYFUNCTION("""COMPUTED_VALUE"""),"emrekoksal33")</f>
        <v>emrekoksal33</v>
      </c>
      <c r="G514" s="92" t="str">
        <f>IFERROR(__xludf.DUMMYFUNCTION("""COMPUTED_VALUE"""),"PayPal: @emre324")</f>
        <v>PayPal: @emre324</v>
      </c>
      <c r="H514" s="94" t="str">
        <f>IFERROR(__xludf.DUMMYFUNCTION("""COMPUTED_VALUE"""),"(945) 998-6120")</f>
        <v>(945) 998-6120</v>
      </c>
      <c r="I514" s="94" t="str">
        <f>IFERROR(__xludf.DUMMYFUNCTION("""COMPUTED_VALUE"""),"Student")</f>
        <v>Student</v>
      </c>
      <c r="J514" s="93" t="str">
        <f>IFERROR(__xludf.DUMMYFUNCTION("""COMPUTED_VALUE"""),"$15 Donation, Discord Verification")</f>
        <v>$15 Donation, Discord Verification</v>
      </c>
      <c r="K514" s="100" t="b">
        <v>0</v>
      </c>
      <c r="L514" s="101" t="str">
        <f>IFERROR(__xludf.DUMMYFUNCTION("""COMPUTED_VALUE"""),"Paypal")</f>
        <v>Paypal</v>
      </c>
      <c r="M514" s="100"/>
      <c r="N514" s="97" t="b">
        <v>1</v>
      </c>
      <c r="O514" s="93" t="str">
        <f>IFERROR(__xludf.DUMMYFUNCTION("""COMPUTED_VALUE"""),"Feeding, Fostering")</f>
        <v>Feeding, Fostering</v>
      </c>
      <c r="P51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14" s="99"/>
    </row>
    <row r="515" ht="15.75" customHeight="1">
      <c r="A515" s="88">
        <f>IFERROR(__xludf.DUMMYFUNCTION("""COMPUTED_VALUE"""),45888.516284513884)</f>
        <v>45888.51628</v>
      </c>
      <c r="B515" s="89" t="b">
        <v>1</v>
      </c>
      <c r="C515" s="90" t="str">
        <f t="shared" si="4"/>
        <v>Fall 2025</v>
      </c>
      <c r="D515" s="91" t="str">
        <f>IFERROR(__xludf.DUMMYFUNCTION("""COMPUTED_VALUE"""),"jrm2636@mavs.uta.edu")</f>
        <v>jrm2636@mavs.uta.edu</v>
      </c>
      <c r="E515" s="92" t="str">
        <f>IFERROR(__xludf.DUMMYFUNCTION("""COMPUTED_VALUE"""),"John ""Jack"" Mitchell")</f>
        <v>John "Jack" Mitchell</v>
      </c>
      <c r="F515" s="93" t="str">
        <f>IFERROR(__xludf.DUMMYFUNCTION("""COMPUTED_VALUE"""),"j4ckmitch3ll")</f>
        <v>j4ckmitch3ll</v>
      </c>
      <c r="G515" s="92" t="str">
        <f>IFERROR(__xludf.DUMMYFUNCTION("""COMPUTED_VALUE"""),"JackMitch311")</f>
        <v>JackMitch311</v>
      </c>
      <c r="H515" s="94" t="str">
        <f>IFERROR(__xludf.DUMMYFUNCTION("""COMPUTED_VALUE"""),"(817) 933-6574")</f>
        <v>(817) 933-6574</v>
      </c>
      <c r="I515" s="94" t="str">
        <f>IFERROR(__xludf.DUMMYFUNCTION("""COMPUTED_VALUE"""),"Student")</f>
        <v>Student</v>
      </c>
      <c r="J515" s="93" t="str">
        <f>IFERROR(__xludf.DUMMYFUNCTION("""COMPUTED_VALUE"""),"$15 Donation, Discord Verification")</f>
        <v>$15 Donation, Discord Verification</v>
      </c>
      <c r="K515" s="100" t="b">
        <v>0</v>
      </c>
      <c r="L515" s="101" t="str">
        <f>IFERROR(__xludf.DUMMYFUNCTION("""COMPUTED_VALUE"""),"Venmo")</f>
        <v>Venmo</v>
      </c>
      <c r="M515" s="100"/>
      <c r="N515" s="97" t="b">
        <v>1</v>
      </c>
      <c r="O515" s="93" t="str">
        <f>IFERROR(__xludf.DUMMYFUNCTION("""COMPUTED_VALUE"""),"Fundraising, PR, Membership, Feeding, Shelter Maintenance")</f>
        <v>Fundraising, PR, Membership, Feeding, Shelter Maintenance</v>
      </c>
      <c r="P51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15" s="99"/>
    </row>
    <row r="516" ht="15.75" customHeight="1">
      <c r="A516" s="88">
        <f>IFERROR(__xludf.DUMMYFUNCTION("""COMPUTED_VALUE"""),45888.59237655092)</f>
        <v>45888.59238</v>
      </c>
      <c r="B516" s="89" t="b">
        <v>1</v>
      </c>
      <c r="C516" s="90" t="str">
        <f t="shared" si="4"/>
        <v>Fall 2025</v>
      </c>
      <c r="D516" s="91" t="str">
        <f>IFERROR(__xludf.DUMMYFUNCTION("""COMPUTED_VALUE"""),"acs7801@mavs.uta.edu")</f>
        <v>acs7801@mavs.uta.edu</v>
      </c>
      <c r="E516" s="92" t="str">
        <f>IFERROR(__xludf.DUMMYFUNCTION("""COMPUTED_VALUE"""),"Acacia Shiroma")</f>
        <v>Acacia Shiroma</v>
      </c>
      <c r="F516" s="93" t="str">
        <f>IFERROR(__xludf.DUMMYFUNCTION("""COMPUTED_VALUE"""),"spitonme")</f>
        <v>spitonme</v>
      </c>
      <c r="G516" s="92" t="str">
        <f>IFERROR(__xludf.DUMMYFUNCTION("""COMPUTED_VALUE"""),"moxhimoo")</f>
        <v>moxhimoo</v>
      </c>
      <c r="H516" s="94" t="str">
        <f>IFERROR(__xludf.DUMMYFUNCTION("""COMPUTED_VALUE"""),"(682) 206-8098")</f>
        <v>(682) 206-8098</v>
      </c>
      <c r="I516" s="94" t="str">
        <f>IFERROR(__xludf.DUMMYFUNCTION("""COMPUTED_VALUE"""),"Student")</f>
        <v>Student</v>
      </c>
      <c r="J516" s="93" t="str">
        <f>IFERROR(__xludf.DUMMYFUNCTION("""COMPUTED_VALUE"""),"$15 Donation, Discord Verification")</f>
        <v>$15 Donation, Discord Verification</v>
      </c>
      <c r="K516" s="100" t="b">
        <v>0</v>
      </c>
      <c r="L516" s="101" t="str">
        <f>IFERROR(__xludf.DUMMYFUNCTION("""COMPUTED_VALUE"""),"Paypal")</f>
        <v>Paypal</v>
      </c>
      <c r="M516" s="100"/>
      <c r="N516" s="97" t="b">
        <v>1</v>
      </c>
      <c r="O516" s="93" t="str">
        <f>IFERROR(__xludf.DUMMYFUNCTION("""COMPUTED_VALUE"""),"PR, Feeding")</f>
        <v>PR, Feeding</v>
      </c>
      <c r="P51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16" s="99"/>
    </row>
    <row r="517" ht="15.75" customHeight="1">
      <c r="A517" s="88">
        <f>IFERROR(__xludf.DUMMYFUNCTION("""COMPUTED_VALUE"""),45888.64589528935)</f>
        <v>45888.6459</v>
      </c>
      <c r="B517" s="89" t="b">
        <v>1</v>
      </c>
      <c r="C517" s="90" t="str">
        <f t="shared" si="4"/>
        <v>Fall 2025</v>
      </c>
      <c r="D517" s="91" t="str">
        <f>IFERROR(__xludf.DUMMYFUNCTION("""COMPUTED_VALUE"""),"kathryn.bennett@uta.edu")</f>
        <v>kathryn.bennett@uta.edu</v>
      </c>
      <c r="E517" s="92" t="str">
        <f>IFERROR(__xludf.DUMMYFUNCTION("""COMPUTED_VALUE"""),"Chloe Bennett")</f>
        <v>Chloe Bennett</v>
      </c>
      <c r="F517" s="93" t="str">
        <f>IFERROR(__xludf.DUMMYFUNCTION("""COMPUTED_VALUE"""),"redfoxflying")</f>
        <v>redfoxflying</v>
      </c>
      <c r="G517" s="92" t="str">
        <f>IFERROR(__xludf.DUMMYFUNCTION("""COMPUTED_VALUE"""),"Chloe-Bennett-1")</f>
        <v>Chloe-Bennett-1</v>
      </c>
      <c r="H517" s="94" t="str">
        <f>IFERROR(__xludf.DUMMYFUNCTION("""COMPUTED_VALUE"""),"")</f>
        <v/>
      </c>
      <c r="I517" s="94" t="str">
        <f>IFERROR(__xludf.DUMMYFUNCTION("""COMPUTED_VALUE"""),"UTA Faculty")</f>
        <v>UTA Faculty</v>
      </c>
      <c r="J517" s="93" t="str">
        <f>IFERROR(__xludf.DUMMYFUNCTION("""COMPUTED_VALUE"""),"$15 Donation, Discord Verification")</f>
        <v>$15 Donation, Discord Verification</v>
      </c>
      <c r="K517" s="100" t="b">
        <v>0</v>
      </c>
      <c r="L517" s="101" t="str">
        <f>IFERROR(__xludf.DUMMYFUNCTION("""COMPUTED_VALUE"""),"Venmo")</f>
        <v>Venmo</v>
      </c>
      <c r="M517" s="100"/>
      <c r="N517" s="97" t="b">
        <v>1</v>
      </c>
      <c r="O517" s="93" t="str">
        <f>IFERROR(__xludf.DUMMYFUNCTION("""COMPUTED_VALUE"""),"Feeding, Fostering, Shelter Maintenance")</f>
        <v>Feeding, Fostering, Shelter Maintenance</v>
      </c>
      <c r="P51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17" s="99"/>
    </row>
    <row r="518" ht="15.75" customHeight="1">
      <c r="A518" s="88">
        <f>IFERROR(__xludf.DUMMYFUNCTION("""COMPUTED_VALUE"""),45888.85286694445)</f>
        <v>45888.85287</v>
      </c>
      <c r="B518" s="89" t="b">
        <v>1</v>
      </c>
      <c r="C518" s="90" t="str">
        <f t="shared" si="4"/>
        <v>Fall 2025</v>
      </c>
      <c r="D518" s="91" t="str">
        <f>IFERROR(__xludf.DUMMYFUNCTION("""COMPUTED_VALUE"""),"lxg8100@mavs.uta.edu")</f>
        <v>lxg8100@mavs.uta.edu</v>
      </c>
      <c r="E518" s="92" t="str">
        <f>IFERROR(__xludf.DUMMYFUNCTION("""COMPUTED_VALUE"""),"Lynn Greaves")</f>
        <v>Lynn Greaves</v>
      </c>
      <c r="F518" s="93" t="str">
        <f>IFERROR(__xludf.DUMMYFUNCTION("""COMPUTED_VALUE"""),"Layotu")</f>
        <v>Layotu</v>
      </c>
      <c r="G518" s="92" t="str">
        <f>IFERROR(__xludf.DUMMYFUNCTION("""COMPUTED_VALUE"""),"Layotu")</f>
        <v>Layotu</v>
      </c>
      <c r="H518" s="94" t="str">
        <f>IFERROR(__xludf.DUMMYFUNCTION("""COMPUTED_VALUE"""),"(970)  44-5  7")</f>
        <v>(970)  44-5  7</v>
      </c>
      <c r="I518" s="94" t="str">
        <f>IFERROR(__xludf.DUMMYFUNCTION("""COMPUTED_VALUE"""),"Student")</f>
        <v>Student</v>
      </c>
      <c r="J518" s="93" t="str">
        <f>IFERROR(__xludf.DUMMYFUNCTION("""COMPUTED_VALUE"""),"$15 Donation, Discord Verification")</f>
        <v>$15 Donation, Discord Verification</v>
      </c>
      <c r="K518" s="100" t="b">
        <v>0</v>
      </c>
      <c r="L518" s="101" t="str">
        <f>IFERROR(__xludf.DUMMYFUNCTION("""COMPUTED_VALUE"""),"Venmo")</f>
        <v>Venmo</v>
      </c>
      <c r="M518" s="100"/>
      <c r="N518" s="97" t="b">
        <v>1</v>
      </c>
      <c r="O518" s="93" t="str">
        <f>IFERROR(__xludf.DUMMYFUNCTION("""COMPUTED_VALUE"""),"TNR, Overnight TNR, Feeding, Shelter Maintenance")</f>
        <v>TNR, Overnight TNR, Feeding, Shelter Maintenance</v>
      </c>
      <c r="P51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18" s="99"/>
    </row>
    <row r="519" ht="15.75" customHeight="1">
      <c r="A519" s="88">
        <f>IFERROR(__xludf.DUMMYFUNCTION("""COMPUTED_VALUE"""),45888.85675255787)</f>
        <v>45888.85675</v>
      </c>
      <c r="B519" s="89" t="b">
        <v>1</v>
      </c>
      <c r="C519" s="90" t="str">
        <f t="shared" si="4"/>
        <v>Fall 2025</v>
      </c>
      <c r="D519" s="91" t="str">
        <f>IFERROR(__xludf.DUMMYFUNCTION("""COMPUTED_VALUE"""),"ell3289@mavs.uta.edu")</f>
        <v>ell3289@mavs.uta.edu</v>
      </c>
      <c r="E519" s="92" t="str">
        <f>IFERROR(__xludf.DUMMYFUNCTION("""COMPUTED_VALUE"""),"Emmaleigh Lewis")</f>
        <v>Emmaleigh Lewis</v>
      </c>
      <c r="F519" s="93" t="str">
        <f>IFERROR(__xludf.DUMMYFUNCTION("""COMPUTED_VALUE"""),"emiximez")</f>
        <v>emiximez</v>
      </c>
      <c r="G519" s="92" t="str">
        <f>IFERROR(__xludf.DUMMYFUNCTION("""COMPUTED_VALUE"""),"n/a")</f>
        <v>n/a</v>
      </c>
      <c r="H519" s="94" t="str">
        <f>IFERROR(__xludf.DUMMYFUNCTION("""COMPUTED_VALUE"""),"(682) 702-1880")</f>
        <v>(682) 702-1880</v>
      </c>
      <c r="I519" s="94" t="str">
        <f>IFERROR(__xludf.DUMMYFUNCTION("""COMPUTED_VALUE"""),"Student")</f>
        <v>Student</v>
      </c>
      <c r="J519" s="93" t="str">
        <f>IFERROR(__xludf.DUMMYFUNCTION("""COMPUTED_VALUE"""),"Food/Litter Donation")</f>
        <v>Food/Litter Donation</v>
      </c>
      <c r="K519" s="100" t="b">
        <v>0</v>
      </c>
      <c r="L519" s="101"/>
      <c r="M519" s="100"/>
      <c r="N519" s="97" t="b">
        <v>1</v>
      </c>
      <c r="O519" s="93" t="str">
        <f>IFERROR(__xludf.DUMMYFUNCTION("""COMPUTED_VALUE"""),"Fundraising, PR, TNR, Feeding")</f>
        <v>Fundraising, PR, TNR, Feeding</v>
      </c>
      <c r="P51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19" s="99"/>
    </row>
    <row r="520" ht="15.75" customHeight="1">
      <c r="A520" s="88">
        <f>IFERROR(__xludf.DUMMYFUNCTION("""COMPUTED_VALUE"""),45889.68087653935)</f>
        <v>45889.68088</v>
      </c>
      <c r="B520" s="89" t="b">
        <v>1</v>
      </c>
      <c r="C520" s="90" t="str">
        <f t="shared" si="4"/>
        <v>Fall 2025</v>
      </c>
      <c r="D520" s="91" t="str">
        <f>IFERROR(__xludf.DUMMYFUNCTION("""COMPUTED_VALUE"""),"djm4378@mavs.uta.edu")</f>
        <v>djm4378@mavs.uta.edu</v>
      </c>
      <c r="E520" s="92" t="str">
        <f>IFERROR(__xludf.DUMMYFUNCTION("""COMPUTED_VALUE"""),"Dariana Janice Mendoza")</f>
        <v>Dariana Janice Mendoza</v>
      </c>
      <c r="F520" s="93" t="str">
        <f>IFERROR(__xludf.DUMMYFUNCTION("""COMPUTED_VALUE"""),"124yllil")</f>
        <v>124yllil</v>
      </c>
      <c r="G520" s="92" t="str">
        <f>IFERROR(__xludf.DUMMYFUNCTION("""COMPUTED_VALUE"""),"paying cash in person")</f>
        <v>paying cash in person</v>
      </c>
      <c r="H520" s="94" t="str">
        <f>IFERROR(__xludf.DUMMYFUNCTION("""COMPUTED_VALUE"""),"(956) 608-0307")</f>
        <v>(956) 608-0307</v>
      </c>
      <c r="I520" s="94" t="str">
        <f>IFERROR(__xludf.DUMMYFUNCTION("""COMPUTED_VALUE"""),"Student")</f>
        <v>Student</v>
      </c>
      <c r="J520" s="93" t="str">
        <f>IFERROR(__xludf.DUMMYFUNCTION("""COMPUTED_VALUE"""),"$15 Donation, Discord Verification")</f>
        <v>$15 Donation, Discord Verification</v>
      </c>
      <c r="K520" s="100" t="b">
        <v>0</v>
      </c>
      <c r="L520" s="101" t="str">
        <f>IFERROR(__xludf.DUMMYFUNCTION("""COMPUTED_VALUE"""),"Cash")</f>
        <v>Cash</v>
      </c>
      <c r="M520" s="100"/>
      <c r="N520" s="97" t="b">
        <v>1</v>
      </c>
      <c r="O520" s="93" t="str">
        <f>IFERROR(__xludf.DUMMYFUNCTION("""COMPUTED_VALUE"""),"Fundraising, PR, Feeding, Fostering")</f>
        <v>Fundraising, PR, Feeding, Fostering</v>
      </c>
      <c r="P52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20" s="99"/>
    </row>
    <row r="521" ht="15.75" customHeight="1">
      <c r="A521" s="88">
        <f>IFERROR(__xludf.DUMMYFUNCTION("""COMPUTED_VALUE"""),45893.401703125)</f>
        <v>45893.4017</v>
      </c>
      <c r="B521" s="89" t="b">
        <v>1</v>
      </c>
      <c r="C521" s="90" t="str">
        <f t="shared" si="4"/>
        <v>Fall 2025</v>
      </c>
      <c r="D521" s="91" t="str">
        <f>IFERROR(__xludf.DUMMYFUNCTION("""COMPUTED_VALUE"""),"krw2530@mavs.uta.edu")</f>
        <v>krw2530@mavs.uta.edu</v>
      </c>
      <c r="E521" s="92" t="str">
        <f>IFERROR(__xludf.DUMMYFUNCTION("""COMPUTED_VALUE"""),"Kayla Wood")</f>
        <v>Kayla Wood</v>
      </c>
      <c r="F521" s="93" t="str">
        <f>IFERROR(__xludf.DUMMYFUNCTION("""COMPUTED_VALUE"""),"bubblebee5866 and Bunny as the display name")</f>
        <v>bubblebee5866 and Bunny as the display name</v>
      </c>
      <c r="G521" s="92" t="str">
        <f>IFERROR(__xludf.DUMMYFUNCTION("""COMPUTED_VALUE"""),"It should be under Kayla Wood")</f>
        <v>It should be under Kayla Wood</v>
      </c>
      <c r="H521" s="94" t="str">
        <f>IFERROR(__xludf.DUMMYFUNCTION("""COMPUTED_VALUE"""),"(682) 321-3050")</f>
        <v>(682) 321-3050</v>
      </c>
      <c r="I521" s="94" t="str">
        <f>IFERROR(__xludf.DUMMYFUNCTION("""COMPUTED_VALUE"""),"Student")</f>
        <v>Student</v>
      </c>
      <c r="J521" s="93" t="str">
        <f>IFERROR(__xludf.DUMMYFUNCTION("""COMPUTED_VALUE"""),"$15 Donation, Discord Verification")</f>
        <v>$15 Donation, Discord Verification</v>
      </c>
      <c r="K521" s="100" t="b">
        <v>0</v>
      </c>
      <c r="L521" s="101" t="str">
        <f>IFERROR(__xludf.DUMMYFUNCTION("""COMPUTED_VALUE"""),"Venmo")</f>
        <v>Venmo</v>
      </c>
      <c r="M521" s="100"/>
      <c r="N521" s="97" t="b">
        <v>1</v>
      </c>
      <c r="O521" s="93" t="str">
        <f>IFERROR(__xludf.DUMMYFUNCTION("""COMPUTED_VALUE"""),"Feeding")</f>
        <v>Feeding</v>
      </c>
      <c r="P52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21" s="99"/>
    </row>
    <row r="522" ht="15.75" customHeight="1">
      <c r="A522" s="88">
        <f>IFERROR(__xludf.DUMMYFUNCTION("""COMPUTED_VALUE"""),45895.441716828704)</f>
        <v>45895.44172</v>
      </c>
      <c r="B522" s="89" t="b">
        <v>1</v>
      </c>
      <c r="C522" s="90" t="str">
        <f t="shared" si="4"/>
        <v>Fall 2025</v>
      </c>
      <c r="D522" s="91" t="str">
        <f>IFERROR(__xludf.DUMMYFUNCTION("""COMPUTED_VALUE"""),"amp3840@mavs.uta.edu")</f>
        <v>amp3840@mavs.uta.edu</v>
      </c>
      <c r="E522" s="92" t="str">
        <f>IFERROR(__xludf.DUMMYFUNCTION("""COMPUTED_VALUE"""),"Alysa Potter")</f>
        <v>Alysa Potter</v>
      </c>
      <c r="F522" s="93" t="str">
        <f>IFERROR(__xludf.DUMMYFUNCTION("""COMPUTED_VALUE"""),"SimplyShadow171295")</f>
        <v>SimplyShadow171295</v>
      </c>
      <c r="G522" s="92" t="str">
        <f>IFERROR(__xludf.DUMMYFUNCTION("""COMPUTED_VALUE"""),"N/A")</f>
        <v>N/A</v>
      </c>
      <c r="H522" s="94" t="str">
        <f>IFERROR(__xludf.DUMMYFUNCTION("""COMPUTED_VALUE"""),"(817) 307-3437")</f>
        <v>(817) 307-3437</v>
      </c>
      <c r="I522" s="94" t="str">
        <f>IFERROR(__xludf.DUMMYFUNCTION("""COMPUTED_VALUE"""),"Student")</f>
        <v>Student</v>
      </c>
      <c r="J522" s="93" t="str">
        <f>IFERROR(__xludf.DUMMYFUNCTION("""COMPUTED_VALUE"""),"$15 Donation, Discord Verification")</f>
        <v>$15 Donation, Discord Verification</v>
      </c>
      <c r="K522" s="100" t="b">
        <v>0</v>
      </c>
      <c r="L522" s="101" t="str">
        <f>IFERROR(__xludf.DUMMYFUNCTION("""COMPUTED_VALUE"""),"Cash")</f>
        <v>Cash</v>
      </c>
      <c r="M522" s="100"/>
      <c r="N522" s="97" t="b">
        <v>1</v>
      </c>
      <c r="O522" s="93" t="str">
        <f>IFERROR(__xludf.DUMMYFUNCTION("""COMPUTED_VALUE"""),"Fundraising, PR, Membership, Feeding")</f>
        <v>Fundraising, PR, Membership, Feeding</v>
      </c>
      <c r="P52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22" s="99"/>
    </row>
    <row r="523" ht="15.75" customHeight="1">
      <c r="A523" s="88">
        <f>IFERROR(__xludf.DUMMYFUNCTION("""COMPUTED_VALUE"""),45895.46014527778)</f>
        <v>45895.46015</v>
      </c>
      <c r="B523" s="89" t="b">
        <v>1</v>
      </c>
      <c r="C523" s="90" t="str">
        <f t="shared" si="4"/>
        <v>Fall 2025</v>
      </c>
      <c r="D523" s="91" t="str">
        <f>IFERROR(__xludf.DUMMYFUNCTION("""COMPUTED_VALUE"""),"cxb6964@mavs.uta.edu")</f>
        <v>cxb6964@mavs.uta.edu</v>
      </c>
      <c r="E523" s="92" t="str">
        <f>IFERROR(__xludf.DUMMYFUNCTION("""COMPUTED_VALUE"""),"Cora Bell")</f>
        <v>Cora Bell</v>
      </c>
      <c r="F523" s="93" t="str">
        <f>IFERROR(__xludf.DUMMYFUNCTION("""COMPUTED_VALUE"""),"bug4604")</f>
        <v>bug4604</v>
      </c>
      <c r="G523" s="92" t="str">
        <f>IFERROR(__xludf.DUMMYFUNCTION("""COMPUTED_VALUE"""),"Cora-bell-3")</f>
        <v>Cora-bell-3</v>
      </c>
      <c r="H523" s="94" t="str">
        <f>IFERROR(__xludf.DUMMYFUNCTION("""COMPUTED_VALUE"""),"(817) 614-2104")</f>
        <v>(817) 614-2104</v>
      </c>
      <c r="I523" s="94" t="str">
        <f>IFERROR(__xludf.DUMMYFUNCTION("""COMPUTED_VALUE"""),"Student")</f>
        <v>Student</v>
      </c>
      <c r="J523" s="93" t="str">
        <f>IFERROR(__xludf.DUMMYFUNCTION("""COMPUTED_VALUE"""),"$15 Donation, Discord Verification")</f>
        <v>$15 Donation, Discord Verification</v>
      </c>
      <c r="K523" s="100" t="b">
        <v>0</v>
      </c>
      <c r="L523" s="101" t="str">
        <f>IFERROR(__xludf.DUMMYFUNCTION("""COMPUTED_VALUE"""),"Venmo")</f>
        <v>Venmo</v>
      </c>
      <c r="M523" s="100"/>
      <c r="N523" s="97" t="b">
        <v>1</v>
      </c>
      <c r="O523" s="93" t="str">
        <f>IFERROR(__xludf.DUMMYFUNCTION("""COMPUTED_VALUE"""),"Fundraising, Overnight TNR, Feeding, Shelter Maintenance")</f>
        <v>Fundraising, Overnight TNR, Feeding, Shelter Maintenance</v>
      </c>
      <c r="P52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23" s="99"/>
    </row>
    <row r="524" ht="15.75" customHeight="1">
      <c r="A524" s="88">
        <f>IFERROR(__xludf.DUMMYFUNCTION("""COMPUTED_VALUE"""),45895.53910672454)</f>
        <v>45895.53911</v>
      </c>
      <c r="B524" s="89" t="b">
        <v>1</v>
      </c>
      <c r="C524" s="90" t="str">
        <f t="shared" si="4"/>
        <v>Fall 2025</v>
      </c>
      <c r="D524" s="91" t="str">
        <f>IFERROR(__xludf.DUMMYFUNCTION("""COMPUTED_VALUE"""),"ajb1480@mavs.uta.edu")</f>
        <v>ajb1480@mavs.uta.edu</v>
      </c>
      <c r="E524" s="92" t="str">
        <f>IFERROR(__xludf.DUMMYFUNCTION("""COMPUTED_VALUE"""),"Austin Brown")</f>
        <v>Austin Brown</v>
      </c>
      <c r="F524" s="93" t="str">
        <f>IFERROR(__xludf.DUMMYFUNCTION("""COMPUTED_VALUE"""),"austinbaustinb")</f>
        <v>austinbaustinb</v>
      </c>
      <c r="G524" s="92" t="str">
        <f>IFERROR(__xludf.DUMMYFUNCTION("""COMPUTED_VALUE"""),"Austinb")</f>
        <v>Austinb</v>
      </c>
      <c r="H524" s="94" t="str">
        <f>IFERROR(__xludf.DUMMYFUNCTION("""COMPUTED_VALUE"""),"(815) 278-3496")</f>
        <v>(815) 278-3496</v>
      </c>
      <c r="I524" s="94" t="str">
        <f>IFERROR(__xludf.DUMMYFUNCTION("""COMPUTED_VALUE"""),"Student")</f>
        <v>Student</v>
      </c>
      <c r="J524" s="93" t="str">
        <f>IFERROR(__xludf.DUMMYFUNCTION("""COMPUTED_VALUE"""),"$15 Donation, Discord Verification")</f>
        <v>$15 Donation, Discord Verification</v>
      </c>
      <c r="K524" s="100" t="b">
        <v>0</v>
      </c>
      <c r="L524" s="101" t="str">
        <f>IFERROR(__xludf.DUMMYFUNCTION("""COMPUTED_VALUE"""),"Venmo")</f>
        <v>Venmo</v>
      </c>
      <c r="M524" s="100"/>
      <c r="N524" s="97" t="b">
        <v>1</v>
      </c>
      <c r="O524" s="93" t="str">
        <f>IFERROR(__xludf.DUMMYFUNCTION("""COMPUTED_VALUE"""),"fart team")</f>
        <v>fart team</v>
      </c>
      <c r="P52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24" s="99"/>
    </row>
    <row r="525" ht="15.75" customHeight="1">
      <c r="A525" s="88">
        <f>IFERROR(__xludf.DUMMYFUNCTION("""COMPUTED_VALUE"""),45897.40189361111)</f>
        <v>45897.40189</v>
      </c>
      <c r="B525" s="89" t="b">
        <v>1</v>
      </c>
      <c r="C525" s="90" t="str">
        <f t="shared" si="4"/>
        <v>Fall 2025</v>
      </c>
      <c r="D525" s="91" t="str">
        <f>IFERROR(__xludf.DUMMYFUNCTION("""COMPUTED_VALUE"""),"mrm5331@mavs.uta.edu")</f>
        <v>mrm5331@mavs.uta.edu</v>
      </c>
      <c r="E525" s="92" t="str">
        <f>IFERROR(__xludf.DUMMYFUNCTION("""COMPUTED_VALUE"""),"Miralee Martinez")</f>
        <v>Miralee Martinez</v>
      </c>
      <c r="F525" s="93" t="str">
        <f>IFERROR(__xludf.DUMMYFUNCTION("""COMPUTED_VALUE"""),"HersheyKatt")</f>
        <v>HersheyKatt</v>
      </c>
      <c r="G525" s="92" t="str">
        <f>IFERROR(__xludf.DUMMYFUNCTION("""COMPUTED_VALUE"""),"Miralee Martinez (Note: I could not submit a screenshot, but I do have it. Friend my discord and message me, and I can provide it.)")</f>
        <v>Miralee Martinez (Note: I could not submit a screenshot, but I do have it. Friend my discord and message me, and I can provide it.)</v>
      </c>
      <c r="H525" s="94" t="str">
        <f>IFERROR(__xludf.DUMMYFUNCTION("""COMPUTED_VALUE"""),"(817) 360-1536")</f>
        <v>(817) 360-1536</v>
      </c>
      <c r="I525" s="94" t="str">
        <f>IFERROR(__xludf.DUMMYFUNCTION("""COMPUTED_VALUE"""),"Student")</f>
        <v>Student</v>
      </c>
      <c r="J525" s="93" t="str">
        <f>IFERROR(__xludf.DUMMYFUNCTION("""COMPUTED_VALUE"""),"$15 Donation, Discord Verification")</f>
        <v>$15 Donation, Discord Verification</v>
      </c>
      <c r="K525" s="100" t="b">
        <v>0</v>
      </c>
      <c r="L525" s="101" t="str">
        <f>IFERROR(__xludf.DUMMYFUNCTION("""COMPUTED_VALUE"""),"Paypal")</f>
        <v>Paypal</v>
      </c>
      <c r="M525" s="100"/>
      <c r="N525" s="97" t="b">
        <v>1</v>
      </c>
      <c r="O525" s="93" t="str">
        <f>IFERROR(__xludf.DUMMYFUNCTION("""COMPUTED_VALUE"""),"Membership, Shelter Maintenance")</f>
        <v>Membership, Shelter Maintenance</v>
      </c>
      <c r="P52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25" s="99"/>
    </row>
    <row r="526" ht="15.75" customHeight="1">
      <c r="A526" s="88">
        <f>IFERROR(__xludf.DUMMYFUNCTION("""COMPUTED_VALUE"""),45897.48975144676)</f>
        <v>45897.48975</v>
      </c>
      <c r="B526" s="89" t="b">
        <v>1</v>
      </c>
      <c r="C526" s="90" t="str">
        <f t="shared" si="4"/>
        <v>Fall 2025</v>
      </c>
      <c r="D526" s="91" t="str">
        <f>IFERROR(__xludf.DUMMYFUNCTION("""COMPUTED_VALUE"""),"Ljk1325@mavs.uta.edu")</f>
        <v>Ljk1325@mavs.uta.edu</v>
      </c>
      <c r="E526" s="92" t="str">
        <f>IFERROR(__xludf.DUMMYFUNCTION("""COMPUTED_VALUE"""),"Lance Keehn")</f>
        <v>Lance Keehn</v>
      </c>
      <c r="F526" s="93" t="str">
        <f>IFERROR(__xludf.DUMMYFUNCTION("""COMPUTED_VALUE"""),"lance030315")</f>
        <v>lance030315</v>
      </c>
      <c r="G526" s="92" t="str">
        <f>IFERROR(__xludf.DUMMYFUNCTION("""COMPUTED_VALUE"""),"N/A, my legal name matches my Venmo username")</f>
        <v>N/A, my legal name matches my Venmo username</v>
      </c>
      <c r="H526" s="94" t="str">
        <f>IFERROR(__xludf.DUMMYFUNCTION("""COMPUTED_VALUE"""),"(281) 726-1906")</f>
        <v>(281) 726-1906</v>
      </c>
      <c r="I526" s="94" t="str">
        <f>IFERROR(__xludf.DUMMYFUNCTION("""COMPUTED_VALUE"""),"Student")</f>
        <v>Student</v>
      </c>
      <c r="J526" s="93" t="str">
        <f>IFERROR(__xludf.DUMMYFUNCTION("""COMPUTED_VALUE"""),"$15 Donation, Discord Verification")</f>
        <v>$15 Donation, Discord Verification</v>
      </c>
      <c r="K526" s="100" t="b">
        <v>0</v>
      </c>
      <c r="L526" s="101" t="str">
        <f>IFERROR(__xludf.DUMMYFUNCTION("""COMPUTED_VALUE"""),"Venmo")</f>
        <v>Venmo</v>
      </c>
      <c r="M526" s="100"/>
      <c r="N526" s="97" t="b">
        <v>1</v>
      </c>
      <c r="O526" s="93" t="str">
        <f>IFERROR(__xludf.DUMMYFUNCTION("""COMPUTED_VALUE"""),"Fundraising, PR, TNR, Feeding")</f>
        <v>Fundraising, PR, TNR, Feeding</v>
      </c>
      <c r="P52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26" s="99"/>
    </row>
    <row r="527" ht="15.75" customHeight="1">
      <c r="A527" s="88">
        <f>IFERROR(__xludf.DUMMYFUNCTION("""COMPUTED_VALUE"""),45897.51216747685)</f>
        <v>45897.51217</v>
      </c>
      <c r="B527" s="89" t="b">
        <v>1</v>
      </c>
      <c r="C527" s="90" t="str">
        <f t="shared" si="4"/>
        <v>Fall 2025</v>
      </c>
      <c r="D527" s="91" t="str">
        <f>IFERROR(__xludf.DUMMYFUNCTION("""COMPUTED_VALUE"""),"bxl2453@mavs.uta.edu")</f>
        <v>bxl2453@mavs.uta.edu</v>
      </c>
      <c r="E527" s="92" t="str">
        <f>IFERROR(__xludf.DUMMYFUNCTION("""COMPUTED_VALUE"""),"Brian Li")</f>
        <v>Brian Li</v>
      </c>
      <c r="F527" s="93" t="str">
        <f>IFERROR(__xludf.DUMMYFUNCTION("""COMPUTED_VALUE"""),"frostfire312")</f>
        <v>frostfire312</v>
      </c>
      <c r="G527" s="92" t="str">
        <f>IFERROR(__xludf.DUMMYFUNCTION("""COMPUTED_VALUE"""),"N/A")</f>
        <v>N/A</v>
      </c>
      <c r="H527" s="94" t="str">
        <f>IFERROR(__xludf.DUMMYFUNCTION("""COMPUTED_VALUE"""),"(469) 386-3633")</f>
        <v>(469) 386-3633</v>
      </c>
      <c r="I527" s="94" t="str">
        <f>IFERROR(__xludf.DUMMYFUNCTION("""COMPUTED_VALUE"""),"Student")</f>
        <v>Student</v>
      </c>
      <c r="J527" s="93" t="str">
        <f>IFERROR(__xludf.DUMMYFUNCTION("""COMPUTED_VALUE"""),"$15 Donation, Discord Verification")</f>
        <v>$15 Donation, Discord Verification</v>
      </c>
      <c r="K527" s="100" t="b">
        <v>0</v>
      </c>
      <c r="L527" s="101" t="str">
        <f>IFERROR(__xludf.DUMMYFUNCTION("""COMPUTED_VALUE"""),"Cash")</f>
        <v>Cash</v>
      </c>
      <c r="M527" s="100"/>
      <c r="N527" s="97" t="b">
        <v>1</v>
      </c>
      <c r="O527" s="93" t="str">
        <f>IFERROR(__xludf.DUMMYFUNCTION("""COMPUTED_VALUE"""),"Fundraising, PR, Membership, TNR, Overnight TNR, Feeding, Fostering, Shelter Maintenance")</f>
        <v>Fundraising, PR, Membership, TNR, Overnight TNR, Feeding, Fostering, Shelter Maintenance</v>
      </c>
      <c r="P52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27" s="99"/>
    </row>
    <row r="528" ht="15.75" customHeight="1">
      <c r="A528" s="88">
        <f>IFERROR(__xludf.DUMMYFUNCTION("""COMPUTED_VALUE"""),45898.83124847223)</f>
        <v>45898.83125</v>
      </c>
      <c r="B528" s="89" t="b">
        <v>1</v>
      </c>
      <c r="C528" s="90" t="str">
        <f t="shared" si="4"/>
        <v>Fall 2025</v>
      </c>
      <c r="D528" s="91" t="str">
        <f>IFERROR(__xludf.DUMMYFUNCTION("""COMPUTED_VALUE"""),"Wxb8531@mavs.uta.edu")</f>
        <v>Wxb8531@mavs.uta.edu</v>
      </c>
      <c r="E528" s="92" t="str">
        <f>IFERROR(__xludf.DUMMYFUNCTION("""COMPUTED_VALUE"""),"William Brammer")</f>
        <v>William Brammer</v>
      </c>
      <c r="F528" s="93" t="str">
        <f>IFERROR(__xludf.DUMMYFUNCTION("""COMPUTED_VALUE"""),"boxman 4432")</f>
        <v>boxman 4432</v>
      </c>
      <c r="G528" s="92" t="str">
        <f>IFERROR(__xludf.DUMMYFUNCTION("""COMPUTED_VALUE"""),"Donation (food)")</f>
        <v>Donation (food)</v>
      </c>
      <c r="H528" s="94" t="str">
        <f>IFERROR(__xludf.DUMMYFUNCTION("""COMPUTED_VALUE"""),"(817) 526-0245")</f>
        <v>(817) 526-0245</v>
      </c>
      <c r="I528" s="94" t="str">
        <f>IFERROR(__xludf.DUMMYFUNCTION("""COMPUTED_VALUE"""),"Student")</f>
        <v>Student</v>
      </c>
      <c r="J528" s="93" t="str">
        <f>IFERROR(__xludf.DUMMYFUNCTION("""COMPUTED_VALUE"""),"Food/Litter Donation")</f>
        <v>Food/Litter Donation</v>
      </c>
      <c r="K528" s="100" t="b">
        <v>0</v>
      </c>
      <c r="L528" s="101"/>
      <c r="M528" s="100"/>
      <c r="N528" s="97" t="b">
        <v>1</v>
      </c>
      <c r="O528" s="93" t="str">
        <f>IFERROR(__xludf.DUMMYFUNCTION("""COMPUTED_VALUE"""),"Feeding, Shelter Maintenance")</f>
        <v>Feeding, Shelter Maintenance</v>
      </c>
      <c r="P52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28" s="99"/>
    </row>
    <row r="529" ht="15.75" customHeight="1">
      <c r="A529" s="88">
        <f>IFERROR(__xludf.DUMMYFUNCTION("""COMPUTED_VALUE"""),45898.83930925926)</f>
        <v>45898.83931</v>
      </c>
      <c r="B529" s="89" t="b">
        <v>1</v>
      </c>
      <c r="C529" s="90" t="str">
        <f t="shared" si="4"/>
        <v>Fall 2025</v>
      </c>
      <c r="D529" s="91" t="str">
        <f>IFERROR(__xludf.DUMMYFUNCTION("""COMPUTED_VALUE"""),"ajm6015@mavs.uta.edu")</f>
        <v>ajm6015@mavs.uta.edu</v>
      </c>
      <c r="E529" s="92" t="str">
        <f>IFERROR(__xludf.DUMMYFUNCTION("""COMPUTED_VALUE"""),"Autumn McCalla")</f>
        <v>Autumn McCalla</v>
      </c>
      <c r="F529" s="93" t="str">
        <f>IFERROR(__xludf.DUMMYFUNCTION("""COMPUTED_VALUE"""),"autumn065829")</f>
        <v>autumn065829</v>
      </c>
      <c r="G529" s="92" t="str">
        <f>IFERROR(__xludf.DUMMYFUNCTION("""COMPUTED_VALUE"""),"$AutumnMcCalla")</f>
        <v>$AutumnMcCalla</v>
      </c>
      <c r="H529" s="94" t="str">
        <f>IFERROR(__xludf.DUMMYFUNCTION("""COMPUTED_VALUE"""),"(469) 630-5087")</f>
        <v>(469) 630-5087</v>
      </c>
      <c r="I529" s="94" t="str">
        <f>IFERROR(__xludf.DUMMYFUNCTION("""COMPUTED_VALUE"""),"Student")</f>
        <v>Student</v>
      </c>
      <c r="J529" s="93" t="str">
        <f>IFERROR(__xludf.DUMMYFUNCTION("""COMPUTED_VALUE"""),"$15 Donation, Discord Verification")</f>
        <v>$15 Donation, Discord Verification</v>
      </c>
      <c r="K529" s="100" t="b">
        <v>0</v>
      </c>
      <c r="L529" s="101" t="str">
        <f>IFERROR(__xludf.DUMMYFUNCTION("""COMPUTED_VALUE"""),"Cashapp")</f>
        <v>Cashapp</v>
      </c>
      <c r="M529" s="100"/>
      <c r="N529" s="97" t="b">
        <v>1</v>
      </c>
      <c r="O529" s="93" t="str">
        <f>IFERROR(__xludf.DUMMYFUNCTION("""COMPUTED_VALUE"""),"Fundraising, Membership, Feeding, Shelter Maintenance")</f>
        <v>Fundraising, Membership, Feeding, Shelter Maintenance</v>
      </c>
      <c r="P52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29" s="99"/>
    </row>
    <row r="530" ht="15.75" customHeight="1">
      <c r="A530" s="88">
        <f>IFERROR(__xludf.DUMMYFUNCTION("""COMPUTED_VALUE"""),45898.91244112268)</f>
        <v>45898.91244</v>
      </c>
      <c r="B530" s="89" t="b">
        <v>1</v>
      </c>
      <c r="C530" s="90" t="str">
        <f t="shared" si="4"/>
        <v>Fall 2025</v>
      </c>
      <c r="D530" s="91" t="str">
        <f>IFERROR(__xludf.DUMMYFUNCTION("""COMPUTED_VALUE"""),"cam6723@mavs.uta.edu")</f>
        <v>cam6723@mavs.uta.edu</v>
      </c>
      <c r="E530" s="92" t="str">
        <f>IFERROR(__xludf.DUMMYFUNCTION("""COMPUTED_VALUE"""),"Christopher Mendoza")</f>
        <v>Christopher Mendoza</v>
      </c>
      <c r="F530" s="93" t="str">
        <f>IFERROR(__xludf.DUMMYFUNCTION("""COMPUTED_VALUE"""),"Pancakemixteamdj")</f>
        <v>Pancakemixteamdj</v>
      </c>
      <c r="G530" s="92" t="str">
        <f>IFERROR(__xludf.DUMMYFUNCTION("""COMPUTED_VALUE"""),"_")</f>
        <v>_</v>
      </c>
      <c r="H530" s="94" t="str">
        <f>IFERROR(__xludf.DUMMYFUNCTION("""COMPUTED_VALUE"""),"(214) 533-9262")</f>
        <v>(214) 533-9262</v>
      </c>
      <c r="I530" s="94" t="str">
        <f>IFERROR(__xludf.DUMMYFUNCTION("""COMPUTED_VALUE"""),"Student")</f>
        <v>Student</v>
      </c>
      <c r="J530" s="93" t="str">
        <f>IFERROR(__xludf.DUMMYFUNCTION("""COMPUTED_VALUE"""),"$15 Donation, Discord Verification")</f>
        <v>$15 Donation, Discord Verification</v>
      </c>
      <c r="K530" s="100" t="b">
        <v>0</v>
      </c>
      <c r="L530" s="101" t="str">
        <f>IFERROR(__xludf.DUMMYFUNCTION("""COMPUTED_VALUE"""),"Cash")</f>
        <v>Cash</v>
      </c>
      <c r="M530" s="100"/>
      <c r="N530" s="97" t="b">
        <v>1</v>
      </c>
      <c r="O530" s="93" t="str">
        <f>IFERROR(__xludf.DUMMYFUNCTION("""COMPUTED_VALUE"""),"TNR, Shelter Maintenance")</f>
        <v>TNR, Shelter Maintenance</v>
      </c>
      <c r="P53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30" s="99"/>
    </row>
    <row r="531" ht="15.75" customHeight="1">
      <c r="A531" s="88">
        <f>IFERROR(__xludf.DUMMYFUNCTION("""COMPUTED_VALUE"""),45899.460121944445)</f>
        <v>45899.46012</v>
      </c>
      <c r="B531" s="89" t="b">
        <v>1</v>
      </c>
      <c r="C531" s="90" t="str">
        <f t="shared" si="4"/>
        <v>Fall 2025</v>
      </c>
      <c r="D531" s="91" t="str">
        <f>IFERROR(__xludf.DUMMYFUNCTION("""COMPUTED_VALUE"""),"gxs0630@mavs.uta.edu")</f>
        <v>gxs0630@mavs.uta.edu</v>
      </c>
      <c r="E531" s="92" t="str">
        <f>IFERROR(__xludf.DUMMYFUNCTION("""COMPUTED_VALUE"""),"Gunjan Shrestha")</f>
        <v>Gunjan Shrestha</v>
      </c>
      <c r="F531" s="93" t="str">
        <f>IFERROR(__xludf.DUMMYFUNCTION("""COMPUTED_VALUE"""),"elusive")</f>
        <v>elusive</v>
      </c>
      <c r="G531" s="92" t="str">
        <f>IFERROR(__xludf.DUMMYFUNCTION("""COMPUTED_VALUE"""),"Gunjan Shrestha")</f>
        <v>Gunjan Shrestha</v>
      </c>
      <c r="H531" s="94" t="str">
        <f>IFERROR(__xludf.DUMMYFUNCTION("""COMPUTED_VALUE"""),"(347) 727-9856")</f>
        <v>(347) 727-9856</v>
      </c>
      <c r="I531" s="94" t="str">
        <f>IFERROR(__xludf.DUMMYFUNCTION("""COMPUTED_VALUE"""),"Student")</f>
        <v>Student</v>
      </c>
      <c r="J531" s="93" t="str">
        <f>IFERROR(__xludf.DUMMYFUNCTION("""COMPUTED_VALUE"""),"$15 Donation, Discord Verification")</f>
        <v>$15 Donation, Discord Verification</v>
      </c>
      <c r="K531" s="100" t="b">
        <v>0</v>
      </c>
      <c r="L531" s="101" t="str">
        <f>IFERROR(__xludf.DUMMYFUNCTION("""COMPUTED_VALUE"""),"Paypal")</f>
        <v>Paypal</v>
      </c>
      <c r="M531" s="100"/>
      <c r="N531" s="97" t="b">
        <v>1</v>
      </c>
      <c r="O531" s="93" t="str">
        <f>IFERROR(__xludf.DUMMYFUNCTION("""COMPUTED_VALUE"""),"Membership, TNR, Feeding, Shelter Maintenance")</f>
        <v>Membership, TNR, Feeding, Shelter Maintenance</v>
      </c>
      <c r="P53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31" s="99"/>
    </row>
    <row r="532" ht="15.75" customHeight="1">
      <c r="A532" s="88">
        <f>IFERROR(__xludf.DUMMYFUNCTION("""COMPUTED_VALUE"""),45900.45841519676)</f>
        <v>45900.45842</v>
      </c>
      <c r="B532" s="89" t="b">
        <v>1</v>
      </c>
      <c r="C532" s="90" t="str">
        <f t="shared" si="4"/>
        <v>Fall 2025</v>
      </c>
      <c r="D532" s="91" t="str">
        <f>IFERROR(__xludf.DUMMYFUNCTION("""COMPUTED_VALUE"""),"bxt7467@mavs.uta.edu")</f>
        <v>bxt7467@mavs.uta.edu</v>
      </c>
      <c r="E532" s="92" t="str">
        <f>IFERROR(__xludf.DUMMYFUNCTION("""COMPUTED_VALUE"""),"Isabella Tellez")</f>
        <v>Isabella Tellez</v>
      </c>
      <c r="F532" s="93" t="str">
        <f>IFERROR(__xludf.DUMMYFUNCTION("""COMPUTED_VALUE"""),"lemonelon_")</f>
        <v>lemonelon_</v>
      </c>
      <c r="G532" s="92" t="str">
        <f>IFERROR(__xludf.DUMMYFUNCTION("""COMPUTED_VALUE"""),"@Allen-Tellez")</f>
        <v>@Allen-Tellez</v>
      </c>
      <c r="H532" s="94" t="str">
        <f>IFERROR(__xludf.DUMMYFUNCTION("""COMPUTED_VALUE"""),"(469) 881-4597")</f>
        <v>(469) 881-4597</v>
      </c>
      <c r="I532" s="94" t="str">
        <f>IFERROR(__xludf.DUMMYFUNCTION("""COMPUTED_VALUE"""),"Student")</f>
        <v>Student</v>
      </c>
      <c r="J532" s="93" t="str">
        <f>IFERROR(__xludf.DUMMYFUNCTION("""COMPUTED_VALUE"""),"$15 Donation, Discord Verification")</f>
        <v>$15 Donation, Discord Verification</v>
      </c>
      <c r="K532" s="100" t="b">
        <v>0</v>
      </c>
      <c r="L532" s="101" t="str">
        <f>IFERROR(__xludf.DUMMYFUNCTION("""COMPUTED_VALUE"""),"Venmo")</f>
        <v>Venmo</v>
      </c>
      <c r="M532" s="100"/>
      <c r="N532" s="97" t="b">
        <v>1</v>
      </c>
      <c r="O532" s="93" t="str">
        <f>IFERROR(__xludf.DUMMYFUNCTION("""COMPUTED_VALUE"""),"Fundraising, PR, Membership, Feeding, Shelter Maintenance, literally anything! I just dont have the ability to foster right now and idk what TNR means")</f>
        <v>Fundraising, PR, Membership, Feeding, Shelter Maintenance, literally anything! I just dont have the ability to foster right now and idk what TNR means</v>
      </c>
      <c r="P53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32" s="99"/>
    </row>
    <row r="533" ht="15.75" customHeight="1">
      <c r="A533" s="88">
        <f>IFERROR(__xludf.DUMMYFUNCTION("""COMPUTED_VALUE"""),45902.4383396875)</f>
        <v>45902.43834</v>
      </c>
      <c r="B533" s="89" t="b">
        <v>0</v>
      </c>
      <c r="C533" s="90" t="str">
        <f t="shared" si="4"/>
        <v>Fall 2025</v>
      </c>
      <c r="D533" s="91" t="str">
        <f>IFERROR(__xludf.DUMMYFUNCTION("""COMPUTED_VALUE"""),"shimismith1@gmail.com")</f>
        <v>shimismith1@gmail.com</v>
      </c>
      <c r="E533" s="92" t="str">
        <f>IFERROR(__xludf.DUMMYFUNCTION("""COMPUTED_VALUE"""),"sxs2011@mavs.uta.edu")</f>
        <v>sxs2011@mavs.uta.edu</v>
      </c>
      <c r="F533" s="93" t="str">
        <f>IFERROR(__xludf.DUMMYFUNCTION("""COMPUTED_VALUE"""),"Shimi_.1")</f>
        <v>Shimi_.1</v>
      </c>
      <c r="G533" s="92" t="str">
        <f>IFERROR(__xludf.DUMMYFUNCTION("""COMPUTED_VALUE"""),"Shimi Smith")</f>
        <v>Shimi Smith</v>
      </c>
      <c r="H533" s="94" t="str">
        <f>IFERROR(__xludf.DUMMYFUNCTION("""COMPUTED_VALUE"""),"(612) 322-8598")</f>
        <v>(612) 322-8598</v>
      </c>
      <c r="I533" s="94" t="str">
        <f>IFERROR(__xludf.DUMMYFUNCTION("""COMPUTED_VALUE"""),"Student")</f>
        <v>Student</v>
      </c>
      <c r="J533" s="93" t="str">
        <f>IFERROR(__xludf.DUMMYFUNCTION("""COMPUTED_VALUE"""),"$15 Donation, Discord Verification")</f>
        <v>$15 Donation, Discord Verification</v>
      </c>
      <c r="K533" s="100" t="b">
        <v>0</v>
      </c>
      <c r="L533" s="101" t="str">
        <f>IFERROR(__xludf.DUMMYFUNCTION("""COMPUTED_VALUE"""),"Cashapp")</f>
        <v>Cashapp</v>
      </c>
      <c r="M533" s="100"/>
      <c r="N533" s="97" t="b">
        <v>1</v>
      </c>
      <c r="O533" s="93" t="str">
        <f>IFERROR(__xludf.DUMMYFUNCTION("""COMPUTED_VALUE"""),"Fundraising, PR, Membership, Feeding")</f>
        <v>Fundraising, PR, Membership, Feeding</v>
      </c>
      <c r="P53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33" s="99"/>
    </row>
    <row r="534" ht="15.75" customHeight="1">
      <c r="A534" s="88">
        <f>IFERROR(__xludf.DUMMYFUNCTION("""COMPUTED_VALUE"""),45902.45057483796)</f>
        <v>45902.45057</v>
      </c>
      <c r="B534" s="89" t="b">
        <v>1</v>
      </c>
      <c r="C534" s="90" t="str">
        <f t="shared" si="4"/>
        <v>Fall 2025</v>
      </c>
      <c r="D534" s="91" t="str">
        <f>IFERROR(__xludf.DUMMYFUNCTION("""COMPUTED_VALUE"""),"jdj0892@mavs.uta.edu")</f>
        <v>jdj0892@mavs.uta.edu</v>
      </c>
      <c r="E534" s="92" t="str">
        <f>IFERROR(__xludf.DUMMYFUNCTION("""COMPUTED_VALUE"""),"Jesse Jarrell")</f>
        <v>Jesse Jarrell</v>
      </c>
      <c r="F534" s="93" t="str">
        <f>IFERROR(__xludf.DUMMYFUNCTION("""COMPUTED_VALUE"""),"moineau_l.oiseau")</f>
        <v>moineau_l.oiseau</v>
      </c>
      <c r="G534" s="92" t="str">
        <f>IFERROR(__xludf.DUMMYFUNCTION("""COMPUTED_VALUE"""),"My name on PayPal is my legal name :)")</f>
        <v>My name on PayPal is my legal name :)</v>
      </c>
      <c r="H534" s="94" t="str">
        <f>IFERROR(__xludf.DUMMYFUNCTION("""COMPUTED_VALUE"""),"(817) 492-6706")</f>
        <v>(817) 492-6706</v>
      </c>
      <c r="I534" s="94" t="str">
        <f>IFERROR(__xludf.DUMMYFUNCTION("""COMPUTED_VALUE"""),"Student")</f>
        <v>Student</v>
      </c>
      <c r="J534" s="93" t="str">
        <f>IFERROR(__xludf.DUMMYFUNCTION("""COMPUTED_VALUE"""),"$15 Donation, Discord Verification")</f>
        <v>$15 Donation, Discord Verification</v>
      </c>
      <c r="K534" s="100" t="b">
        <v>0</v>
      </c>
      <c r="L534" s="101" t="str">
        <f>IFERROR(__xludf.DUMMYFUNCTION("""COMPUTED_VALUE"""),"Paypal")</f>
        <v>Paypal</v>
      </c>
      <c r="M534" s="95">
        <v>10.0</v>
      </c>
      <c r="N534" s="97" t="b">
        <v>1</v>
      </c>
      <c r="O534" s="93" t="str">
        <f>IFERROR(__xludf.DUMMYFUNCTION("""COMPUTED_VALUE"""),"Fundraising, PR, Membership, TNR, Overnight TNR, Feeding, Fostering, Shelter Maintenance")</f>
        <v>Fundraising, PR, Membership, TNR, Overnight TNR, Feeding, Fostering, Shelter Maintenance</v>
      </c>
      <c r="P53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34" s="99"/>
    </row>
    <row r="535" ht="15.75" customHeight="1">
      <c r="A535" s="88">
        <f>IFERROR(__xludf.DUMMYFUNCTION("""COMPUTED_VALUE"""),45902.555750370375)</f>
        <v>45902.55575</v>
      </c>
      <c r="B535" s="89" t="b">
        <v>1</v>
      </c>
      <c r="C535" s="90" t="str">
        <f t="shared" si="4"/>
        <v>Fall 2025</v>
      </c>
      <c r="D535" s="91" t="str">
        <f>IFERROR(__xludf.DUMMYFUNCTION("""COMPUTED_VALUE"""),"zxc1456@mavs.uta.edu")</f>
        <v>zxc1456@mavs.uta.edu</v>
      </c>
      <c r="E535" s="92" t="str">
        <f>IFERROR(__xludf.DUMMYFUNCTION("""COMPUTED_VALUE"""),"Zoe Cronin")</f>
        <v>Zoe Cronin</v>
      </c>
      <c r="F535" s="93" t="str">
        <f>IFERROR(__xludf.DUMMYFUNCTION("""COMPUTED_VALUE"""),"zoe.cronin")</f>
        <v>zoe.cronin</v>
      </c>
      <c r="G535" s="92" t="str">
        <f>IFERROR(__xludf.DUMMYFUNCTION("""COMPUTED_VALUE"""),"Venmo @ Zoe-Cronin-4")</f>
        <v>Venmo @ Zoe-Cronin-4</v>
      </c>
      <c r="H535" s="94" t="str">
        <f>IFERROR(__xludf.DUMMYFUNCTION("""COMPUTED_VALUE"""),"(302) 373-5014")</f>
        <v>(302) 373-5014</v>
      </c>
      <c r="I535" s="94" t="str">
        <f>IFERROR(__xludf.DUMMYFUNCTION("""COMPUTED_VALUE"""),"Student")</f>
        <v>Student</v>
      </c>
      <c r="J535" s="93" t="str">
        <f>IFERROR(__xludf.DUMMYFUNCTION("""COMPUTED_VALUE"""),"$15 Donation, Discord Verification")</f>
        <v>$15 Donation, Discord Verification</v>
      </c>
      <c r="K535" s="100" t="b">
        <v>0</v>
      </c>
      <c r="L535" s="101" t="str">
        <f>IFERROR(__xludf.DUMMYFUNCTION("""COMPUTED_VALUE"""),"Venmo")</f>
        <v>Venmo</v>
      </c>
      <c r="M535" s="100"/>
      <c r="N535" s="97" t="b">
        <v>1</v>
      </c>
      <c r="O535" s="93" t="str">
        <f>IFERROR(__xludf.DUMMYFUNCTION("""COMPUTED_VALUE"""),"Feeding")</f>
        <v>Feeding</v>
      </c>
      <c r="P53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35" s="99"/>
    </row>
    <row r="536" ht="15.75" customHeight="1">
      <c r="A536" s="88">
        <f>IFERROR(__xludf.DUMMYFUNCTION("""COMPUTED_VALUE"""),45902.57394346065)</f>
        <v>45902.57394</v>
      </c>
      <c r="B536" s="89" t="b">
        <v>1</v>
      </c>
      <c r="C536" s="90" t="str">
        <f t="shared" si="4"/>
        <v>Fall 2025</v>
      </c>
      <c r="D536" s="91" t="str">
        <f>IFERROR(__xludf.DUMMYFUNCTION("""COMPUTED_VALUE"""),"axt8582@mavs.uta.edu")</f>
        <v>axt8582@mavs.uta.edu</v>
      </c>
      <c r="E536" s="92" t="str">
        <f>IFERROR(__xludf.DUMMYFUNCTION("""COMPUTED_VALUE"""),"rinne torres")</f>
        <v>rinne torres</v>
      </c>
      <c r="F536" s="93" t="str">
        <f>IFERROR(__xludf.DUMMYFUNCTION("""COMPUTED_VALUE"""),"petrichor")</f>
        <v>petrichor</v>
      </c>
      <c r="G536" s="92" t="str">
        <f>IFERROR(__xludf.DUMMYFUNCTION("""COMPUTED_VALUE"""),"@eonticket")</f>
        <v>@eonticket</v>
      </c>
      <c r="H536" s="94" t="str">
        <f>IFERROR(__xludf.DUMMYFUNCTION("""COMPUTED_VALUE"""),"(979) 900-0020")</f>
        <v>(979) 900-0020</v>
      </c>
      <c r="I536" s="94" t="str">
        <f>IFERROR(__xludf.DUMMYFUNCTION("""COMPUTED_VALUE"""),"Student")</f>
        <v>Student</v>
      </c>
      <c r="J536" s="93" t="str">
        <f>IFERROR(__xludf.DUMMYFUNCTION("""COMPUTED_VALUE"""),"$15 Donation, Discord Verification")</f>
        <v>$15 Donation, Discord Verification</v>
      </c>
      <c r="K536" s="100" t="b">
        <v>0</v>
      </c>
      <c r="L536" s="101" t="str">
        <f>IFERROR(__xludf.DUMMYFUNCTION("""COMPUTED_VALUE"""),"Paypal")</f>
        <v>Paypal</v>
      </c>
      <c r="M536" s="100"/>
      <c r="N536" s="97" t="b">
        <v>1</v>
      </c>
      <c r="O536" s="93" t="str">
        <f>IFERROR(__xludf.DUMMYFUNCTION("""COMPUTED_VALUE"""),"Membership, Feeding")</f>
        <v>Membership, Feeding</v>
      </c>
      <c r="P53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36" s="99"/>
    </row>
    <row r="537" ht="15.75" customHeight="1">
      <c r="A537" s="88">
        <f>IFERROR(__xludf.DUMMYFUNCTION("""COMPUTED_VALUE"""),45902.58629288194)</f>
        <v>45902.58629</v>
      </c>
      <c r="B537" s="89" t="b">
        <v>1</v>
      </c>
      <c r="C537" s="90" t="str">
        <f t="shared" si="4"/>
        <v>Fall 2025</v>
      </c>
      <c r="D537" s="91" t="str">
        <f>IFERROR(__xludf.DUMMYFUNCTION("""COMPUTED_VALUE"""),"axc2173@mavs.uta.edu")</f>
        <v>axc2173@mavs.uta.edu</v>
      </c>
      <c r="E537" s="92" t="str">
        <f>IFERROR(__xludf.DUMMYFUNCTION("""COMPUTED_VALUE"""),"Alexa Campos")</f>
        <v>Alexa Campos</v>
      </c>
      <c r="F537" s="93" t="str">
        <f>IFERROR(__xludf.DUMMYFUNCTION("""COMPUTED_VALUE"""),"marieeealexa")</f>
        <v>marieeealexa</v>
      </c>
      <c r="G537" s="92" t="str">
        <f>IFERROR(__xludf.DUMMYFUNCTION("""COMPUTED_VALUE"""),"N/A")</f>
        <v>N/A</v>
      </c>
      <c r="H537" s="94" t="str">
        <f>IFERROR(__xludf.DUMMYFUNCTION("""COMPUTED_VALUE"""),"(469) 569-5932")</f>
        <v>(469) 569-5932</v>
      </c>
      <c r="I537" s="94" t="str">
        <f>IFERROR(__xludf.DUMMYFUNCTION("""COMPUTED_VALUE"""),"Student")</f>
        <v>Student</v>
      </c>
      <c r="J537" s="93" t="str">
        <f>IFERROR(__xludf.DUMMYFUNCTION("""COMPUTED_VALUE"""),"$15 Donation, Discord Verification")</f>
        <v>$15 Donation, Discord Verification</v>
      </c>
      <c r="K537" s="100" t="b">
        <v>0</v>
      </c>
      <c r="L537" s="101" t="str">
        <f>IFERROR(__xludf.DUMMYFUNCTION("""COMPUTED_VALUE"""),"Cashapp")</f>
        <v>Cashapp</v>
      </c>
      <c r="M537" s="100"/>
      <c r="N537" s="97" t="b">
        <v>1</v>
      </c>
      <c r="O537" s="93" t="str">
        <f>IFERROR(__xludf.DUMMYFUNCTION("""COMPUTED_VALUE"""),"Fundraising, PR, Membership, Feeding, Shelter Maintenance")</f>
        <v>Fundraising, PR, Membership, Feeding, Shelter Maintenance</v>
      </c>
      <c r="P53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37" s="99"/>
    </row>
    <row r="538" ht="15.75" customHeight="1">
      <c r="A538" s="88">
        <f>IFERROR(__xludf.DUMMYFUNCTION("""COMPUTED_VALUE"""),45902.60430211805)</f>
        <v>45902.6043</v>
      </c>
      <c r="B538" s="89" t="b">
        <v>1</v>
      </c>
      <c r="C538" s="90" t="str">
        <f t="shared" si="4"/>
        <v>Fall 2025</v>
      </c>
      <c r="D538" s="91" t="str">
        <f>IFERROR(__xludf.DUMMYFUNCTION("""COMPUTED_VALUE"""),"diana.villegas@uta.edu")</f>
        <v>diana.villegas@uta.edu</v>
      </c>
      <c r="E538" s="92" t="str">
        <f>IFERROR(__xludf.DUMMYFUNCTION("""COMPUTED_VALUE"""),"Diana Villegas")</f>
        <v>Diana Villegas</v>
      </c>
      <c r="F538" s="93" t="str">
        <f>IFERROR(__xludf.DUMMYFUNCTION("""COMPUTED_VALUE"""),"dianaiceflame")</f>
        <v>dianaiceflame</v>
      </c>
      <c r="G538" s="92" t="str">
        <f>IFERROR(__xludf.DUMMYFUNCTION("""COMPUTED_VALUE"""),"$dianaiceflame")</f>
        <v>$dianaiceflame</v>
      </c>
      <c r="H538" s="94" t="str">
        <f>IFERROR(__xludf.DUMMYFUNCTION("""COMPUTED_VALUE"""),"(817) 323-6133")</f>
        <v>(817) 323-6133</v>
      </c>
      <c r="I538" s="94" t="str">
        <f>IFERROR(__xludf.DUMMYFUNCTION("""COMPUTED_VALUE"""),"Student")</f>
        <v>Student</v>
      </c>
      <c r="J538" s="93" t="str">
        <f>IFERROR(__xludf.DUMMYFUNCTION("""COMPUTED_VALUE"""),"$15 Donation, Discord Verification")</f>
        <v>$15 Donation, Discord Verification</v>
      </c>
      <c r="K538" s="100" t="b">
        <v>0</v>
      </c>
      <c r="L538" s="101" t="str">
        <f>IFERROR(__xludf.DUMMYFUNCTION("""COMPUTED_VALUE"""),"Cashapp")</f>
        <v>Cashapp</v>
      </c>
      <c r="M538" s="100"/>
      <c r="N538" s="97" t="b">
        <v>1</v>
      </c>
      <c r="O538" s="93" t="str">
        <f>IFERROR(__xludf.DUMMYFUNCTION("""COMPUTED_VALUE"""),"None, just happy to contribute monetarily (Full-time graduate student and staff with very little free time). Unless a feeder is needed near 700 S Davis Dr, please let me know.")</f>
        <v>None, just happy to contribute monetarily (Full-time graduate student and staff with very little free time). Unless a feeder is needed near 700 S Davis Dr, please let me know.</v>
      </c>
      <c r="P53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38" s="99"/>
    </row>
    <row r="539" ht="15.75" customHeight="1">
      <c r="A539" s="88">
        <f>IFERROR(__xludf.DUMMYFUNCTION("""COMPUTED_VALUE"""),45902.619718194444)</f>
        <v>45902.61972</v>
      </c>
      <c r="B539" s="89" t="b">
        <v>1</v>
      </c>
      <c r="C539" s="90" t="str">
        <f t="shared" si="4"/>
        <v>Fall 2025</v>
      </c>
      <c r="D539" s="91" t="str">
        <f>IFERROR(__xludf.DUMMYFUNCTION("""COMPUTED_VALUE"""),"pct9893@mavs.uta.edu")</f>
        <v>pct9893@mavs.uta.edu</v>
      </c>
      <c r="E539" s="92" t="str">
        <f>IFERROR(__xludf.DUMMYFUNCTION("""COMPUTED_VALUE"""),"Peter Todd")</f>
        <v>Peter Todd</v>
      </c>
      <c r="F539" s="93" t="str">
        <f>IFERROR(__xludf.DUMMYFUNCTION("""COMPUTED_VALUE"""),"BDrag")</f>
        <v>BDrag</v>
      </c>
      <c r="G539" s="92" t="str">
        <f>IFERROR(__xludf.DUMMYFUNCTION("""COMPUTED_VALUE"""),"Discord: BDrag ServerNick:Pete")</f>
        <v>Discord: BDrag ServerNick:Pete</v>
      </c>
      <c r="H539" s="94" t="str">
        <f>IFERROR(__xludf.DUMMYFUNCTION("""COMPUTED_VALUE"""),"(281) 415-9927")</f>
        <v>(281) 415-9927</v>
      </c>
      <c r="I539" s="94" t="str">
        <f>IFERROR(__xludf.DUMMYFUNCTION("""COMPUTED_VALUE"""),"Student")</f>
        <v>Student</v>
      </c>
      <c r="J539" s="93" t="str">
        <f>IFERROR(__xludf.DUMMYFUNCTION("""COMPUTED_VALUE"""),"$15 Donation, Discord Verification")</f>
        <v>$15 Donation, Discord Verification</v>
      </c>
      <c r="K539" s="100" t="b">
        <v>0</v>
      </c>
      <c r="L539" s="101" t="str">
        <f>IFERROR(__xludf.DUMMYFUNCTION("""COMPUTED_VALUE"""),"Cash")</f>
        <v>Cash</v>
      </c>
      <c r="M539" s="100"/>
      <c r="N539" s="97" t="b">
        <v>1</v>
      </c>
      <c r="O539" s="93" t="str">
        <f>IFERROR(__xludf.DUMMYFUNCTION("""COMPUTED_VALUE"""),"Fundraising, Membership, Feeding, Shelter Maintenance")</f>
        <v>Fundraising, Membership, Feeding, Shelter Maintenance</v>
      </c>
      <c r="P53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39" s="99"/>
    </row>
    <row r="540" ht="15.75" customHeight="1">
      <c r="A540" s="88">
        <f>IFERROR(__xludf.DUMMYFUNCTION("""COMPUTED_VALUE"""),45902.64780061343)</f>
        <v>45902.6478</v>
      </c>
      <c r="B540" s="89" t="b">
        <v>1</v>
      </c>
      <c r="C540" s="90" t="str">
        <f t="shared" si="4"/>
        <v>Fall 2025</v>
      </c>
      <c r="D540" s="91" t="str">
        <f>IFERROR(__xludf.DUMMYFUNCTION("""COMPUTED_VALUE"""),"lxn4625@mavs.uta.edu")</f>
        <v>lxn4625@mavs.uta.edu</v>
      </c>
      <c r="E540" s="92" t="str">
        <f>IFERROR(__xludf.DUMMYFUNCTION("""COMPUTED_VALUE"""),"Leely Nguyen")</f>
        <v>Leely Nguyen</v>
      </c>
      <c r="F540" s="93" t="str">
        <f>IFERROR(__xludf.DUMMYFUNCTION("""COMPUTED_VALUE"""),"toast1nos")</f>
        <v>toast1nos</v>
      </c>
      <c r="G540" s="92" t="str">
        <f>IFERROR(__xludf.DUMMYFUNCTION("""COMPUTED_VALUE"""),"N/A")</f>
        <v>N/A</v>
      </c>
      <c r="H540" s="94" t="str">
        <f>IFERROR(__xludf.DUMMYFUNCTION("""COMPUTED_VALUE"""),"(469) 987-0202")</f>
        <v>(469) 987-0202</v>
      </c>
      <c r="I540" s="94" t="str">
        <f>IFERROR(__xludf.DUMMYFUNCTION("""COMPUTED_VALUE"""),"Student")</f>
        <v>Student</v>
      </c>
      <c r="J540" s="93" t="str">
        <f>IFERROR(__xludf.DUMMYFUNCTION("""COMPUTED_VALUE"""),"$15 Donation, Discord Verification")</f>
        <v>$15 Donation, Discord Verification</v>
      </c>
      <c r="K540" s="100" t="b">
        <v>0</v>
      </c>
      <c r="L540" s="101" t="str">
        <f>IFERROR(__xludf.DUMMYFUNCTION("""COMPUTED_VALUE"""),"Cash")</f>
        <v>Cash</v>
      </c>
      <c r="M540" s="100"/>
      <c r="N540" s="97" t="b">
        <v>1</v>
      </c>
      <c r="O540" s="93" t="str">
        <f>IFERROR(__xludf.DUMMYFUNCTION("""COMPUTED_VALUE"""),"TNR, Feeding, Shelter Maintenance")</f>
        <v>TNR, Feeding, Shelter Maintenance</v>
      </c>
      <c r="P54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40" s="99"/>
    </row>
    <row r="541" ht="15.75" customHeight="1">
      <c r="A541" s="88">
        <f>IFERROR(__xludf.DUMMYFUNCTION("""COMPUTED_VALUE"""),45902.65121173611)</f>
        <v>45902.65121</v>
      </c>
      <c r="B541" s="89" t="b">
        <v>1</v>
      </c>
      <c r="C541" s="90" t="str">
        <f t="shared" si="4"/>
        <v>Fall 2025</v>
      </c>
      <c r="D541" s="91" t="str">
        <f>IFERROR(__xludf.DUMMYFUNCTION("""COMPUTED_VALUE"""),"sam8509@mavs.uta.edu")</f>
        <v>sam8509@mavs.uta.edu</v>
      </c>
      <c r="E541" s="92" t="str">
        <f>IFERROR(__xludf.DUMMYFUNCTION("""COMPUTED_VALUE"""),"Sophia Mason")</f>
        <v>Sophia Mason</v>
      </c>
      <c r="F541" s="93" t="str">
        <f>IFERROR(__xludf.DUMMYFUNCTION("""COMPUTED_VALUE"""),"Le_nuit_sans_fin")</f>
        <v>Le_nuit_sans_fin</v>
      </c>
      <c r="G541" s="92" t="str">
        <f>IFERROR(__xludf.DUMMYFUNCTION("""COMPUTED_VALUE"""),"@pamela-mason-24")</f>
        <v>@pamela-mason-24</v>
      </c>
      <c r="H541" s="94" t="str">
        <f>IFERROR(__xludf.DUMMYFUNCTION("""COMPUTED_VALUE"""),"(832) 723-9812")</f>
        <v>(832) 723-9812</v>
      </c>
      <c r="I541" s="94" t="str">
        <f>IFERROR(__xludf.DUMMYFUNCTION("""COMPUTED_VALUE"""),"Student")</f>
        <v>Student</v>
      </c>
      <c r="J541" s="93" t="str">
        <f>IFERROR(__xludf.DUMMYFUNCTION("""COMPUTED_VALUE"""),"$15 Donation, Discord Verification")</f>
        <v>$15 Donation, Discord Verification</v>
      </c>
      <c r="K541" s="100" t="b">
        <v>0</v>
      </c>
      <c r="L541" s="101" t="str">
        <f>IFERROR(__xludf.DUMMYFUNCTION("""COMPUTED_VALUE"""),"Venmo")</f>
        <v>Venmo</v>
      </c>
      <c r="M541" s="100"/>
      <c r="N541" s="97" t="b">
        <v>1</v>
      </c>
      <c r="O541" s="93" t="str">
        <f>IFERROR(__xludf.DUMMYFUNCTION("""COMPUTED_VALUE"""),"Fundraising, PR, Feeding")</f>
        <v>Fundraising, PR, Feeding</v>
      </c>
      <c r="P54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41" s="99"/>
    </row>
    <row r="542" ht="15.75" customHeight="1">
      <c r="A542" s="88">
        <f>IFERROR(__xludf.DUMMYFUNCTION("""COMPUTED_VALUE"""),45902.652166087966)</f>
        <v>45902.65217</v>
      </c>
      <c r="B542" s="89" t="b">
        <v>1</v>
      </c>
      <c r="C542" s="90" t="str">
        <f t="shared" si="4"/>
        <v>Fall 2025</v>
      </c>
      <c r="D542" s="91" t="str">
        <f>IFERROR(__xludf.DUMMYFUNCTION("""COMPUTED_VALUE"""),"gmv1073@mavs.uta.edu")</f>
        <v>gmv1073@mavs.uta.edu</v>
      </c>
      <c r="E542" s="92" t="str">
        <f>IFERROR(__xludf.DUMMYFUNCTION("""COMPUTED_VALUE"""),"Garrison Vragel")</f>
        <v>Garrison Vragel</v>
      </c>
      <c r="F542" s="93" t="str">
        <f>IFERROR(__xludf.DUMMYFUNCTION("""COMPUTED_VALUE"""),"Dog (doggo53)")</f>
        <v>Dog (doggo53)</v>
      </c>
      <c r="G542" s="92" t="str">
        <f>IFERROR(__xludf.DUMMYFUNCTION("""COMPUTED_VALUE"""),"N/A")</f>
        <v>N/A</v>
      </c>
      <c r="H542" s="94" t="str">
        <f>IFERROR(__xludf.DUMMYFUNCTION("""COMPUTED_VALUE"""),"(512) 212-0433")</f>
        <v>(512) 212-0433</v>
      </c>
      <c r="I542" s="94" t="str">
        <f>IFERROR(__xludf.DUMMYFUNCTION("""COMPUTED_VALUE"""),"Student")</f>
        <v>Student</v>
      </c>
      <c r="J542" s="93" t="str">
        <f>IFERROR(__xludf.DUMMYFUNCTION("""COMPUTED_VALUE"""),"$15 Donation, Discord Verification")</f>
        <v>$15 Donation, Discord Verification</v>
      </c>
      <c r="K542" s="100" t="b">
        <v>0</v>
      </c>
      <c r="L542" s="101" t="str">
        <f>IFERROR(__xludf.DUMMYFUNCTION("""COMPUTED_VALUE"""),"Cash")</f>
        <v>Cash</v>
      </c>
      <c r="M542" s="100"/>
      <c r="N542" s="97" t="b">
        <v>1</v>
      </c>
      <c r="O542" s="93" t="str">
        <f>IFERROR(__xludf.DUMMYFUNCTION("""COMPUTED_VALUE"""),"TNR, Overnight TNR")</f>
        <v>TNR, Overnight TNR</v>
      </c>
      <c r="P54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42" s="99"/>
    </row>
    <row r="543" ht="15.75" customHeight="1">
      <c r="A543" s="88">
        <f>IFERROR(__xludf.DUMMYFUNCTION("""COMPUTED_VALUE"""),45902.652296493055)</f>
        <v>45902.6523</v>
      </c>
      <c r="B543" s="89" t="b">
        <v>1</v>
      </c>
      <c r="C543" s="90" t="str">
        <f t="shared" si="4"/>
        <v>Fall 2025</v>
      </c>
      <c r="D543" s="91" t="str">
        <f>IFERROR(__xludf.DUMMYFUNCTION("""COMPUTED_VALUE"""),"mht0689@mavs.uta.edu")</f>
        <v>mht0689@mavs.uta.edu</v>
      </c>
      <c r="E543" s="92" t="str">
        <f>IFERROR(__xludf.DUMMYFUNCTION("""COMPUTED_VALUE"""),"Megan Hoang Chau Tran")</f>
        <v>Megan Hoang Chau Tran</v>
      </c>
      <c r="F543" s="93" t="str">
        <f>IFERROR(__xludf.DUMMYFUNCTION("""COMPUTED_VALUE"""),"Vasyline")</f>
        <v>Vasyline</v>
      </c>
      <c r="G543" s="92" t="str">
        <f>IFERROR(__xludf.DUMMYFUNCTION("""COMPUTED_VALUE"""),"Paid in person ")</f>
        <v>Paid in person </v>
      </c>
      <c r="H543" s="94" t="str">
        <f>IFERROR(__xludf.DUMMYFUNCTION("""COMPUTED_VALUE"""),"(469) 374-1773")</f>
        <v>(469) 374-1773</v>
      </c>
      <c r="I543" s="94" t="str">
        <f>IFERROR(__xludf.DUMMYFUNCTION("""COMPUTED_VALUE"""),"Student")</f>
        <v>Student</v>
      </c>
      <c r="J543" s="93" t="str">
        <f>IFERROR(__xludf.DUMMYFUNCTION("""COMPUTED_VALUE"""),"$15 Donation, Discord Verification")</f>
        <v>$15 Donation, Discord Verification</v>
      </c>
      <c r="K543" s="100" t="b">
        <v>0</v>
      </c>
      <c r="L543" s="101" t="str">
        <f>IFERROR(__xludf.DUMMYFUNCTION("""COMPUTED_VALUE"""),"Cash")</f>
        <v>Cash</v>
      </c>
      <c r="M543" s="100"/>
      <c r="N543" s="97" t="b">
        <v>1</v>
      </c>
      <c r="O543" s="93" t="str">
        <f>IFERROR(__xludf.DUMMYFUNCTION("""COMPUTED_VALUE"""),"Fundraising, PR, Membership, TNR, Feeding, Shelter Maintenance")</f>
        <v>Fundraising, PR, Membership, TNR, Feeding, Shelter Maintenance</v>
      </c>
      <c r="P54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43" s="99"/>
    </row>
    <row r="544" ht="15.75" customHeight="1">
      <c r="A544" s="88">
        <f>IFERROR(__xludf.DUMMYFUNCTION("""COMPUTED_VALUE"""),45902.65309758102)</f>
        <v>45902.6531</v>
      </c>
      <c r="B544" s="89" t="b">
        <v>1</v>
      </c>
      <c r="C544" s="90" t="str">
        <f t="shared" si="4"/>
        <v>Fall 2025</v>
      </c>
      <c r="D544" s="91" t="str">
        <f>IFERROR(__xludf.DUMMYFUNCTION("""COMPUTED_VALUE"""),"exm9271@mavs.uta.edu")</f>
        <v>exm9271@mavs.uta.edu</v>
      </c>
      <c r="E544" s="92" t="str">
        <f>IFERROR(__xludf.DUMMYFUNCTION("""COMPUTED_VALUE"""),"Daniel Monge")</f>
        <v>Daniel Monge</v>
      </c>
      <c r="F544" s="93" t="str">
        <f>IFERROR(__xludf.DUMMYFUNCTION("""COMPUTED_VALUE"""),"Ling_kingflame7")</f>
        <v>Ling_kingflame7</v>
      </c>
      <c r="G544" s="92" t="str">
        <f>IFERROR(__xludf.DUMMYFUNCTION("""COMPUTED_VALUE"""),"N/A")</f>
        <v>N/A</v>
      </c>
      <c r="H544" s="94" t="str">
        <f>IFERROR(__xludf.DUMMYFUNCTION("""COMPUTED_VALUE"""),"(346) 274-9121")</f>
        <v>(346) 274-9121</v>
      </c>
      <c r="I544" s="94" t="str">
        <f>IFERROR(__xludf.DUMMYFUNCTION("""COMPUTED_VALUE"""),"Student")</f>
        <v>Student</v>
      </c>
      <c r="J544" s="93" t="str">
        <f>IFERROR(__xludf.DUMMYFUNCTION("""COMPUTED_VALUE"""),"$15 Donation, Discord Verification")</f>
        <v>$15 Donation, Discord Verification</v>
      </c>
      <c r="K544" s="100" t="b">
        <v>0</v>
      </c>
      <c r="L544" s="101" t="str">
        <f>IFERROR(__xludf.DUMMYFUNCTION("""COMPUTED_VALUE"""),"Cash")</f>
        <v>Cash</v>
      </c>
      <c r="M544" s="100"/>
      <c r="N544" s="97" t="b">
        <v>1</v>
      </c>
      <c r="O544" s="93" t="str">
        <f>IFERROR(__xludf.DUMMYFUNCTION("""COMPUTED_VALUE"""),"TNR, Overnight TNR")</f>
        <v>TNR, Overnight TNR</v>
      </c>
      <c r="P54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44" s="99"/>
    </row>
    <row r="545" ht="15.75" customHeight="1">
      <c r="A545" s="88">
        <f>IFERROR(__xludf.DUMMYFUNCTION("""COMPUTED_VALUE"""),45902.658301689815)</f>
        <v>45902.6583</v>
      </c>
      <c r="B545" s="89" t="b">
        <v>1</v>
      </c>
      <c r="C545" s="90" t="str">
        <f t="shared" si="4"/>
        <v>Fall 2025</v>
      </c>
      <c r="D545" s="91" t="str">
        <f>IFERROR(__xludf.DUMMYFUNCTION("""COMPUTED_VALUE"""),"cxb2603@mavs.uta.edu")</f>
        <v>cxb2603@mavs.uta.edu</v>
      </c>
      <c r="E545" s="92" t="str">
        <f>IFERROR(__xludf.DUMMYFUNCTION("""COMPUTED_VALUE"""),"Celeste Bowles")</f>
        <v>Celeste Bowles</v>
      </c>
      <c r="F545" s="93" t="str">
        <f>IFERROR(__xludf.DUMMYFUNCTION("""COMPUTED_VALUE"""),"The_frog.sourcerer")</f>
        <v>The_frog.sourcerer</v>
      </c>
      <c r="G545" s="92" t="str">
        <f>IFERROR(__xludf.DUMMYFUNCTION("""COMPUTED_VALUE"""),"(Cash ) ")</f>
        <v>(Cash ) </v>
      </c>
      <c r="H545" s="94" t="str">
        <f>IFERROR(__xludf.DUMMYFUNCTION("""COMPUTED_VALUE"""),"(972) 824-2559")</f>
        <v>(972) 824-2559</v>
      </c>
      <c r="I545" s="94" t="str">
        <f>IFERROR(__xludf.DUMMYFUNCTION("""COMPUTED_VALUE"""),"Student")</f>
        <v>Student</v>
      </c>
      <c r="J545" s="93" t="str">
        <f>IFERROR(__xludf.DUMMYFUNCTION("""COMPUTED_VALUE"""),"$15 Donation, Discord Verification")</f>
        <v>$15 Donation, Discord Verification</v>
      </c>
      <c r="K545" s="100" t="b">
        <v>0</v>
      </c>
      <c r="L545" s="101" t="str">
        <f>IFERROR(__xludf.DUMMYFUNCTION("""COMPUTED_VALUE"""),"Cash")</f>
        <v>Cash</v>
      </c>
      <c r="M545" s="100"/>
      <c r="N545" s="97" t="b">
        <v>1</v>
      </c>
      <c r="O545" s="93" t="str">
        <f>IFERROR(__xludf.DUMMYFUNCTION("""COMPUTED_VALUE"""),"Fundraising, PR, Membership, TNR, Overnight TNR, Feeding, Shelter Maintenance")</f>
        <v>Fundraising, PR, Membership, TNR, Overnight TNR, Feeding, Shelter Maintenance</v>
      </c>
      <c r="P54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45" s="99"/>
    </row>
    <row r="546" ht="15.75" customHeight="1">
      <c r="A546" s="88">
        <f>IFERROR(__xludf.DUMMYFUNCTION("""COMPUTED_VALUE"""),45902.666827824076)</f>
        <v>45902.66683</v>
      </c>
      <c r="B546" s="89" t="b">
        <v>1</v>
      </c>
      <c r="C546" s="90" t="str">
        <f t="shared" si="4"/>
        <v>Fall 2025</v>
      </c>
      <c r="D546" s="91" t="str">
        <f>IFERROR(__xludf.DUMMYFUNCTION("""COMPUTED_VALUE"""),"sxn2862@mavs.uta.edu")</f>
        <v>sxn2862@mavs.uta.edu</v>
      </c>
      <c r="E546" s="92" t="str">
        <f>IFERROR(__xludf.DUMMYFUNCTION("""COMPUTED_VALUE"""),"Sarah Nguyen")</f>
        <v>Sarah Nguyen</v>
      </c>
      <c r="F546" s="93" t="str">
        <f>IFERROR(__xludf.DUMMYFUNCTION("""COMPUTED_VALUE"""),"sarahngu7en")</f>
        <v>sarahngu7en</v>
      </c>
      <c r="G546" s="92" t="str">
        <f>IFERROR(__xludf.DUMMYFUNCTION("""COMPUTED_VALUE"""),"N/A")</f>
        <v>N/A</v>
      </c>
      <c r="H546" s="94" t="str">
        <f>IFERROR(__xludf.DUMMYFUNCTION("""COMPUTED_VALUE"""),"(469) 416-5158")</f>
        <v>(469) 416-5158</v>
      </c>
      <c r="I546" s="94" t="str">
        <f>IFERROR(__xludf.DUMMYFUNCTION("""COMPUTED_VALUE"""),"Student")</f>
        <v>Student</v>
      </c>
      <c r="J546" s="93" t="str">
        <f>IFERROR(__xludf.DUMMYFUNCTION("""COMPUTED_VALUE"""),"$15 Donation, Discord Verification")</f>
        <v>$15 Donation, Discord Verification</v>
      </c>
      <c r="K546" s="100" t="b">
        <v>0</v>
      </c>
      <c r="L546" s="101" t="str">
        <f>IFERROR(__xludf.DUMMYFUNCTION("""COMPUTED_VALUE"""),"Cash")</f>
        <v>Cash</v>
      </c>
      <c r="M546" s="100"/>
      <c r="N546" s="97" t="b">
        <v>1</v>
      </c>
      <c r="O546" s="93" t="str">
        <f>IFERROR(__xludf.DUMMYFUNCTION("""COMPUTED_VALUE"""),"PR, Membership, Fostering")</f>
        <v>PR, Membership, Fostering</v>
      </c>
      <c r="P54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46" s="99"/>
    </row>
    <row r="547" ht="15.75" customHeight="1">
      <c r="A547" s="88">
        <f>IFERROR(__xludf.DUMMYFUNCTION("""COMPUTED_VALUE"""),45902.701748217594)</f>
        <v>45902.70175</v>
      </c>
      <c r="B547" s="88" t="b">
        <v>0</v>
      </c>
      <c r="C547" s="90" t="str">
        <f t="shared" si="4"/>
        <v>Fall 2025</v>
      </c>
      <c r="D547" s="91" t="str">
        <f>IFERROR(__xludf.DUMMYFUNCTION("""COMPUTED_VALUE"""),"brb3049@mavs.uta.edu")</f>
        <v>brb3049@mavs.uta.edu</v>
      </c>
      <c r="E547" s="92" t="str">
        <f>IFERROR(__xludf.DUMMYFUNCTION("""COMPUTED_VALUE"""),"Bella Bufis")</f>
        <v>Bella Bufis</v>
      </c>
      <c r="F547" s="93" t="str">
        <f>IFERROR(__xludf.DUMMYFUNCTION("""COMPUTED_VALUE"""),"Feedmeplz")</f>
        <v>Feedmeplz</v>
      </c>
      <c r="G547" s="92" t="str">
        <f>IFERROR(__xludf.DUMMYFUNCTION("""COMPUTED_VALUE"""),"Paid in person")</f>
        <v>Paid in person</v>
      </c>
      <c r="H547" s="94" t="str">
        <f>IFERROR(__xludf.DUMMYFUNCTION("""COMPUTED_VALUE"""),"(682) 500-9702")</f>
        <v>(682) 500-9702</v>
      </c>
      <c r="I547" s="94" t="str">
        <f>IFERROR(__xludf.DUMMYFUNCTION("""COMPUTED_VALUE"""),"Student")</f>
        <v>Student</v>
      </c>
      <c r="J547" s="93" t="str">
        <f>IFERROR(__xludf.DUMMYFUNCTION("""COMPUTED_VALUE"""),"$15 Donation, Discord Verification")</f>
        <v>$15 Donation, Discord Verification</v>
      </c>
      <c r="K547" s="100" t="b">
        <v>0</v>
      </c>
      <c r="L547" s="101" t="str">
        <f>IFERROR(__xludf.DUMMYFUNCTION("""COMPUTED_VALUE"""),"Cash")</f>
        <v>Cash</v>
      </c>
      <c r="M547" s="100"/>
      <c r="N547" s="97" t="b">
        <v>0</v>
      </c>
      <c r="O547" s="93" t="str">
        <f>IFERROR(__xludf.DUMMYFUNCTION("""COMPUTED_VALUE"""),"TNR, Feeding")</f>
        <v>TNR, Feeding</v>
      </c>
      <c r="P54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47" s="99"/>
    </row>
    <row r="548" ht="15.75" customHeight="1">
      <c r="A548" s="88">
        <f>IFERROR(__xludf.DUMMYFUNCTION("""COMPUTED_VALUE"""),45902.704270138885)</f>
        <v>45902.70427</v>
      </c>
      <c r="B548" s="88" t="b">
        <v>0</v>
      </c>
      <c r="C548" s="90" t="str">
        <f t="shared" si="4"/>
        <v>Fall 2025</v>
      </c>
      <c r="D548" s="91" t="str">
        <f>IFERROR(__xludf.DUMMYFUNCTION("""COMPUTED_VALUE"""),"brb3049@mavs.uta.edu")</f>
        <v>brb3049@mavs.uta.edu</v>
      </c>
      <c r="E548" s="92" t="str">
        <f>IFERROR(__xludf.DUMMYFUNCTION("""COMPUTED_VALUE"""),"Bella Bufis")</f>
        <v>Bella Bufis</v>
      </c>
      <c r="F548" s="93" t="str">
        <f>IFERROR(__xludf.DUMMYFUNCTION("""COMPUTED_VALUE"""),"Petobsessed")</f>
        <v>Petobsessed</v>
      </c>
      <c r="G548" s="92" t="str">
        <f>IFERROR(__xludf.DUMMYFUNCTION("""COMPUTED_VALUE"""),"Paid in person")</f>
        <v>Paid in person</v>
      </c>
      <c r="H548" s="94" t="str">
        <f>IFERROR(__xludf.DUMMYFUNCTION("""COMPUTED_VALUE"""),"(682) 500-9702")</f>
        <v>(682) 500-9702</v>
      </c>
      <c r="I548" s="94" t="str">
        <f>IFERROR(__xludf.DUMMYFUNCTION("""COMPUTED_VALUE"""),"Student")</f>
        <v>Student</v>
      </c>
      <c r="J548" s="93" t="str">
        <f>IFERROR(__xludf.DUMMYFUNCTION("""COMPUTED_VALUE"""),"$15 Donation, Discord Verification")</f>
        <v>$15 Donation, Discord Verification</v>
      </c>
      <c r="K548" s="100" t="b">
        <v>0</v>
      </c>
      <c r="L548" s="101" t="str">
        <f>IFERROR(__xludf.DUMMYFUNCTION("""COMPUTED_VALUE"""),"Cash")</f>
        <v>Cash</v>
      </c>
      <c r="M548" s="100"/>
      <c r="N548" s="97" t="b">
        <v>0</v>
      </c>
      <c r="O548" s="93" t="str">
        <f>IFERROR(__xludf.DUMMYFUNCTION("""COMPUTED_VALUE"""),"TNR, Feeding")</f>
        <v>TNR, Feeding</v>
      </c>
      <c r="P54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48" s="99"/>
    </row>
    <row r="549" ht="15.75" customHeight="1">
      <c r="A549" s="88">
        <f>IFERROR(__xludf.DUMMYFUNCTION("""COMPUTED_VALUE"""),45902.70992892361)</f>
        <v>45902.70993</v>
      </c>
      <c r="B549" s="89" t="b">
        <v>1</v>
      </c>
      <c r="C549" s="90" t="str">
        <f t="shared" si="4"/>
        <v>Fall 2025</v>
      </c>
      <c r="D549" s="91" t="str">
        <f>IFERROR(__xludf.DUMMYFUNCTION("""COMPUTED_VALUE"""),"axm5300@mavs.uta.edu")</f>
        <v>axm5300@mavs.uta.edu</v>
      </c>
      <c r="E549" s="92" t="str">
        <f>IFERROR(__xludf.DUMMYFUNCTION("""COMPUTED_VALUE"""),"Abigail Mejia")</f>
        <v>Abigail Mejia</v>
      </c>
      <c r="F549" s="93" t="str">
        <f>IFERROR(__xludf.DUMMYFUNCTION("""COMPUTED_VALUE"""),"abstractly_")</f>
        <v>abstractly_</v>
      </c>
      <c r="G549" s="92" t="str">
        <f>IFERROR(__xludf.DUMMYFUNCTION("""COMPUTED_VALUE"""),"N/A")</f>
        <v>N/A</v>
      </c>
      <c r="H549" s="94" t="str">
        <f>IFERROR(__xludf.DUMMYFUNCTION("""COMPUTED_VALUE"""),"(281) 906-9381")</f>
        <v>(281) 906-9381</v>
      </c>
      <c r="I549" s="94" t="str">
        <f>IFERROR(__xludf.DUMMYFUNCTION("""COMPUTED_VALUE"""),"Student")</f>
        <v>Student</v>
      </c>
      <c r="J549" s="93" t="str">
        <f>IFERROR(__xludf.DUMMYFUNCTION("""COMPUTED_VALUE"""),"$15 Donation, Discord Verification")</f>
        <v>$15 Donation, Discord Verification</v>
      </c>
      <c r="K549" s="100" t="b">
        <v>0</v>
      </c>
      <c r="L549" s="101" t="str">
        <f>IFERROR(__xludf.DUMMYFUNCTION("""COMPUTED_VALUE"""),"Cash")</f>
        <v>Cash</v>
      </c>
      <c r="M549" s="100"/>
      <c r="N549" s="97" t="b">
        <v>1</v>
      </c>
      <c r="O549" s="93" t="str">
        <f>IFERROR(__xludf.DUMMYFUNCTION("""COMPUTED_VALUE"""),"Fundraising, Feeding, Shelter Maintenance")</f>
        <v>Fundraising, Feeding, Shelter Maintenance</v>
      </c>
      <c r="P54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49" s="99"/>
    </row>
    <row r="550" ht="15.75" customHeight="1">
      <c r="A550" s="88">
        <f>IFERROR(__xludf.DUMMYFUNCTION("""COMPUTED_VALUE"""),45902.83189883102)</f>
        <v>45902.8319</v>
      </c>
      <c r="B550" s="89" t="b">
        <v>1</v>
      </c>
      <c r="C550" s="90" t="str">
        <f t="shared" si="4"/>
        <v>Fall 2025</v>
      </c>
      <c r="D550" s="91" t="str">
        <f>IFERROR(__xludf.DUMMYFUNCTION("""COMPUTED_VALUE"""),"jtn4576@mavs.uta.edu")</f>
        <v>jtn4576@mavs.uta.edu</v>
      </c>
      <c r="E550" s="92" t="str">
        <f>IFERROR(__xludf.DUMMYFUNCTION("""COMPUTED_VALUE"""),"Jenny Thai Nguyen")</f>
        <v>Jenny Thai Nguyen</v>
      </c>
      <c r="F550" s="93" t="str">
        <f>IFERROR(__xludf.DUMMYFUNCTION("""COMPUTED_VALUE"""),"Naniinsight")</f>
        <v>Naniinsight</v>
      </c>
      <c r="G550" s="92" t="str">
        <f>IFERROR(__xludf.DUMMYFUNCTION("""COMPUTED_VALUE"""),"PayPal @paymenguyenever")</f>
        <v>PayPal @paymenguyenever</v>
      </c>
      <c r="H550" s="94" t="str">
        <f>IFERROR(__xludf.DUMMYFUNCTION("""COMPUTED_VALUE"""),"(469) 441-4801")</f>
        <v>(469) 441-4801</v>
      </c>
      <c r="I550" s="94" t="str">
        <f>IFERROR(__xludf.DUMMYFUNCTION("""COMPUTED_VALUE"""),"Student")</f>
        <v>Student</v>
      </c>
      <c r="J550" s="93" t="str">
        <f>IFERROR(__xludf.DUMMYFUNCTION("""COMPUTED_VALUE"""),"$15 Donation, Discord Verification")</f>
        <v>$15 Donation, Discord Verification</v>
      </c>
      <c r="K550" s="95" t="b">
        <v>1</v>
      </c>
      <c r="L550" s="101" t="str">
        <f>IFERROR(__xludf.DUMMYFUNCTION("""COMPUTED_VALUE"""),"Paypal")</f>
        <v>Paypal</v>
      </c>
      <c r="M550" s="100"/>
      <c r="N550" s="97" t="b">
        <v>1</v>
      </c>
      <c r="O550" s="93" t="str">
        <f>IFERROR(__xludf.DUMMYFUNCTION("""COMPUTED_VALUE"""),"Fundraising, TNR, Overnight TNR")</f>
        <v>Fundraising, TNR, Overnight TNR</v>
      </c>
      <c r="P55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50" s="99"/>
    </row>
    <row r="551" ht="15.75" customHeight="1">
      <c r="A551" s="88">
        <f>IFERROR(__xludf.DUMMYFUNCTION("""COMPUTED_VALUE"""),45903.42867809028)</f>
        <v>45903.42868</v>
      </c>
      <c r="B551" s="89" t="b">
        <v>1</v>
      </c>
      <c r="C551" s="90" t="str">
        <f t="shared" si="4"/>
        <v>Fall 2025</v>
      </c>
      <c r="D551" s="91" t="str">
        <f>IFERROR(__xludf.DUMMYFUNCTION("""COMPUTED_VALUE"""),"cmn9165@mavs.uta.edu")</f>
        <v>cmn9165@mavs.uta.edu</v>
      </c>
      <c r="E551" s="92" t="str">
        <f>IFERROR(__xludf.DUMMYFUNCTION("""COMPUTED_VALUE"""),"Cassandra (cici) nelson")</f>
        <v>Cassandra (cici) nelson</v>
      </c>
      <c r="F551" s="93" t="str">
        <f>IFERROR(__xludf.DUMMYFUNCTION("""COMPUTED_VALUE"""),"Cici4f3")</f>
        <v>Cici4f3</v>
      </c>
      <c r="G551" s="92" t="str">
        <f>IFERROR(__xludf.DUMMYFUNCTION("""COMPUTED_VALUE"""),"I think it's the same?")</f>
        <v>I think it's the same?</v>
      </c>
      <c r="H551" s="94" t="str">
        <f>IFERROR(__xludf.DUMMYFUNCTION("""COMPUTED_VALUE"""),"(972) 302-8379")</f>
        <v>(972) 302-8379</v>
      </c>
      <c r="I551" s="94" t="str">
        <f>IFERROR(__xludf.DUMMYFUNCTION("""COMPUTED_VALUE"""),"Student")</f>
        <v>Student</v>
      </c>
      <c r="J551" s="93" t="str">
        <f>IFERROR(__xludf.DUMMYFUNCTION("""COMPUTED_VALUE"""),"$15 Donation, Discord Verification")</f>
        <v>$15 Donation, Discord Verification</v>
      </c>
      <c r="K551" s="100" t="b">
        <v>0</v>
      </c>
      <c r="L551" s="101" t="str">
        <f>IFERROR(__xludf.DUMMYFUNCTION("""COMPUTED_VALUE"""),"Cashapp")</f>
        <v>Cashapp</v>
      </c>
      <c r="M551" s="100"/>
      <c r="N551" s="97" t="b">
        <v>1</v>
      </c>
      <c r="O551" s="93" t="str">
        <f>IFERROR(__xludf.DUMMYFUNCTION("""COMPUTED_VALUE"""),"Fundraising, PR, Membership, TNR, Overnight TNR, Feeding, Fostering, Shelter Maintenance")</f>
        <v>Fundraising, PR, Membership, TNR, Overnight TNR, Feeding, Fostering, Shelter Maintenance</v>
      </c>
      <c r="P55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51" s="99"/>
    </row>
    <row r="552" ht="15.75" customHeight="1">
      <c r="A552" s="88">
        <f>IFERROR(__xludf.DUMMYFUNCTION("""COMPUTED_VALUE"""),45903.43852462963)</f>
        <v>45903.43852</v>
      </c>
      <c r="B552" s="89" t="b">
        <v>1</v>
      </c>
      <c r="C552" s="90" t="str">
        <f t="shared" si="4"/>
        <v>Fall 2025</v>
      </c>
      <c r="D552" s="91" t="str">
        <f>IFERROR(__xludf.DUMMYFUNCTION("""COMPUTED_VALUE"""),"tks8090@mavs.uta.edu")</f>
        <v>tks8090@mavs.uta.edu</v>
      </c>
      <c r="E552" s="92" t="str">
        <f>IFERROR(__xludf.DUMMYFUNCTION("""COMPUTED_VALUE"""),"Taylor Snyder")</f>
        <v>Taylor Snyder</v>
      </c>
      <c r="F552" s="93" t="str">
        <f>IFERROR(__xludf.DUMMYFUNCTION("""COMPUTED_VALUE"""),"plink5276")</f>
        <v>plink5276</v>
      </c>
      <c r="G552" s="92" t="str">
        <f>IFERROR(__xludf.DUMMYFUNCTION("""COMPUTED_VALUE"""),"I gave kaz kibble(this wuz a required question")</f>
        <v>I gave kaz kibble(this wuz a required question</v>
      </c>
      <c r="H552" s="94" t="str">
        <f>IFERROR(__xludf.DUMMYFUNCTION("""COMPUTED_VALUE"""),"(972) 921-7295")</f>
        <v>(972) 921-7295</v>
      </c>
      <c r="I552" s="94" t="str">
        <f>IFERROR(__xludf.DUMMYFUNCTION("""COMPUTED_VALUE"""),"Student")</f>
        <v>Student</v>
      </c>
      <c r="J552" s="93" t="str">
        <f>IFERROR(__xludf.DUMMYFUNCTION("""COMPUTED_VALUE"""),"Food/Litter Donation")</f>
        <v>Food/Litter Donation</v>
      </c>
      <c r="K552" s="100" t="b">
        <v>0</v>
      </c>
      <c r="L552" s="101"/>
      <c r="M552" s="100"/>
      <c r="N552" s="97" t="b">
        <v>1</v>
      </c>
      <c r="O552" s="93" t="str">
        <f>IFERROR(__xludf.DUMMYFUNCTION("""COMPUTED_VALUE"""),"Membership, TNR, Feeding")</f>
        <v>Membership, TNR, Feeding</v>
      </c>
      <c r="P55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52" s="99"/>
    </row>
    <row r="553" ht="15.75" customHeight="1">
      <c r="A553" s="88">
        <f>IFERROR(__xludf.DUMMYFUNCTION("""COMPUTED_VALUE"""),45903.4688833449)</f>
        <v>45903.46888</v>
      </c>
      <c r="B553" s="89" t="b">
        <v>1</v>
      </c>
      <c r="C553" s="90" t="str">
        <f t="shared" si="4"/>
        <v>Fall 2025</v>
      </c>
      <c r="D553" s="91" t="str">
        <f>IFERROR(__xludf.DUMMYFUNCTION("""COMPUTED_VALUE"""),"jtp8417@mavs.uta.edu")</f>
        <v>jtp8417@mavs.uta.edu</v>
      </c>
      <c r="E553" s="92" t="str">
        <f>IFERROR(__xludf.DUMMYFUNCTION("""COMPUTED_VALUE"""),"Jacquelyn Payne")</f>
        <v>Jacquelyn Payne</v>
      </c>
      <c r="F553" s="93" t="str">
        <f>IFERROR(__xludf.DUMMYFUNCTION("""COMPUTED_VALUE"""),".bettercalljack ")</f>
        <v>.bettercalljack </v>
      </c>
      <c r="G553" s="92" t="str">
        <f>IFERROR(__xludf.DUMMYFUNCTION("""COMPUTED_VALUE"""),"N/A")</f>
        <v>N/A</v>
      </c>
      <c r="H553" s="94" t="str">
        <f>IFERROR(__xludf.DUMMYFUNCTION("""COMPUTED_VALUE"""),"(940) 452-3708")</f>
        <v>(940) 452-3708</v>
      </c>
      <c r="I553" s="94" t="str">
        <f>IFERROR(__xludf.DUMMYFUNCTION("""COMPUTED_VALUE"""),"Student")</f>
        <v>Student</v>
      </c>
      <c r="J553" s="93" t="str">
        <f>IFERROR(__xludf.DUMMYFUNCTION("""COMPUTED_VALUE"""),"$15 Donation, Discord Verification")</f>
        <v>$15 Donation, Discord Verification</v>
      </c>
      <c r="K553" s="100" t="b">
        <v>0</v>
      </c>
      <c r="L553" s="101" t="str">
        <f>IFERROR(__xludf.DUMMYFUNCTION("""COMPUTED_VALUE"""),"Cash")</f>
        <v>Cash</v>
      </c>
      <c r="M553" s="100"/>
      <c r="N553" s="97" t="b">
        <v>1</v>
      </c>
      <c r="O553" s="93" t="str">
        <f>IFERROR(__xludf.DUMMYFUNCTION("""COMPUTED_VALUE"""),"PR, Membership, TNR, Overnight TNR, Feeding, Shelter Maintenance")</f>
        <v>PR, Membership, TNR, Overnight TNR, Feeding, Shelter Maintenance</v>
      </c>
      <c r="P55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53" s="99"/>
    </row>
    <row r="554" ht="15.75" customHeight="1">
      <c r="A554" s="88">
        <f>IFERROR(__xludf.DUMMYFUNCTION("""COMPUTED_VALUE"""),45903.789405578704)</f>
        <v>45903.78941</v>
      </c>
      <c r="B554" s="89" t="b">
        <v>1</v>
      </c>
      <c r="C554" s="90" t="str">
        <f t="shared" si="4"/>
        <v>Fall 2025</v>
      </c>
      <c r="D554" s="91" t="str">
        <f>IFERROR(__xludf.DUMMYFUNCTION("""COMPUTED_VALUE"""),"mxd2925@mavs.uta.edu")</f>
        <v>mxd2925@mavs.uta.edu</v>
      </c>
      <c r="E554" s="92" t="str">
        <f>IFERROR(__xludf.DUMMYFUNCTION("""COMPUTED_VALUE"""),"Madeleine De La Cruz ")</f>
        <v>Madeleine De La Cruz </v>
      </c>
      <c r="F554" s="93" t="str">
        <f>IFERROR(__xludf.DUMMYFUNCTION("""COMPUTED_VALUE"""),"2tana_")</f>
        <v>2tana_</v>
      </c>
      <c r="G554" s="92" t="str">
        <f>IFERROR(__xludf.DUMMYFUNCTION("""COMPUTED_VALUE"""),"N/A - Paid in person ")</f>
        <v>N/A - Paid in person </v>
      </c>
      <c r="H554" s="94" t="str">
        <f>IFERROR(__xludf.DUMMYFUNCTION("""COMPUTED_VALUE"""),"")</f>
        <v/>
      </c>
      <c r="I554" s="94" t="str">
        <f>IFERROR(__xludf.DUMMYFUNCTION("""COMPUTED_VALUE"""),"Student")</f>
        <v>Student</v>
      </c>
      <c r="J554" s="93" t="str">
        <f>IFERROR(__xludf.DUMMYFUNCTION("""COMPUTED_VALUE"""),"$15 Donation, Discord Verification")</f>
        <v>$15 Donation, Discord Verification</v>
      </c>
      <c r="K554" s="100" t="b">
        <v>0</v>
      </c>
      <c r="L554" s="101" t="str">
        <f>IFERROR(__xludf.DUMMYFUNCTION("""COMPUTED_VALUE"""),"Cash")</f>
        <v>Cash</v>
      </c>
      <c r="M554" s="100"/>
      <c r="N554" s="97" t="b">
        <v>1</v>
      </c>
      <c r="O554" s="93" t="str">
        <f>IFERROR(__xludf.DUMMYFUNCTION("""COMPUTED_VALUE"""),"Little time ")</f>
        <v>Little time </v>
      </c>
      <c r="P55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54" s="99"/>
    </row>
    <row r="555" ht="15.75" customHeight="1">
      <c r="A555" s="88">
        <f>IFERROR(__xludf.DUMMYFUNCTION("""COMPUTED_VALUE"""),45903.897602303245)</f>
        <v>45903.8976</v>
      </c>
      <c r="B555" s="89" t="b">
        <v>1</v>
      </c>
      <c r="C555" s="90" t="str">
        <f t="shared" si="4"/>
        <v>Fall 2025</v>
      </c>
      <c r="D555" s="91" t="str">
        <f>IFERROR(__xludf.DUMMYFUNCTION("""COMPUTED_VALUE"""),"ssi4241@mavs.uta.edu")</f>
        <v>ssi4241@mavs.uta.edu</v>
      </c>
      <c r="E555" s="92" t="str">
        <f>IFERROR(__xludf.DUMMYFUNCTION("""COMPUTED_VALUE"""),"Seja Ismail")</f>
        <v>Seja Ismail</v>
      </c>
      <c r="F555" s="93" t="str">
        <f>IFERROR(__xludf.DUMMYFUNCTION("""COMPUTED_VALUE"""),"s3j")</f>
        <v>s3j</v>
      </c>
      <c r="G555" s="92" t="str">
        <f>IFERROR(__xludf.DUMMYFUNCTION("""COMPUTED_VALUE"""),"sejaseja ")</f>
        <v>sejaseja </v>
      </c>
      <c r="H555" s="94" t="str">
        <f>IFERROR(__xludf.DUMMYFUNCTION("""COMPUTED_VALUE"""),"(214) 918-2345")</f>
        <v>(214) 918-2345</v>
      </c>
      <c r="I555" s="94" t="str">
        <f>IFERROR(__xludf.DUMMYFUNCTION("""COMPUTED_VALUE"""),"Student")</f>
        <v>Student</v>
      </c>
      <c r="J555" s="93" t="str">
        <f>IFERROR(__xludf.DUMMYFUNCTION("""COMPUTED_VALUE"""),"$15 Donation, Discord Verification")</f>
        <v>$15 Donation, Discord Verification</v>
      </c>
      <c r="K555" s="100" t="b">
        <v>0</v>
      </c>
      <c r="L555" s="101" t="str">
        <f>IFERROR(__xludf.DUMMYFUNCTION("""COMPUTED_VALUE"""),"Cashapp")</f>
        <v>Cashapp</v>
      </c>
      <c r="M555" s="100"/>
      <c r="N555" s="97" t="b">
        <v>1</v>
      </c>
      <c r="O555" s="93" t="str">
        <f>IFERROR(__xludf.DUMMYFUNCTION("""COMPUTED_VALUE"""),"TNR, Feeding")</f>
        <v>TNR, Feeding</v>
      </c>
      <c r="P55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55" s="99"/>
    </row>
    <row r="556" ht="15.75" customHeight="1">
      <c r="A556" s="88">
        <f>IFERROR(__xludf.DUMMYFUNCTION("""COMPUTED_VALUE"""),45904.025594189814)</f>
        <v>45904.02559</v>
      </c>
      <c r="B556" s="89" t="b">
        <v>1</v>
      </c>
      <c r="C556" s="90" t="str">
        <f t="shared" si="4"/>
        <v>Fall 2025</v>
      </c>
      <c r="D556" s="91" t="str">
        <f>IFERROR(__xludf.DUMMYFUNCTION("""COMPUTED_VALUE"""),"tvp2284@mavs.uta.edu")</f>
        <v>tvp2284@mavs.uta.edu</v>
      </c>
      <c r="E556" s="92" t="str">
        <f>IFERROR(__xludf.DUMMYFUNCTION("""COMPUTED_VALUE"""),"Tracy Phan")</f>
        <v>Tracy Phan</v>
      </c>
      <c r="F556" s="93" t="str">
        <f>IFERROR(__xludf.DUMMYFUNCTION("""COMPUTED_VALUE"""),"phantastic2998")</f>
        <v>phantastic2998</v>
      </c>
      <c r="G556" s="92" t="str">
        <f>IFERROR(__xludf.DUMMYFUNCTION("""COMPUTED_VALUE"""),"N/A")</f>
        <v>N/A</v>
      </c>
      <c r="H556" s="94" t="str">
        <f>IFERROR(__xludf.DUMMYFUNCTION("""COMPUTED_VALUE"""),"(832) 836-8173")</f>
        <v>(832) 836-8173</v>
      </c>
      <c r="I556" s="94" t="str">
        <f>IFERROR(__xludf.DUMMYFUNCTION("""COMPUTED_VALUE"""),"Student")</f>
        <v>Student</v>
      </c>
      <c r="J556" s="93" t="str">
        <f>IFERROR(__xludf.DUMMYFUNCTION("""COMPUTED_VALUE"""),"$15 Donation, Discord Verification")</f>
        <v>$15 Donation, Discord Verification</v>
      </c>
      <c r="K556" s="100" t="b">
        <v>0</v>
      </c>
      <c r="L556" s="101" t="str">
        <f>IFERROR(__xludf.DUMMYFUNCTION("""COMPUTED_VALUE"""),"Cashapp")</f>
        <v>Cashapp</v>
      </c>
      <c r="M556" s="100"/>
      <c r="N556" s="97" t="b">
        <v>1</v>
      </c>
      <c r="O556" s="93" t="str">
        <f>IFERROR(__xludf.DUMMYFUNCTION("""COMPUTED_VALUE"""),"Fundraising, PR, Membership, TNR, Fostering")</f>
        <v>Fundraising, PR, Membership, TNR, Fostering</v>
      </c>
      <c r="P55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56" s="99"/>
    </row>
    <row r="557" ht="15.75" customHeight="1">
      <c r="A557" s="88">
        <f>IFERROR(__xludf.DUMMYFUNCTION("""COMPUTED_VALUE"""),45904.36347457176)</f>
        <v>45904.36347</v>
      </c>
      <c r="B557" s="89" t="b">
        <v>1</v>
      </c>
      <c r="C557" s="90" t="str">
        <f t="shared" si="4"/>
        <v>Fall 2025</v>
      </c>
      <c r="D557" s="91" t="str">
        <f>IFERROR(__xludf.DUMMYFUNCTION("""COMPUTED_VALUE"""),"ixs2264@mavs.uta.edu")</f>
        <v>ixs2264@mavs.uta.edu</v>
      </c>
      <c r="E557" s="92" t="str">
        <f>IFERROR(__xludf.DUMMYFUNCTION("""COMPUTED_VALUE"""),"Isabel Silva")</f>
        <v>Isabel Silva</v>
      </c>
      <c r="F557" s="93" t="str">
        <f>IFERROR(__xludf.DUMMYFUNCTION("""COMPUTED_VALUE"""),"the.lemonade.stand")</f>
        <v>the.lemonade.stand</v>
      </c>
      <c r="G557" s="92" t="str">
        <f>IFERROR(__xludf.DUMMYFUNCTION("""COMPUTED_VALUE"""),"$silvabel")</f>
        <v>$silvabel</v>
      </c>
      <c r="H557" s="94" t="str">
        <f>IFERROR(__xludf.DUMMYFUNCTION("""COMPUTED_VALUE"""),"(817) 818-6106")</f>
        <v>(817) 818-6106</v>
      </c>
      <c r="I557" s="94" t="str">
        <f>IFERROR(__xludf.DUMMYFUNCTION("""COMPUTED_VALUE"""),"Student")</f>
        <v>Student</v>
      </c>
      <c r="J557" s="93" t="str">
        <f>IFERROR(__xludf.DUMMYFUNCTION("""COMPUTED_VALUE"""),"$15 Donation, Discord Verification")</f>
        <v>$15 Donation, Discord Verification</v>
      </c>
      <c r="K557" s="100" t="b">
        <v>0</v>
      </c>
      <c r="L557" s="101" t="str">
        <f>IFERROR(__xludf.DUMMYFUNCTION("""COMPUTED_VALUE"""),"Cashapp")</f>
        <v>Cashapp</v>
      </c>
      <c r="M557" s="100"/>
      <c r="N557" s="97" t="b">
        <v>1</v>
      </c>
      <c r="O557" s="93" t="str">
        <f>IFERROR(__xludf.DUMMYFUNCTION("""COMPUTED_VALUE"""),"Treasurer")</f>
        <v>Treasurer</v>
      </c>
      <c r="P55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57" s="99"/>
    </row>
    <row r="558" ht="15.75" customHeight="1">
      <c r="A558" s="88">
        <f>IFERROR(__xludf.DUMMYFUNCTION("""COMPUTED_VALUE"""),45904.50342216435)</f>
        <v>45904.50342</v>
      </c>
      <c r="B558" s="89" t="b">
        <v>1</v>
      </c>
      <c r="C558" s="90" t="str">
        <f t="shared" si="4"/>
        <v>Fall 2025</v>
      </c>
      <c r="D558" s="91" t="str">
        <f>IFERROR(__xludf.DUMMYFUNCTION("""COMPUTED_VALUE"""),"knh2690@mavs.uta.edu")</f>
        <v>knh2690@mavs.uta.edu</v>
      </c>
      <c r="E558" s="92" t="str">
        <f>IFERROR(__xludf.DUMMYFUNCTION("""COMPUTED_VALUE"""),"Kimberly Hebbe")</f>
        <v>Kimberly Hebbe</v>
      </c>
      <c r="F558" s="93" t="str">
        <f>IFERROR(__xludf.DUMMYFUNCTION("""COMPUTED_VALUE"""),"leuqink3")</f>
        <v>leuqink3</v>
      </c>
      <c r="G558" s="92" t="str">
        <f>IFERROR(__xludf.DUMMYFUNCTION("""COMPUTED_VALUE"""),"$leuqink")</f>
        <v>$leuqink</v>
      </c>
      <c r="H558" s="94" t="str">
        <f>IFERROR(__xludf.DUMMYFUNCTION("""COMPUTED_VALUE"""),"(817) 480-4489")</f>
        <v>(817) 480-4489</v>
      </c>
      <c r="I558" s="94" t="str">
        <f>IFERROR(__xludf.DUMMYFUNCTION("""COMPUTED_VALUE"""),"Student")</f>
        <v>Student</v>
      </c>
      <c r="J558" s="93" t="str">
        <f>IFERROR(__xludf.DUMMYFUNCTION("""COMPUTED_VALUE"""),"$15 Donation, Discord Verification")</f>
        <v>$15 Donation, Discord Verification</v>
      </c>
      <c r="K558" s="100" t="b">
        <v>0</v>
      </c>
      <c r="L558" s="101" t="str">
        <f>IFERROR(__xludf.DUMMYFUNCTION("""COMPUTED_VALUE"""),"Cashapp")</f>
        <v>Cashapp</v>
      </c>
      <c r="M558" s="100"/>
      <c r="N558" s="97" t="b">
        <v>1</v>
      </c>
      <c r="O558" s="93" t="str">
        <f>IFERROR(__xludf.DUMMYFUNCTION("""COMPUTED_VALUE"""),"PR, Membership, TNR, Fostering, Shelter Maintenance")</f>
        <v>PR, Membership, TNR, Fostering, Shelter Maintenance</v>
      </c>
      <c r="P55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58" s="99"/>
    </row>
    <row r="559" ht="15.75" customHeight="1">
      <c r="A559" s="88">
        <f>IFERROR(__xludf.DUMMYFUNCTION("""COMPUTED_VALUE"""),45904.678214988424)</f>
        <v>45904.67821</v>
      </c>
      <c r="B559" s="89" t="b">
        <v>1</v>
      </c>
      <c r="C559" s="90" t="str">
        <f t="shared" si="4"/>
        <v>Fall 2025</v>
      </c>
      <c r="D559" s="91" t="str">
        <f>IFERROR(__xludf.DUMMYFUNCTION("""COMPUTED_VALUE"""),"mxr0494@mavs.uta.edu")</f>
        <v>mxr0494@mavs.uta.edu</v>
      </c>
      <c r="E559" s="92" t="str">
        <f>IFERROR(__xludf.DUMMYFUNCTION("""COMPUTED_VALUE"""),"Michael Ruiz")</f>
        <v>Michael Ruiz</v>
      </c>
      <c r="F559" s="93" t="str">
        <f>IFERROR(__xludf.DUMMYFUNCTION("""COMPUTED_VALUE"""),"orphean_")</f>
        <v>orphean_</v>
      </c>
      <c r="G559" s="92" t="str">
        <f>IFERROR(__xludf.DUMMYFUNCTION("""COMPUTED_VALUE"""),"orphean_")</f>
        <v>orphean_</v>
      </c>
      <c r="H559" s="94" t="str">
        <f>IFERROR(__xludf.DUMMYFUNCTION("""COMPUTED_VALUE"""),"(+1 ) 682- 436")</f>
        <v>(+1 ) 682- 436</v>
      </c>
      <c r="I559" s="94" t="str">
        <f>IFERROR(__xludf.DUMMYFUNCTION("""COMPUTED_VALUE"""),"Student")</f>
        <v>Student</v>
      </c>
      <c r="J559" s="93" t="str">
        <f>IFERROR(__xludf.DUMMYFUNCTION("""COMPUTED_VALUE"""),"$15 Donation, Discord Verification")</f>
        <v>$15 Donation, Discord Verification</v>
      </c>
      <c r="K559" s="100" t="b">
        <v>0</v>
      </c>
      <c r="L559" s="101" t="str">
        <f>IFERROR(__xludf.DUMMYFUNCTION("""COMPUTED_VALUE"""),"Cash")</f>
        <v>Cash</v>
      </c>
      <c r="M559" s="100"/>
      <c r="N559" s="97" t="b">
        <v>1</v>
      </c>
      <c r="O559" s="93" t="str">
        <f>IFERROR(__xludf.DUMMYFUNCTION("""COMPUTED_VALUE"""),"Feeding, Fostering, Shelter Maintenance")</f>
        <v>Feeding, Fostering, Shelter Maintenance</v>
      </c>
      <c r="P55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59" s="99"/>
    </row>
    <row r="560" ht="15.75" customHeight="1">
      <c r="A560" s="88">
        <f>IFERROR(__xludf.DUMMYFUNCTION("""COMPUTED_VALUE"""),45904.74723142361)</f>
        <v>45904.74723</v>
      </c>
      <c r="B560" s="89" t="b">
        <v>1</v>
      </c>
      <c r="C560" s="90" t="str">
        <f t="shared" si="4"/>
        <v>Fall 2025</v>
      </c>
      <c r="D560" s="91" t="str">
        <f>IFERROR(__xludf.DUMMYFUNCTION("""COMPUTED_VALUE"""),"med3041@mavs.uta.edu")</f>
        <v>med3041@mavs.uta.edu</v>
      </c>
      <c r="E560" s="92" t="str">
        <f>IFERROR(__xludf.DUMMYFUNCTION("""COMPUTED_VALUE"""),"Megan Digiovanni")</f>
        <v>Megan Digiovanni</v>
      </c>
      <c r="F560" s="93" t="str">
        <f>IFERROR(__xludf.DUMMYFUNCTION("""COMPUTED_VALUE"""),"m_digio or mdigio")</f>
        <v>m_digio or mdigio</v>
      </c>
      <c r="G560" s="92" t="str">
        <f>IFERROR(__xludf.DUMMYFUNCTION("""COMPUTED_VALUE"""),"Megan")</f>
        <v>Megan</v>
      </c>
      <c r="H560" s="94" t="str">
        <f>IFERROR(__xludf.DUMMYFUNCTION("""COMPUTED_VALUE"""),"(409) 223-3257")</f>
        <v>(409) 223-3257</v>
      </c>
      <c r="I560" s="94" t="str">
        <f>IFERROR(__xludf.DUMMYFUNCTION("""COMPUTED_VALUE"""),"Student")</f>
        <v>Student</v>
      </c>
      <c r="J560" s="93" t="str">
        <f>IFERROR(__xludf.DUMMYFUNCTION("""COMPUTED_VALUE"""),"$15 Donation, Discord Verification")</f>
        <v>$15 Donation, Discord Verification</v>
      </c>
      <c r="K560" s="100" t="b">
        <v>0</v>
      </c>
      <c r="L560" s="101" t="str">
        <f>IFERROR(__xludf.DUMMYFUNCTION("""COMPUTED_VALUE"""),"Venmo")</f>
        <v>Venmo</v>
      </c>
      <c r="M560" s="95">
        <v>20.0</v>
      </c>
      <c r="N560" s="97" t="b">
        <v>1</v>
      </c>
      <c r="O560" s="93" t="str">
        <f>IFERROR(__xludf.DUMMYFUNCTION("""COMPUTED_VALUE"""),"Fundraising, PR, Membership, TNR, Feeding, Shelter Maintenance")</f>
        <v>Fundraising, PR, Membership, TNR, Feeding, Shelter Maintenance</v>
      </c>
      <c r="P56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60" s="99"/>
    </row>
    <row r="561" ht="15.75" customHeight="1">
      <c r="A561" s="88">
        <f>IFERROR(__xludf.DUMMYFUNCTION("""COMPUTED_VALUE"""),45908.42140694444)</f>
        <v>45908.42141</v>
      </c>
      <c r="B561" s="89" t="b">
        <v>1</v>
      </c>
      <c r="C561" s="90" t="str">
        <f t="shared" si="4"/>
        <v>Fall 2025</v>
      </c>
      <c r="D561" s="91" t="str">
        <f>IFERROR(__xludf.DUMMYFUNCTION("""COMPUTED_VALUE"""),"jxc1794@mavs.uta.edu")</f>
        <v>jxc1794@mavs.uta.edu</v>
      </c>
      <c r="E561" s="92" t="str">
        <f>IFERROR(__xludf.DUMMYFUNCTION("""COMPUTED_VALUE"""),"Joy Cook")</f>
        <v>Joy Cook</v>
      </c>
      <c r="F561" s="93" t="str">
        <f>IFERROR(__xludf.DUMMYFUNCTION("""COMPUTED_VALUE"""),"Xr0 / starr8968 ")</f>
        <v>Xr0 / starr8968 </v>
      </c>
      <c r="G561" s="92" t="str">
        <f>IFERROR(__xludf.DUMMYFUNCTION("""COMPUTED_VALUE"""),"Carridy Cook / Joy Cook")</f>
        <v>Carridy Cook / Joy Cook</v>
      </c>
      <c r="H561" s="94" t="str">
        <f>IFERROR(__xludf.DUMMYFUNCTION("""COMPUTED_VALUE"""),"(817) 968-4814")</f>
        <v>(817) 968-4814</v>
      </c>
      <c r="I561" s="94" t="str">
        <f>IFERROR(__xludf.DUMMYFUNCTION("""COMPUTED_VALUE"""),"Student")</f>
        <v>Student</v>
      </c>
      <c r="J561" s="93" t="str">
        <f>IFERROR(__xludf.DUMMYFUNCTION("""COMPUTED_VALUE"""),"$15 Donation, Discord Verification")</f>
        <v>$15 Donation, Discord Verification</v>
      </c>
      <c r="K561" s="100" t="b">
        <v>0</v>
      </c>
      <c r="L561" s="101" t="str">
        <f>IFERROR(__xludf.DUMMYFUNCTION("""COMPUTED_VALUE"""),"Paypal")</f>
        <v>Paypal</v>
      </c>
      <c r="M561" s="100"/>
      <c r="N561" s="97" t="b">
        <v>1</v>
      </c>
      <c r="O561" s="93" t="str">
        <f>IFERROR(__xludf.DUMMYFUNCTION("""COMPUTED_VALUE"""),"Fundraising, Membership, TNR, Feeding, Fostering")</f>
        <v>Fundraising, Membership, TNR, Feeding, Fostering</v>
      </c>
      <c r="P56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61" s="99"/>
    </row>
    <row r="562" ht="15.75" customHeight="1">
      <c r="A562" s="88">
        <f>IFERROR(__xludf.DUMMYFUNCTION("""COMPUTED_VALUE"""),45908.43610825231)</f>
        <v>45908.43611</v>
      </c>
      <c r="B562" s="89" t="b">
        <v>1</v>
      </c>
      <c r="C562" s="90" t="str">
        <f t="shared" si="4"/>
        <v>Fall 2025</v>
      </c>
      <c r="D562" s="91" t="str">
        <f>IFERROR(__xludf.DUMMYFUNCTION("""COMPUTED_VALUE"""),"coc8788@mavs.uta.edu")</f>
        <v>coc8788@mavs.uta.edu</v>
      </c>
      <c r="E562" s="92" t="str">
        <f>IFERROR(__xludf.DUMMYFUNCTION("""COMPUTED_VALUE"""),"Charlie Clopton")</f>
        <v>Charlie Clopton</v>
      </c>
      <c r="F562" s="93" t="str">
        <f>IFERROR(__xludf.DUMMYFUNCTION("""COMPUTED_VALUE"""),"chartheram")</f>
        <v>chartheram</v>
      </c>
      <c r="G562" s="92" t="str">
        <f>IFERROR(__xludf.DUMMYFUNCTION("""COMPUTED_VALUE"""),"charclops")</f>
        <v>charclops</v>
      </c>
      <c r="H562" s="94" t="str">
        <f>IFERROR(__xludf.DUMMYFUNCTION("""COMPUTED_VALUE"""),"(512) 367-9733")</f>
        <v>(512) 367-9733</v>
      </c>
      <c r="I562" s="94" t="str">
        <f>IFERROR(__xludf.DUMMYFUNCTION("""COMPUTED_VALUE"""),"Student")</f>
        <v>Student</v>
      </c>
      <c r="J562" s="93" t="str">
        <f>IFERROR(__xludf.DUMMYFUNCTION("""COMPUTED_VALUE"""),"$15 Donation, Discord Verification")</f>
        <v>$15 Donation, Discord Verification</v>
      </c>
      <c r="K562" s="100" t="b">
        <v>0</v>
      </c>
      <c r="L562" s="101" t="str">
        <f>IFERROR(__xludf.DUMMYFUNCTION("""COMPUTED_VALUE"""),"Venmo")</f>
        <v>Venmo</v>
      </c>
      <c r="M562" s="100"/>
      <c r="N562" s="97" t="b">
        <v>1</v>
      </c>
      <c r="O562" s="93" t="str">
        <f>IFERROR(__xludf.DUMMYFUNCTION("""COMPUTED_VALUE"""),"Fundraising, PR, TNR, Feeding")</f>
        <v>Fundraising, PR, TNR, Feeding</v>
      </c>
      <c r="P56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62" s="99"/>
    </row>
    <row r="563" ht="15.75" customHeight="1">
      <c r="A563" s="88">
        <f>IFERROR(__xludf.DUMMYFUNCTION("""COMPUTED_VALUE"""),45908.56262582176)</f>
        <v>45908.56263</v>
      </c>
      <c r="B563" s="89" t="b">
        <v>1</v>
      </c>
      <c r="C563" s="90" t="str">
        <f t="shared" si="4"/>
        <v>Fall 2025</v>
      </c>
      <c r="D563" s="91" t="str">
        <f>IFERROR(__xludf.DUMMYFUNCTION("""COMPUTED_VALUE"""),"lah5338@mavs.uta.edu")</f>
        <v>lah5338@mavs.uta.edu</v>
      </c>
      <c r="E563" s="92" t="str">
        <f>IFERROR(__xludf.DUMMYFUNCTION("""COMPUTED_VALUE"""),"Lucas Hunt")</f>
        <v>Lucas Hunt</v>
      </c>
      <c r="F563" s="93" t="str">
        <f>IFERROR(__xludf.DUMMYFUNCTION("""COMPUTED_VALUE"""),"Lifeye ")</f>
        <v>Lifeye </v>
      </c>
      <c r="G563" s="92" t="str">
        <f>IFERROR(__xludf.DUMMYFUNCTION("""COMPUTED_VALUE"""),"@LucasHunt16")</f>
        <v>@LucasHunt16</v>
      </c>
      <c r="H563" s="94" t="str">
        <f>IFERROR(__xludf.DUMMYFUNCTION("""COMPUTED_VALUE"""),"(469) 525-1592")</f>
        <v>(469) 525-1592</v>
      </c>
      <c r="I563" s="94" t="str">
        <f>IFERROR(__xludf.DUMMYFUNCTION("""COMPUTED_VALUE"""),"Student")</f>
        <v>Student</v>
      </c>
      <c r="J563" s="93" t="str">
        <f>IFERROR(__xludf.DUMMYFUNCTION("""COMPUTED_VALUE"""),"$15 Donation, Discord Verification")</f>
        <v>$15 Donation, Discord Verification</v>
      </c>
      <c r="K563" s="100" t="b">
        <v>0</v>
      </c>
      <c r="L563" s="101" t="str">
        <f>IFERROR(__xludf.DUMMYFUNCTION("""COMPUTED_VALUE"""),"Paypal")</f>
        <v>Paypal</v>
      </c>
      <c r="M563" s="100"/>
      <c r="N563" s="97" t="b">
        <v>1</v>
      </c>
      <c r="O563" s="93" t="str">
        <f>IFERROR(__xludf.DUMMYFUNCTION("""COMPUTED_VALUE"""),"Fundraising, PR, Membership, Feeding, Fostering, Shelter Maintenance")</f>
        <v>Fundraising, PR, Membership, Feeding, Fostering, Shelter Maintenance</v>
      </c>
      <c r="P56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63" s="99"/>
    </row>
    <row r="564" ht="15.75" customHeight="1">
      <c r="A564" s="149">
        <f>IFERROR(__xludf.DUMMYFUNCTION("""COMPUTED_VALUE"""),45908.66092069444)</f>
        <v>45908.66092</v>
      </c>
      <c r="B564" s="150" t="b">
        <v>1</v>
      </c>
      <c r="C564" s="149" t="str">
        <f t="shared" si="4"/>
        <v>Fall 2025</v>
      </c>
      <c r="D564" s="151" t="str">
        <f>IFERROR(__xludf.DUMMYFUNCTION("""COMPUTED_VALUE"""),"wxb8531@mavs.uta.edu")</f>
        <v>wxb8531@mavs.uta.edu</v>
      </c>
      <c r="E564" s="152" t="str">
        <f>IFERROR(__xludf.DUMMYFUNCTION("""COMPUTED_VALUE"""),"William Brammer")</f>
        <v>William Brammer</v>
      </c>
      <c r="F564" s="153" t="str">
        <f>IFERROR(__xludf.DUMMYFUNCTION("""COMPUTED_VALUE"""),"boxman4432")</f>
        <v>boxman4432</v>
      </c>
      <c r="G564" s="152" t="str">
        <f>IFERROR(__xludf.DUMMYFUNCTION("""COMPUTED_VALUE"""),"I donated food to Kaz")</f>
        <v>I donated food to Kaz</v>
      </c>
      <c r="H564" s="154" t="str">
        <f>IFERROR(__xludf.DUMMYFUNCTION("""COMPUTED_VALUE"""),"(817) 526-0245")</f>
        <v>(817) 526-0245</v>
      </c>
      <c r="I564" s="154" t="str">
        <f>IFERROR(__xludf.DUMMYFUNCTION("""COMPUTED_VALUE"""),"Student")</f>
        <v>Student</v>
      </c>
      <c r="J564" s="153" t="str">
        <f>IFERROR(__xludf.DUMMYFUNCTION("""COMPUTED_VALUE"""),"Food/Litter Donation")</f>
        <v>Food/Litter Donation</v>
      </c>
      <c r="K564" s="155" t="b">
        <v>0</v>
      </c>
      <c r="L564" s="156"/>
      <c r="M564" s="155"/>
      <c r="N564" s="171" t="b">
        <v>0</v>
      </c>
      <c r="O564" s="153" t="str">
        <f>IFERROR(__xludf.DUMMYFUNCTION("""COMPUTED_VALUE"""),"PR, TNR, Shelter Maintenance")</f>
        <v>PR, TNR, Shelter Maintenance</v>
      </c>
      <c r="P564" s="157"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64" s="158" t="s">
        <v>71</v>
      </c>
    </row>
    <row r="565" ht="15.75" customHeight="1">
      <c r="A565" s="88">
        <f>IFERROR(__xludf.DUMMYFUNCTION("""COMPUTED_VALUE"""),45908.79775849537)</f>
        <v>45908.79776</v>
      </c>
      <c r="B565" s="89" t="b">
        <v>1</v>
      </c>
      <c r="C565" s="90" t="str">
        <f t="shared" si="4"/>
        <v>Fall 2025</v>
      </c>
      <c r="D565" s="91" t="str">
        <f>IFERROR(__xludf.DUMMYFUNCTION("""COMPUTED_VALUE"""),"exb7401@mavs.uta.edu")</f>
        <v>exb7401@mavs.uta.edu</v>
      </c>
      <c r="E565" s="92" t="str">
        <f>IFERROR(__xludf.DUMMYFUNCTION("""COMPUTED_VALUE"""),"Eduardo Barrera")</f>
        <v>Eduardo Barrera</v>
      </c>
      <c r="F565" s="93" t="str">
        <f>IFERROR(__xludf.DUMMYFUNCTION("""COMPUTED_VALUE"""),"diaxart")</f>
        <v>diaxart</v>
      </c>
      <c r="G565" s="92" t="str">
        <f>IFERROR(__xludf.DUMMYFUNCTION("""COMPUTED_VALUE"""),"diacartp")</f>
        <v>diacartp</v>
      </c>
      <c r="H565" s="94" t="str">
        <f>IFERROR(__xludf.DUMMYFUNCTION("""COMPUTED_VALUE"""),"(682) 320-1972")</f>
        <v>(682) 320-1972</v>
      </c>
      <c r="I565" s="94" t="str">
        <f>IFERROR(__xludf.DUMMYFUNCTION("""COMPUTED_VALUE"""),"Student")</f>
        <v>Student</v>
      </c>
      <c r="J565" s="93" t="str">
        <f>IFERROR(__xludf.DUMMYFUNCTION("""COMPUTED_VALUE"""),"$15 Donation, Discord Verification")</f>
        <v>$15 Donation, Discord Verification</v>
      </c>
      <c r="K565" s="100" t="b">
        <v>0</v>
      </c>
      <c r="L565" s="101" t="str">
        <f>IFERROR(__xludf.DUMMYFUNCTION("""COMPUTED_VALUE"""),"Paypal")</f>
        <v>Paypal</v>
      </c>
      <c r="M565" s="100"/>
      <c r="N565" s="97" t="b">
        <v>1</v>
      </c>
      <c r="O565" s="93" t="str">
        <f>IFERROR(__xludf.DUMMYFUNCTION("""COMPUTED_VALUE"""),"Feeding")</f>
        <v>Feeding</v>
      </c>
      <c r="P56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65" s="99"/>
    </row>
    <row r="566" ht="15.75" customHeight="1">
      <c r="A566" s="88">
        <f>IFERROR(__xludf.DUMMYFUNCTION("""COMPUTED_VALUE"""),45908.84433346065)</f>
        <v>45908.84433</v>
      </c>
      <c r="B566" s="89" t="b">
        <v>1</v>
      </c>
      <c r="C566" s="90" t="str">
        <f t="shared" si="4"/>
        <v>Fall 2025</v>
      </c>
      <c r="D566" s="91" t="str">
        <f>IFERROR(__xludf.DUMMYFUNCTION("""COMPUTED_VALUE"""),"jpm6498@mavs.uta.edu")</f>
        <v>jpm6498@mavs.uta.edu</v>
      </c>
      <c r="E566" s="92" t="str">
        <f>IFERROR(__xludf.DUMMYFUNCTION("""COMPUTED_VALUE"""),"Julia Magaña")</f>
        <v>Julia Magaña</v>
      </c>
      <c r="F566" s="93" t="str">
        <f>IFERROR(__xludf.DUMMYFUNCTION("""COMPUTED_VALUE"""),"iliekwatchingnarutoowo")</f>
        <v>iliekwatchingnarutoowo</v>
      </c>
      <c r="G566" s="92" t="str">
        <f>IFERROR(__xludf.DUMMYFUNCTION("""COMPUTED_VALUE"""),"$Wolfclan9945")</f>
        <v>$Wolfclan9945</v>
      </c>
      <c r="H566" s="94" t="str">
        <f>IFERROR(__xludf.DUMMYFUNCTION("""COMPUTED_VALUE"""),"(214) 433-2969")</f>
        <v>(214) 433-2969</v>
      </c>
      <c r="I566" s="94" t="str">
        <f>IFERROR(__xludf.DUMMYFUNCTION("""COMPUTED_VALUE"""),"Student")</f>
        <v>Student</v>
      </c>
      <c r="J566" s="93" t="str">
        <f>IFERROR(__xludf.DUMMYFUNCTION("""COMPUTED_VALUE"""),"$15 Donation, Discord Verification")</f>
        <v>$15 Donation, Discord Verification</v>
      </c>
      <c r="K566" s="100" t="b">
        <v>0</v>
      </c>
      <c r="L566" s="101" t="str">
        <f>IFERROR(__xludf.DUMMYFUNCTION("""COMPUTED_VALUE"""),"Cashapp")</f>
        <v>Cashapp</v>
      </c>
      <c r="M566" s="100"/>
      <c r="N566" s="97" t="b">
        <v>1</v>
      </c>
      <c r="O566" s="93" t="str">
        <f>IFERROR(__xludf.DUMMYFUNCTION("""COMPUTED_VALUE"""),"Feeding, Shelter Maintenance")</f>
        <v>Feeding, Shelter Maintenance</v>
      </c>
      <c r="P56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66" s="99"/>
    </row>
    <row r="567" ht="15.75" customHeight="1">
      <c r="A567" s="88">
        <f>IFERROR(__xludf.DUMMYFUNCTION("""COMPUTED_VALUE"""),45910.47000071759)</f>
        <v>45910.47</v>
      </c>
      <c r="B567" s="89" t="b">
        <v>1</v>
      </c>
      <c r="C567" s="90" t="str">
        <f t="shared" si="4"/>
        <v>Fall 2025</v>
      </c>
      <c r="D567" s="91" t="str">
        <f>IFERROR(__xludf.DUMMYFUNCTION("""COMPUTED_VALUE"""),"xxc0192@mavs.uta.edu")</f>
        <v>xxc0192@mavs.uta.edu</v>
      </c>
      <c r="E567" s="92" t="str">
        <f>IFERROR(__xludf.DUMMYFUNCTION("""COMPUTED_VALUE"""),"Xander Bluett Chaudhry ")</f>
        <v>Xander Bluett Chaudhry </v>
      </c>
      <c r="F567" s="93" t="str">
        <f>IFERROR(__xludf.DUMMYFUNCTION("""COMPUTED_VALUE"""),"PhoenixVoidz")</f>
        <v>PhoenixVoidz</v>
      </c>
      <c r="G567" s="92" t="str">
        <f>IFERROR(__xludf.DUMMYFUNCTION("""COMPUTED_VALUE"""),"N/A")</f>
        <v>N/A</v>
      </c>
      <c r="H567" s="94" t="str">
        <f>IFERROR(__xludf.DUMMYFUNCTION("""COMPUTED_VALUE"""),"(817) 602-4530")</f>
        <v>(817) 602-4530</v>
      </c>
      <c r="I567" s="94" t="str">
        <f>IFERROR(__xludf.DUMMYFUNCTION("""COMPUTED_VALUE"""),"Student")</f>
        <v>Student</v>
      </c>
      <c r="J567" s="93" t="str">
        <f>IFERROR(__xludf.DUMMYFUNCTION("""COMPUTED_VALUE"""),"$15 Donation, Discord Verification")</f>
        <v>$15 Donation, Discord Verification</v>
      </c>
      <c r="K567" s="100" t="b">
        <v>0</v>
      </c>
      <c r="L567" s="101" t="str">
        <f>IFERROR(__xludf.DUMMYFUNCTION("""COMPUTED_VALUE"""),"Cash")</f>
        <v>Cash</v>
      </c>
      <c r="M567" s="100"/>
      <c r="N567" s="97" t="b">
        <v>1</v>
      </c>
      <c r="O567" s="93" t="str">
        <f>IFERROR(__xludf.DUMMYFUNCTION("""COMPUTED_VALUE"""),"Fundraising, TNR, Feeding, Shelter Maintenance")</f>
        <v>Fundraising, TNR, Feeding, Shelter Maintenance</v>
      </c>
      <c r="P56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67" s="99"/>
    </row>
    <row r="568" ht="15.75" customHeight="1">
      <c r="A568" s="88">
        <f>IFERROR(__xludf.DUMMYFUNCTION("""COMPUTED_VALUE"""),45910.470519675924)</f>
        <v>45910.47052</v>
      </c>
      <c r="B568" s="88" t="b">
        <v>0</v>
      </c>
      <c r="C568" s="90" t="str">
        <f t="shared" si="4"/>
        <v>Fall 2025</v>
      </c>
      <c r="D568" s="91" t="str">
        <f>IFERROR(__xludf.DUMMYFUNCTION("""COMPUTED_VALUE"""),"mayitorodriguez2006@gmail.com")</f>
        <v>mayitorodriguez2006@gmail.com</v>
      </c>
      <c r="E568" s="92" t="str">
        <f>IFERROR(__xludf.DUMMYFUNCTION("""COMPUTED_VALUE"""),"Mario Rodriguez ")</f>
        <v>Mario Rodriguez </v>
      </c>
      <c r="F568" s="93" t="str">
        <f>IFERROR(__xludf.DUMMYFUNCTION("""COMPUTED_VALUE"""),"itech12345")</f>
        <v>itech12345</v>
      </c>
      <c r="G568" s="92" t="str">
        <f>IFERROR(__xludf.DUMMYFUNCTION("""COMPUTED_VALUE"""),"$MarioRod0720")</f>
        <v>$MarioRod0720</v>
      </c>
      <c r="H568" s="94" t="str">
        <f>IFERROR(__xludf.DUMMYFUNCTION("""COMPUTED_VALUE"""),"(682) 718-8818")</f>
        <v>(682) 718-8818</v>
      </c>
      <c r="I568" s="94" t="str">
        <f>IFERROR(__xludf.DUMMYFUNCTION("""COMPUTED_VALUE"""),"Student")</f>
        <v>Student</v>
      </c>
      <c r="J568" s="93" t="str">
        <f>IFERROR(__xludf.DUMMYFUNCTION("""COMPUTED_VALUE"""),"$15 Donation, Discord Verification")</f>
        <v>$15 Donation, Discord Verification</v>
      </c>
      <c r="K568" s="100" t="b">
        <v>0</v>
      </c>
      <c r="L568" s="101" t="str">
        <f>IFERROR(__xludf.DUMMYFUNCTION("""COMPUTED_VALUE"""),"Cashapp")</f>
        <v>Cashapp</v>
      </c>
      <c r="M568" s="100"/>
      <c r="N568" s="97" t="b">
        <v>1</v>
      </c>
      <c r="O568" s="93" t="str">
        <f>IFERROR(__xludf.DUMMYFUNCTION("""COMPUTED_VALUE"""),"Feeding")</f>
        <v>Feeding</v>
      </c>
      <c r="P56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68" s="99"/>
    </row>
    <row r="569" ht="15.75" customHeight="1">
      <c r="A569" s="88">
        <f>IFERROR(__xludf.DUMMYFUNCTION("""COMPUTED_VALUE"""),45910.47088375)</f>
        <v>45910.47088</v>
      </c>
      <c r="B569" s="89" t="b">
        <v>1</v>
      </c>
      <c r="C569" s="90" t="str">
        <f t="shared" si="4"/>
        <v>Fall 2025</v>
      </c>
      <c r="D569" s="91" t="str">
        <f>IFERROR(__xludf.DUMMYFUNCTION("""COMPUTED_VALUE"""),"lmm5417@mavs.uta.edu")</f>
        <v>lmm5417@mavs.uta.edu</v>
      </c>
      <c r="E569" s="92" t="str">
        <f>IFERROR(__xludf.DUMMYFUNCTION("""COMPUTED_VALUE"""),"Loren Mediana")</f>
        <v>Loren Mediana</v>
      </c>
      <c r="F569" s="93" t="str">
        <f>IFERROR(__xludf.DUMMYFUNCTION("""COMPUTED_VALUE"""),"baseketballin")</f>
        <v>baseketballin</v>
      </c>
      <c r="G569" s="92" t="str">
        <f>IFERROR(__xludf.DUMMYFUNCTION("""COMPUTED_VALUE"""),"Loren Mediana, @lorenwashere")</f>
        <v>Loren Mediana, @lorenwashere</v>
      </c>
      <c r="H569" s="94" t="str">
        <f>IFERROR(__xludf.DUMMYFUNCTION("""COMPUTED_VALUE"""),"(972) 603-8576")</f>
        <v>(972) 603-8576</v>
      </c>
      <c r="I569" s="94" t="str">
        <f>IFERROR(__xludf.DUMMYFUNCTION("""COMPUTED_VALUE"""),"Student")</f>
        <v>Student</v>
      </c>
      <c r="J569" s="93" t="str">
        <f>IFERROR(__xludf.DUMMYFUNCTION("""COMPUTED_VALUE"""),"$15 Donation, Discord Verification")</f>
        <v>$15 Donation, Discord Verification</v>
      </c>
      <c r="K569" s="100" t="b">
        <v>0</v>
      </c>
      <c r="L569" s="101" t="str">
        <f>IFERROR(__xludf.DUMMYFUNCTION("""COMPUTED_VALUE"""),"Paypal")</f>
        <v>Paypal</v>
      </c>
      <c r="M569" s="100"/>
      <c r="N569" s="97" t="b">
        <v>1</v>
      </c>
      <c r="O569" s="93" t="str">
        <f>IFERROR(__xludf.DUMMYFUNCTION("""COMPUTED_VALUE"""),"Fundraising, PR, Feeding")</f>
        <v>Fundraising, PR, Feeding</v>
      </c>
      <c r="P56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69" s="99"/>
    </row>
    <row r="570" ht="15.75" customHeight="1">
      <c r="A570" s="88">
        <f>IFERROR(__xludf.DUMMYFUNCTION("""COMPUTED_VALUE"""),45910.47143917824)</f>
        <v>45910.47144</v>
      </c>
      <c r="B570" s="89" t="b">
        <v>1</v>
      </c>
      <c r="C570" s="90" t="str">
        <f t="shared" si="4"/>
        <v>Fall 2025</v>
      </c>
      <c r="D570" s="91" t="str">
        <f>IFERROR(__xludf.DUMMYFUNCTION("""COMPUTED_VALUE"""),"btt4576@mavs.uta.edu")</f>
        <v>btt4576@mavs.uta.edu</v>
      </c>
      <c r="E570" s="92" t="str">
        <f>IFERROR(__xludf.DUMMYFUNCTION("""COMPUTED_VALUE"""),"Benjamin Tucker")</f>
        <v>Benjamin Tucker</v>
      </c>
      <c r="F570" s="93" t="str">
        <f>IFERROR(__xludf.DUMMYFUNCTION("""COMPUTED_VALUE"""),"void_now")</f>
        <v>void_now</v>
      </c>
      <c r="G570" s="92" t="str">
        <f>IFERROR(__xludf.DUMMYFUNCTION("""COMPUTED_VALUE"""),"No it is the same")</f>
        <v>No it is the same</v>
      </c>
      <c r="H570" s="94" t="str">
        <f>IFERROR(__xludf.DUMMYFUNCTION("""COMPUTED_VALUE"""),"(214) 972-5108")</f>
        <v>(214) 972-5108</v>
      </c>
      <c r="I570" s="94" t="str">
        <f>IFERROR(__xludf.DUMMYFUNCTION("""COMPUTED_VALUE"""),"Student")</f>
        <v>Student</v>
      </c>
      <c r="J570" s="93" t="str">
        <f>IFERROR(__xludf.DUMMYFUNCTION("""COMPUTED_VALUE"""),"Food/Litter Donation")</f>
        <v>Food/Litter Donation</v>
      </c>
      <c r="K570" s="100" t="b">
        <v>0</v>
      </c>
      <c r="L570" s="101"/>
      <c r="M570" s="100"/>
      <c r="N570" s="97" t="b">
        <v>1</v>
      </c>
      <c r="O570" s="93" t="str">
        <f>IFERROR(__xludf.DUMMYFUNCTION("""COMPUTED_VALUE"""),"Feeding")</f>
        <v>Feeding</v>
      </c>
      <c r="P57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70" s="99"/>
    </row>
    <row r="571" ht="15.75" customHeight="1">
      <c r="A571" s="88">
        <f>IFERROR(__xludf.DUMMYFUNCTION("""COMPUTED_VALUE"""),45910.47155164352)</f>
        <v>45910.47155</v>
      </c>
      <c r="B571" s="89" t="b">
        <v>1</v>
      </c>
      <c r="C571" s="90" t="str">
        <f t="shared" si="4"/>
        <v>Fall 2025</v>
      </c>
      <c r="D571" s="91" t="str">
        <f>IFERROR(__xludf.DUMMYFUNCTION("""COMPUTED_VALUE"""),"mtl3955@mavs.uta.edu")</f>
        <v>mtl3955@mavs.uta.edu</v>
      </c>
      <c r="E571" s="92" t="str">
        <f>IFERROR(__xludf.DUMMYFUNCTION("""COMPUTED_VALUE"""),"Miranda Lee")</f>
        <v>Miranda Lee</v>
      </c>
      <c r="F571" s="93" t="str">
        <f>IFERROR(__xludf.DUMMYFUNCTION("""COMPUTED_VALUE"""),"adeyumii")</f>
        <v>adeyumii</v>
      </c>
      <c r="G571" s="92" t="str">
        <f>IFERROR(__xludf.DUMMYFUNCTION("""COMPUTED_VALUE"""),"I feed the lot 50 hooligans with my own money, like $20 a month")</f>
        <v>I feed the lot 50 hooligans with my own money, like $20 a month</v>
      </c>
      <c r="H571" s="94" t="str">
        <f>IFERROR(__xludf.DUMMYFUNCTION("""COMPUTED_VALUE"""),"(832) 243-2216")</f>
        <v>(832) 243-2216</v>
      </c>
      <c r="I571" s="94" t="str">
        <f>IFERROR(__xludf.DUMMYFUNCTION("""COMPUTED_VALUE"""),"Student")</f>
        <v>Student</v>
      </c>
      <c r="J571" s="93" t="str">
        <f>IFERROR(__xludf.DUMMYFUNCTION("""COMPUTED_VALUE"""),"Food/Litter Donation")</f>
        <v>Food/Litter Donation</v>
      </c>
      <c r="K571" s="100" t="b">
        <v>0</v>
      </c>
      <c r="L571" s="101"/>
      <c r="M571" s="100"/>
      <c r="N571" s="97" t="b">
        <v>1</v>
      </c>
      <c r="O571" s="93" t="str">
        <f>IFERROR(__xludf.DUMMYFUNCTION("""COMPUTED_VALUE"""),"TNR, Overnight TNR, Feeding, Shelter Maintenance")</f>
        <v>TNR, Overnight TNR, Feeding, Shelter Maintenance</v>
      </c>
      <c r="P57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71" s="99"/>
    </row>
    <row r="572" ht="15.75" customHeight="1">
      <c r="A572" s="88">
        <f>IFERROR(__xludf.DUMMYFUNCTION("""COMPUTED_VALUE"""),45910.477179814814)</f>
        <v>45910.47718</v>
      </c>
      <c r="B572" s="89" t="b">
        <v>1</v>
      </c>
      <c r="C572" s="90" t="str">
        <f t="shared" si="4"/>
        <v>Fall 2025</v>
      </c>
      <c r="D572" s="91" t="str">
        <f>IFERROR(__xludf.DUMMYFUNCTION("""COMPUTED_VALUE"""),"mjp0088@mavs.uta.edu")</f>
        <v>mjp0088@mavs.uta.edu</v>
      </c>
      <c r="E572" s="92" t="str">
        <f>IFERROR(__xludf.DUMMYFUNCTION("""COMPUTED_VALUE"""),"Marco Paessler")</f>
        <v>Marco Paessler</v>
      </c>
      <c r="F572" s="93" t="str">
        <f>IFERROR(__xludf.DUMMYFUNCTION("""COMPUTED_VALUE"""),"Marco")</f>
        <v>Marco</v>
      </c>
      <c r="G572" s="92" t="str">
        <f>IFERROR(__xludf.DUMMYFUNCTION("""COMPUTED_VALUE"""),"Marco ")</f>
        <v>Marco </v>
      </c>
      <c r="H572" s="94" t="str">
        <f>IFERROR(__xludf.DUMMYFUNCTION("""COMPUTED_VALUE"""),"(409) 392-6880")</f>
        <v>(409) 392-6880</v>
      </c>
      <c r="I572" s="94" t="str">
        <f>IFERROR(__xludf.DUMMYFUNCTION("""COMPUTED_VALUE"""),"Student")</f>
        <v>Student</v>
      </c>
      <c r="J572" s="93" t="str">
        <f>IFERROR(__xludf.DUMMYFUNCTION("""COMPUTED_VALUE"""),"$15 Donation, Discord Verification")</f>
        <v>$15 Donation, Discord Verification</v>
      </c>
      <c r="K572" s="100" t="b">
        <v>0</v>
      </c>
      <c r="L572" s="101" t="str">
        <f>IFERROR(__xludf.DUMMYFUNCTION("""COMPUTED_VALUE"""),"Cash")</f>
        <v>Cash</v>
      </c>
      <c r="M572" s="100"/>
      <c r="N572" s="97" t="b">
        <v>1</v>
      </c>
      <c r="O572" s="93" t="str">
        <f>IFERROR(__xludf.DUMMYFUNCTION("""COMPUTED_VALUE"""),"TNR")</f>
        <v>TNR</v>
      </c>
      <c r="P57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72" s="99"/>
    </row>
    <row r="573" ht="15.75" customHeight="1">
      <c r="A573" s="149">
        <f>IFERROR(__xludf.DUMMYFUNCTION("""COMPUTED_VALUE"""),45910.47757059028)</f>
        <v>45910.47757</v>
      </c>
      <c r="B573" s="150" t="b">
        <v>1</v>
      </c>
      <c r="C573" s="149" t="str">
        <f t="shared" si="4"/>
        <v>Fall 2025</v>
      </c>
      <c r="D573" s="151" t="str">
        <f>IFERROR(__xludf.DUMMYFUNCTION("""COMPUTED_VALUE"""),"nsh9723@mavs.uta.edu")</f>
        <v>nsh9723@mavs.uta.edu</v>
      </c>
      <c r="E573" s="152" t="str">
        <f>IFERROR(__xludf.DUMMYFUNCTION("""COMPUTED_VALUE"""),"Nicholas Ho")</f>
        <v>Nicholas Ho</v>
      </c>
      <c r="F573" s="153" t="str">
        <f>IFERROR(__xludf.DUMMYFUNCTION("""COMPUTED_VALUE"""),"rice.muncher")</f>
        <v>rice.muncher</v>
      </c>
      <c r="G573" s="152" t="str">
        <f>IFERROR(__xludf.DUMMYFUNCTION("""COMPUTED_VALUE"""),"Cash")</f>
        <v>Cash</v>
      </c>
      <c r="H573" s="154" t="str">
        <f>IFERROR(__xludf.DUMMYFUNCTION("""COMPUTED_VALUE"""),"(832) 668-4651")</f>
        <v>(832) 668-4651</v>
      </c>
      <c r="I573" s="154" t="str">
        <f>IFERROR(__xludf.DUMMYFUNCTION("""COMPUTED_VALUE"""),"Student")</f>
        <v>Student</v>
      </c>
      <c r="J573" s="153" t="str">
        <f>IFERROR(__xludf.DUMMYFUNCTION("""COMPUTED_VALUE"""),"$15 Donation, Discord Verification")</f>
        <v>$15 Donation, Discord Verification</v>
      </c>
      <c r="K573" s="155" t="b">
        <v>0</v>
      </c>
      <c r="L573" s="156" t="str">
        <f>IFERROR(__xludf.DUMMYFUNCTION("""COMPUTED_VALUE"""),"Cash")</f>
        <v>Cash</v>
      </c>
      <c r="M573" s="155"/>
      <c r="N573" s="171" t="b">
        <v>0</v>
      </c>
      <c r="O573" s="153" t="str">
        <f>IFERROR(__xludf.DUMMYFUNCTION("""COMPUTED_VALUE"""),"PR, Feeding")</f>
        <v>PR, Feeding</v>
      </c>
      <c r="P573" s="157"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73" s="158" t="s">
        <v>71</v>
      </c>
    </row>
    <row r="574" ht="15.75" customHeight="1">
      <c r="A574" s="149">
        <f>IFERROR(__xludf.DUMMYFUNCTION("""COMPUTED_VALUE"""),45910.47970105324)</f>
        <v>45910.4797</v>
      </c>
      <c r="B574" s="150" t="b">
        <v>1</v>
      </c>
      <c r="C574" s="149" t="str">
        <f t="shared" si="4"/>
        <v>Fall 2025</v>
      </c>
      <c r="D574" s="151" t="str">
        <f>IFERROR(__xludf.DUMMYFUNCTION("""COMPUTED_VALUE"""),"blb2567@mavs.uta.edu")</f>
        <v>blb2567@mavs.uta.edu</v>
      </c>
      <c r="E574" s="152" t="str">
        <f>IFERROR(__xludf.DUMMYFUNCTION("""COMPUTED_VALUE"""),"Brooke Bailey")</f>
        <v>Brooke Bailey</v>
      </c>
      <c r="F574" s="153" t="str">
        <f>IFERROR(__xludf.DUMMYFUNCTION("""COMPUTED_VALUE"""),"Silver0223")</f>
        <v>Silver0223</v>
      </c>
      <c r="G574" s="152" t="str">
        <f>IFERROR(__xludf.DUMMYFUNCTION("""COMPUTED_VALUE"""),"N/A")</f>
        <v>N/A</v>
      </c>
      <c r="H574" s="154" t="str">
        <f>IFERROR(__xludf.DUMMYFUNCTION("""COMPUTED_VALUE"""),"(817) 717-5234")</f>
        <v>(817) 717-5234</v>
      </c>
      <c r="I574" s="154" t="str">
        <f>IFERROR(__xludf.DUMMYFUNCTION("""COMPUTED_VALUE"""),"Student")</f>
        <v>Student</v>
      </c>
      <c r="J574" s="153" t="str">
        <f>IFERROR(__xludf.DUMMYFUNCTION("""COMPUTED_VALUE"""),"$15 Donation, Discord Verification")</f>
        <v>$15 Donation, Discord Verification</v>
      </c>
      <c r="K574" s="155" t="b">
        <v>0</v>
      </c>
      <c r="L574" s="156" t="str">
        <f>IFERROR(__xludf.DUMMYFUNCTION("""COMPUTED_VALUE"""),"Venmo")</f>
        <v>Venmo</v>
      </c>
      <c r="M574" s="155"/>
      <c r="N574" s="171" t="b">
        <v>0</v>
      </c>
      <c r="O574" s="153" t="str">
        <f>IFERROR(__xludf.DUMMYFUNCTION("""COMPUTED_VALUE"""),"Feeding")</f>
        <v>Feeding</v>
      </c>
      <c r="P574" s="157"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74" s="158" t="s">
        <v>71</v>
      </c>
    </row>
    <row r="575" ht="15.75" customHeight="1">
      <c r="A575" s="88">
        <f>IFERROR(__xludf.DUMMYFUNCTION("""COMPUTED_VALUE"""),45910.58875278935)</f>
        <v>45910.58875</v>
      </c>
      <c r="B575" s="88" t="b">
        <v>0</v>
      </c>
      <c r="C575" s="90" t="str">
        <f t="shared" si="4"/>
        <v>Fall 2025</v>
      </c>
      <c r="D575" s="91" t="str">
        <f>IFERROR(__xludf.DUMMYFUNCTION("""COMPUTED_VALUE"""),"jordhard@hotmail.com")</f>
        <v>jordhard@hotmail.com</v>
      </c>
      <c r="E575" s="92" t="str">
        <f>IFERROR(__xludf.DUMMYFUNCTION("""COMPUTED_VALUE"""),"Jordan Hardin")</f>
        <v>Jordan Hardin</v>
      </c>
      <c r="F575" s="93" t="str">
        <f>IFERROR(__xludf.DUMMYFUNCTION("""COMPUTED_VALUE"""),"Kitadin")</f>
        <v>Kitadin</v>
      </c>
      <c r="G575" s="92" t="str">
        <f>IFERROR(__xludf.DUMMYFUNCTION("""COMPUTED_VALUE"""),"Kitadin")</f>
        <v>Kitadin</v>
      </c>
      <c r="H575" s="94" t="str">
        <f>IFERROR(__xludf.DUMMYFUNCTION("""COMPUTED_VALUE"""),"")</f>
        <v/>
      </c>
      <c r="I575" s="94" t="str">
        <f>IFERROR(__xludf.DUMMYFUNCTION("""COMPUTED_VALUE"""),"Community Member")</f>
        <v>Community Member</v>
      </c>
      <c r="J575" s="93" t="str">
        <f>IFERROR(__xludf.DUMMYFUNCTION("""COMPUTED_VALUE"""),"Food/Litter Donation")</f>
        <v>Food/Litter Donation</v>
      </c>
      <c r="K575" s="100" t="b">
        <v>0</v>
      </c>
      <c r="L575" s="101"/>
      <c r="M575" s="100"/>
      <c r="N575" s="97" t="b">
        <v>1</v>
      </c>
      <c r="O575" s="93" t="str">
        <f>IFERROR(__xludf.DUMMYFUNCTION("""COMPUTED_VALUE"""),"Feeding")</f>
        <v>Feeding</v>
      </c>
      <c r="P57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75" s="99"/>
    </row>
    <row r="576" ht="15.75" customHeight="1">
      <c r="A576" s="88">
        <f>IFERROR(__xludf.DUMMYFUNCTION("""COMPUTED_VALUE"""),45910.73353131945)</f>
        <v>45910.73353</v>
      </c>
      <c r="B576" s="89" t="b">
        <v>1</v>
      </c>
      <c r="C576" s="90" t="str">
        <f t="shared" si="4"/>
        <v>Fall 2025</v>
      </c>
      <c r="D576" s="91" t="str">
        <f>IFERROR(__xludf.DUMMYFUNCTION("""COMPUTED_VALUE"""),"odg5478@mavs.uta.edu")</f>
        <v>odg5478@mavs.uta.edu</v>
      </c>
      <c r="E576" s="92" t="str">
        <f>IFERROR(__xludf.DUMMYFUNCTION("""COMPUTED_VALUE"""),"Olivia Gunstream ")</f>
        <v>Olivia Gunstream </v>
      </c>
      <c r="F576" s="93" t="str">
        <f>IFERROR(__xludf.DUMMYFUNCTION("""COMPUTED_VALUE"""),"oliviagunstream")</f>
        <v>oliviagunstream</v>
      </c>
      <c r="G576" s="92" t="str">
        <f>IFERROR(__xludf.DUMMYFUNCTION("""COMPUTED_VALUE"""),"N/A")</f>
        <v>N/A</v>
      </c>
      <c r="H576" s="94" t="str">
        <f>IFERROR(__xludf.DUMMYFUNCTION("""COMPUTED_VALUE"""),"(972)  99-8 30")</f>
        <v>(972)  99-8 30</v>
      </c>
      <c r="I576" s="94" t="str">
        <f>IFERROR(__xludf.DUMMYFUNCTION("""COMPUTED_VALUE"""),"Student")</f>
        <v>Student</v>
      </c>
      <c r="J576" s="93" t="str">
        <f>IFERROR(__xludf.DUMMYFUNCTION("""COMPUTED_VALUE"""),"$15 Donation, Discord Verification")</f>
        <v>$15 Donation, Discord Verification</v>
      </c>
      <c r="K576" s="100" t="b">
        <v>0</v>
      </c>
      <c r="L576" s="101" t="str">
        <f>IFERROR(__xludf.DUMMYFUNCTION("""COMPUTED_VALUE"""),"Cash")</f>
        <v>Cash</v>
      </c>
      <c r="M576" s="100"/>
      <c r="N576" s="97" t="b">
        <v>1</v>
      </c>
      <c r="O576" s="93" t="str">
        <f>IFERROR(__xludf.DUMMYFUNCTION("""COMPUTED_VALUE"""),"Feeding, Shelter Maintenance, I have a busy schedule though, i filled out another form, not sure which but it described feeding zones and other things but I plan on being a passive member, but also showing up to as many events as possible")</f>
        <v>Feeding, Shelter Maintenance, I have a busy schedule though, i filled out another form, not sure which but it described feeding zones and other things but I plan on being a passive member, but also showing up to as many events as possible</v>
      </c>
      <c r="P57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76" s="99"/>
    </row>
    <row r="577" ht="15.75" customHeight="1">
      <c r="A577" s="88">
        <f>IFERROR(__xludf.DUMMYFUNCTION("""COMPUTED_VALUE"""),45911.7328853125)</f>
        <v>45911.73289</v>
      </c>
      <c r="B577" s="88" t="b">
        <v>0</v>
      </c>
      <c r="C577" s="90" t="str">
        <f t="shared" si="4"/>
        <v>Fall 2025</v>
      </c>
      <c r="D577" s="91" t="str">
        <f>IFERROR(__xludf.DUMMYFUNCTION("""COMPUTED_VALUE"""),"axeltorres810@gmail.com")</f>
        <v>axeltorres810@gmail.com</v>
      </c>
      <c r="E577" s="92" t="str">
        <f>IFERROR(__xludf.DUMMYFUNCTION("""COMPUTED_VALUE"""),"Axel Torres")</f>
        <v>Axel Torres</v>
      </c>
      <c r="F577" s="93" t="str">
        <f>IFERROR(__xludf.DUMMYFUNCTION("""COMPUTED_VALUE"""),"Ludavis")</f>
        <v>Ludavis</v>
      </c>
      <c r="G577" s="92" t="str">
        <f>IFERROR(__xludf.DUMMYFUNCTION("""COMPUTED_VALUE"""),"Axel Torres")</f>
        <v>Axel Torres</v>
      </c>
      <c r="H577" s="94" t="str">
        <f>IFERROR(__xludf.DUMMYFUNCTION("""COMPUTED_VALUE"""),"")</f>
        <v/>
      </c>
      <c r="I577" s="94" t="str">
        <f>IFERROR(__xludf.DUMMYFUNCTION("""COMPUTED_VALUE"""),"Community Member")</f>
        <v>Community Member</v>
      </c>
      <c r="J577" s="93" t="str">
        <f>IFERROR(__xludf.DUMMYFUNCTION("""COMPUTED_VALUE"""),"$15 Donation, Discord Verification")</f>
        <v>$15 Donation, Discord Verification</v>
      </c>
      <c r="K577" s="100" t="b">
        <v>0</v>
      </c>
      <c r="L577" s="101" t="str">
        <f>IFERROR(__xludf.DUMMYFUNCTION("""COMPUTED_VALUE"""),"Paypal")</f>
        <v>Paypal</v>
      </c>
      <c r="M577" s="95">
        <v>25.0</v>
      </c>
      <c r="N577" s="97" t="b">
        <v>1</v>
      </c>
      <c r="O577" s="93" t="str">
        <f>IFERROR(__xludf.DUMMYFUNCTION("""COMPUTED_VALUE"""),"Fundraising, PR, Membership, TNR, Overnight TNR, Feeding, Fostering, Shelter Maintenance, Cheerleader team and Cat Walking Team")</f>
        <v>Fundraising, PR, Membership, TNR, Overnight TNR, Feeding, Fostering, Shelter Maintenance, Cheerleader team and Cat Walking Team</v>
      </c>
      <c r="P57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77" s="99"/>
    </row>
    <row r="578" ht="15.75" customHeight="1">
      <c r="A578" s="88">
        <f>IFERROR(__xludf.DUMMYFUNCTION("""COMPUTED_VALUE"""),45911.75766180556)</f>
        <v>45911.75766</v>
      </c>
      <c r="B578" s="89" t="b">
        <v>1</v>
      </c>
      <c r="C578" s="90" t="str">
        <f t="shared" si="4"/>
        <v>Fall 2025</v>
      </c>
      <c r="D578" s="91" t="str">
        <f>IFERROR(__xludf.DUMMYFUNCTION("""COMPUTED_VALUE"""),"txo5863@mavs.uta.edu")</f>
        <v>txo5863@mavs.uta.edu</v>
      </c>
      <c r="E578" s="92" t="str">
        <f>IFERROR(__xludf.DUMMYFUNCTION("""COMPUTED_VALUE"""),"Thorin Ong")</f>
        <v>Thorin Ong</v>
      </c>
      <c r="F578" s="93" t="str">
        <f>IFERROR(__xludf.DUMMYFUNCTION("""COMPUTED_VALUE"""),"not_d3fault_1420")</f>
        <v>not_d3fault_1420</v>
      </c>
      <c r="G578" s="92" t="str">
        <f>IFERROR(__xludf.DUMMYFUNCTION("""COMPUTED_VALUE"""),"n/a")</f>
        <v>n/a</v>
      </c>
      <c r="H578" s="94" t="str">
        <f>IFERROR(__xludf.DUMMYFUNCTION("""COMPUTED_VALUE"""),"(682) 252-0090")</f>
        <v>(682) 252-0090</v>
      </c>
      <c r="I578" s="94" t="str">
        <f>IFERROR(__xludf.DUMMYFUNCTION("""COMPUTED_VALUE"""),"Student")</f>
        <v>Student</v>
      </c>
      <c r="J578" s="93" t="str">
        <f>IFERROR(__xludf.DUMMYFUNCTION("""COMPUTED_VALUE"""),"$15 Donation, Discord Verification")</f>
        <v>$15 Donation, Discord Verification</v>
      </c>
      <c r="K578" s="100" t="b">
        <v>0</v>
      </c>
      <c r="L578" s="101" t="str">
        <f>IFERROR(__xludf.DUMMYFUNCTION("""COMPUTED_VALUE"""),"Cash")</f>
        <v>Cash</v>
      </c>
      <c r="M578" s="100"/>
      <c r="N578" s="97" t="b">
        <v>1</v>
      </c>
      <c r="O578" s="93" t="str">
        <f>IFERROR(__xludf.DUMMYFUNCTION("""COMPUTED_VALUE"""),"Fundraising, PR, Membership, Feeding, Shelter Maintenance")</f>
        <v>Fundraising, PR, Membership, Feeding, Shelter Maintenance</v>
      </c>
      <c r="P57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78" s="99"/>
    </row>
    <row r="579" ht="15.75" customHeight="1">
      <c r="A579" s="88">
        <f>IFERROR(__xludf.DUMMYFUNCTION("""COMPUTED_VALUE"""),45912.500556747684)</f>
        <v>45912.50056</v>
      </c>
      <c r="B579" s="89" t="b">
        <v>1</v>
      </c>
      <c r="C579" s="90" t="str">
        <f t="shared" si="4"/>
        <v>Fall 2025</v>
      </c>
      <c r="D579" s="91" t="str">
        <f>IFERROR(__xludf.DUMMYFUNCTION("""COMPUTED_VALUE"""),"jxm6053@mavs.uta.edu")</f>
        <v>jxm6053@mavs.uta.edu</v>
      </c>
      <c r="E579" s="92" t="str">
        <f>IFERROR(__xludf.DUMMYFUNCTION("""COMPUTED_VALUE"""),"Jasmin Martinez")</f>
        <v>Jasmin Martinez</v>
      </c>
      <c r="F579" s="93" t="str">
        <f>IFERROR(__xludf.DUMMYFUNCTION("""COMPUTED_VALUE"""),"nsyhjtj_")</f>
        <v>nsyhjtj_</v>
      </c>
      <c r="G579" s="92" t="str">
        <f>IFERROR(__xludf.DUMMYFUNCTION("""COMPUTED_VALUE"""),"Not different, same as legal name")</f>
        <v>Not different, same as legal name</v>
      </c>
      <c r="H579" s="94" t="str">
        <f>IFERROR(__xludf.DUMMYFUNCTION("""COMPUTED_VALUE"""),"(682) 785-7064")</f>
        <v>(682) 785-7064</v>
      </c>
      <c r="I579" s="94" t="str">
        <f>IFERROR(__xludf.DUMMYFUNCTION("""COMPUTED_VALUE"""),"Student")</f>
        <v>Student</v>
      </c>
      <c r="J579" s="93" t="str">
        <f>IFERROR(__xludf.DUMMYFUNCTION("""COMPUTED_VALUE"""),"$15 Donation, Discord Verification")</f>
        <v>$15 Donation, Discord Verification</v>
      </c>
      <c r="K579" s="100" t="b">
        <v>0</v>
      </c>
      <c r="L579" s="101" t="str">
        <f>IFERROR(__xludf.DUMMYFUNCTION("""COMPUTED_VALUE"""),"Paypal")</f>
        <v>Paypal</v>
      </c>
      <c r="M579" s="100"/>
      <c r="N579" s="97" t="b">
        <v>1</v>
      </c>
      <c r="O579" s="93" t="str">
        <f>IFERROR(__xludf.DUMMYFUNCTION("""COMPUTED_VALUE"""),"Feeding, Shelter Maintenance")</f>
        <v>Feeding, Shelter Maintenance</v>
      </c>
      <c r="P57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79" s="99"/>
    </row>
    <row r="580" ht="15.75" customHeight="1">
      <c r="A580" s="88">
        <f>IFERROR(__xludf.DUMMYFUNCTION("""COMPUTED_VALUE"""),45912.64711651621)</f>
        <v>45912.64712</v>
      </c>
      <c r="B580" s="89" t="b">
        <v>1</v>
      </c>
      <c r="C580" s="90" t="str">
        <f t="shared" si="4"/>
        <v>Fall 2025</v>
      </c>
      <c r="D580" s="91" t="str">
        <f>IFERROR(__xludf.DUMMYFUNCTION("""COMPUTED_VALUE"""),"axb0208@mavs.uta.edu")</f>
        <v>axb0208@mavs.uta.edu</v>
      </c>
      <c r="E580" s="92" t="str">
        <f>IFERROR(__xludf.DUMMYFUNCTION("""COMPUTED_VALUE"""),"Anya Brown")</f>
        <v>Anya Brown</v>
      </c>
      <c r="F580" s="93" t="str">
        <f>IFERROR(__xludf.DUMMYFUNCTION("""COMPUTED_VALUE"""),"gracious_onion")</f>
        <v>gracious_onion</v>
      </c>
      <c r="G580" s="92" t="str">
        <f>IFERROR(__xludf.DUMMYFUNCTION("""COMPUTED_VALUE"""),"N/A")</f>
        <v>N/A</v>
      </c>
      <c r="H580" s="94" t="str">
        <f>IFERROR(__xludf.DUMMYFUNCTION("""COMPUTED_VALUE"""),"(682) 200-2247")</f>
        <v>(682) 200-2247</v>
      </c>
      <c r="I580" s="94" t="str">
        <f>IFERROR(__xludf.DUMMYFUNCTION("""COMPUTED_VALUE"""),"Student")</f>
        <v>Student</v>
      </c>
      <c r="J580" s="93" t="str">
        <f>IFERROR(__xludf.DUMMYFUNCTION("""COMPUTED_VALUE"""),"Food/Litter Donation")</f>
        <v>Food/Litter Donation</v>
      </c>
      <c r="K580" s="100" t="b">
        <v>0</v>
      </c>
      <c r="L580" s="101"/>
      <c r="M580" s="100"/>
      <c r="N580" s="97" t="b">
        <v>1</v>
      </c>
      <c r="O580" s="93" t="str">
        <f>IFERROR(__xludf.DUMMYFUNCTION("""COMPUTED_VALUE"""),"Fundraising")</f>
        <v>Fundraising</v>
      </c>
      <c r="P58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80" s="99"/>
    </row>
    <row r="581" ht="15.75" customHeight="1">
      <c r="A581" s="149">
        <f>IFERROR(__xludf.DUMMYFUNCTION("""COMPUTED_VALUE"""),45912.85025539352)</f>
        <v>45912.85026</v>
      </c>
      <c r="B581" s="149" t="b">
        <v>0</v>
      </c>
      <c r="C581" s="149" t="str">
        <f t="shared" si="4"/>
        <v>Fall 2025</v>
      </c>
      <c r="D581" s="151" t="str">
        <f>IFERROR(__xludf.DUMMYFUNCTION("""COMPUTED_VALUE"""),"lxn4625@mavs.uta.edu")</f>
        <v>lxn4625@mavs.uta.edu</v>
      </c>
      <c r="E581" s="152" t="str">
        <f>IFERROR(__xludf.DUMMYFUNCTION("""COMPUTED_VALUE"""),"Leely Nguyen")</f>
        <v>Leely Nguyen</v>
      </c>
      <c r="F581" s="153" t="str">
        <f>IFERROR(__xludf.DUMMYFUNCTION("""COMPUTED_VALUE"""),"toast1nos")</f>
        <v>toast1nos</v>
      </c>
      <c r="G581" s="152" t="str">
        <f>IFERROR(__xludf.DUMMYFUNCTION("""COMPUTED_VALUE"""),"N/A ")</f>
        <v>N/A </v>
      </c>
      <c r="H581" s="154" t="str">
        <f>IFERROR(__xludf.DUMMYFUNCTION("""COMPUTED_VALUE"""),"(469) 987-0202")</f>
        <v>(469) 987-0202</v>
      </c>
      <c r="I581" s="154" t="str">
        <f>IFERROR(__xludf.DUMMYFUNCTION("""COMPUTED_VALUE"""),"Student")</f>
        <v>Student</v>
      </c>
      <c r="J581" s="153" t="str">
        <f>IFERROR(__xludf.DUMMYFUNCTION("""COMPUTED_VALUE"""),"$15 Donation, Discord Verification")</f>
        <v>$15 Donation, Discord Verification</v>
      </c>
      <c r="K581" s="155" t="b">
        <v>0</v>
      </c>
      <c r="L581" s="156" t="str">
        <f>IFERROR(__xludf.DUMMYFUNCTION("""COMPUTED_VALUE"""),"Cash")</f>
        <v>Cash</v>
      </c>
      <c r="M581" s="155"/>
      <c r="N581" s="171" t="b">
        <v>0</v>
      </c>
      <c r="O581" s="153" t="str">
        <f>IFERROR(__xludf.DUMMYFUNCTION("""COMPUTED_VALUE"""),"TNR, Feeding, Shelter Maintenance")</f>
        <v>TNR, Feeding, Shelter Maintenance</v>
      </c>
      <c r="P581" s="157"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81" s="158" t="s">
        <v>71</v>
      </c>
    </row>
    <row r="582" ht="15.75" customHeight="1">
      <c r="A582" s="88">
        <f>IFERROR(__xludf.DUMMYFUNCTION("""COMPUTED_VALUE"""),45914.39254876158)</f>
        <v>45914.39255</v>
      </c>
      <c r="B582" s="89" t="b">
        <v>1</v>
      </c>
      <c r="C582" s="90" t="str">
        <f t="shared" si="4"/>
        <v>Fall 2025</v>
      </c>
      <c r="D582" s="91" t="str">
        <f>IFERROR(__xludf.DUMMYFUNCTION("""COMPUTED_VALUE"""),"bnw0860@mavs.uta.edu")</f>
        <v>bnw0860@mavs.uta.edu</v>
      </c>
      <c r="E582" s="92" t="str">
        <f>IFERROR(__xludf.DUMMYFUNCTION("""COMPUTED_VALUE"""),"Brigid Whitney ")</f>
        <v>Brigid Whitney </v>
      </c>
      <c r="F582" s="93" t="str">
        <f>IFERROR(__xludf.DUMMYFUNCTION("""COMPUTED_VALUE"""),"Stringworm / Reyesthighs ")</f>
        <v>Stringworm / Reyesthighs </v>
      </c>
      <c r="G582" s="92" t="str">
        <f>IFERROR(__xludf.DUMMYFUNCTION("""COMPUTED_VALUE"""),"Brigid Whitney ")</f>
        <v>Brigid Whitney </v>
      </c>
      <c r="H582" s="94" t="str">
        <f>IFERROR(__xludf.DUMMYFUNCTION("""COMPUTED_VALUE"""),"(817)  23-1 38")</f>
        <v>(817)  23-1 38</v>
      </c>
      <c r="I582" s="94" t="str">
        <f>IFERROR(__xludf.DUMMYFUNCTION("""COMPUTED_VALUE"""),"Student")</f>
        <v>Student</v>
      </c>
      <c r="J582" s="93" t="str">
        <f>IFERROR(__xludf.DUMMYFUNCTION("""COMPUTED_VALUE"""),"$15 Donation, Discord Verification")</f>
        <v>$15 Donation, Discord Verification</v>
      </c>
      <c r="K582" s="100" t="b">
        <v>0</v>
      </c>
      <c r="L582" s="101" t="str">
        <f>IFERROR(__xludf.DUMMYFUNCTION("""COMPUTED_VALUE"""),"Cashapp")</f>
        <v>Cashapp</v>
      </c>
      <c r="M582" s="100"/>
      <c r="N582" s="97" t="b">
        <v>1</v>
      </c>
      <c r="O582" s="93" t="str">
        <f>IFERROR(__xludf.DUMMYFUNCTION("""COMPUTED_VALUE"""),"Fundraising, TNR, Feeding, Fostering")</f>
        <v>Fundraising, TNR, Feeding, Fostering</v>
      </c>
      <c r="P58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82" s="99"/>
    </row>
    <row r="583" ht="13.5" customHeight="1">
      <c r="A583" s="88">
        <f>IFERROR(__xludf.DUMMYFUNCTION("""COMPUTED_VALUE"""),45914.90084032407)</f>
        <v>45914.90084</v>
      </c>
      <c r="B583" s="89" t="b">
        <v>1</v>
      </c>
      <c r="C583" s="90" t="str">
        <f t="shared" si="4"/>
        <v>Fall 2025</v>
      </c>
      <c r="D583" s="91" t="str">
        <f>IFERROR(__xludf.DUMMYFUNCTION("""COMPUTED_VALUE"""),"cgs0882@mavs.uta.edu")</f>
        <v>cgs0882@mavs.uta.edu</v>
      </c>
      <c r="E583" s="92" t="str">
        <f>IFERROR(__xludf.DUMMYFUNCTION("""COMPUTED_VALUE"""),"Celeste Smith")</f>
        <v>Celeste Smith</v>
      </c>
      <c r="F583" s="93" t="str">
        <f>IFERROR(__xludf.DUMMYFUNCTION("""COMPUTED_VALUE"""),"celeryiscelery")</f>
        <v>celeryiscelery</v>
      </c>
      <c r="G583" s="92" t="str">
        <f>IFERROR(__xludf.DUMMYFUNCTION("""COMPUTED_VALUE"""),"cel [head wench]")</f>
        <v>cel [head wench]</v>
      </c>
      <c r="H583" s="94" t="str">
        <f>IFERROR(__xludf.DUMMYFUNCTION("""COMPUTED_VALUE"""),"(801) 970-0281")</f>
        <v>(801) 970-0281</v>
      </c>
      <c r="I583" s="94" t="str">
        <f>IFERROR(__xludf.DUMMYFUNCTION("""COMPUTED_VALUE"""),"Student")</f>
        <v>Student</v>
      </c>
      <c r="J583" s="93" t="str">
        <f>IFERROR(__xludf.DUMMYFUNCTION("""COMPUTED_VALUE"""),"$15 Donation, Discord Verification")</f>
        <v>$15 Donation, Discord Verification</v>
      </c>
      <c r="K583" s="100" t="b">
        <v>0</v>
      </c>
      <c r="L583" s="101"/>
      <c r="M583" s="100"/>
      <c r="N583" s="97" t="b">
        <v>1</v>
      </c>
      <c r="O583" s="93" t="str">
        <f>IFERROR(__xludf.DUMMYFUNCTION("""COMPUTED_VALUE"""),"Fundraising, PR, Membership, TNR, Overnight TNR, Feeding, Fostering, Shelter Maintenance, ALL OF THEM")</f>
        <v>Fundraising, PR, Membership, TNR, Overnight TNR, Feeding, Fostering, Shelter Maintenance, ALL OF THEM</v>
      </c>
      <c r="P58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83" s="99"/>
    </row>
    <row r="584" ht="13.5" customHeight="1">
      <c r="A584" s="88">
        <f>IFERROR(__xludf.DUMMYFUNCTION("""COMPUTED_VALUE"""),45915.023010335644)</f>
        <v>45915.02301</v>
      </c>
      <c r="B584" s="89" t="b">
        <v>1</v>
      </c>
      <c r="C584" s="90" t="str">
        <f t="shared" si="4"/>
        <v>Fall 2025</v>
      </c>
      <c r="D584" s="91" t="str">
        <f>IFERROR(__xludf.DUMMYFUNCTION("""COMPUTED_VALUE"""),"deg2012@mavs.uta.edu")</f>
        <v>deg2012@mavs.uta.edu</v>
      </c>
      <c r="E584" s="92" t="str">
        <f>IFERROR(__xludf.DUMMYFUNCTION("""COMPUTED_VALUE"""),"Danielle Gammill")</f>
        <v>Danielle Gammill</v>
      </c>
      <c r="F584" s="93" t="str">
        <f>IFERROR(__xludf.DUMMYFUNCTION("""COMPUTED_VALUE"""),"dxniestrella")</f>
        <v>dxniestrella</v>
      </c>
      <c r="G584" s="92" t="str">
        <f>IFERROR(__xludf.DUMMYFUNCTION("""COMPUTED_VALUE"""),"n/a")</f>
        <v>n/a</v>
      </c>
      <c r="H584" s="94" t="str">
        <f>IFERROR(__xludf.DUMMYFUNCTION("""COMPUTED_VALUE"""),"(682) 667-4225")</f>
        <v>(682) 667-4225</v>
      </c>
      <c r="I584" s="94" t="str">
        <f>IFERROR(__xludf.DUMMYFUNCTION("""COMPUTED_VALUE"""),"Student")</f>
        <v>Student</v>
      </c>
      <c r="J584" s="93" t="str">
        <f>IFERROR(__xludf.DUMMYFUNCTION("""COMPUTED_VALUE"""),"$15 Donation, Discord Verification")</f>
        <v>$15 Donation, Discord Verification</v>
      </c>
      <c r="K584" s="100" t="b">
        <v>0</v>
      </c>
      <c r="L584" s="101" t="str">
        <f>IFERROR(__xludf.DUMMYFUNCTION("""COMPUTED_VALUE"""),"Cashapp")</f>
        <v>Cashapp</v>
      </c>
      <c r="M584" s="100"/>
      <c r="N584" s="97" t="b">
        <v>1</v>
      </c>
      <c r="O584" s="93" t="str">
        <f>IFERROR(__xludf.DUMMYFUNCTION("""COMPUTED_VALUE"""),"PR, Feeding")</f>
        <v>PR, Feeding</v>
      </c>
      <c r="P58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84" s="99"/>
    </row>
    <row r="585" ht="13.5" customHeight="1">
      <c r="A585" s="88">
        <f>IFERROR(__xludf.DUMMYFUNCTION("""COMPUTED_VALUE"""),45916.50152534722)</f>
        <v>45916.50153</v>
      </c>
      <c r="B585" s="89" t="b">
        <v>1</v>
      </c>
      <c r="C585" s="90" t="str">
        <f t="shared" si="4"/>
        <v>Fall 2025</v>
      </c>
      <c r="D585" s="91" t="str">
        <f>IFERROR(__xludf.DUMMYFUNCTION("""COMPUTED_VALUE"""),"lsh6876@mavs.uta.edu")</f>
        <v>lsh6876@mavs.uta.edu</v>
      </c>
      <c r="E585" s="92" t="str">
        <f>IFERROR(__xludf.DUMMYFUNCTION("""COMPUTED_VALUE"""),"Nick Hatcher")</f>
        <v>Nick Hatcher</v>
      </c>
      <c r="F585" s="93" t="str">
        <f>IFERROR(__xludf.DUMMYFUNCTION("""COMPUTED_VALUE"""),"coziidruid")</f>
        <v>coziidruid</v>
      </c>
      <c r="G585" s="92" t="str">
        <f>IFERROR(__xludf.DUMMYFUNCTION("""COMPUTED_VALUE"""),"N/A")</f>
        <v>N/A</v>
      </c>
      <c r="H585" s="94" t="str">
        <f>IFERROR(__xludf.DUMMYFUNCTION("""COMPUTED_VALUE"""),"(936) 355-6238")</f>
        <v>(936) 355-6238</v>
      </c>
      <c r="I585" s="94" t="str">
        <f>IFERROR(__xludf.DUMMYFUNCTION("""COMPUTED_VALUE"""),"Student")</f>
        <v>Student</v>
      </c>
      <c r="J585" s="93" t="str">
        <f>IFERROR(__xludf.DUMMYFUNCTION("""COMPUTED_VALUE"""),"Food/Litter Donation")</f>
        <v>Food/Litter Donation</v>
      </c>
      <c r="K585" s="100" t="b">
        <v>0</v>
      </c>
      <c r="L585" s="101"/>
      <c r="M585" s="100"/>
      <c r="N585" s="97" t="b">
        <v>1</v>
      </c>
      <c r="O585" s="93" t="str">
        <f>IFERROR(__xludf.DUMMYFUNCTION("""COMPUTED_VALUE"""),"Fundraising, PR, Membership, TNR, Overnight TNR, Feeding, Fostering, Shelter Maintenance")</f>
        <v>Fundraising, PR, Membership, TNR, Overnight TNR, Feeding, Fostering, Shelter Maintenance</v>
      </c>
      <c r="P58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85" s="99"/>
    </row>
    <row r="586" ht="13.5" customHeight="1">
      <c r="A586" s="88">
        <f>IFERROR(__xludf.DUMMYFUNCTION("""COMPUTED_VALUE"""),45918.8478009838)</f>
        <v>45918.8478</v>
      </c>
      <c r="B586" s="89" t="b">
        <v>1</v>
      </c>
      <c r="C586" s="90" t="str">
        <f t="shared" si="4"/>
        <v>Fall 2025</v>
      </c>
      <c r="D586" s="91" t="str">
        <f>IFERROR(__xludf.DUMMYFUNCTION("""COMPUTED_VALUE"""),"ejs8612@mavs.uta.edu")</f>
        <v>ejs8612@mavs.uta.edu</v>
      </c>
      <c r="E586" s="92" t="str">
        <f>IFERROR(__xludf.DUMMYFUNCTION("""COMPUTED_VALUE"""),"Emma Sampson")</f>
        <v>Emma Sampson</v>
      </c>
      <c r="F586" s="93" t="str">
        <f>IFERROR(__xludf.DUMMYFUNCTION("""COMPUTED_VALUE"""),"emlenisgremlin")</f>
        <v>emlenisgremlin</v>
      </c>
      <c r="G586" s="92" t="str">
        <f>IFERROR(__xludf.DUMMYFUNCTION("""COMPUTED_VALUE"""),"Paid in person")</f>
        <v>Paid in person</v>
      </c>
      <c r="H586" s="94" t="str">
        <f>IFERROR(__xludf.DUMMYFUNCTION("""COMPUTED_VALUE"""),"(817) 659-5623")</f>
        <v>(817) 659-5623</v>
      </c>
      <c r="I586" s="94" t="str">
        <f>IFERROR(__xludf.DUMMYFUNCTION("""COMPUTED_VALUE"""),"Student")</f>
        <v>Student</v>
      </c>
      <c r="J586" s="93" t="str">
        <f>IFERROR(__xludf.DUMMYFUNCTION("""COMPUTED_VALUE"""),"$15 Donation, Discord Verification")</f>
        <v>$15 Donation, Discord Verification</v>
      </c>
      <c r="K586" s="100" t="b">
        <v>0</v>
      </c>
      <c r="L586" s="101" t="str">
        <f>IFERROR(__xludf.DUMMYFUNCTION("""COMPUTED_VALUE"""),"Cash")</f>
        <v>Cash</v>
      </c>
      <c r="M586" s="100"/>
      <c r="N586" s="97" t="b">
        <v>1</v>
      </c>
      <c r="O586" s="93" t="str">
        <f>IFERROR(__xludf.DUMMYFUNCTION("""COMPUTED_VALUE"""),"Fundraising, TNR, Overnight TNR, Feeding, Shelter Maintenance")</f>
        <v>Fundraising, TNR, Overnight TNR, Feeding, Shelter Maintenance</v>
      </c>
      <c r="P58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86" s="99"/>
    </row>
    <row r="587" ht="13.5" customHeight="1">
      <c r="A587" s="88">
        <f>IFERROR(__xludf.DUMMYFUNCTION("""COMPUTED_VALUE"""),45919.458242719906)</f>
        <v>45919.45824</v>
      </c>
      <c r="B587" s="89" t="b">
        <v>1</v>
      </c>
      <c r="C587" s="90" t="str">
        <f t="shared" si="4"/>
        <v>Fall 2025</v>
      </c>
      <c r="D587" s="91" t="str">
        <f>IFERROR(__xludf.DUMMYFUNCTION("""COMPUTED_VALUE"""),"jxg7899@mavs.uta.edu")</f>
        <v>jxg7899@mavs.uta.edu</v>
      </c>
      <c r="E587" s="92" t="str">
        <f>IFERROR(__xludf.DUMMYFUNCTION("""COMPUTED_VALUE"""),"Jayda Green ")</f>
        <v>Jayda Green </v>
      </c>
      <c r="F587" s="93" t="str">
        <f>IFERROR(__xludf.DUMMYFUNCTION("""COMPUTED_VALUE"""),"melennui")</f>
        <v>melennui</v>
      </c>
      <c r="G587" s="92" t="str">
        <f>IFERROR(__xludf.DUMMYFUNCTION("""COMPUTED_VALUE"""),"n/a")</f>
        <v>n/a</v>
      </c>
      <c r="H587" s="94" t="str">
        <f>IFERROR(__xludf.DUMMYFUNCTION("""COMPUTED_VALUE"""),"(909) 351-9587")</f>
        <v>(909) 351-9587</v>
      </c>
      <c r="I587" s="94" t="str">
        <f>IFERROR(__xludf.DUMMYFUNCTION("""COMPUTED_VALUE"""),"Student")</f>
        <v>Student</v>
      </c>
      <c r="J587" s="93" t="str">
        <f>IFERROR(__xludf.DUMMYFUNCTION("""COMPUTED_VALUE"""),"Food/Litter Donation")</f>
        <v>Food/Litter Donation</v>
      </c>
      <c r="K587" s="100" t="b">
        <v>0</v>
      </c>
      <c r="L587" s="101"/>
      <c r="M587" s="100"/>
      <c r="N587" s="97" t="b">
        <v>1</v>
      </c>
      <c r="O587" s="93" t="str">
        <f>IFERROR(__xludf.DUMMYFUNCTION("""COMPUTED_VALUE"""),"Fundraising, TNR, Feeding, Shelter Maintenance")</f>
        <v>Fundraising, TNR, Feeding, Shelter Maintenance</v>
      </c>
      <c r="P58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87" s="99"/>
    </row>
    <row r="588" ht="13.5" customHeight="1">
      <c r="A588" s="88">
        <f>IFERROR(__xludf.DUMMYFUNCTION("""COMPUTED_VALUE"""),45920.7748147338)</f>
        <v>45920.77481</v>
      </c>
      <c r="B588" s="89" t="b">
        <v>1</v>
      </c>
      <c r="C588" s="90" t="str">
        <f t="shared" si="4"/>
        <v>Fall 2025</v>
      </c>
      <c r="D588" s="91" t="str">
        <f>IFERROR(__xludf.DUMMYFUNCTION("""COMPUTED_VALUE"""),"arg1945@mavs.uta.edu")</f>
        <v>arg1945@mavs.uta.edu</v>
      </c>
      <c r="E588" s="92" t="str">
        <f>IFERROR(__xludf.DUMMYFUNCTION("""COMPUTED_VALUE"""),"Anabelle romana Garcia ")</f>
        <v>Anabelle romana Garcia </v>
      </c>
      <c r="F588" s="93" t="str">
        <f>IFERROR(__xludf.DUMMYFUNCTION("""COMPUTED_VALUE"""),"blank_name0 ")</f>
        <v>blank_name0 </v>
      </c>
      <c r="G588" s="92" t="str">
        <f>IFERROR(__xludf.DUMMYFUNCTION("""COMPUTED_VALUE"""),"blank_name0 ")</f>
        <v>blank_name0 </v>
      </c>
      <c r="H588" s="94" t="str">
        <f>IFERROR(__xludf.DUMMYFUNCTION("""COMPUTED_VALUE"""),"(682) 597-8603")</f>
        <v>(682) 597-8603</v>
      </c>
      <c r="I588" s="94" t="str">
        <f>IFERROR(__xludf.DUMMYFUNCTION("""COMPUTED_VALUE"""),"Student")</f>
        <v>Student</v>
      </c>
      <c r="J588" s="93" t="str">
        <f>IFERROR(__xludf.DUMMYFUNCTION("""COMPUTED_VALUE"""),"$15 Donation, Discord Verification")</f>
        <v>$15 Donation, Discord Verification</v>
      </c>
      <c r="K588" s="100" t="b">
        <v>0</v>
      </c>
      <c r="L588" s="101" t="str">
        <f>IFERROR(__xludf.DUMMYFUNCTION("""COMPUTED_VALUE"""),"Cash")</f>
        <v>Cash</v>
      </c>
      <c r="M588" s="100"/>
      <c r="N588" s="97" t="b">
        <v>1</v>
      </c>
      <c r="O588" s="93" t="str">
        <f>IFERROR(__xludf.DUMMYFUNCTION("""COMPUTED_VALUE"""),"Feeding")</f>
        <v>Feeding</v>
      </c>
      <c r="P58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88" s="99"/>
    </row>
    <row r="589" ht="10.5" customHeight="1">
      <c r="A589" s="88">
        <f>IFERROR(__xludf.DUMMYFUNCTION("""COMPUTED_VALUE"""),45921.466536782405)</f>
        <v>45921.46654</v>
      </c>
      <c r="B589" s="89" t="b">
        <v>1</v>
      </c>
      <c r="C589" s="90" t="str">
        <f t="shared" si="4"/>
        <v>Fall 2025</v>
      </c>
      <c r="D589" s="91" t="str">
        <f>IFERROR(__xludf.DUMMYFUNCTION("""COMPUTED_VALUE"""),"axh8675@mavs.uta.edu")</f>
        <v>axh8675@mavs.uta.edu</v>
      </c>
      <c r="E589" s="92" t="str">
        <f>IFERROR(__xludf.DUMMYFUNCTION("""COMPUTED_VALUE"""),"Micaela Hamilton")</f>
        <v>Micaela Hamilton</v>
      </c>
      <c r="F589" s="93" t="str">
        <f>IFERROR(__xludf.DUMMYFUNCTION("""COMPUTED_VALUE"""),"mica.aaa")</f>
        <v>mica.aaa</v>
      </c>
      <c r="G589" s="92" t="str">
        <f>IFERROR(__xludf.DUMMYFUNCTION("""COMPUTED_VALUE"""),"N/A")</f>
        <v>N/A</v>
      </c>
      <c r="H589" s="94" t="str">
        <f>IFERROR(__xludf.DUMMYFUNCTION("""COMPUTED_VALUE"""),"(214) 585-8389")</f>
        <v>(214) 585-8389</v>
      </c>
      <c r="I589" s="94" t="str">
        <f>IFERROR(__xludf.DUMMYFUNCTION("""COMPUTED_VALUE"""),"Student")</f>
        <v>Student</v>
      </c>
      <c r="J589" s="93" t="str">
        <f>IFERROR(__xludf.DUMMYFUNCTION("""COMPUTED_VALUE"""),"$15 Donation, Discord Verification")</f>
        <v>$15 Donation, Discord Verification</v>
      </c>
      <c r="K589" s="100" t="b">
        <v>0</v>
      </c>
      <c r="L589" s="101" t="str">
        <f>IFERROR(__xludf.DUMMYFUNCTION("""COMPUTED_VALUE"""),"Cashapp")</f>
        <v>Cashapp</v>
      </c>
      <c r="M589" s="100"/>
      <c r="N589" s="97" t="b">
        <v>1</v>
      </c>
      <c r="O589" s="93" t="str">
        <f>IFERROR(__xludf.DUMMYFUNCTION("""COMPUTED_VALUE"""),"Membership, Feeding")</f>
        <v>Membership, Feeding</v>
      </c>
      <c r="P58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89" s="99"/>
    </row>
    <row r="590" ht="13.5" customHeight="1">
      <c r="A590" s="88"/>
      <c r="B590" s="88" t="b">
        <v>0</v>
      </c>
      <c r="C590" s="90" t="str">
        <f t="shared" si="4"/>
        <v/>
      </c>
      <c r="D590" s="92" t="str">
        <f>IFERROR(__xludf.DUMMYFUNCTION("""COMPUTED_VALUE"""),"")</f>
        <v/>
      </c>
      <c r="E590" s="92"/>
      <c r="F590" s="93"/>
      <c r="G590" s="92"/>
      <c r="H590" s="94" t="str">
        <f>IFERROR(__xludf.DUMMYFUNCTION("""COMPUTED_VALUE"""),"")</f>
        <v/>
      </c>
      <c r="I590" s="94" t="str">
        <f>IFERROR(__xludf.DUMMYFUNCTION("""COMPUTED_VALUE"""),"")</f>
        <v/>
      </c>
      <c r="J590" s="93" t="str">
        <f>IFERROR(__xludf.DUMMYFUNCTION("""COMPUTED_VALUE"""),"")</f>
        <v/>
      </c>
      <c r="K590" s="100" t="b">
        <v>0</v>
      </c>
      <c r="L590" s="101"/>
      <c r="M590" s="100"/>
      <c r="N590" s="97" t="b">
        <v>0</v>
      </c>
      <c r="O590" s="93" t="str">
        <f>IFERROR(__xludf.DUMMYFUNCTION("""COMPUTED_VALUE"""),"")</f>
        <v/>
      </c>
      <c r="P59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90" s="99"/>
    </row>
    <row r="591" ht="13.5" customHeight="1">
      <c r="A591" s="88"/>
      <c r="B591" s="88" t="b">
        <v>0</v>
      </c>
      <c r="C591" s="90" t="str">
        <f t="shared" si="4"/>
        <v/>
      </c>
      <c r="D591" s="92" t="str">
        <f>IFERROR(__xludf.DUMMYFUNCTION("""COMPUTED_VALUE"""),"")</f>
        <v/>
      </c>
      <c r="E591" s="92"/>
      <c r="F591" s="93"/>
      <c r="G591" s="92"/>
      <c r="H591" s="94" t="str">
        <f>IFERROR(__xludf.DUMMYFUNCTION("""COMPUTED_VALUE"""),"")</f>
        <v/>
      </c>
      <c r="I591" s="94" t="str">
        <f>IFERROR(__xludf.DUMMYFUNCTION("""COMPUTED_VALUE"""),"")</f>
        <v/>
      </c>
      <c r="J591" s="93" t="str">
        <f>IFERROR(__xludf.DUMMYFUNCTION("""COMPUTED_VALUE"""),"")</f>
        <v/>
      </c>
      <c r="K591" s="100" t="b">
        <v>0</v>
      </c>
      <c r="L591" s="101"/>
      <c r="M591" s="100"/>
      <c r="N591" s="97" t="b">
        <v>0</v>
      </c>
      <c r="O591" s="93" t="str">
        <f>IFERROR(__xludf.DUMMYFUNCTION("""COMPUTED_VALUE"""),"")</f>
        <v/>
      </c>
      <c r="P59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91" s="99"/>
    </row>
    <row r="592" ht="13.5" customHeight="1">
      <c r="A592" s="88"/>
      <c r="B592" s="88" t="b">
        <v>0</v>
      </c>
      <c r="C592" s="90" t="str">
        <f t="shared" si="4"/>
        <v/>
      </c>
      <c r="D592" s="92" t="str">
        <f>IFERROR(__xludf.DUMMYFUNCTION("""COMPUTED_VALUE"""),"")</f>
        <v/>
      </c>
      <c r="E592" s="92"/>
      <c r="F592" s="93"/>
      <c r="G592" s="92"/>
      <c r="H592" s="94" t="str">
        <f>IFERROR(__xludf.DUMMYFUNCTION("""COMPUTED_VALUE"""),"")</f>
        <v/>
      </c>
      <c r="I592" s="94" t="str">
        <f>IFERROR(__xludf.DUMMYFUNCTION("""COMPUTED_VALUE"""),"")</f>
        <v/>
      </c>
      <c r="J592" s="93" t="str">
        <f>IFERROR(__xludf.DUMMYFUNCTION("""COMPUTED_VALUE"""),"")</f>
        <v/>
      </c>
      <c r="K592" s="100" t="b">
        <v>0</v>
      </c>
      <c r="L592" s="101"/>
      <c r="M592" s="100"/>
      <c r="N592" s="97" t="b">
        <v>0</v>
      </c>
      <c r="O592" s="93" t="str">
        <f>IFERROR(__xludf.DUMMYFUNCTION("""COMPUTED_VALUE"""),"")</f>
        <v/>
      </c>
      <c r="P59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92" s="99"/>
    </row>
    <row r="593" ht="13.5" customHeight="1">
      <c r="A593" s="88"/>
      <c r="B593" s="88" t="b">
        <v>0</v>
      </c>
      <c r="C593" s="90" t="str">
        <f t="shared" si="4"/>
        <v/>
      </c>
      <c r="D593" s="92" t="str">
        <f>IFERROR(__xludf.DUMMYFUNCTION("""COMPUTED_VALUE"""),"")</f>
        <v/>
      </c>
      <c r="E593" s="92"/>
      <c r="F593" s="93"/>
      <c r="G593" s="92"/>
      <c r="H593" s="94" t="str">
        <f>IFERROR(__xludf.DUMMYFUNCTION("""COMPUTED_VALUE"""),"")</f>
        <v/>
      </c>
      <c r="I593" s="94" t="str">
        <f>IFERROR(__xludf.DUMMYFUNCTION("""COMPUTED_VALUE"""),"")</f>
        <v/>
      </c>
      <c r="J593" s="93" t="str">
        <f>IFERROR(__xludf.DUMMYFUNCTION("""COMPUTED_VALUE"""),"")</f>
        <v/>
      </c>
      <c r="K593" s="100" t="b">
        <v>0</v>
      </c>
      <c r="L593" s="101"/>
      <c r="M593" s="100"/>
      <c r="N593" s="97" t="b">
        <v>0</v>
      </c>
      <c r="O593" s="93" t="str">
        <f>IFERROR(__xludf.DUMMYFUNCTION("""COMPUTED_VALUE"""),"")</f>
        <v/>
      </c>
      <c r="P59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93" s="99"/>
    </row>
    <row r="594" ht="13.5" customHeight="1">
      <c r="A594" s="88"/>
      <c r="B594" s="88" t="b">
        <v>0</v>
      </c>
      <c r="C594" s="90" t="str">
        <f t="shared" si="4"/>
        <v/>
      </c>
      <c r="D594" s="92" t="str">
        <f>IFERROR(__xludf.DUMMYFUNCTION("""COMPUTED_VALUE"""),"")</f>
        <v/>
      </c>
      <c r="E594" s="92"/>
      <c r="F594" s="93"/>
      <c r="G594" s="92"/>
      <c r="H594" s="94" t="str">
        <f>IFERROR(__xludf.DUMMYFUNCTION("""COMPUTED_VALUE"""),"")</f>
        <v/>
      </c>
      <c r="I594" s="94" t="str">
        <f>IFERROR(__xludf.DUMMYFUNCTION("""COMPUTED_VALUE"""),"")</f>
        <v/>
      </c>
      <c r="J594" s="93" t="str">
        <f>IFERROR(__xludf.DUMMYFUNCTION("""COMPUTED_VALUE"""),"")</f>
        <v/>
      </c>
      <c r="K594" s="100" t="b">
        <v>0</v>
      </c>
      <c r="L594" s="101"/>
      <c r="M594" s="100"/>
      <c r="N594" s="97" t="b">
        <v>0</v>
      </c>
      <c r="O594" s="93" t="str">
        <f>IFERROR(__xludf.DUMMYFUNCTION("""COMPUTED_VALUE"""),"")</f>
        <v/>
      </c>
      <c r="P59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94" s="99"/>
    </row>
    <row r="595" ht="13.5" customHeight="1">
      <c r="A595" s="88"/>
      <c r="B595" s="88" t="b">
        <v>0</v>
      </c>
      <c r="C595" s="90" t="str">
        <f t="shared" si="4"/>
        <v/>
      </c>
      <c r="D595" s="92" t="str">
        <f>IFERROR(__xludf.DUMMYFUNCTION("""COMPUTED_VALUE"""),"")</f>
        <v/>
      </c>
      <c r="E595" s="92"/>
      <c r="F595" s="93"/>
      <c r="G595" s="92"/>
      <c r="H595" s="94" t="str">
        <f>IFERROR(__xludf.DUMMYFUNCTION("""COMPUTED_VALUE"""),"")</f>
        <v/>
      </c>
      <c r="I595" s="94" t="str">
        <f>IFERROR(__xludf.DUMMYFUNCTION("""COMPUTED_VALUE"""),"")</f>
        <v/>
      </c>
      <c r="J595" s="93" t="str">
        <f>IFERROR(__xludf.DUMMYFUNCTION("""COMPUTED_VALUE"""),"")</f>
        <v/>
      </c>
      <c r="K595" s="100" t="b">
        <v>0</v>
      </c>
      <c r="L595" s="101"/>
      <c r="M595" s="100"/>
      <c r="N595" s="97" t="b">
        <v>0</v>
      </c>
      <c r="O595" s="93" t="str">
        <f>IFERROR(__xludf.DUMMYFUNCTION("""COMPUTED_VALUE"""),"")</f>
        <v/>
      </c>
      <c r="P59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95" s="99"/>
    </row>
    <row r="596" ht="13.5" customHeight="1">
      <c r="A596" s="88"/>
      <c r="B596" s="88" t="b">
        <v>0</v>
      </c>
      <c r="C596" s="90" t="str">
        <f t="shared" si="4"/>
        <v/>
      </c>
      <c r="D596" s="92" t="str">
        <f>IFERROR(__xludf.DUMMYFUNCTION("""COMPUTED_VALUE"""),"")</f>
        <v/>
      </c>
      <c r="E596" s="92"/>
      <c r="F596" s="93"/>
      <c r="G596" s="92"/>
      <c r="H596" s="94" t="str">
        <f>IFERROR(__xludf.DUMMYFUNCTION("""COMPUTED_VALUE"""),"")</f>
        <v/>
      </c>
      <c r="I596" s="94" t="str">
        <f>IFERROR(__xludf.DUMMYFUNCTION("""COMPUTED_VALUE"""),"")</f>
        <v/>
      </c>
      <c r="J596" s="93" t="str">
        <f>IFERROR(__xludf.DUMMYFUNCTION("""COMPUTED_VALUE"""),"")</f>
        <v/>
      </c>
      <c r="K596" s="100" t="b">
        <v>0</v>
      </c>
      <c r="L596" s="101"/>
      <c r="M596" s="100"/>
      <c r="N596" s="97" t="b">
        <v>0</v>
      </c>
      <c r="O596" s="93" t="str">
        <f>IFERROR(__xludf.DUMMYFUNCTION("""COMPUTED_VALUE"""),"")</f>
        <v/>
      </c>
      <c r="P59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96" s="99"/>
    </row>
    <row r="597" ht="13.5" customHeight="1">
      <c r="A597" s="88"/>
      <c r="B597" s="88" t="b">
        <v>0</v>
      </c>
      <c r="C597" s="90" t="str">
        <f t="shared" si="4"/>
        <v/>
      </c>
      <c r="D597" s="92" t="str">
        <f>IFERROR(__xludf.DUMMYFUNCTION("""COMPUTED_VALUE"""),"")</f>
        <v/>
      </c>
      <c r="E597" s="92"/>
      <c r="F597" s="93"/>
      <c r="G597" s="92"/>
      <c r="H597" s="94" t="str">
        <f>IFERROR(__xludf.DUMMYFUNCTION("""COMPUTED_VALUE"""),"")</f>
        <v/>
      </c>
      <c r="I597" s="94" t="str">
        <f>IFERROR(__xludf.DUMMYFUNCTION("""COMPUTED_VALUE"""),"")</f>
        <v/>
      </c>
      <c r="J597" s="93" t="str">
        <f>IFERROR(__xludf.DUMMYFUNCTION("""COMPUTED_VALUE"""),"")</f>
        <v/>
      </c>
      <c r="K597" s="100" t="b">
        <v>0</v>
      </c>
      <c r="L597" s="101"/>
      <c r="M597" s="100"/>
      <c r="N597" s="97" t="b">
        <v>0</v>
      </c>
      <c r="O597" s="93" t="str">
        <f>IFERROR(__xludf.DUMMYFUNCTION("""COMPUTED_VALUE"""),"")</f>
        <v/>
      </c>
      <c r="P59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97" s="99"/>
    </row>
    <row r="598" ht="13.5" customHeight="1">
      <c r="A598" s="88"/>
      <c r="B598" s="88" t="b">
        <v>0</v>
      </c>
      <c r="C598" s="90" t="str">
        <f t="shared" si="4"/>
        <v/>
      </c>
      <c r="D598" s="92" t="str">
        <f>IFERROR(__xludf.DUMMYFUNCTION("""COMPUTED_VALUE"""),"")</f>
        <v/>
      </c>
      <c r="E598" s="92"/>
      <c r="F598" s="93"/>
      <c r="G598" s="92"/>
      <c r="H598" s="94" t="str">
        <f>IFERROR(__xludf.DUMMYFUNCTION("""COMPUTED_VALUE"""),"")</f>
        <v/>
      </c>
      <c r="I598" s="94" t="str">
        <f>IFERROR(__xludf.DUMMYFUNCTION("""COMPUTED_VALUE"""),"")</f>
        <v/>
      </c>
      <c r="J598" s="93" t="str">
        <f>IFERROR(__xludf.DUMMYFUNCTION("""COMPUTED_VALUE"""),"")</f>
        <v/>
      </c>
      <c r="K598" s="100" t="b">
        <v>0</v>
      </c>
      <c r="L598" s="101"/>
      <c r="M598" s="100"/>
      <c r="N598" s="97" t="b">
        <v>0</v>
      </c>
      <c r="O598" s="93" t="str">
        <f>IFERROR(__xludf.DUMMYFUNCTION("""COMPUTED_VALUE"""),"")</f>
        <v/>
      </c>
      <c r="P59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98" s="99"/>
    </row>
    <row r="599" ht="13.5" customHeight="1">
      <c r="A599" s="88"/>
      <c r="B599" s="88" t="b">
        <v>0</v>
      </c>
      <c r="C599" s="90" t="str">
        <f t="shared" si="4"/>
        <v/>
      </c>
      <c r="D599" s="92" t="str">
        <f>IFERROR(__xludf.DUMMYFUNCTION("""COMPUTED_VALUE"""),"")</f>
        <v/>
      </c>
      <c r="E599" s="92"/>
      <c r="F599" s="93"/>
      <c r="G599" s="92"/>
      <c r="H599" s="94" t="str">
        <f>IFERROR(__xludf.DUMMYFUNCTION("""COMPUTED_VALUE"""),"")</f>
        <v/>
      </c>
      <c r="I599" s="94" t="str">
        <f>IFERROR(__xludf.DUMMYFUNCTION("""COMPUTED_VALUE"""),"")</f>
        <v/>
      </c>
      <c r="J599" s="93" t="str">
        <f>IFERROR(__xludf.DUMMYFUNCTION("""COMPUTED_VALUE"""),"")</f>
        <v/>
      </c>
      <c r="K599" s="100" t="b">
        <v>0</v>
      </c>
      <c r="L599" s="101"/>
      <c r="M599" s="100"/>
      <c r="N599" s="97" t="b">
        <v>0</v>
      </c>
      <c r="O599" s="93" t="str">
        <f>IFERROR(__xludf.DUMMYFUNCTION("""COMPUTED_VALUE"""),"")</f>
        <v/>
      </c>
      <c r="P59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599" s="99"/>
    </row>
    <row r="600" ht="13.5" customHeight="1">
      <c r="A600" s="88"/>
      <c r="B600" s="88" t="b">
        <v>0</v>
      </c>
      <c r="C600" s="90" t="str">
        <f t="shared" si="4"/>
        <v/>
      </c>
      <c r="D600" s="92" t="str">
        <f>IFERROR(__xludf.DUMMYFUNCTION("""COMPUTED_VALUE"""),"")</f>
        <v/>
      </c>
      <c r="E600" s="92"/>
      <c r="F600" s="93"/>
      <c r="G600" s="92"/>
      <c r="H600" s="94" t="str">
        <f>IFERROR(__xludf.DUMMYFUNCTION("""COMPUTED_VALUE"""),"")</f>
        <v/>
      </c>
      <c r="I600" s="94" t="str">
        <f>IFERROR(__xludf.DUMMYFUNCTION("""COMPUTED_VALUE"""),"")</f>
        <v/>
      </c>
      <c r="J600" s="93" t="str">
        <f>IFERROR(__xludf.DUMMYFUNCTION("""COMPUTED_VALUE"""),"")</f>
        <v/>
      </c>
      <c r="K600" s="100" t="b">
        <v>0</v>
      </c>
      <c r="L600" s="101"/>
      <c r="M600" s="100"/>
      <c r="N600" s="97" t="b">
        <v>0</v>
      </c>
      <c r="O600" s="93" t="str">
        <f>IFERROR(__xludf.DUMMYFUNCTION("""COMPUTED_VALUE"""),"")</f>
        <v/>
      </c>
      <c r="P60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00" s="99"/>
    </row>
    <row r="601" ht="13.5" customHeight="1">
      <c r="A601" s="88"/>
      <c r="B601" s="88" t="b">
        <v>0</v>
      </c>
      <c r="C601" s="90" t="str">
        <f t="shared" si="4"/>
        <v/>
      </c>
      <c r="D601" s="92" t="str">
        <f>IFERROR(__xludf.DUMMYFUNCTION("""COMPUTED_VALUE"""),"")</f>
        <v/>
      </c>
      <c r="E601" s="92"/>
      <c r="F601" s="93"/>
      <c r="G601" s="92"/>
      <c r="H601" s="94" t="str">
        <f>IFERROR(__xludf.DUMMYFUNCTION("""COMPUTED_VALUE"""),"")</f>
        <v/>
      </c>
      <c r="I601" s="94" t="str">
        <f>IFERROR(__xludf.DUMMYFUNCTION("""COMPUTED_VALUE"""),"")</f>
        <v/>
      </c>
      <c r="J601" s="93" t="str">
        <f>IFERROR(__xludf.DUMMYFUNCTION("""COMPUTED_VALUE"""),"")</f>
        <v/>
      </c>
      <c r="K601" s="100" t="b">
        <v>0</v>
      </c>
      <c r="L601" s="101"/>
      <c r="M601" s="100"/>
      <c r="N601" s="97" t="b">
        <v>0</v>
      </c>
      <c r="O601" s="93" t="str">
        <f>IFERROR(__xludf.DUMMYFUNCTION("""COMPUTED_VALUE"""),"")</f>
        <v/>
      </c>
      <c r="P60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01" s="99"/>
    </row>
    <row r="602" ht="13.5" customHeight="1">
      <c r="A602" s="88"/>
      <c r="B602" s="88" t="b">
        <v>0</v>
      </c>
      <c r="C602" s="90" t="str">
        <f t="shared" si="4"/>
        <v/>
      </c>
      <c r="D602" s="92" t="str">
        <f>IFERROR(__xludf.DUMMYFUNCTION("""COMPUTED_VALUE"""),"")</f>
        <v/>
      </c>
      <c r="E602" s="92"/>
      <c r="F602" s="93"/>
      <c r="G602" s="92"/>
      <c r="H602" s="94" t="str">
        <f>IFERROR(__xludf.DUMMYFUNCTION("""COMPUTED_VALUE"""),"")</f>
        <v/>
      </c>
      <c r="I602" s="94" t="str">
        <f>IFERROR(__xludf.DUMMYFUNCTION("""COMPUTED_VALUE"""),"")</f>
        <v/>
      </c>
      <c r="J602" s="93" t="str">
        <f>IFERROR(__xludf.DUMMYFUNCTION("""COMPUTED_VALUE"""),"")</f>
        <v/>
      </c>
      <c r="K602" s="100" t="b">
        <v>0</v>
      </c>
      <c r="L602" s="101"/>
      <c r="M602" s="100"/>
      <c r="N602" s="97" t="b">
        <v>0</v>
      </c>
      <c r="O602" s="93" t="str">
        <f>IFERROR(__xludf.DUMMYFUNCTION("""COMPUTED_VALUE"""),"")</f>
        <v/>
      </c>
      <c r="P60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02" s="99"/>
    </row>
    <row r="603" ht="13.5" customHeight="1">
      <c r="A603" s="88"/>
      <c r="B603" s="88" t="b">
        <v>0</v>
      </c>
      <c r="C603" s="90" t="str">
        <f t="shared" si="4"/>
        <v/>
      </c>
      <c r="D603" s="92" t="str">
        <f>IFERROR(__xludf.DUMMYFUNCTION("""COMPUTED_VALUE"""),"")</f>
        <v/>
      </c>
      <c r="E603" s="92"/>
      <c r="F603" s="93"/>
      <c r="G603" s="92"/>
      <c r="H603" s="94" t="str">
        <f>IFERROR(__xludf.DUMMYFUNCTION("""COMPUTED_VALUE"""),"")</f>
        <v/>
      </c>
      <c r="I603" s="94" t="str">
        <f>IFERROR(__xludf.DUMMYFUNCTION("""COMPUTED_VALUE"""),"")</f>
        <v/>
      </c>
      <c r="J603" s="93" t="str">
        <f>IFERROR(__xludf.DUMMYFUNCTION("""COMPUTED_VALUE"""),"")</f>
        <v/>
      </c>
      <c r="K603" s="100" t="b">
        <v>0</v>
      </c>
      <c r="L603" s="101"/>
      <c r="M603" s="100"/>
      <c r="N603" s="97" t="b">
        <v>0</v>
      </c>
      <c r="O603" s="93" t="str">
        <f>IFERROR(__xludf.DUMMYFUNCTION("""COMPUTED_VALUE"""),"")</f>
        <v/>
      </c>
      <c r="P60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03" s="99"/>
    </row>
    <row r="604" ht="13.5" customHeight="1">
      <c r="A604" s="88"/>
      <c r="B604" s="88" t="b">
        <v>0</v>
      </c>
      <c r="C604" s="90" t="str">
        <f t="shared" si="4"/>
        <v/>
      </c>
      <c r="D604" s="92" t="str">
        <f>IFERROR(__xludf.DUMMYFUNCTION("""COMPUTED_VALUE"""),"")</f>
        <v/>
      </c>
      <c r="E604" s="92"/>
      <c r="F604" s="93"/>
      <c r="G604" s="92"/>
      <c r="H604" s="94" t="str">
        <f>IFERROR(__xludf.DUMMYFUNCTION("""COMPUTED_VALUE"""),"")</f>
        <v/>
      </c>
      <c r="I604" s="94" t="str">
        <f>IFERROR(__xludf.DUMMYFUNCTION("""COMPUTED_VALUE"""),"")</f>
        <v/>
      </c>
      <c r="J604" s="93" t="str">
        <f>IFERROR(__xludf.DUMMYFUNCTION("""COMPUTED_VALUE"""),"")</f>
        <v/>
      </c>
      <c r="K604" s="100" t="b">
        <v>0</v>
      </c>
      <c r="L604" s="101"/>
      <c r="M604" s="100"/>
      <c r="N604" s="97" t="b">
        <v>0</v>
      </c>
      <c r="O604" s="93" t="str">
        <f>IFERROR(__xludf.DUMMYFUNCTION("""COMPUTED_VALUE"""),"")</f>
        <v/>
      </c>
      <c r="P60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04" s="99"/>
    </row>
    <row r="605" ht="13.5" customHeight="1">
      <c r="A605" s="88"/>
      <c r="B605" s="88" t="b">
        <v>0</v>
      </c>
      <c r="C605" s="90" t="str">
        <f t="shared" si="4"/>
        <v/>
      </c>
      <c r="D605" s="92" t="str">
        <f>IFERROR(__xludf.DUMMYFUNCTION("""COMPUTED_VALUE"""),"")</f>
        <v/>
      </c>
      <c r="E605" s="92"/>
      <c r="F605" s="93"/>
      <c r="G605" s="92"/>
      <c r="H605" s="94" t="str">
        <f>IFERROR(__xludf.DUMMYFUNCTION("""COMPUTED_VALUE"""),"")</f>
        <v/>
      </c>
      <c r="I605" s="94" t="str">
        <f>IFERROR(__xludf.DUMMYFUNCTION("""COMPUTED_VALUE"""),"")</f>
        <v/>
      </c>
      <c r="J605" s="93" t="str">
        <f>IFERROR(__xludf.DUMMYFUNCTION("""COMPUTED_VALUE"""),"")</f>
        <v/>
      </c>
      <c r="K605" s="100" t="b">
        <v>0</v>
      </c>
      <c r="L605" s="101"/>
      <c r="M605" s="100"/>
      <c r="N605" s="97" t="b">
        <v>0</v>
      </c>
      <c r="O605" s="93" t="str">
        <f>IFERROR(__xludf.DUMMYFUNCTION("""COMPUTED_VALUE"""),"")</f>
        <v/>
      </c>
      <c r="P60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05" s="99"/>
    </row>
    <row r="606" ht="13.5" customHeight="1">
      <c r="A606" s="88"/>
      <c r="B606" s="88" t="b">
        <v>0</v>
      </c>
      <c r="C606" s="90" t="str">
        <f t="shared" si="4"/>
        <v/>
      </c>
      <c r="D606" s="92" t="str">
        <f>IFERROR(__xludf.DUMMYFUNCTION("""COMPUTED_VALUE"""),"")</f>
        <v/>
      </c>
      <c r="E606" s="92"/>
      <c r="F606" s="93"/>
      <c r="G606" s="92"/>
      <c r="H606" s="94" t="str">
        <f>IFERROR(__xludf.DUMMYFUNCTION("""COMPUTED_VALUE"""),"")</f>
        <v/>
      </c>
      <c r="I606" s="94" t="str">
        <f>IFERROR(__xludf.DUMMYFUNCTION("""COMPUTED_VALUE"""),"")</f>
        <v/>
      </c>
      <c r="J606" s="93" t="str">
        <f>IFERROR(__xludf.DUMMYFUNCTION("""COMPUTED_VALUE"""),"")</f>
        <v/>
      </c>
      <c r="K606" s="100" t="b">
        <v>0</v>
      </c>
      <c r="L606" s="101"/>
      <c r="M606" s="100"/>
      <c r="N606" s="97" t="b">
        <v>0</v>
      </c>
      <c r="O606" s="93" t="str">
        <f>IFERROR(__xludf.DUMMYFUNCTION("""COMPUTED_VALUE"""),"")</f>
        <v/>
      </c>
      <c r="P60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06" s="99"/>
    </row>
    <row r="607" ht="13.5" customHeight="1">
      <c r="A607" s="88"/>
      <c r="B607" s="88" t="b">
        <v>0</v>
      </c>
      <c r="C607" s="90" t="str">
        <f t="shared" si="4"/>
        <v/>
      </c>
      <c r="D607" s="92" t="str">
        <f>IFERROR(__xludf.DUMMYFUNCTION("""COMPUTED_VALUE"""),"")</f>
        <v/>
      </c>
      <c r="E607" s="92"/>
      <c r="F607" s="93"/>
      <c r="G607" s="92"/>
      <c r="H607" s="94" t="str">
        <f>IFERROR(__xludf.DUMMYFUNCTION("""COMPUTED_VALUE"""),"")</f>
        <v/>
      </c>
      <c r="I607" s="94" t="str">
        <f>IFERROR(__xludf.DUMMYFUNCTION("""COMPUTED_VALUE"""),"")</f>
        <v/>
      </c>
      <c r="J607" s="93" t="str">
        <f>IFERROR(__xludf.DUMMYFUNCTION("""COMPUTED_VALUE"""),"")</f>
        <v/>
      </c>
      <c r="K607" s="100" t="b">
        <v>0</v>
      </c>
      <c r="L607" s="101"/>
      <c r="M607" s="100"/>
      <c r="N607" s="97" t="b">
        <v>0</v>
      </c>
      <c r="O607" s="93" t="str">
        <f>IFERROR(__xludf.DUMMYFUNCTION("""COMPUTED_VALUE"""),"")</f>
        <v/>
      </c>
      <c r="P60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07" s="99"/>
    </row>
    <row r="608" ht="13.5" customHeight="1">
      <c r="A608" s="88"/>
      <c r="B608" s="88" t="b">
        <v>0</v>
      </c>
      <c r="C608" s="90" t="str">
        <f t="shared" si="4"/>
        <v/>
      </c>
      <c r="D608" s="92" t="str">
        <f>IFERROR(__xludf.DUMMYFUNCTION("""COMPUTED_VALUE"""),"")</f>
        <v/>
      </c>
      <c r="E608" s="92"/>
      <c r="F608" s="93"/>
      <c r="G608" s="92"/>
      <c r="H608" s="94" t="str">
        <f>IFERROR(__xludf.DUMMYFUNCTION("""COMPUTED_VALUE"""),"")</f>
        <v/>
      </c>
      <c r="I608" s="94" t="str">
        <f>IFERROR(__xludf.DUMMYFUNCTION("""COMPUTED_VALUE"""),"")</f>
        <v/>
      </c>
      <c r="J608" s="93" t="str">
        <f>IFERROR(__xludf.DUMMYFUNCTION("""COMPUTED_VALUE"""),"")</f>
        <v/>
      </c>
      <c r="K608" s="100" t="b">
        <v>0</v>
      </c>
      <c r="L608" s="101"/>
      <c r="M608" s="100"/>
      <c r="N608" s="97" t="b">
        <v>0</v>
      </c>
      <c r="O608" s="93" t="str">
        <f>IFERROR(__xludf.DUMMYFUNCTION("""COMPUTED_VALUE"""),"")</f>
        <v/>
      </c>
      <c r="P60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08" s="99"/>
    </row>
    <row r="609" ht="13.5" customHeight="1">
      <c r="A609" s="88"/>
      <c r="B609" s="88" t="b">
        <v>0</v>
      </c>
      <c r="C609" s="90" t="str">
        <f t="shared" si="4"/>
        <v/>
      </c>
      <c r="D609" s="92" t="str">
        <f>IFERROR(__xludf.DUMMYFUNCTION("""COMPUTED_VALUE"""),"")</f>
        <v/>
      </c>
      <c r="E609" s="92"/>
      <c r="F609" s="93"/>
      <c r="G609" s="92"/>
      <c r="H609" s="94" t="str">
        <f>IFERROR(__xludf.DUMMYFUNCTION("""COMPUTED_VALUE"""),"")</f>
        <v/>
      </c>
      <c r="I609" s="94" t="str">
        <f>IFERROR(__xludf.DUMMYFUNCTION("""COMPUTED_VALUE"""),"")</f>
        <v/>
      </c>
      <c r="J609" s="93" t="str">
        <f>IFERROR(__xludf.DUMMYFUNCTION("""COMPUTED_VALUE"""),"")</f>
        <v/>
      </c>
      <c r="K609" s="100" t="b">
        <v>0</v>
      </c>
      <c r="L609" s="101"/>
      <c r="M609" s="100"/>
      <c r="N609" s="97" t="b">
        <v>0</v>
      </c>
      <c r="O609" s="93" t="str">
        <f>IFERROR(__xludf.DUMMYFUNCTION("""COMPUTED_VALUE"""),"")</f>
        <v/>
      </c>
      <c r="P60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09" s="99"/>
    </row>
    <row r="610" ht="13.5" customHeight="1">
      <c r="A610" s="88"/>
      <c r="B610" s="88" t="b">
        <v>0</v>
      </c>
      <c r="C610" s="90" t="str">
        <f t="shared" si="4"/>
        <v/>
      </c>
      <c r="D610" s="92" t="str">
        <f>IFERROR(__xludf.DUMMYFUNCTION("""COMPUTED_VALUE"""),"")</f>
        <v/>
      </c>
      <c r="E610" s="92"/>
      <c r="F610" s="93"/>
      <c r="G610" s="92"/>
      <c r="H610" s="94" t="str">
        <f>IFERROR(__xludf.DUMMYFUNCTION("""COMPUTED_VALUE"""),"")</f>
        <v/>
      </c>
      <c r="I610" s="94" t="str">
        <f>IFERROR(__xludf.DUMMYFUNCTION("""COMPUTED_VALUE"""),"")</f>
        <v/>
      </c>
      <c r="J610" s="93" t="str">
        <f>IFERROR(__xludf.DUMMYFUNCTION("""COMPUTED_VALUE"""),"")</f>
        <v/>
      </c>
      <c r="K610" s="100" t="b">
        <v>0</v>
      </c>
      <c r="L610" s="101"/>
      <c r="M610" s="100"/>
      <c r="N610" s="97" t="b">
        <v>0</v>
      </c>
      <c r="O610" s="93" t="str">
        <f>IFERROR(__xludf.DUMMYFUNCTION("""COMPUTED_VALUE"""),"")</f>
        <v/>
      </c>
      <c r="P61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10" s="99"/>
    </row>
    <row r="611" ht="13.5" customHeight="1">
      <c r="A611" s="88"/>
      <c r="B611" s="88" t="b">
        <v>0</v>
      </c>
      <c r="C611" s="90" t="str">
        <f t="shared" si="4"/>
        <v/>
      </c>
      <c r="D611" s="92" t="str">
        <f>IFERROR(__xludf.DUMMYFUNCTION("""COMPUTED_VALUE"""),"")</f>
        <v/>
      </c>
      <c r="E611" s="92"/>
      <c r="F611" s="93"/>
      <c r="G611" s="92"/>
      <c r="H611" s="94" t="str">
        <f>IFERROR(__xludf.DUMMYFUNCTION("""COMPUTED_VALUE"""),"")</f>
        <v/>
      </c>
      <c r="I611" s="94" t="str">
        <f>IFERROR(__xludf.DUMMYFUNCTION("""COMPUTED_VALUE"""),"")</f>
        <v/>
      </c>
      <c r="J611" s="93" t="str">
        <f>IFERROR(__xludf.DUMMYFUNCTION("""COMPUTED_VALUE"""),"")</f>
        <v/>
      </c>
      <c r="K611" s="100" t="b">
        <v>0</v>
      </c>
      <c r="L611" s="101"/>
      <c r="M611" s="100"/>
      <c r="N611" s="97" t="b">
        <v>0</v>
      </c>
      <c r="O611" s="93" t="str">
        <f>IFERROR(__xludf.DUMMYFUNCTION("""COMPUTED_VALUE"""),"")</f>
        <v/>
      </c>
      <c r="P61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11" s="99"/>
    </row>
    <row r="612" ht="13.5" customHeight="1">
      <c r="A612" s="88"/>
      <c r="B612" s="88" t="b">
        <v>0</v>
      </c>
      <c r="C612" s="90" t="str">
        <f t="shared" si="4"/>
        <v/>
      </c>
      <c r="D612" s="92" t="str">
        <f>IFERROR(__xludf.DUMMYFUNCTION("""COMPUTED_VALUE"""),"")</f>
        <v/>
      </c>
      <c r="E612" s="92"/>
      <c r="F612" s="93"/>
      <c r="G612" s="92"/>
      <c r="H612" s="94" t="str">
        <f>IFERROR(__xludf.DUMMYFUNCTION("""COMPUTED_VALUE"""),"")</f>
        <v/>
      </c>
      <c r="I612" s="94" t="str">
        <f>IFERROR(__xludf.DUMMYFUNCTION("""COMPUTED_VALUE"""),"")</f>
        <v/>
      </c>
      <c r="J612" s="93" t="str">
        <f>IFERROR(__xludf.DUMMYFUNCTION("""COMPUTED_VALUE"""),"")</f>
        <v/>
      </c>
      <c r="K612" s="100" t="b">
        <v>0</v>
      </c>
      <c r="L612" s="101"/>
      <c r="M612" s="100"/>
      <c r="N612" s="97" t="b">
        <v>0</v>
      </c>
      <c r="O612" s="93" t="str">
        <f>IFERROR(__xludf.DUMMYFUNCTION("""COMPUTED_VALUE"""),"")</f>
        <v/>
      </c>
      <c r="P61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12" s="99"/>
    </row>
    <row r="613" ht="13.5" customHeight="1">
      <c r="A613" s="88"/>
      <c r="B613" s="88" t="b">
        <v>0</v>
      </c>
      <c r="C613" s="90" t="str">
        <f t="shared" si="4"/>
        <v/>
      </c>
      <c r="D613" s="92" t="str">
        <f>IFERROR(__xludf.DUMMYFUNCTION("""COMPUTED_VALUE"""),"")</f>
        <v/>
      </c>
      <c r="E613" s="92"/>
      <c r="F613" s="93"/>
      <c r="G613" s="92"/>
      <c r="H613" s="94" t="str">
        <f>IFERROR(__xludf.DUMMYFUNCTION("""COMPUTED_VALUE"""),"")</f>
        <v/>
      </c>
      <c r="I613" s="94" t="str">
        <f>IFERROR(__xludf.DUMMYFUNCTION("""COMPUTED_VALUE"""),"")</f>
        <v/>
      </c>
      <c r="J613" s="93" t="str">
        <f>IFERROR(__xludf.DUMMYFUNCTION("""COMPUTED_VALUE"""),"")</f>
        <v/>
      </c>
      <c r="K613" s="100" t="b">
        <v>0</v>
      </c>
      <c r="L613" s="101"/>
      <c r="M613" s="100"/>
      <c r="N613" s="97" t="b">
        <v>0</v>
      </c>
      <c r="O613" s="93" t="str">
        <f>IFERROR(__xludf.DUMMYFUNCTION("""COMPUTED_VALUE"""),"")</f>
        <v/>
      </c>
      <c r="P61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13" s="99"/>
    </row>
    <row r="614" ht="13.5" customHeight="1">
      <c r="A614" s="88"/>
      <c r="B614" s="88" t="b">
        <v>0</v>
      </c>
      <c r="C614" s="90" t="str">
        <f t="shared" si="4"/>
        <v/>
      </c>
      <c r="D614" s="92" t="str">
        <f>IFERROR(__xludf.DUMMYFUNCTION("""COMPUTED_VALUE"""),"")</f>
        <v/>
      </c>
      <c r="E614" s="92"/>
      <c r="F614" s="93"/>
      <c r="G614" s="92"/>
      <c r="H614" s="94" t="str">
        <f>IFERROR(__xludf.DUMMYFUNCTION("""COMPUTED_VALUE"""),"")</f>
        <v/>
      </c>
      <c r="I614" s="94" t="str">
        <f>IFERROR(__xludf.DUMMYFUNCTION("""COMPUTED_VALUE"""),"")</f>
        <v/>
      </c>
      <c r="J614" s="93" t="str">
        <f>IFERROR(__xludf.DUMMYFUNCTION("""COMPUTED_VALUE"""),"")</f>
        <v/>
      </c>
      <c r="K614" s="100" t="b">
        <v>0</v>
      </c>
      <c r="L614" s="101"/>
      <c r="M614" s="100"/>
      <c r="N614" s="97" t="b">
        <v>0</v>
      </c>
      <c r="O614" s="93" t="str">
        <f>IFERROR(__xludf.DUMMYFUNCTION("""COMPUTED_VALUE"""),"")</f>
        <v/>
      </c>
      <c r="P61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14" s="99"/>
    </row>
    <row r="615" ht="13.5" customHeight="1">
      <c r="A615" s="88"/>
      <c r="B615" s="88" t="b">
        <v>0</v>
      </c>
      <c r="C615" s="90" t="str">
        <f t="shared" si="4"/>
        <v/>
      </c>
      <c r="D615" s="92" t="str">
        <f>IFERROR(__xludf.DUMMYFUNCTION("""COMPUTED_VALUE"""),"")</f>
        <v/>
      </c>
      <c r="E615" s="92"/>
      <c r="F615" s="93"/>
      <c r="G615" s="92"/>
      <c r="H615" s="94" t="str">
        <f>IFERROR(__xludf.DUMMYFUNCTION("""COMPUTED_VALUE"""),"")</f>
        <v/>
      </c>
      <c r="I615" s="94" t="str">
        <f>IFERROR(__xludf.DUMMYFUNCTION("""COMPUTED_VALUE"""),"")</f>
        <v/>
      </c>
      <c r="J615" s="93" t="str">
        <f>IFERROR(__xludf.DUMMYFUNCTION("""COMPUTED_VALUE"""),"")</f>
        <v/>
      </c>
      <c r="K615" s="100" t="b">
        <v>0</v>
      </c>
      <c r="L615" s="101"/>
      <c r="M615" s="100"/>
      <c r="N615" s="97" t="b">
        <v>0</v>
      </c>
      <c r="O615" s="93" t="str">
        <f>IFERROR(__xludf.DUMMYFUNCTION("""COMPUTED_VALUE"""),"")</f>
        <v/>
      </c>
      <c r="P61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15" s="99"/>
    </row>
    <row r="616" ht="13.5" customHeight="1">
      <c r="A616" s="88"/>
      <c r="B616" s="88" t="b">
        <v>0</v>
      </c>
      <c r="C616" s="90" t="str">
        <f t="shared" si="4"/>
        <v/>
      </c>
      <c r="D616" s="92" t="str">
        <f>IFERROR(__xludf.DUMMYFUNCTION("""COMPUTED_VALUE"""),"")</f>
        <v/>
      </c>
      <c r="E616" s="92"/>
      <c r="F616" s="93"/>
      <c r="G616" s="92"/>
      <c r="H616" s="94" t="str">
        <f>IFERROR(__xludf.DUMMYFUNCTION("""COMPUTED_VALUE"""),"")</f>
        <v/>
      </c>
      <c r="I616" s="94" t="str">
        <f>IFERROR(__xludf.DUMMYFUNCTION("""COMPUTED_VALUE"""),"")</f>
        <v/>
      </c>
      <c r="J616" s="93" t="str">
        <f>IFERROR(__xludf.DUMMYFUNCTION("""COMPUTED_VALUE"""),"")</f>
        <v/>
      </c>
      <c r="K616" s="100" t="b">
        <v>0</v>
      </c>
      <c r="L616" s="101"/>
      <c r="M616" s="100"/>
      <c r="N616" s="97" t="b">
        <v>0</v>
      </c>
      <c r="O616" s="93" t="str">
        <f>IFERROR(__xludf.DUMMYFUNCTION("""COMPUTED_VALUE"""),"")</f>
        <v/>
      </c>
      <c r="P61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16" s="99"/>
    </row>
    <row r="617" ht="13.5" customHeight="1">
      <c r="A617" s="88"/>
      <c r="B617" s="88" t="b">
        <v>0</v>
      </c>
      <c r="C617" s="90" t="str">
        <f t="shared" si="4"/>
        <v/>
      </c>
      <c r="D617" s="92" t="str">
        <f>IFERROR(__xludf.DUMMYFUNCTION("""COMPUTED_VALUE"""),"")</f>
        <v/>
      </c>
      <c r="E617" s="92"/>
      <c r="F617" s="93"/>
      <c r="G617" s="92"/>
      <c r="H617" s="94" t="str">
        <f>IFERROR(__xludf.DUMMYFUNCTION("""COMPUTED_VALUE"""),"")</f>
        <v/>
      </c>
      <c r="I617" s="94" t="str">
        <f>IFERROR(__xludf.DUMMYFUNCTION("""COMPUTED_VALUE"""),"")</f>
        <v/>
      </c>
      <c r="J617" s="93" t="str">
        <f>IFERROR(__xludf.DUMMYFUNCTION("""COMPUTED_VALUE"""),"")</f>
        <v/>
      </c>
      <c r="K617" s="100" t="b">
        <v>0</v>
      </c>
      <c r="L617" s="101"/>
      <c r="M617" s="100"/>
      <c r="N617" s="97" t="b">
        <v>0</v>
      </c>
      <c r="O617" s="93" t="str">
        <f>IFERROR(__xludf.DUMMYFUNCTION("""COMPUTED_VALUE"""),"")</f>
        <v/>
      </c>
      <c r="P61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17" s="99"/>
    </row>
    <row r="618" ht="13.5" customHeight="1">
      <c r="A618" s="88"/>
      <c r="B618" s="88" t="b">
        <v>0</v>
      </c>
      <c r="C618" s="90" t="str">
        <f t="shared" si="4"/>
        <v/>
      </c>
      <c r="D618" s="92" t="str">
        <f>IFERROR(__xludf.DUMMYFUNCTION("""COMPUTED_VALUE"""),"")</f>
        <v/>
      </c>
      <c r="E618" s="92"/>
      <c r="F618" s="93"/>
      <c r="G618" s="92"/>
      <c r="H618" s="94" t="str">
        <f>IFERROR(__xludf.DUMMYFUNCTION("""COMPUTED_VALUE"""),"")</f>
        <v/>
      </c>
      <c r="I618" s="94" t="str">
        <f>IFERROR(__xludf.DUMMYFUNCTION("""COMPUTED_VALUE"""),"")</f>
        <v/>
      </c>
      <c r="J618" s="93" t="str">
        <f>IFERROR(__xludf.DUMMYFUNCTION("""COMPUTED_VALUE"""),"")</f>
        <v/>
      </c>
      <c r="K618" s="100" t="b">
        <v>0</v>
      </c>
      <c r="L618" s="101"/>
      <c r="M618" s="100"/>
      <c r="N618" s="97" t="b">
        <v>0</v>
      </c>
      <c r="O618" s="93" t="str">
        <f>IFERROR(__xludf.DUMMYFUNCTION("""COMPUTED_VALUE"""),"")</f>
        <v/>
      </c>
      <c r="P61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18" s="99"/>
    </row>
    <row r="619" ht="13.5" customHeight="1">
      <c r="A619" s="88"/>
      <c r="B619" s="88" t="b">
        <v>0</v>
      </c>
      <c r="C619" s="90" t="str">
        <f t="shared" si="4"/>
        <v/>
      </c>
      <c r="D619" s="92" t="str">
        <f>IFERROR(__xludf.DUMMYFUNCTION("""COMPUTED_VALUE"""),"")</f>
        <v/>
      </c>
      <c r="E619" s="92"/>
      <c r="F619" s="93"/>
      <c r="G619" s="92"/>
      <c r="H619" s="94" t="str">
        <f>IFERROR(__xludf.DUMMYFUNCTION("""COMPUTED_VALUE"""),"")</f>
        <v/>
      </c>
      <c r="I619" s="94" t="str">
        <f>IFERROR(__xludf.DUMMYFUNCTION("""COMPUTED_VALUE"""),"")</f>
        <v/>
      </c>
      <c r="J619" s="93" t="str">
        <f>IFERROR(__xludf.DUMMYFUNCTION("""COMPUTED_VALUE"""),"")</f>
        <v/>
      </c>
      <c r="K619" s="100" t="b">
        <v>0</v>
      </c>
      <c r="L619" s="101"/>
      <c r="M619" s="100"/>
      <c r="N619" s="97" t="b">
        <v>0</v>
      </c>
      <c r="O619" s="93" t="str">
        <f>IFERROR(__xludf.DUMMYFUNCTION("""COMPUTED_VALUE"""),"")</f>
        <v/>
      </c>
      <c r="P61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19" s="99"/>
    </row>
    <row r="620" ht="13.5" customHeight="1">
      <c r="A620" s="88"/>
      <c r="B620" s="88" t="b">
        <v>0</v>
      </c>
      <c r="C620" s="90" t="str">
        <f t="shared" si="4"/>
        <v/>
      </c>
      <c r="D620" s="92" t="str">
        <f>IFERROR(__xludf.DUMMYFUNCTION("""COMPUTED_VALUE"""),"")</f>
        <v/>
      </c>
      <c r="E620" s="92"/>
      <c r="F620" s="93"/>
      <c r="G620" s="92"/>
      <c r="H620" s="94" t="str">
        <f>IFERROR(__xludf.DUMMYFUNCTION("""COMPUTED_VALUE"""),"")</f>
        <v/>
      </c>
      <c r="I620" s="94" t="str">
        <f>IFERROR(__xludf.DUMMYFUNCTION("""COMPUTED_VALUE"""),"")</f>
        <v/>
      </c>
      <c r="J620" s="93" t="str">
        <f>IFERROR(__xludf.DUMMYFUNCTION("""COMPUTED_VALUE"""),"")</f>
        <v/>
      </c>
      <c r="K620" s="100" t="b">
        <v>0</v>
      </c>
      <c r="L620" s="101"/>
      <c r="M620" s="100"/>
      <c r="N620" s="97" t="b">
        <v>0</v>
      </c>
      <c r="O620" s="93" t="str">
        <f>IFERROR(__xludf.DUMMYFUNCTION("""COMPUTED_VALUE"""),"")</f>
        <v/>
      </c>
      <c r="P62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20" s="99"/>
    </row>
    <row r="621" ht="13.5" customHeight="1">
      <c r="A621" s="88"/>
      <c r="B621" s="88" t="b">
        <v>0</v>
      </c>
      <c r="C621" s="90" t="str">
        <f t="shared" si="4"/>
        <v/>
      </c>
      <c r="D621" s="92" t="str">
        <f>IFERROR(__xludf.DUMMYFUNCTION("""COMPUTED_VALUE"""),"")</f>
        <v/>
      </c>
      <c r="E621" s="92"/>
      <c r="F621" s="93"/>
      <c r="G621" s="92"/>
      <c r="H621" s="94" t="str">
        <f>IFERROR(__xludf.DUMMYFUNCTION("""COMPUTED_VALUE"""),"")</f>
        <v/>
      </c>
      <c r="I621" s="94" t="str">
        <f>IFERROR(__xludf.DUMMYFUNCTION("""COMPUTED_VALUE"""),"")</f>
        <v/>
      </c>
      <c r="J621" s="93" t="str">
        <f>IFERROR(__xludf.DUMMYFUNCTION("""COMPUTED_VALUE"""),"")</f>
        <v/>
      </c>
      <c r="K621" s="100" t="b">
        <v>0</v>
      </c>
      <c r="L621" s="101"/>
      <c r="M621" s="100"/>
      <c r="N621" s="97" t="b">
        <v>0</v>
      </c>
      <c r="O621" s="93" t="str">
        <f>IFERROR(__xludf.DUMMYFUNCTION("""COMPUTED_VALUE"""),"")</f>
        <v/>
      </c>
      <c r="P62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21" s="99"/>
    </row>
    <row r="622" ht="13.5" customHeight="1">
      <c r="A622" s="88"/>
      <c r="B622" s="88" t="b">
        <v>0</v>
      </c>
      <c r="C622" s="90" t="str">
        <f t="shared" si="4"/>
        <v/>
      </c>
      <c r="D622" s="92" t="str">
        <f>IFERROR(__xludf.DUMMYFUNCTION("""COMPUTED_VALUE"""),"")</f>
        <v/>
      </c>
      <c r="E622" s="92"/>
      <c r="F622" s="93"/>
      <c r="G622" s="92"/>
      <c r="H622" s="94" t="str">
        <f>IFERROR(__xludf.DUMMYFUNCTION("""COMPUTED_VALUE"""),"")</f>
        <v/>
      </c>
      <c r="I622" s="94" t="str">
        <f>IFERROR(__xludf.DUMMYFUNCTION("""COMPUTED_VALUE"""),"")</f>
        <v/>
      </c>
      <c r="J622" s="93" t="str">
        <f>IFERROR(__xludf.DUMMYFUNCTION("""COMPUTED_VALUE"""),"")</f>
        <v/>
      </c>
      <c r="K622" s="100" t="b">
        <v>0</v>
      </c>
      <c r="L622" s="101"/>
      <c r="M622" s="100"/>
      <c r="N622" s="97" t="b">
        <v>0</v>
      </c>
      <c r="O622" s="93" t="str">
        <f>IFERROR(__xludf.DUMMYFUNCTION("""COMPUTED_VALUE"""),"")</f>
        <v/>
      </c>
      <c r="P62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22" s="99"/>
    </row>
    <row r="623" ht="13.5" customHeight="1">
      <c r="A623" s="88"/>
      <c r="B623" s="88" t="b">
        <v>0</v>
      </c>
      <c r="C623" s="90" t="str">
        <f t="shared" si="4"/>
        <v/>
      </c>
      <c r="D623" s="92" t="str">
        <f>IFERROR(__xludf.DUMMYFUNCTION("""COMPUTED_VALUE"""),"")</f>
        <v/>
      </c>
      <c r="E623" s="92"/>
      <c r="F623" s="93"/>
      <c r="G623" s="92"/>
      <c r="H623" s="94" t="str">
        <f>IFERROR(__xludf.DUMMYFUNCTION("""COMPUTED_VALUE"""),"")</f>
        <v/>
      </c>
      <c r="I623" s="94" t="str">
        <f>IFERROR(__xludf.DUMMYFUNCTION("""COMPUTED_VALUE"""),"")</f>
        <v/>
      </c>
      <c r="J623" s="93" t="str">
        <f>IFERROR(__xludf.DUMMYFUNCTION("""COMPUTED_VALUE"""),"")</f>
        <v/>
      </c>
      <c r="K623" s="100" t="b">
        <v>0</v>
      </c>
      <c r="L623" s="101"/>
      <c r="M623" s="100"/>
      <c r="N623" s="97" t="b">
        <v>0</v>
      </c>
      <c r="O623" s="93" t="str">
        <f>IFERROR(__xludf.DUMMYFUNCTION("""COMPUTED_VALUE"""),"")</f>
        <v/>
      </c>
      <c r="P62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23" s="99"/>
    </row>
    <row r="624" ht="13.5" customHeight="1">
      <c r="A624" s="88"/>
      <c r="B624" s="88" t="b">
        <v>0</v>
      </c>
      <c r="C624" s="90" t="str">
        <f t="shared" si="4"/>
        <v/>
      </c>
      <c r="D624" s="92" t="str">
        <f>IFERROR(__xludf.DUMMYFUNCTION("""COMPUTED_VALUE"""),"")</f>
        <v/>
      </c>
      <c r="E624" s="92"/>
      <c r="F624" s="93"/>
      <c r="G624" s="92"/>
      <c r="H624" s="94" t="str">
        <f>IFERROR(__xludf.DUMMYFUNCTION("""COMPUTED_VALUE"""),"")</f>
        <v/>
      </c>
      <c r="I624" s="94" t="str">
        <f>IFERROR(__xludf.DUMMYFUNCTION("""COMPUTED_VALUE"""),"")</f>
        <v/>
      </c>
      <c r="J624" s="93" t="str">
        <f>IFERROR(__xludf.DUMMYFUNCTION("""COMPUTED_VALUE"""),"")</f>
        <v/>
      </c>
      <c r="K624" s="100" t="b">
        <v>0</v>
      </c>
      <c r="L624" s="101"/>
      <c r="M624" s="100"/>
      <c r="N624" s="97" t="b">
        <v>0</v>
      </c>
      <c r="O624" s="93" t="str">
        <f>IFERROR(__xludf.DUMMYFUNCTION("""COMPUTED_VALUE"""),"")</f>
        <v/>
      </c>
      <c r="P62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24" s="99"/>
    </row>
    <row r="625" ht="13.5" customHeight="1">
      <c r="A625" s="88"/>
      <c r="B625" s="88" t="b">
        <v>0</v>
      </c>
      <c r="C625" s="90" t="str">
        <f t="shared" si="4"/>
        <v/>
      </c>
      <c r="D625" s="92" t="str">
        <f>IFERROR(__xludf.DUMMYFUNCTION("""COMPUTED_VALUE"""),"")</f>
        <v/>
      </c>
      <c r="E625" s="92"/>
      <c r="F625" s="93"/>
      <c r="G625" s="92"/>
      <c r="H625" s="94" t="str">
        <f>IFERROR(__xludf.DUMMYFUNCTION("""COMPUTED_VALUE"""),"")</f>
        <v/>
      </c>
      <c r="I625" s="94" t="str">
        <f>IFERROR(__xludf.DUMMYFUNCTION("""COMPUTED_VALUE"""),"")</f>
        <v/>
      </c>
      <c r="J625" s="93" t="str">
        <f>IFERROR(__xludf.DUMMYFUNCTION("""COMPUTED_VALUE"""),"")</f>
        <v/>
      </c>
      <c r="K625" s="100" t="b">
        <v>0</v>
      </c>
      <c r="L625" s="101"/>
      <c r="M625" s="100"/>
      <c r="N625" s="97" t="b">
        <v>0</v>
      </c>
      <c r="O625" s="93" t="str">
        <f>IFERROR(__xludf.DUMMYFUNCTION("""COMPUTED_VALUE"""),"")</f>
        <v/>
      </c>
      <c r="P62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25" s="99"/>
    </row>
    <row r="626" ht="13.5" customHeight="1">
      <c r="A626" s="88"/>
      <c r="B626" s="88" t="b">
        <v>0</v>
      </c>
      <c r="C626" s="90" t="str">
        <f t="shared" si="4"/>
        <v/>
      </c>
      <c r="D626" s="92" t="str">
        <f>IFERROR(__xludf.DUMMYFUNCTION("""COMPUTED_VALUE"""),"")</f>
        <v/>
      </c>
      <c r="E626" s="92"/>
      <c r="F626" s="93"/>
      <c r="G626" s="92"/>
      <c r="H626" s="94" t="str">
        <f>IFERROR(__xludf.DUMMYFUNCTION("""COMPUTED_VALUE"""),"")</f>
        <v/>
      </c>
      <c r="I626" s="94" t="str">
        <f>IFERROR(__xludf.DUMMYFUNCTION("""COMPUTED_VALUE"""),"")</f>
        <v/>
      </c>
      <c r="J626" s="93" t="str">
        <f>IFERROR(__xludf.DUMMYFUNCTION("""COMPUTED_VALUE"""),"")</f>
        <v/>
      </c>
      <c r="K626" s="100" t="b">
        <v>0</v>
      </c>
      <c r="L626" s="101"/>
      <c r="M626" s="100"/>
      <c r="N626" s="97" t="b">
        <v>0</v>
      </c>
      <c r="O626" s="93" t="str">
        <f>IFERROR(__xludf.DUMMYFUNCTION("""COMPUTED_VALUE"""),"")</f>
        <v/>
      </c>
      <c r="P62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26" s="99"/>
    </row>
    <row r="627" ht="13.5" customHeight="1">
      <c r="A627" s="88"/>
      <c r="B627" s="88" t="b">
        <v>0</v>
      </c>
      <c r="C627" s="90" t="str">
        <f t="shared" si="4"/>
        <v/>
      </c>
      <c r="D627" s="92" t="str">
        <f>IFERROR(__xludf.DUMMYFUNCTION("""COMPUTED_VALUE"""),"")</f>
        <v/>
      </c>
      <c r="E627" s="92"/>
      <c r="F627" s="93"/>
      <c r="G627" s="92"/>
      <c r="H627" s="94" t="str">
        <f>IFERROR(__xludf.DUMMYFUNCTION("""COMPUTED_VALUE"""),"")</f>
        <v/>
      </c>
      <c r="I627" s="94" t="str">
        <f>IFERROR(__xludf.DUMMYFUNCTION("""COMPUTED_VALUE"""),"")</f>
        <v/>
      </c>
      <c r="J627" s="93" t="str">
        <f>IFERROR(__xludf.DUMMYFUNCTION("""COMPUTED_VALUE"""),"")</f>
        <v/>
      </c>
      <c r="K627" s="100" t="b">
        <v>0</v>
      </c>
      <c r="L627" s="101"/>
      <c r="M627" s="100"/>
      <c r="N627" s="97" t="b">
        <v>0</v>
      </c>
      <c r="O627" s="93" t="str">
        <f>IFERROR(__xludf.DUMMYFUNCTION("""COMPUTED_VALUE"""),"")</f>
        <v/>
      </c>
      <c r="P62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27" s="99"/>
    </row>
    <row r="628" ht="13.5" customHeight="1">
      <c r="A628" s="88"/>
      <c r="B628" s="88" t="b">
        <v>0</v>
      </c>
      <c r="C628" s="90" t="str">
        <f t="shared" si="4"/>
        <v/>
      </c>
      <c r="D628" s="92" t="str">
        <f>IFERROR(__xludf.DUMMYFUNCTION("""COMPUTED_VALUE"""),"")</f>
        <v/>
      </c>
      <c r="E628" s="92"/>
      <c r="F628" s="93"/>
      <c r="G628" s="92"/>
      <c r="H628" s="94" t="str">
        <f>IFERROR(__xludf.DUMMYFUNCTION("""COMPUTED_VALUE"""),"")</f>
        <v/>
      </c>
      <c r="I628" s="94" t="str">
        <f>IFERROR(__xludf.DUMMYFUNCTION("""COMPUTED_VALUE"""),"")</f>
        <v/>
      </c>
      <c r="J628" s="93" t="str">
        <f>IFERROR(__xludf.DUMMYFUNCTION("""COMPUTED_VALUE"""),"")</f>
        <v/>
      </c>
      <c r="K628" s="100" t="b">
        <v>0</v>
      </c>
      <c r="L628" s="101"/>
      <c r="M628" s="100"/>
      <c r="N628" s="97" t="b">
        <v>0</v>
      </c>
      <c r="O628" s="93" t="str">
        <f>IFERROR(__xludf.DUMMYFUNCTION("""COMPUTED_VALUE"""),"")</f>
        <v/>
      </c>
      <c r="P62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28" s="99"/>
    </row>
    <row r="629" ht="13.5" customHeight="1">
      <c r="A629" s="88"/>
      <c r="B629" s="88" t="b">
        <v>0</v>
      </c>
      <c r="C629" s="90" t="str">
        <f t="shared" si="4"/>
        <v/>
      </c>
      <c r="D629" s="92" t="str">
        <f>IFERROR(__xludf.DUMMYFUNCTION("""COMPUTED_VALUE"""),"")</f>
        <v/>
      </c>
      <c r="E629" s="92"/>
      <c r="F629" s="93"/>
      <c r="G629" s="92"/>
      <c r="H629" s="94" t="str">
        <f>IFERROR(__xludf.DUMMYFUNCTION("""COMPUTED_VALUE"""),"")</f>
        <v/>
      </c>
      <c r="I629" s="94" t="str">
        <f>IFERROR(__xludf.DUMMYFUNCTION("""COMPUTED_VALUE"""),"")</f>
        <v/>
      </c>
      <c r="J629" s="93" t="str">
        <f>IFERROR(__xludf.DUMMYFUNCTION("""COMPUTED_VALUE"""),"")</f>
        <v/>
      </c>
      <c r="K629" s="100" t="b">
        <v>0</v>
      </c>
      <c r="L629" s="101"/>
      <c r="M629" s="100"/>
      <c r="N629" s="97" t="b">
        <v>0</v>
      </c>
      <c r="O629" s="93" t="str">
        <f>IFERROR(__xludf.DUMMYFUNCTION("""COMPUTED_VALUE"""),"")</f>
        <v/>
      </c>
      <c r="P62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29" s="99"/>
    </row>
    <row r="630" ht="13.5" customHeight="1">
      <c r="A630" s="88"/>
      <c r="B630" s="88" t="b">
        <v>0</v>
      </c>
      <c r="C630" s="90" t="str">
        <f t="shared" si="4"/>
        <v/>
      </c>
      <c r="D630" s="92" t="str">
        <f>IFERROR(__xludf.DUMMYFUNCTION("""COMPUTED_VALUE"""),"")</f>
        <v/>
      </c>
      <c r="E630" s="92"/>
      <c r="F630" s="93"/>
      <c r="G630" s="92"/>
      <c r="H630" s="94" t="str">
        <f>IFERROR(__xludf.DUMMYFUNCTION("""COMPUTED_VALUE"""),"")</f>
        <v/>
      </c>
      <c r="I630" s="94" t="str">
        <f>IFERROR(__xludf.DUMMYFUNCTION("""COMPUTED_VALUE"""),"")</f>
        <v/>
      </c>
      <c r="J630" s="93" t="str">
        <f>IFERROR(__xludf.DUMMYFUNCTION("""COMPUTED_VALUE"""),"")</f>
        <v/>
      </c>
      <c r="K630" s="100" t="b">
        <v>0</v>
      </c>
      <c r="L630" s="101"/>
      <c r="M630" s="100"/>
      <c r="N630" s="97" t="b">
        <v>0</v>
      </c>
      <c r="O630" s="93" t="str">
        <f>IFERROR(__xludf.DUMMYFUNCTION("""COMPUTED_VALUE"""),"")</f>
        <v/>
      </c>
      <c r="P63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30" s="99"/>
    </row>
    <row r="631" ht="13.5" customHeight="1">
      <c r="A631" s="88"/>
      <c r="B631" s="88" t="b">
        <v>0</v>
      </c>
      <c r="C631" s="90" t="str">
        <f t="shared" si="4"/>
        <v/>
      </c>
      <c r="D631" s="92" t="str">
        <f>IFERROR(__xludf.DUMMYFUNCTION("""COMPUTED_VALUE"""),"")</f>
        <v/>
      </c>
      <c r="E631" s="92"/>
      <c r="F631" s="93"/>
      <c r="G631" s="92"/>
      <c r="H631" s="94" t="str">
        <f>IFERROR(__xludf.DUMMYFUNCTION("""COMPUTED_VALUE"""),"")</f>
        <v/>
      </c>
      <c r="I631" s="94" t="str">
        <f>IFERROR(__xludf.DUMMYFUNCTION("""COMPUTED_VALUE"""),"")</f>
        <v/>
      </c>
      <c r="J631" s="93" t="str">
        <f>IFERROR(__xludf.DUMMYFUNCTION("""COMPUTED_VALUE"""),"")</f>
        <v/>
      </c>
      <c r="K631" s="100" t="b">
        <v>0</v>
      </c>
      <c r="L631" s="101"/>
      <c r="M631" s="100"/>
      <c r="N631" s="97" t="b">
        <v>0</v>
      </c>
      <c r="O631" s="93" t="str">
        <f>IFERROR(__xludf.DUMMYFUNCTION("""COMPUTED_VALUE"""),"")</f>
        <v/>
      </c>
      <c r="P63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31" s="99"/>
    </row>
    <row r="632" ht="13.5" customHeight="1">
      <c r="A632" s="88"/>
      <c r="B632" s="88" t="b">
        <v>0</v>
      </c>
      <c r="C632" s="90" t="str">
        <f t="shared" si="4"/>
        <v/>
      </c>
      <c r="D632" s="92" t="str">
        <f>IFERROR(__xludf.DUMMYFUNCTION("""COMPUTED_VALUE"""),"")</f>
        <v/>
      </c>
      <c r="E632" s="92"/>
      <c r="F632" s="93"/>
      <c r="G632" s="92"/>
      <c r="H632" s="94" t="str">
        <f>IFERROR(__xludf.DUMMYFUNCTION("""COMPUTED_VALUE"""),"")</f>
        <v/>
      </c>
      <c r="I632" s="94" t="str">
        <f>IFERROR(__xludf.DUMMYFUNCTION("""COMPUTED_VALUE"""),"")</f>
        <v/>
      </c>
      <c r="J632" s="93" t="str">
        <f>IFERROR(__xludf.DUMMYFUNCTION("""COMPUTED_VALUE"""),"")</f>
        <v/>
      </c>
      <c r="K632" s="100" t="b">
        <v>0</v>
      </c>
      <c r="L632" s="101"/>
      <c r="M632" s="100"/>
      <c r="N632" s="97" t="b">
        <v>0</v>
      </c>
      <c r="O632" s="93" t="str">
        <f>IFERROR(__xludf.DUMMYFUNCTION("""COMPUTED_VALUE"""),"")</f>
        <v/>
      </c>
      <c r="P63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32" s="99"/>
    </row>
    <row r="633" ht="13.5" customHeight="1">
      <c r="A633" s="88"/>
      <c r="B633" s="88" t="b">
        <v>0</v>
      </c>
      <c r="C633" s="90" t="str">
        <f t="shared" si="4"/>
        <v/>
      </c>
      <c r="D633" s="92" t="str">
        <f>IFERROR(__xludf.DUMMYFUNCTION("""COMPUTED_VALUE"""),"")</f>
        <v/>
      </c>
      <c r="E633" s="92"/>
      <c r="F633" s="93"/>
      <c r="G633" s="92"/>
      <c r="H633" s="94" t="str">
        <f>IFERROR(__xludf.DUMMYFUNCTION("""COMPUTED_VALUE"""),"")</f>
        <v/>
      </c>
      <c r="I633" s="94" t="str">
        <f>IFERROR(__xludf.DUMMYFUNCTION("""COMPUTED_VALUE"""),"")</f>
        <v/>
      </c>
      <c r="J633" s="93" t="str">
        <f>IFERROR(__xludf.DUMMYFUNCTION("""COMPUTED_VALUE"""),"")</f>
        <v/>
      </c>
      <c r="K633" s="100" t="b">
        <v>0</v>
      </c>
      <c r="L633" s="101"/>
      <c r="M633" s="100"/>
      <c r="N633" s="97" t="b">
        <v>0</v>
      </c>
      <c r="O633" s="93" t="str">
        <f>IFERROR(__xludf.DUMMYFUNCTION("""COMPUTED_VALUE"""),"")</f>
        <v/>
      </c>
      <c r="P63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33" s="99"/>
    </row>
    <row r="634" ht="13.5" customHeight="1">
      <c r="A634" s="88"/>
      <c r="B634" s="88"/>
      <c r="C634" s="90" t="str">
        <f t="shared" si="4"/>
        <v/>
      </c>
      <c r="D634" s="92" t="str">
        <f>IFERROR(__xludf.DUMMYFUNCTION("""COMPUTED_VALUE"""),"")</f>
        <v/>
      </c>
      <c r="E634" s="92"/>
      <c r="F634" s="93"/>
      <c r="G634" s="92"/>
      <c r="H634" s="94" t="str">
        <f>IFERROR(__xludf.DUMMYFUNCTION("""COMPUTED_VALUE"""),"")</f>
        <v/>
      </c>
      <c r="I634" s="94" t="str">
        <f>IFERROR(__xludf.DUMMYFUNCTION("""COMPUTED_VALUE"""),"")</f>
        <v/>
      </c>
      <c r="J634" s="93" t="str">
        <f>IFERROR(__xludf.DUMMYFUNCTION("""COMPUTED_VALUE"""),"")</f>
        <v/>
      </c>
      <c r="K634" s="100" t="b">
        <v>0</v>
      </c>
      <c r="L634" s="101"/>
      <c r="M634" s="100"/>
      <c r="N634" s="97" t="b">
        <v>0</v>
      </c>
      <c r="O634" s="93" t="str">
        <f>IFERROR(__xludf.DUMMYFUNCTION("""COMPUTED_VALUE"""),"")</f>
        <v/>
      </c>
      <c r="P63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34" s="99"/>
    </row>
    <row r="635" ht="13.5" customHeight="1">
      <c r="A635" s="88"/>
      <c r="B635" s="88"/>
      <c r="C635" s="90" t="str">
        <f t="shared" si="4"/>
        <v/>
      </c>
      <c r="D635" s="92" t="str">
        <f>IFERROR(__xludf.DUMMYFUNCTION("""COMPUTED_VALUE"""),"")</f>
        <v/>
      </c>
      <c r="E635" s="92"/>
      <c r="F635" s="93"/>
      <c r="G635" s="92"/>
      <c r="H635" s="94" t="str">
        <f>IFERROR(__xludf.DUMMYFUNCTION("""COMPUTED_VALUE"""),"")</f>
        <v/>
      </c>
      <c r="I635" s="94" t="str">
        <f>IFERROR(__xludf.DUMMYFUNCTION("""COMPUTED_VALUE"""),"")</f>
        <v/>
      </c>
      <c r="J635" s="93" t="str">
        <f>IFERROR(__xludf.DUMMYFUNCTION("""COMPUTED_VALUE"""),"")</f>
        <v/>
      </c>
      <c r="K635" s="100" t="b">
        <v>0</v>
      </c>
      <c r="L635" s="101"/>
      <c r="M635" s="100"/>
      <c r="N635" s="97" t="b">
        <v>0</v>
      </c>
      <c r="O635" s="93" t="str">
        <f>IFERROR(__xludf.DUMMYFUNCTION("""COMPUTED_VALUE"""),"")</f>
        <v/>
      </c>
      <c r="P63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35" s="99"/>
    </row>
    <row r="636" ht="13.5" customHeight="1">
      <c r="A636" s="88"/>
      <c r="B636" s="88"/>
      <c r="C636" s="90" t="str">
        <f t="shared" si="4"/>
        <v/>
      </c>
      <c r="D636" s="92" t="str">
        <f>IFERROR(__xludf.DUMMYFUNCTION("""COMPUTED_VALUE"""),"")</f>
        <v/>
      </c>
      <c r="E636" s="92"/>
      <c r="F636" s="93"/>
      <c r="G636" s="92"/>
      <c r="H636" s="94" t="str">
        <f>IFERROR(__xludf.DUMMYFUNCTION("""COMPUTED_VALUE"""),"")</f>
        <v/>
      </c>
      <c r="I636" s="94" t="str">
        <f>IFERROR(__xludf.DUMMYFUNCTION("""COMPUTED_VALUE"""),"")</f>
        <v/>
      </c>
      <c r="J636" s="93" t="str">
        <f>IFERROR(__xludf.DUMMYFUNCTION("""COMPUTED_VALUE"""),"")</f>
        <v/>
      </c>
      <c r="K636" s="100" t="b">
        <v>0</v>
      </c>
      <c r="L636" s="101"/>
      <c r="M636" s="100"/>
      <c r="N636" s="97" t="b">
        <v>0</v>
      </c>
      <c r="O636" s="93" t="str">
        <f>IFERROR(__xludf.DUMMYFUNCTION("""COMPUTED_VALUE"""),"")</f>
        <v/>
      </c>
      <c r="P63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36" s="99"/>
    </row>
    <row r="637" ht="13.5" customHeight="1">
      <c r="A637" s="88"/>
      <c r="B637" s="88"/>
      <c r="C637" s="90" t="str">
        <f t="shared" si="4"/>
        <v/>
      </c>
      <c r="D637" s="92" t="str">
        <f>IFERROR(__xludf.DUMMYFUNCTION("""COMPUTED_VALUE"""),"")</f>
        <v/>
      </c>
      <c r="E637" s="92"/>
      <c r="F637" s="93"/>
      <c r="G637" s="92"/>
      <c r="H637" s="94" t="str">
        <f>IFERROR(__xludf.DUMMYFUNCTION("""COMPUTED_VALUE"""),"")</f>
        <v/>
      </c>
      <c r="I637" s="94" t="str">
        <f>IFERROR(__xludf.DUMMYFUNCTION("""COMPUTED_VALUE"""),"")</f>
        <v/>
      </c>
      <c r="J637" s="93" t="str">
        <f>IFERROR(__xludf.DUMMYFUNCTION("""COMPUTED_VALUE"""),"")</f>
        <v/>
      </c>
      <c r="K637" s="100" t="b">
        <v>0</v>
      </c>
      <c r="L637" s="101"/>
      <c r="M637" s="100"/>
      <c r="N637" s="97" t="b">
        <v>0</v>
      </c>
      <c r="O637" s="93" t="str">
        <f>IFERROR(__xludf.DUMMYFUNCTION("""COMPUTED_VALUE"""),"")</f>
        <v/>
      </c>
      <c r="P63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37" s="99"/>
    </row>
    <row r="638" ht="13.5" customHeight="1">
      <c r="A638" s="88"/>
      <c r="B638" s="88"/>
      <c r="C638" s="90" t="str">
        <f t="shared" si="4"/>
        <v/>
      </c>
      <c r="D638" s="92" t="str">
        <f>IFERROR(__xludf.DUMMYFUNCTION("""COMPUTED_VALUE"""),"")</f>
        <v/>
      </c>
      <c r="E638" s="92"/>
      <c r="F638" s="93"/>
      <c r="G638" s="92"/>
      <c r="H638" s="94" t="str">
        <f>IFERROR(__xludf.DUMMYFUNCTION("""COMPUTED_VALUE"""),"")</f>
        <v/>
      </c>
      <c r="I638" s="94" t="str">
        <f>IFERROR(__xludf.DUMMYFUNCTION("""COMPUTED_VALUE"""),"")</f>
        <v/>
      </c>
      <c r="J638" s="93" t="str">
        <f>IFERROR(__xludf.DUMMYFUNCTION("""COMPUTED_VALUE"""),"")</f>
        <v/>
      </c>
      <c r="K638" s="100" t="b">
        <v>0</v>
      </c>
      <c r="L638" s="101"/>
      <c r="M638" s="100"/>
      <c r="N638" s="97" t="b">
        <v>0</v>
      </c>
      <c r="O638" s="93" t="str">
        <f>IFERROR(__xludf.DUMMYFUNCTION("""COMPUTED_VALUE"""),"")</f>
        <v/>
      </c>
      <c r="P63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38" s="99"/>
    </row>
    <row r="639" ht="13.5" customHeight="1">
      <c r="A639" s="88"/>
      <c r="B639" s="88"/>
      <c r="C639" s="90" t="str">
        <f t="shared" si="4"/>
        <v/>
      </c>
      <c r="D639" s="92" t="str">
        <f>IFERROR(__xludf.DUMMYFUNCTION("""COMPUTED_VALUE"""),"")</f>
        <v/>
      </c>
      <c r="E639" s="92"/>
      <c r="F639" s="93"/>
      <c r="G639" s="92"/>
      <c r="H639" s="94" t="str">
        <f>IFERROR(__xludf.DUMMYFUNCTION("""COMPUTED_VALUE"""),"")</f>
        <v/>
      </c>
      <c r="I639" s="94" t="str">
        <f>IFERROR(__xludf.DUMMYFUNCTION("""COMPUTED_VALUE"""),"")</f>
        <v/>
      </c>
      <c r="J639" s="93" t="str">
        <f>IFERROR(__xludf.DUMMYFUNCTION("""COMPUTED_VALUE"""),"")</f>
        <v/>
      </c>
      <c r="K639" s="100" t="b">
        <v>0</v>
      </c>
      <c r="L639" s="101"/>
      <c r="M639" s="100"/>
      <c r="N639" s="97" t="b">
        <v>0</v>
      </c>
      <c r="O639" s="93" t="str">
        <f>IFERROR(__xludf.DUMMYFUNCTION("""COMPUTED_VALUE"""),"")</f>
        <v/>
      </c>
      <c r="P63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39" s="99"/>
    </row>
    <row r="640" ht="13.5" customHeight="1">
      <c r="A640" s="88"/>
      <c r="B640" s="88"/>
      <c r="C640" s="90" t="str">
        <f t="shared" si="4"/>
        <v/>
      </c>
      <c r="D640" s="92" t="str">
        <f>IFERROR(__xludf.DUMMYFUNCTION("""COMPUTED_VALUE"""),"")</f>
        <v/>
      </c>
      <c r="E640" s="92"/>
      <c r="F640" s="93"/>
      <c r="G640" s="92"/>
      <c r="H640" s="94" t="str">
        <f>IFERROR(__xludf.DUMMYFUNCTION("""COMPUTED_VALUE"""),"")</f>
        <v/>
      </c>
      <c r="I640" s="94" t="str">
        <f>IFERROR(__xludf.DUMMYFUNCTION("""COMPUTED_VALUE"""),"")</f>
        <v/>
      </c>
      <c r="J640" s="93" t="str">
        <f>IFERROR(__xludf.DUMMYFUNCTION("""COMPUTED_VALUE"""),"")</f>
        <v/>
      </c>
      <c r="K640" s="100" t="b">
        <v>0</v>
      </c>
      <c r="L640" s="101"/>
      <c r="M640" s="100"/>
      <c r="N640" s="97" t="b">
        <v>0</v>
      </c>
      <c r="O640" s="93" t="str">
        <f>IFERROR(__xludf.DUMMYFUNCTION("""COMPUTED_VALUE"""),"")</f>
        <v/>
      </c>
      <c r="P64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40" s="99"/>
    </row>
    <row r="641" ht="13.5" customHeight="1">
      <c r="A641" s="88"/>
      <c r="B641" s="88"/>
      <c r="C641" s="90" t="str">
        <f t="shared" si="4"/>
        <v/>
      </c>
      <c r="D641" s="92" t="str">
        <f>IFERROR(__xludf.DUMMYFUNCTION("""COMPUTED_VALUE"""),"")</f>
        <v/>
      </c>
      <c r="E641" s="92"/>
      <c r="F641" s="93"/>
      <c r="G641" s="92"/>
      <c r="H641" s="94" t="str">
        <f>IFERROR(__xludf.DUMMYFUNCTION("""COMPUTED_VALUE"""),"")</f>
        <v/>
      </c>
      <c r="I641" s="94" t="str">
        <f>IFERROR(__xludf.DUMMYFUNCTION("""COMPUTED_VALUE"""),"")</f>
        <v/>
      </c>
      <c r="J641" s="93" t="str">
        <f>IFERROR(__xludf.DUMMYFUNCTION("""COMPUTED_VALUE"""),"")</f>
        <v/>
      </c>
      <c r="K641" s="100" t="b">
        <v>0</v>
      </c>
      <c r="L641" s="101"/>
      <c r="M641" s="100"/>
      <c r="N641" s="97" t="b">
        <v>0</v>
      </c>
      <c r="O641" s="93" t="str">
        <f>IFERROR(__xludf.DUMMYFUNCTION("""COMPUTED_VALUE"""),"")</f>
        <v/>
      </c>
      <c r="P64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41" s="99"/>
    </row>
    <row r="642" ht="13.5" customHeight="1">
      <c r="A642" s="88"/>
      <c r="B642" s="88"/>
      <c r="C642" s="90" t="str">
        <f t="shared" si="4"/>
        <v/>
      </c>
      <c r="D642" s="92" t="str">
        <f>IFERROR(__xludf.DUMMYFUNCTION("""COMPUTED_VALUE"""),"")</f>
        <v/>
      </c>
      <c r="E642" s="92"/>
      <c r="F642" s="93"/>
      <c r="G642" s="92"/>
      <c r="H642" s="94" t="str">
        <f>IFERROR(__xludf.DUMMYFUNCTION("""COMPUTED_VALUE"""),"")</f>
        <v/>
      </c>
      <c r="I642" s="94" t="str">
        <f>IFERROR(__xludf.DUMMYFUNCTION("""COMPUTED_VALUE"""),"")</f>
        <v/>
      </c>
      <c r="J642" s="93" t="str">
        <f>IFERROR(__xludf.DUMMYFUNCTION("""COMPUTED_VALUE"""),"")</f>
        <v/>
      </c>
      <c r="K642" s="100" t="b">
        <v>0</v>
      </c>
      <c r="L642" s="101"/>
      <c r="M642" s="100"/>
      <c r="N642" s="97" t="b">
        <v>0</v>
      </c>
      <c r="O642" s="93" t="str">
        <f>IFERROR(__xludf.DUMMYFUNCTION("""COMPUTED_VALUE"""),"")</f>
        <v/>
      </c>
      <c r="P64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42" s="99"/>
    </row>
    <row r="643" ht="13.5" customHeight="1">
      <c r="A643" s="88"/>
      <c r="B643" s="88"/>
      <c r="C643" s="90" t="str">
        <f t="shared" si="4"/>
        <v/>
      </c>
      <c r="D643" s="92" t="str">
        <f>IFERROR(__xludf.DUMMYFUNCTION("""COMPUTED_VALUE"""),"")</f>
        <v/>
      </c>
      <c r="E643" s="92"/>
      <c r="F643" s="93"/>
      <c r="G643" s="92"/>
      <c r="H643" s="94" t="str">
        <f>IFERROR(__xludf.DUMMYFUNCTION("""COMPUTED_VALUE"""),"")</f>
        <v/>
      </c>
      <c r="I643" s="94" t="str">
        <f>IFERROR(__xludf.DUMMYFUNCTION("""COMPUTED_VALUE"""),"")</f>
        <v/>
      </c>
      <c r="J643" s="93" t="str">
        <f>IFERROR(__xludf.DUMMYFUNCTION("""COMPUTED_VALUE"""),"")</f>
        <v/>
      </c>
      <c r="K643" s="100" t="b">
        <v>0</v>
      </c>
      <c r="L643" s="101"/>
      <c r="M643" s="100"/>
      <c r="N643" s="97" t="b">
        <v>0</v>
      </c>
      <c r="O643" s="93" t="str">
        <f>IFERROR(__xludf.DUMMYFUNCTION("""COMPUTED_VALUE"""),"")</f>
        <v/>
      </c>
      <c r="P64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43" s="99"/>
    </row>
    <row r="644" ht="13.5" customHeight="1">
      <c r="A644" s="88"/>
      <c r="B644" s="88"/>
      <c r="C644" s="90" t="str">
        <f t="shared" si="4"/>
        <v/>
      </c>
      <c r="D644" s="92" t="str">
        <f>IFERROR(__xludf.DUMMYFUNCTION("""COMPUTED_VALUE"""),"")</f>
        <v/>
      </c>
      <c r="E644" s="92"/>
      <c r="F644" s="93"/>
      <c r="G644" s="92"/>
      <c r="H644" s="94" t="str">
        <f>IFERROR(__xludf.DUMMYFUNCTION("""COMPUTED_VALUE"""),"")</f>
        <v/>
      </c>
      <c r="I644" s="94" t="str">
        <f>IFERROR(__xludf.DUMMYFUNCTION("""COMPUTED_VALUE"""),"")</f>
        <v/>
      </c>
      <c r="J644" s="93" t="str">
        <f>IFERROR(__xludf.DUMMYFUNCTION("""COMPUTED_VALUE"""),"")</f>
        <v/>
      </c>
      <c r="K644" s="100" t="b">
        <v>0</v>
      </c>
      <c r="L644" s="101"/>
      <c r="M644" s="100"/>
      <c r="N644" s="97" t="b">
        <v>0</v>
      </c>
      <c r="O644" s="93" t="str">
        <f>IFERROR(__xludf.DUMMYFUNCTION("""COMPUTED_VALUE"""),"")</f>
        <v/>
      </c>
      <c r="P64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44" s="99"/>
    </row>
    <row r="645" ht="13.5" customHeight="1">
      <c r="A645" s="88"/>
      <c r="B645" s="88"/>
      <c r="C645" s="90" t="str">
        <f t="shared" si="4"/>
        <v/>
      </c>
      <c r="D645" s="92" t="str">
        <f>IFERROR(__xludf.DUMMYFUNCTION("""COMPUTED_VALUE"""),"")</f>
        <v/>
      </c>
      <c r="E645" s="92"/>
      <c r="F645" s="93"/>
      <c r="G645" s="92"/>
      <c r="H645" s="94" t="str">
        <f>IFERROR(__xludf.DUMMYFUNCTION("""COMPUTED_VALUE"""),"")</f>
        <v/>
      </c>
      <c r="I645" s="94" t="str">
        <f>IFERROR(__xludf.DUMMYFUNCTION("""COMPUTED_VALUE"""),"")</f>
        <v/>
      </c>
      <c r="J645" s="93" t="str">
        <f>IFERROR(__xludf.DUMMYFUNCTION("""COMPUTED_VALUE"""),"")</f>
        <v/>
      </c>
      <c r="K645" s="100" t="b">
        <v>0</v>
      </c>
      <c r="L645" s="101"/>
      <c r="M645" s="100"/>
      <c r="N645" s="97" t="b">
        <v>0</v>
      </c>
      <c r="O645" s="93" t="str">
        <f>IFERROR(__xludf.DUMMYFUNCTION("""COMPUTED_VALUE"""),"")</f>
        <v/>
      </c>
      <c r="P64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45" s="99"/>
    </row>
    <row r="646" ht="13.5" customHeight="1">
      <c r="A646" s="88"/>
      <c r="B646" s="88"/>
      <c r="C646" s="90" t="str">
        <f t="shared" si="4"/>
        <v/>
      </c>
      <c r="D646" s="92" t="str">
        <f>IFERROR(__xludf.DUMMYFUNCTION("""COMPUTED_VALUE"""),"")</f>
        <v/>
      </c>
      <c r="E646" s="92"/>
      <c r="F646" s="93"/>
      <c r="G646" s="92"/>
      <c r="H646" s="94" t="str">
        <f>IFERROR(__xludf.DUMMYFUNCTION("""COMPUTED_VALUE"""),"")</f>
        <v/>
      </c>
      <c r="I646" s="94" t="str">
        <f>IFERROR(__xludf.DUMMYFUNCTION("""COMPUTED_VALUE"""),"")</f>
        <v/>
      </c>
      <c r="J646" s="93" t="str">
        <f>IFERROR(__xludf.DUMMYFUNCTION("""COMPUTED_VALUE"""),"")</f>
        <v/>
      </c>
      <c r="K646" s="100" t="b">
        <v>0</v>
      </c>
      <c r="L646" s="101"/>
      <c r="M646" s="100"/>
      <c r="N646" s="97" t="b">
        <v>0</v>
      </c>
      <c r="O646" s="93" t="str">
        <f>IFERROR(__xludf.DUMMYFUNCTION("""COMPUTED_VALUE"""),"")</f>
        <v/>
      </c>
      <c r="P64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46" s="99"/>
    </row>
    <row r="647" ht="13.5" customHeight="1">
      <c r="A647" s="88"/>
      <c r="B647" s="88"/>
      <c r="C647" s="90" t="str">
        <f t="shared" si="4"/>
        <v/>
      </c>
      <c r="D647" s="92" t="str">
        <f>IFERROR(__xludf.DUMMYFUNCTION("""COMPUTED_VALUE"""),"")</f>
        <v/>
      </c>
      <c r="E647" s="92"/>
      <c r="F647" s="93"/>
      <c r="G647" s="92"/>
      <c r="H647" s="94" t="str">
        <f>IFERROR(__xludf.DUMMYFUNCTION("""COMPUTED_VALUE"""),"")</f>
        <v/>
      </c>
      <c r="I647" s="94" t="str">
        <f>IFERROR(__xludf.DUMMYFUNCTION("""COMPUTED_VALUE"""),"")</f>
        <v/>
      </c>
      <c r="J647" s="93" t="str">
        <f>IFERROR(__xludf.DUMMYFUNCTION("""COMPUTED_VALUE"""),"")</f>
        <v/>
      </c>
      <c r="K647" s="100" t="b">
        <v>0</v>
      </c>
      <c r="L647" s="101"/>
      <c r="M647" s="100"/>
      <c r="N647" s="97" t="b">
        <v>0</v>
      </c>
      <c r="O647" s="93" t="str">
        <f>IFERROR(__xludf.DUMMYFUNCTION("""COMPUTED_VALUE"""),"")</f>
        <v/>
      </c>
      <c r="P64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47" s="99"/>
    </row>
    <row r="648" ht="13.5" customHeight="1">
      <c r="A648" s="88"/>
      <c r="B648" s="88"/>
      <c r="C648" s="90" t="str">
        <f t="shared" si="4"/>
        <v/>
      </c>
      <c r="D648" s="92" t="str">
        <f>IFERROR(__xludf.DUMMYFUNCTION("""COMPUTED_VALUE"""),"")</f>
        <v/>
      </c>
      <c r="E648" s="92"/>
      <c r="F648" s="93"/>
      <c r="G648" s="92"/>
      <c r="H648" s="94" t="str">
        <f>IFERROR(__xludf.DUMMYFUNCTION("""COMPUTED_VALUE"""),"")</f>
        <v/>
      </c>
      <c r="I648" s="94" t="str">
        <f>IFERROR(__xludf.DUMMYFUNCTION("""COMPUTED_VALUE"""),"")</f>
        <v/>
      </c>
      <c r="J648" s="93" t="str">
        <f>IFERROR(__xludf.DUMMYFUNCTION("""COMPUTED_VALUE"""),"")</f>
        <v/>
      </c>
      <c r="K648" s="100" t="b">
        <v>0</v>
      </c>
      <c r="L648" s="101"/>
      <c r="M648" s="100"/>
      <c r="N648" s="97" t="b">
        <v>0</v>
      </c>
      <c r="O648" s="93" t="str">
        <f>IFERROR(__xludf.DUMMYFUNCTION("""COMPUTED_VALUE"""),"")</f>
        <v/>
      </c>
      <c r="P64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48" s="99"/>
    </row>
    <row r="649" ht="13.5" customHeight="1">
      <c r="A649" s="88"/>
      <c r="B649" s="88"/>
      <c r="C649" s="90" t="str">
        <f t="shared" si="4"/>
        <v/>
      </c>
      <c r="D649" s="92" t="str">
        <f>IFERROR(__xludf.DUMMYFUNCTION("""COMPUTED_VALUE"""),"")</f>
        <v/>
      </c>
      <c r="E649" s="92"/>
      <c r="F649" s="93"/>
      <c r="G649" s="92"/>
      <c r="H649" s="94" t="str">
        <f>IFERROR(__xludf.DUMMYFUNCTION("""COMPUTED_VALUE"""),"")</f>
        <v/>
      </c>
      <c r="I649" s="94" t="str">
        <f>IFERROR(__xludf.DUMMYFUNCTION("""COMPUTED_VALUE"""),"")</f>
        <v/>
      </c>
      <c r="J649" s="93" t="str">
        <f>IFERROR(__xludf.DUMMYFUNCTION("""COMPUTED_VALUE"""),"")</f>
        <v/>
      </c>
      <c r="K649" s="100" t="b">
        <v>0</v>
      </c>
      <c r="L649" s="101"/>
      <c r="M649" s="100"/>
      <c r="N649" s="97" t="b">
        <v>0</v>
      </c>
      <c r="O649" s="93" t="str">
        <f>IFERROR(__xludf.DUMMYFUNCTION("""COMPUTED_VALUE"""),"")</f>
        <v/>
      </c>
      <c r="P64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49" s="99"/>
    </row>
    <row r="650" ht="13.5" customHeight="1">
      <c r="A650" s="88"/>
      <c r="B650" s="88"/>
      <c r="C650" s="90" t="str">
        <f t="shared" si="4"/>
        <v/>
      </c>
      <c r="D650" s="92" t="str">
        <f>IFERROR(__xludf.DUMMYFUNCTION("""COMPUTED_VALUE"""),"")</f>
        <v/>
      </c>
      <c r="E650" s="92"/>
      <c r="F650" s="93"/>
      <c r="G650" s="92"/>
      <c r="H650" s="94" t="str">
        <f>IFERROR(__xludf.DUMMYFUNCTION("""COMPUTED_VALUE"""),"")</f>
        <v/>
      </c>
      <c r="I650" s="94" t="str">
        <f>IFERROR(__xludf.DUMMYFUNCTION("""COMPUTED_VALUE"""),"")</f>
        <v/>
      </c>
      <c r="J650" s="93" t="str">
        <f>IFERROR(__xludf.DUMMYFUNCTION("""COMPUTED_VALUE"""),"")</f>
        <v/>
      </c>
      <c r="K650" s="100" t="b">
        <v>0</v>
      </c>
      <c r="L650" s="101"/>
      <c r="M650" s="100"/>
      <c r="N650" s="97" t="b">
        <v>0</v>
      </c>
      <c r="O650" s="93" t="str">
        <f>IFERROR(__xludf.DUMMYFUNCTION("""COMPUTED_VALUE"""),"")</f>
        <v/>
      </c>
      <c r="P65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50" s="99"/>
    </row>
    <row r="651" ht="13.5" customHeight="1">
      <c r="A651" s="88"/>
      <c r="B651" s="88"/>
      <c r="C651" s="90" t="str">
        <f t="shared" si="4"/>
        <v/>
      </c>
      <c r="D651" s="92" t="str">
        <f>IFERROR(__xludf.DUMMYFUNCTION("""COMPUTED_VALUE"""),"")</f>
        <v/>
      </c>
      <c r="E651" s="92"/>
      <c r="F651" s="93"/>
      <c r="G651" s="92"/>
      <c r="H651" s="94" t="str">
        <f>IFERROR(__xludf.DUMMYFUNCTION("""COMPUTED_VALUE"""),"")</f>
        <v/>
      </c>
      <c r="I651" s="94" t="str">
        <f>IFERROR(__xludf.DUMMYFUNCTION("""COMPUTED_VALUE"""),"")</f>
        <v/>
      </c>
      <c r="J651" s="93" t="str">
        <f>IFERROR(__xludf.DUMMYFUNCTION("""COMPUTED_VALUE"""),"")</f>
        <v/>
      </c>
      <c r="K651" s="100" t="b">
        <v>0</v>
      </c>
      <c r="L651" s="101"/>
      <c r="M651" s="100"/>
      <c r="N651" s="97" t="b">
        <v>0</v>
      </c>
      <c r="O651" s="93" t="str">
        <f>IFERROR(__xludf.DUMMYFUNCTION("""COMPUTED_VALUE"""),"")</f>
        <v/>
      </c>
      <c r="P65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51" s="99"/>
    </row>
    <row r="652" ht="13.5" customHeight="1">
      <c r="A652" s="88"/>
      <c r="B652" s="88"/>
      <c r="C652" s="90" t="str">
        <f t="shared" si="4"/>
        <v/>
      </c>
      <c r="D652" s="92" t="str">
        <f>IFERROR(__xludf.DUMMYFUNCTION("""COMPUTED_VALUE"""),"")</f>
        <v/>
      </c>
      <c r="E652" s="92"/>
      <c r="F652" s="93"/>
      <c r="G652" s="92"/>
      <c r="H652" s="94" t="str">
        <f>IFERROR(__xludf.DUMMYFUNCTION("""COMPUTED_VALUE"""),"")</f>
        <v/>
      </c>
      <c r="I652" s="94" t="str">
        <f>IFERROR(__xludf.DUMMYFUNCTION("""COMPUTED_VALUE"""),"")</f>
        <v/>
      </c>
      <c r="J652" s="93" t="str">
        <f>IFERROR(__xludf.DUMMYFUNCTION("""COMPUTED_VALUE"""),"")</f>
        <v/>
      </c>
      <c r="K652" s="100" t="b">
        <v>0</v>
      </c>
      <c r="L652" s="101"/>
      <c r="M652" s="100"/>
      <c r="N652" s="97" t="b">
        <v>0</v>
      </c>
      <c r="O652" s="93" t="str">
        <f>IFERROR(__xludf.DUMMYFUNCTION("""COMPUTED_VALUE"""),"")</f>
        <v/>
      </c>
      <c r="P65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52" s="99"/>
    </row>
    <row r="653" ht="13.5" customHeight="1">
      <c r="A653" s="88"/>
      <c r="B653" s="88"/>
      <c r="C653" s="90" t="str">
        <f t="shared" si="4"/>
        <v/>
      </c>
      <c r="D653" s="92" t="str">
        <f>IFERROR(__xludf.DUMMYFUNCTION("""COMPUTED_VALUE"""),"")</f>
        <v/>
      </c>
      <c r="E653" s="92"/>
      <c r="F653" s="93"/>
      <c r="G653" s="92"/>
      <c r="H653" s="94" t="str">
        <f>IFERROR(__xludf.DUMMYFUNCTION("""COMPUTED_VALUE"""),"")</f>
        <v/>
      </c>
      <c r="I653" s="94" t="str">
        <f>IFERROR(__xludf.DUMMYFUNCTION("""COMPUTED_VALUE"""),"")</f>
        <v/>
      </c>
      <c r="J653" s="93" t="str">
        <f>IFERROR(__xludf.DUMMYFUNCTION("""COMPUTED_VALUE"""),"")</f>
        <v/>
      </c>
      <c r="K653" s="100" t="b">
        <v>0</v>
      </c>
      <c r="L653" s="101"/>
      <c r="M653" s="100"/>
      <c r="N653" s="97" t="b">
        <v>0</v>
      </c>
      <c r="O653" s="93" t="str">
        <f>IFERROR(__xludf.DUMMYFUNCTION("""COMPUTED_VALUE"""),"")</f>
        <v/>
      </c>
      <c r="P65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53" s="99"/>
    </row>
    <row r="654" ht="13.5" customHeight="1">
      <c r="A654" s="88"/>
      <c r="B654" s="88"/>
      <c r="C654" s="90" t="str">
        <f t="shared" si="4"/>
        <v/>
      </c>
      <c r="D654" s="92" t="str">
        <f>IFERROR(__xludf.DUMMYFUNCTION("""COMPUTED_VALUE"""),"")</f>
        <v/>
      </c>
      <c r="E654" s="92"/>
      <c r="F654" s="93"/>
      <c r="G654" s="92"/>
      <c r="H654" s="94" t="str">
        <f>IFERROR(__xludf.DUMMYFUNCTION("""COMPUTED_VALUE"""),"")</f>
        <v/>
      </c>
      <c r="I654" s="94" t="str">
        <f>IFERROR(__xludf.DUMMYFUNCTION("""COMPUTED_VALUE"""),"")</f>
        <v/>
      </c>
      <c r="J654" s="93" t="str">
        <f>IFERROR(__xludf.DUMMYFUNCTION("""COMPUTED_VALUE"""),"")</f>
        <v/>
      </c>
      <c r="K654" s="100" t="b">
        <v>0</v>
      </c>
      <c r="L654" s="101"/>
      <c r="M654" s="100"/>
      <c r="N654" s="97" t="b">
        <v>0</v>
      </c>
      <c r="O654" s="93" t="str">
        <f>IFERROR(__xludf.DUMMYFUNCTION("""COMPUTED_VALUE"""),"")</f>
        <v/>
      </c>
      <c r="P65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54" s="99"/>
    </row>
    <row r="655" ht="13.5" customHeight="1">
      <c r="A655" s="88"/>
      <c r="B655" s="88"/>
      <c r="C655" s="90" t="str">
        <f t="shared" si="4"/>
        <v/>
      </c>
      <c r="D655" s="92" t="str">
        <f>IFERROR(__xludf.DUMMYFUNCTION("""COMPUTED_VALUE"""),"")</f>
        <v/>
      </c>
      <c r="E655" s="92"/>
      <c r="F655" s="93"/>
      <c r="G655" s="92"/>
      <c r="H655" s="94" t="str">
        <f>IFERROR(__xludf.DUMMYFUNCTION("""COMPUTED_VALUE"""),"")</f>
        <v/>
      </c>
      <c r="I655" s="94" t="str">
        <f>IFERROR(__xludf.DUMMYFUNCTION("""COMPUTED_VALUE"""),"")</f>
        <v/>
      </c>
      <c r="J655" s="93" t="str">
        <f>IFERROR(__xludf.DUMMYFUNCTION("""COMPUTED_VALUE"""),"")</f>
        <v/>
      </c>
      <c r="K655" s="100" t="b">
        <v>0</v>
      </c>
      <c r="L655" s="101"/>
      <c r="M655" s="100"/>
      <c r="N655" s="97" t="b">
        <v>0</v>
      </c>
      <c r="O655" s="93" t="str">
        <f>IFERROR(__xludf.DUMMYFUNCTION("""COMPUTED_VALUE"""),"")</f>
        <v/>
      </c>
      <c r="P65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55" s="99"/>
    </row>
    <row r="656" ht="13.5" customHeight="1">
      <c r="A656" s="88"/>
      <c r="B656" s="88"/>
      <c r="C656" s="90" t="str">
        <f t="shared" si="4"/>
        <v/>
      </c>
      <c r="D656" s="92" t="str">
        <f>IFERROR(__xludf.DUMMYFUNCTION("""COMPUTED_VALUE"""),"")</f>
        <v/>
      </c>
      <c r="E656" s="92"/>
      <c r="F656" s="93"/>
      <c r="G656" s="92"/>
      <c r="H656" s="94" t="str">
        <f>IFERROR(__xludf.DUMMYFUNCTION("""COMPUTED_VALUE"""),"")</f>
        <v/>
      </c>
      <c r="I656" s="94" t="str">
        <f>IFERROR(__xludf.DUMMYFUNCTION("""COMPUTED_VALUE"""),"")</f>
        <v/>
      </c>
      <c r="J656" s="93" t="str">
        <f>IFERROR(__xludf.DUMMYFUNCTION("""COMPUTED_VALUE"""),"")</f>
        <v/>
      </c>
      <c r="K656" s="100" t="b">
        <v>0</v>
      </c>
      <c r="L656" s="101"/>
      <c r="M656" s="100"/>
      <c r="N656" s="97" t="b">
        <v>0</v>
      </c>
      <c r="O656" s="93" t="str">
        <f>IFERROR(__xludf.DUMMYFUNCTION("""COMPUTED_VALUE"""),"")</f>
        <v/>
      </c>
      <c r="P65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56" s="99"/>
    </row>
    <row r="657" ht="13.5" customHeight="1">
      <c r="A657" s="88"/>
      <c r="B657" s="88"/>
      <c r="C657" s="90" t="str">
        <f t="shared" si="4"/>
        <v/>
      </c>
      <c r="D657" s="92" t="str">
        <f>IFERROR(__xludf.DUMMYFUNCTION("""COMPUTED_VALUE"""),"")</f>
        <v/>
      </c>
      <c r="E657" s="92"/>
      <c r="F657" s="93"/>
      <c r="G657" s="92"/>
      <c r="H657" s="94" t="str">
        <f>IFERROR(__xludf.DUMMYFUNCTION("""COMPUTED_VALUE"""),"")</f>
        <v/>
      </c>
      <c r="I657" s="94" t="str">
        <f>IFERROR(__xludf.DUMMYFUNCTION("""COMPUTED_VALUE"""),"")</f>
        <v/>
      </c>
      <c r="J657" s="93" t="str">
        <f>IFERROR(__xludf.DUMMYFUNCTION("""COMPUTED_VALUE"""),"")</f>
        <v/>
      </c>
      <c r="K657" s="100" t="b">
        <v>0</v>
      </c>
      <c r="L657" s="101"/>
      <c r="M657" s="100"/>
      <c r="N657" s="97" t="b">
        <v>0</v>
      </c>
      <c r="O657" s="93" t="str">
        <f>IFERROR(__xludf.DUMMYFUNCTION("""COMPUTED_VALUE"""),"")</f>
        <v/>
      </c>
      <c r="P65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57" s="99"/>
    </row>
    <row r="658" ht="13.5" customHeight="1">
      <c r="A658" s="88"/>
      <c r="B658" s="88"/>
      <c r="C658" s="90" t="str">
        <f t="shared" si="4"/>
        <v/>
      </c>
      <c r="D658" s="92" t="str">
        <f>IFERROR(__xludf.DUMMYFUNCTION("""COMPUTED_VALUE"""),"")</f>
        <v/>
      </c>
      <c r="E658" s="92"/>
      <c r="F658" s="93"/>
      <c r="G658" s="92"/>
      <c r="H658" s="94" t="str">
        <f>IFERROR(__xludf.DUMMYFUNCTION("""COMPUTED_VALUE"""),"")</f>
        <v/>
      </c>
      <c r="I658" s="94" t="str">
        <f>IFERROR(__xludf.DUMMYFUNCTION("""COMPUTED_VALUE"""),"")</f>
        <v/>
      </c>
      <c r="J658" s="93" t="str">
        <f>IFERROR(__xludf.DUMMYFUNCTION("""COMPUTED_VALUE"""),"")</f>
        <v/>
      </c>
      <c r="K658" s="100" t="b">
        <v>0</v>
      </c>
      <c r="L658" s="101"/>
      <c r="M658" s="100"/>
      <c r="N658" s="97" t="b">
        <v>0</v>
      </c>
      <c r="O658" s="93" t="str">
        <f>IFERROR(__xludf.DUMMYFUNCTION("""COMPUTED_VALUE"""),"")</f>
        <v/>
      </c>
      <c r="P65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58" s="99"/>
    </row>
    <row r="659" ht="13.5" customHeight="1">
      <c r="A659" s="88"/>
      <c r="B659" s="88"/>
      <c r="C659" s="90" t="str">
        <f t="shared" si="4"/>
        <v/>
      </c>
      <c r="D659" s="92" t="str">
        <f>IFERROR(__xludf.DUMMYFUNCTION("""COMPUTED_VALUE"""),"")</f>
        <v/>
      </c>
      <c r="E659" s="92"/>
      <c r="F659" s="93"/>
      <c r="G659" s="92"/>
      <c r="H659" s="94" t="str">
        <f>IFERROR(__xludf.DUMMYFUNCTION("""COMPUTED_VALUE"""),"")</f>
        <v/>
      </c>
      <c r="I659" s="94" t="str">
        <f>IFERROR(__xludf.DUMMYFUNCTION("""COMPUTED_VALUE"""),"")</f>
        <v/>
      </c>
      <c r="J659" s="93" t="str">
        <f>IFERROR(__xludf.DUMMYFUNCTION("""COMPUTED_VALUE"""),"")</f>
        <v/>
      </c>
      <c r="K659" s="100" t="b">
        <v>0</v>
      </c>
      <c r="L659" s="101"/>
      <c r="M659" s="100"/>
      <c r="N659" s="97" t="b">
        <v>0</v>
      </c>
      <c r="O659" s="93" t="str">
        <f>IFERROR(__xludf.DUMMYFUNCTION("""COMPUTED_VALUE"""),"")</f>
        <v/>
      </c>
      <c r="P65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59" s="99"/>
    </row>
    <row r="660" ht="13.5" customHeight="1">
      <c r="A660" s="88"/>
      <c r="B660" s="88"/>
      <c r="C660" s="90" t="str">
        <f t="shared" si="4"/>
        <v/>
      </c>
      <c r="D660" s="92" t="str">
        <f>IFERROR(__xludf.DUMMYFUNCTION("""COMPUTED_VALUE"""),"")</f>
        <v/>
      </c>
      <c r="E660" s="92"/>
      <c r="F660" s="93"/>
      <c r="G660" s="92"/>
      <c r="H660" s="94" t="str">
        <f>IFERROR(__xludf.DUMMYFUNCTION("""COMPUTED_VALUE"""),"")</f>
        <v/>
      </c>
      <c r="I660" s="94" t="str">
        <f>IFERROR(__xludf.DUMMYFUNCTION("""COMPUTED_VALUE"""),"")</f>
        <v/>
      </c>
      <c r="J660" s="93" t="str">
        <f>IFERROR(__xludf.DUMMYFUNCTION("""COMPUTED_VALUE"""),"")</f>
        <v/>
      </c>
      <c r="K660" s="100" t="b">
        <v>0</v>
      </c>
      <c r="L660" s="101"/>
      <c r="M660" s="100"/>
      <c r="N660" s="97" t="b">
        <v>0</v>
      </c>
      <c r="O660" s="93" t="str">
        <f>IFERROR(__xludf.DUMMYFUNCTION("""COMPUTED_VALUE"""),"")</f>
        <v/>
      </c>
      <c r="P66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60" s="99"/>
    </row>
    <row r="661" ht="13.5" customHeight="1">
      <c r="A661" s="88"/>
      <c r="B661" s="88"/>
      <c r="C661" s="90" t="str">
        <f t="shared" si="4"/>
        <v/>
      </c>
      <c r="D661" s="92" t="str">
        <f>IFERROR(__xludf.DUMMYFUNCTION("""COMPUTED_VALUE"""),"")</f>
        <v/>
      </c>
      <c r="E661" s="92"/>
      <c r="F661" s="93"/>
      <c r="G661" s="92"/>
      <c r="H661" s="94" t="str">
        <f>IFERROR(__xludf.DUMMYFUNCTION("""COMPUTED_VALUE"""),"")</f>
        <v/>
      </c>
      <c r="I661" s="94" t="str">
        <f>IFERROR(__xludf.DUMMYFUNCTION("""COMPUTED_VALUE"""),"")</f>
        <v/>
      </c>
      <c r="J661" s="93" t="str">
        <f>IFERROR(__xludf.DUMMYFUNCTION("""COMPUTED_VALUE"""),"")</f>
        <v/>
      </c>
      <c r="K661" s="100" t="b">
        <v>0</v>
      </c>
      <c r="L661" s="101"/>
      <c r="M661" s="100"/>
      <c r="N661" s="97" t="b">
        <v>0</v>
      </c>
      <c r="O661" s="93" t="str">
        <f>IFERROR(__xludf.DUMMYFUNCTION("""COMPUTED_VALUE"""),"")</f>
        <v/>
      </c>
      <c r="P66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61" s="99"/>
    </row>
    <row r="662" ht="13.5" customHeight="1">
      <c r="A662" s="88"/>
      <c r="B662" s="88"/>
      <c r="C662" s="90" t="str">
        <f t="shared" si="4"/>
        <v/>
      </c>
      <c r="D662" s="92" t="str">
        <f>IFERROR(__xludf.DUMMYFUNCTION("""COMPUTED_VALUE"""),"")</f>
        <v/>
      </c>
      <c r="E662" s="92"/>
      <c r="F662" s="93"/>
      <c r="G662" s="92"/>
      <c r="H662" s="94" t="str">
        <f>IFERROR(__xludf.DUMMYFUNCTION("""COMPUTED_VALUE"""),"")</f>
        <v/>
      </c>
      <c r="I662" s="94" t="str">
        <f>IFERROR(__xludf.DUMMYFUNCTION("""COMPUTED_VALUE"""),"")</f>
        <v/>
      </c>
      <c r="J662" s="93" t="str">
        <f>IFERROR(__xludf.DUMMYFUNCTION("""COMPUTED_VALUE"""),"")</f>
        <v/>
      </c>
      <c r="K662" s="100" t="b">
        <v>0</v>
      </c>
      <c r="L662" s="101"/>
      <c r="M662" s="100"/>
      <c r="N662" s="97" t="b">
        <v>0</v>
      </c>
      <c r="O662" s="93" t="str">
        <f>IFERROR(__xludf.DUMMYFUNCTION("""COMPUTED_VALUE"""),"")</f>
        <v/>
      </c>
      <c r="P66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62" s="99"/>
    </row>
    <row r="663" ht="13.5" customHeight="1">
      <c r="A663" s="88"/>
      <c r="B663" s="88"/>
      <c r="C663" s="90" t="str">
        <f t="shared" si="4"/>
        <v/>
      </c>
      <c r="D663" s="92" t="str">
        <f>IFERROR(__xludf.DUMMYFUNCTION("""COMPUTED_VALUE"""),"")</f>
        <v/>
      </c>
      <c r="E663" s="92"/>
      <c r="F663" s="93"/>
      <c r="G663" s="92"/>
      <c r="H663" s="94" t="str">
        <f>IFERROR(__xludf.DUMMYFUNCTION("""COMPUTED_VALUE"""),"")</f>
        <v/>
      </c>
      <c r="I663" s="94" t="str">
        <f>IFERROR(__xludf.DUMMYFUNCTION("""COMPUTED_VALUE"""),"")</f>
        <v/>
      </c>
      <c r="J663" s="93" t="str">
        <f>IFERROR(__xludf.DUMMYFUNCTION("""COMPUTED_VALUE"""),"")</f>
        <v/>
      </c>
      <c r="K663" s="100" t="b">
        <v>0</v>
      </c>
      <c r="L663" s="101"/>
      <c r="M663" s="100"/>
      <c r="N663" s="97" t="b">
        <v>0</v>
      </c>
      <c r="O663" s="93" t="str">
        <f>IFERROR(__xludf.DUMMYFUNCTION("""COMPUTED_VALUE"""),"")</f>
        <v/>
      </c>
      <c r="P66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63" s="99"/>
    </row>
    <row r="664" ht="13.5" customHeight="1">
      <c r="A664" s="88"/>
      <c r="B664" s="88"/>
      <c r="C664" s="90" t="str">
        <f t="shared" si="4"/>
        <v/>
      </c>
      <c r="D664" s="92" t="str">
        <f>IFERROR(__xludf.DUMMYFUNCTION("""COMPUTED_VALUE"""),"")</f>
        <v/>
      </c>
      <c r="E664" s="92"/>
      <c r="F664" s="93"/>
      <c r="G664" s="92"/>
      <c r="H664" s="94" t="str">
        <f>IFERROR(__xludf.DUMMYFUNCTION("""COMPUTED_VALUE"""),"")</f>
        <v/>
      </c>
      <c r="I664" s="94" t="str">
        <f>IFERROR(__xludf.DUMMYFUNCTION("""COMPUTED_VALUE"""),"")</f>
        <v/>
      </c>
      <c r="J664" s="93" t="str">
        <f>IFERROR(__xludf.DUMMYFUNCTION("""COMPUTED_VALUE"""),"")</f>
        <v/>
      </c>
      <c r="K664" s="100" t="b">
        <v>0</v>
      </c>
      <c r="L664" s="101"/>
      <c r="M664" s="100"/>
      <c r="N664" s="97" t="b">
        <v>0</v>
      </c>
      <c r="O664" s="93" t="str">
        <f>IFERROR(__xludf.DUMMYFUNCTION("""COMPUTED_VALUE"""),"")</f>
        <v/>
      </c>
      <c r="P66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64" s="99"/>
    </row>
    <row r="665" ht="13.5" customHeight="1">
      <c r="A665" s="88"/>
      <c r="B665" s="88"/>
      <c r="C665" s="90" t="str">
        <f t="shared" si="4"/>
        <v/>
      </c>
      <c r="D665" s="92" t="str">
        <f>IFERROR(__xludf.DUMMYFUNCTION("""COMPUTED_VALUE"""),"")</f>
        <v/>
      </c>
      <c r="E665" s="92"/>
      <c r="F665" s="93"/>
      <c r="G665" s="92"/>
      <c r="H665" s="94" t="str">
        <f>IFERROR(__xludf.DUMMYFUNCTION("""COMPUTED_VALUE"""),"")</f>
        <v/>
      </c>
      <c r="I665" s="94" t="str">
        <f>IFERROR(__xludf.DUMMYFUNCTION("""COMPUTED_VALUE"""),"")</f>
        <v/>
      </c>
      <c r="J665" s="93" t="str">
        <f>IFERROR(__xludf.DUMMYFUNCTION("""COMPUTED_VALUE"""),"")</f>
        <v/>
      </c>
      <c r="K665" s="100" t="b">
        <v>0</v>
      </c>
      <c r="L665" s="101"/>
      <c r="M665" s="100"/>
      <c r="N665" s="97" t="b">
        <v>0</v>
      </c>
      <c r="O665" s="93" t="str">
        <f>IFERROR(__xludf.DUMMYFUNCTION("""COMPUTED_VALUE"""),"")</f>
        <v/>
      </c>
      <c r="P66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65" s="99"/>
    </row>
    <row r="666" ht="13.5" customHeight="1">
      <c r="A666" s="88"/>
      <c r="B666" s="88"/>
      <c r="C666" s="90" t="str">
        <f t="shared" si="4"/>
        <v/>
      </c>
      <c r="D666" s="92" t="str">
        <f>IFERROR(__xludf.DUMMYFUNCTION("""COMPUTED_VALUE"""),"")</f>
        <v/>
      </c>
      <c r="E666" s="92"/>
      <c r="F666" s="93"/>
      <c r="G666" s="92"/>
      <c r="H666" s="94" t="str">
        <f>IFERROR(__xludf.DUMMYFUNCTION("""COMPUTED_VALUE"""),"")</f>
        <v/>
      </c>
      <c r="I666" s="94" t="str">
        <f>IFERROR(__xludf.DUMMYFUNCTION("""COMPUTED_VALUE"""),"")</f>
        <v/>
      </c>
      <c r="J666" s="93" t="str">
        <f>IFERROR(__xludf.DUMMYFUNCTION("""COMPUTED_VALUE"""),"")</f>
        <v/>
      </c>
      <c r="K666" s="100" t="b">
        <v>0</v>
      </c>
      <c r="L666" s="101"/>
      <c r="M666" s="100"/>
      <c r="N666" s="97" t="b">
        <v>0</v>
      </c>
      <c r="O666" s="93" t="str">
        <f>IFERROR(__xludf.DUMMYFUNCTION("""COMPUTED_VALUE"""),"")</f>
        <v/>
      </c>
      <c r="P66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66" s="99"/>
    </row>
    <row r="667" ht="13.5" customHeight="1">
      <c r="A667" s="88"/>
      <c r="B667" s="88"/>
      <c r="C667" s="90" t="str">
        <f t="shared" si="4"/>
        <v/>
      </c>
      <c r="D667" s="92" t="str">
        <f>IFERROR(__xludf.DUMMYFUNCTION("""COMPUTED_VALUE"""),"")</f>
        <v/>
      </c>
      <c r="E667" s="92"/>
      <c r="F667" s="93"/>
      <c r="G667" s="92"/>
      <c r="H667" s="94" t="str">
        <f>IFERROR(__xludf.DUMMYFUNCTION("""COMPUTED_VALUE"""),"")</f>
        <v/>
      </c>
      <c r="I667" s="94" t="str">
        <f>IFERROR(__xludf.DUMMYFUNCTION("""COMPUTED_VALUE"""),"")</f>
        <v/>
      </c>
      <c r="J667" s="93" t="str">
        <f>IFERROR(__xludf.DUMMYFUNCTION("""COMPUTED_VALUE"""),"")</f>
        <v/>
      </c>
      <c r="K667" s="100" t="b">
        <v>0</v>
      </c>
      <c r="L667" s="101"/>
      <c r="M667" s="100"/>
      <c r="N667" s="97" t="b">
        <v>0</v>
      </c>
      <c r="O667" s="93" t="str">
        <f>IFERROR(__xludf.DUMMYFUNCTION("""COMPUTED_VALUE"""),"")</f>
        <v/>
      </c>
      <c r="P66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67" s="99"/>
    </row>
    <row r="668" ht="13.5" customHeight="1">
      <c r="A668" s="88"/>
      <c r="B668" s="88"/>
      <c r="C668" s="90" t="str">
        <f t="shared" si="4"/>
        <v/>
      </c>
      <c r="D668" s="92" t="str">
        <f>IFERROR(__xludf.DUMMYFUNCTION("""COMPUTED_VALUE"""),"")</f>
        <v/>
      </c>
      <c r="E668" s="92"/>
      <c r="F668" s="93"/>
      <c r="G668" s="92"/>
      <c r="H668" s="94" t="str">
        <f>IFERROR(__xludf.DUMMYFUNCTION("""COMPUTED_VALUE"""),"")</f>
        <v/>
      </c>
      <c r="I668" s="94" t="str">
        <f>IFERROR(__xludf.DUMMYFUNCTION("""COMPUTED_VALUE"""),"")</f>
        <v/>
      </c>
      <c r="J668" s="93" t="str">
        <f>IFERROR(__xludf.DUMMYFUNCTION("""COMPUTED_VALUE"""),"")</f>
        <v/>
      </c>
      <c r="K668" s="100" t="b">
        <v>0</v>
      </c>
      <c r="L668" s="101"/>
      <c r="M668" s="100"/>
      <c r="N668" s="97" t="b">
        <v>0</v>
      </c>
      <c r="O668" s="93" t="str">
        <f>IFERROR(__xludf.DUMMYFUNCTION("""COMPUTED_VALUE"""),"")</f>
        <v/>
      </c>
      <c r="P66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68" s="99"/>
    </row>
    <row r="669" ht="13.5" customHeight="1">
      <c r="A669" s="88"/>
      <c r="B669" s="88"/>
      <c r="C669" s="90" t="str">
        <f t="shared" si="4"/>
        <v/>
      </c>
      <c r="D669" s="92" t="str">
        <f>IFERROR(__xludf.DUMMYFUNCTION("""COMPUTED_VALUE"""),"")</f>
        <v/>
      </c>
      <c r="E669" s="92"/>
      <c r="F669" s="93"/>
      <c r="G669" s="92"/>
      <c r="H669" s="94" t="str">
        <f>IFERROR(__xludf.DUMMYFUNCTION("""COMPUTED_VALUE"""),"")</f>
        <v/>
      </c>
      <c r="I669" s="94" t="str">
        <f>IFERROR(__xludf.DUMMYFUNCTION("""COMPUTED_VALUE"""),"")</f>
        <v/>
      </c>
      <c r="J669" s="93" t="str">
        <f>IFERROR(__xludf.DUMMYFUNCTION("""COMPUTED_VALUE"""),"")</f>
        <v/>
      </c>
      <c r="K669" s="100" t="b">
        <v>0</v>
      </c>
      <c r="L669" s="101"/>
      <c r="M669" s="100"/>
      <c r="N669" s="97" t="b">
        <v>0</v>
      </c>
      <c r="O669" s="93" t="str">
        <f>IFERROR(__xludf.DUMMYFUNCTION("""COMPUTED_VALUE"""),"")</f>
        <v/>
      </c>
      <c r="P66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69" s="99"/>
    </row>
    <row r="670" ht="13.5" customHeight="1">
      <c r="A670" s="88"/>
      <c r="B670" s="88"/>
      <c r="C670" s="90" t="str">
        <f t="shared" si="4"/>
        <v/>
      </c>
      <c r="D670" s="92" t="str">
        <f>IFERROR(__xludf.DUMMYFUNCTION("""COMPUTED_VALUE"""),"")</f>
        <v/>
      </c>
      <c r="E670" s="92"/>
      <c r="F670" s="93"/>
      <c r="G670" s="92"/>
      <c r="H670" s="94" t="str">
        <f>IFERROR(__xludf.DUMMYFUNCTION("""COMPUTED_VALUE"""),"")</f>
        <v/>
      </c>
      <c r="I670" s="94" t="str">
        <f>IFERROR(__xludf.DUMMYFUNCTION("""COMPUTED_VALUE"""),"")</f>
        <v/>
      </c>
      <c r="J670" s="93" t="str">
        <f>IFERROR(__xludf.DUMMYFUNCTION("""COMPUTED_VALUE"""),"")</f>
        <v/>
      </c>
      <c r="K670" s="100" t="b">
        <v>0</v>
      </c>
      <c r="L670" s="101"/>
      <c r="M670" s="100"/>
      <c r="N670" s="97" t="b">
        <v>0</v>
      </c>
      <c r="O670" s="93" t="str">
        <f>IFERROR(__xludf.DUMMYFUNCTION("""COMPUTED_VALUE"""),"")</f>
        <v/>
      </c>
      <c r="P67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70" s="99"/>
    </row>
    <row r="671" ht="13.5" customHeight="1">
      <c r="A671" s="88"/>
      <c r="B671" s="88"/>
      <c r="C671" s="90" t="str">
        <f t="shared" si="4"/>
        <v/>
      </c>
      <c r="D671" s="92" t="str">
        <f>IFERROR(__xludf.DUMMYFUNCTION("""COMPUTED_VALUE"""),"")</f>
        <v/>
      </c>
      <c r="E671" s="92"/>
      <c r="F671" s="93"/>
      <c r="G671" s="92"/>
      <c r="H671" s="94" t="str">
        <f>IFERROR(__xludf.DUMMYFUNCTION("""COMPUTED_VALUE"""),"")</f>
        <v/>
      </c>
      <c r="I671" s="94" t="str">
        <f>IFERROR(__xludf.DUMMYFUNCTION("""COMPUTED_VALUE"""),"")</f>
        <v/>
      </c>
      <c r="J671" s="93" t="str">
        <f>IFERROR(__xludf.DUMMYFUNCTION("""COMPUTED_VALUE"""),"")</f>
        <v/>
      </c>
      <c r="K671" s="100" t="b">
        <v>0</v>
      </c>
      <c r="L671" s="101"/>
      <c r="M671" s="100"/>
      <c r="N671" s="97" t="b">
        <v>0</v>
      </c>
      <c r="O671" s="93" t="str">
        <f>IFERROR(__xludf.DUMMYFUNCTION("""COMPUTED_VALUE"""),"")</f>
        <v/>
      </c>
      <c r="P67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71" s="99"/>
    </row>
    <row r="672" ht="13.5" customHeight="1">
      <c r="A672" s="88"/>
      <c r="B672" s="88"/>
      <c r="C672" s="90" t="str">
        <f t="shared" si="4"/>
        <v/>
      </c>
      <c r="D672" s="92" t="str">
        <f>IFERROR(__xludf.DUMMYFUNCTION("""COMPUTED_VALUE"""),"")</f>
        <v/>
      </c>
      <c r="E672" s="92"/>
      <c r="F672" s="93"/>
      <c r="G672" s="92"/>
      <c r="H672" s="94" t="str">
        <f>IFERROR(__xludf.DUMMYFUNCTION("""COMPUTED_VALUE"""),"")</f>
        <v/>
      </c>
      <c r="I672" s="94" t="str">
        <f>IFERROR(__xludf.DUMMYFUNCTION("""COMPUTED_VALUE"""),"")</f>
        <v/>
      </c>
      <c r="J672" s="93" t="str">
        <f>IFERROR(__xludf.DUMMYFUNCTION("""COMPUTED_VALUE"""),"")</f>
        <v/>
      </c>
      <c r="K672" s="100" t="b">
        <v>0</v>
      </c>
      <c r="L672" s="101"/>
      <c r="M672" s="100"/>
      <c r="N672" s="97" t="b">
        <v>0</v>
      </c>
      <c r="O672" s="93" t="str">
        <f>IFERROR(__xludf.DUMMYFUNCTION("""COMPUTED_VALUE"""),"")</f>
        <v/>
      </c>
      <c r="P67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72" s="99"/>
    </row>
    <row r="673" ht="13.5" customHeight="1">
      <c r="A673" s="88"/>
      <c r="B673" s="88"/>
      <c r="C673" s="90" t="str">
        <f t="shared" si="4"/>
        <v/>
      </c>
      <c r="D673" s="92" t="str">
        <f>IFERROR(__xludf.DUMMYFUNCTION("""COMPUTED_VALUE"""),"")</f>
        <v/>
      </c>
      <c r="E673" s="92"/>
      <c r="F673" s="93"/>
      <c r="G673" s="92"/>
      <c r="H673" s="94" t="str">
        <f>IFERROR(__xludf.DUMMYFUNCTION("""COMPUTED_VALUE"""),"")</f>
        <v/>
      </c>
      <c r="I673" s="94" t="str">
        <f>IFERROR(__xludf.DUMMYFUNCTION("""COMPUTED_VALUE"""),"")</f>
        <v/>
      </c>
      <c r="J673" s="93" t="str">
        <f>IFERROR(__xludf.DUMMYFUNCTION("""COMPUTED_VALUE"""),"")</f>
        <v/>
      </c>
      <c r="K673" s="100" t="b">
        <v>0</v>
      </c>
      <c r="L673" s="101"/>
      <c r="M673" s="100"/>
      <c r="N673" s="97" t="b">
        <v>0</v>
      </c>
      <c r="O673" s="93" t="str">
        <f>IFERROR(__xludf.DUMMYFUNCTION("""COMPUTED_VALUE"""),"")</f>
        <v/>
      </c>
      <c r="P67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73" s="99"/>
    </row>
    <row r="674" ht="13.5" customHeight="1">
      <c r="A674" s="88"/>
      <c r="B674" s="88"/>
      <c r="C674" s="90" t="str">
        <f t="shared" si="4"/>
        <v/>
      </c>
      <c r="D674" s="92" t="str">
        <f>IFERROR(__xludf.DUMMYFUNCTION("""COMPUTED_VALUE"""),"")</f>
        <v/>
      </c>
      <c r="E674" s="92"/>
      <c r="F674" s="93"/>
      <c r="G674" s="92"/>
      <c r="H674" s="94" t="str">
        <f>IFERROR(__xludf.DUMMYFUNCTION("""COMPUTED_VALUE"""),"")</f>
        <v/>
      </c>
      <c r="I674" s="94" t="str">
        <f>IFERROR(__xludf.DUMMYFUNCTION("""COMPUTED_VALUE"""),"")</f>
        <v/>
      </c>
      <c r="J674" s="93" t="str">
        <f>IFERROR(__xludf.DUMMYFUNCTION("""COMPUTED_VALUE"""),"")</f>
        <v/>
      </c>
      <c r="K674" s="100" t="b">
        <v>0</v>
      </c>
      <c r="L674" s="101"/>
      <c r="M674" s="100"/>
      <c r="N674" s="97" t="b">
        <v>0</v>
      </c>
      <c r="O674" s="93" t="str">
        <f>IFERROR(__xludf.DUMMYFUNCTION("""COMPUTED_VALUE"""),"")</f>
        <v/>
      </c>
      <c r="P67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74" s="99"/>
    </row>
    <row r="675" ht="13.5" customHeight="1">
      <c r="A675" s="88"/>
      <c r="B675" s="88"/>
      <c r="C675" s="90" t="str">
        <f t="shared" si="4"/>
        <v/>
      </c>
      <c r="D675" s="92" t="str">
        <f>IFERROR(__xludf.DUMMYFUNCTION("""COMPUTED_VALUE"""),"")</f>
        <v/>
      </c>
      <c r="E675" s="92"/>
      <c r="F675" s="93"/>
      <c r="G675" s="92"/>
      <c r="H675" s="94" t="str">
        <f>IFERROR(__xludf.DUMMYFUNCTION("""COMPUTED_VALUE"""),"")</f>
        <v/>
      </c>
      <c r="I675" s="94" t="str">
        <f>IFERROR(__xludf.DUMMYFUNCTION("""COMPUTED_VALUE"""),"")</f>
        <v/>
      </c>
      <c r="J675" s="93" t="str">
        <f>IFERROR(__xludf.DUMMYFUNCTION("""COMPUTED_VALUE"""),"")</f>
        <v/>
      </c>
      <c r="K675" s="100" t="b">
        <v>0</v>
      </c>
      <c r="L675" s="101"/>
      <c r="M675" s="100"/>
      <c r="N675" s="97" t="b">
        <v>0</v>
      </c>
      <c r="O675" s="93" t="str">
        <f>IFERROR(__xludf.DUMMYFUNCTION("""COMPUTED_VALUE"""),"")</f>
        <v/>
      </c>
      <c r="P67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75" s="99"/>
    </row>
    <row r="676" ht="13.5" customHeight="1">
      <c r="A676" s="88"/>
      <c r="B676" s="88"/>
      <c r="C676" s="90" t="str">
        <f t="shared" si="4"/>
        <v/>
      </c>
      <c r="D676" s="92" t="str">
        <f>IFERROR(__xludf.DUMMYFUNCTION("""COMPUTED_VALUE"""),"")</f>
        <v/>
      </c>
      <c r="E676" s="92"/>
      <c r="F676" s="93"/>
      <c r="G676" s="92"/>
      <c r="H676" s="94" t="str">
        <f>IFERROR(__xludf.DUMMYFUNCTION("""COMPUTED_VALUE"""),"")</f>
        <v/>
      </c>
      <c r="I676" s="94" t="str">
        <f>IFERROR(__xludf.DUMMYFUNCTION("""COMPUTED_VALUE"""),"")</f>
        <v/>
      </c>
      <c r="J676" s="93" t="str">
        <f>IFERROR(__xludf.DUMMYFUNCTION("""COMPUTED_VALUE"""),"")</f>
        <v/>
      </c>
      <c r="K676" s="100" t="b">
        <v>0</v>
      </c>
      <c r="L676" s="101"/>
      <c r="M676" s="100"/>
      <c r="N676" s="97" t="b">
        <v>0</v>
      </c>
      <c r="O676" s="93" t="str">
        <f>IFERROR(__xludf.DUMMYFUNCTION("""COMPUTED_VALUE"""),"")</f>
        <v/>
      </c>
      <c r="P67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76" s="99"/>
    </row>
    <row r="677" ht="13.5" customHeight="1">
      <c r="A677" s="88"/>
      <c r="B677" s="88"/>
      <c r="C677" s="90" t="str">
        <f t="shared" si="4"/>
        <v/>
      </c>
      <c r="D677" s="92" t="str">
        <f>IFERROR(__xludf.DUMMYFUNCTION("""COMPUTED_VALUE"""),"")</f>
        <v/>
      </c>
      <c r="E677" s="92"/>
      <c r="F677" s="93"/>
      <c r="G677" s="92"/>
      <c r="H677" s="94" t="str">
        <f>IFERROR(__xludf.DUMMYFUNCTION("""COMPUTED_VALUE"""),"")</f>
        <v/>
      </c>
      <c r="I677" s="94" t="str">
        <f>IFERROR(__xludf.DUMMYFUNCTION("""COMPUTED_VALUE"""),"")</f>
        <v/>
      </c>
      <c r="J677" s="93" t="str">
        <f>IFERROR(__xludf.DUMMYFUNCTION("""COMPUTED_VALUE"""),"")</f>
        <v/>
      </c>
      <c r="K677" s="100" t="b">
        <v>0</v>
      </c>
      <c r="L677" s="101"/>
      <c r="M677" s="100"/>
      <c r="N677" s="97" t="b">
        <v>0</v>
      </c>
      <c r="O677" s="93" t="str">
        <f>IFERROR(__xludf.DUMMYFUNCTION("""COMPUTED_VALUE"""),"")</f>
        <v/>
      </c>
      <c r="P67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77" s="99"/>
    </row>
    <row r="678" ht="13.5" customHeight="1">
      <c r="A678" s="88"/>
      <c r="B678" s="88"/>
      <c r="C678" s="90" t="str">
        <f t="shared" si="4"/>
        <v/>
      </c>
      <c r="D678" s="92" t="str">
        <f>IFERROR(__xludf.DUMMYFUNCTION("""COMPUTED_VALUE"""),"")</f>
        <v/>
      </c>
      <c r="E678" s="92"/>
      <c r="F678" s="93"/>
      <c r="G678" s="92"/>
      <c r="H678" s="94" t="str">
        <f>IFERROR(__xludf.DUMMYFUNCTION("""COMPUTED_VALUE"""),"")</f>
        <v/>
      </c>
      <c r="I678" s="94" t="str">
        <f>IFERROR(__xludf.DUMMYFUNCTION("""COMPUTED_VALUE"""),"")</f>
        <v/>
      </c>
      <c r="J678" s="93" t="str">
        <f>IFERROR(__xludf.DUMMYFUNCTION("""COMPUTED_VALUE"""),"")</f>
        <v/>
      </c>
      <c r="K678" s="100" t="b">
        <v>0</v>
      </c>
      <c r="L678" s="101"/>
      <c r="M678" s="100"/>
      <c r="N678" s="97" t="b">
        <v>0</v>
      </c>
      <c r="O678" s="93" t="str">
        <f>IFERROR(__xludf.DUMMYFUNCTION("""COMPUTED_VALUE"""),"")</f>
        <v/>
      </c>
      <c r="P67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78" s="99"/>
    </row>
    <row r="679" ht="13.5" customHeight="1">
      <c r="A679" s="88"/>
      <c r="B679" s="88"/>
      <c r="C679" s="90" t="str">
        <f t="shared" si="4"/>
        <v/>
      </c>
      <c r="D679" s="92" t="str">
        <f>IFERROR(__xludf.DUMMYFUNCTION("""COMPUTED_VALUE"""),"")</f>
        <v/>
      </c>
      <c r="E679" s="92"/>
      <c r="F679" s="93"/>
      <c r="G679" s="92"/>
      <c r="H679" s="94" t="str">
        <f>IFERROR(__xludf.DUMMYFUNCTION("""COMPUTED_VALUE"""),"")</f>
        <v/>
      </c>
      <c r="I679" s="94" t="str">
        <f>IFERROR(__xludf.DUMMYFUNCTION("""COMPUTED_VALUE"""),"")</f>
        <v/>
      </c>
      <c r="J679" s="93" t="str">
        <f>IFERROR(__xludf.DUMMYFUNCTION("""COMPUTED_VALUE"""),"")</f>
        <v/>
      </c>
      <c r="K679" s="100" t="b">
        <v>0</v>
      </c>
      <c r="L679" s="101"/>
      <c r="M679" s="100"/>
      <c r="N679" s="97" t="b">
        <v>0</v>
      </c>
      <c r="O679" s="93" t="str">
        <f>IFERROR(__xludf.DUMMYFUNCTION("""COMPUTED_VALUE"""),"")</f>
        <v/>
      </c>
      <c r="P67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79" s="99"/>
    </row>
    <row r="680" ht="13.5" customHeight="1">
      <c r="A680" s="88"/>
      <c r="B680" s="88"/>
      <c r="C680" s="90" t="str">
        <f t="shared" si="4"/>
        <v/>
      </c>
      <c r="D680" s="92" t="str">
        <f>IFERROR(__xludf.DUMMYFUNCTION("""COMPUTED_VALUE"""),"")</f>
        <v/>
      </c>
      <c r="E680" s="92"/>
      <c r="F680" s="93"/>
      <c r="G680" s="92"/>
      <c r="H680" s="94" t="str">
        <f>IFERROR(__xludf.DUMMYFUNCTION("""COMPUTED_VALUE"""),"")</f>
        <v/>
      </c>
      <c r="I680" s="94" t="str">
        <f>IFERROR(__xludf.DUMMYFUNCTION("""COMPUTED_VALUE"""),"")</f>
        <v/>
      </c>
      <c r="J680" s="93" t="str">
        <f>IFERROR(__xludf.DUMMYFUNCTION("""COMPUTED_VALUE"""),"")</f>
        <v/>
      </c>
      <c r="K680" s="100" t="b">
        <v>0</v>
      </c>
      <c r="L680" s="101"/>
      <c r="M680" s="100"/>
      <c r="N680" s="97" t="b">
        <v>0</v>
      </c>
      <c r="O680" s="93" t="str">
        <f>IFERROR(__xludf.DUMMYFUNCTION("""COMPUTED_VALUE"""),"")</f>
        <v/>
      </c>
      <c r="P68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80" s="99"/>
    </row>
    <row r="681" ht="13.5" customHeight="1">
      <c r="A681" s="88"/>
      <c r="B681" s="88"/>
      <c r="C681" s="90" t="str">
        <f t="shared" si="4"/>
        <v/>
      </c>
      <c r="D681" s="92" t="str">
        <f>IFERROR(__xludf.DUMMYFUNCTION("""COMPUTED_VALUE"""),"")</f>
        <v/>
      </c>
      <c r="E681" s="92"/>
      <c r="F681" s="93"/>
      <c r="G681" s="92"/>
      <c r="H681" s="94" t="str">
        <f>IFERROR(__xludf.DUMMYFUNCTION("""COMPUTED_VALUE"""),"")</f>
        <v/>
      </c>
      <c r="I681" s="94" t="str">
        <f>IFERROR(__xludf.DUMMYFUNCTION("""COMPUTED_VALUE"""),"")</f>
        <v/>
      </c>
      <c r="J681" s="93" t="str">
        <f>IFERROR(__xludf.DUMMYFUNCTION("""COMPUTED_VALUE"""),"")</f>
        <v/>
      </c>
      <c r="K681" s="100" t="b">
        <v>0</v>
      </c>
      <c r="L681" s="101"/>
      <c r="M681" s="100"/>
      <c r="N681" s="97" t="b">
        <v>0</v>
      </c>
      <c r="O681" s="93" t="str">
        <f>IFERROR(__xludf.DUMMYFUNCTION("""COMPUTED_VALUE"""),"")</f>
        <v/>
      </c>
      <c r="P68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81" s="99"/>
    </row>
    <row r="682" ht="13.5" customHeight="1">
      <c r="A682" s="88"/>
      <c r="B682" s="88"/>
      <c r="C682" s="90" t="str">
        <f t="shared" si="4"/>
        <v/>
      </c>
      <c r="D682" s="92" t="str">
        <f>IFERROR(__xludf.DUMMYFUNCTION("""COMPUTED_VALUE"""),"")</f>
        <v/>
      </c>
      <c r="E682" s="92"/>
      <c r="F682" s="93"/>
      <c r="G682" s="92"/>
      <c r="H682" s="94" t="str">
        <f>IFERROR(__xludf.DUMMYFUNCTION("""COMPUTED_VALUE"""),"")</f>
        <v/>
      </c>
      <c r="I682" s="94" t="str">
        <f>IFERROR(__xludf.DUMMYFUNCTION("""COMPUTED_VALUE"""),"")</f>
        <v/>
      </c>
      <c r="J682" s="93" t="str">
        <f>IFERROR(__xludf.DUMMYFUNCTION("""COMPUTED_VALUE"""),"")</f>
        <v/>
      </c>
      <c r="K682" s="100" t="b">
        <v>0</v>
      </c>
      <c r="L682" s="101"/>
      <c r="M682" s="100"/>
      <c r="N682" s="97" t="b">
        <v>0</v>
      </c>
      <c r="O682" s="93" t="str">
        <f>IFERROR(__xludf.DUMMYFUNCTION("""COMPUTED_VALUE"""),"")</f>
        <v/>
      </c>
      <c r="P68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82" s="99"/>
    </row>
    <row r="683" ht="13.5" customHeight="1">
      <c r="A683" s="88"/>
      <c r="B683" s="88"/>
      <c r="C683" s="90" t="str">
        <f t="shared" si="4"/>
        <v/>
      </c>
      <c r="D683" s="92" t="str">
        <f>IFERROR(__xludf.DUMMYFUNCTION("""COMPUTED_VALUE"""),"")</f>
        <v/>
      </c>
      <c r="E683" s="92"/>
      <c r="F683" s="93"/>
      <c r="G683" s="92"/>
      <c r="H683" s="94" t="str">
        <f>IFERROR(__xludf.DUMMYFUNCTION("""COMPUTED_VALUE"""),"")</f>
        <v/>
      </c>
      <c r="I683" s="94" t="str">
        <f>IFERROR(__xludf.DUMMYFUNCTION("""COMPUTED_VALUE"""),"")</f>
        <v/>
      </c>
      <c r="J683" s="93" t="str">
        <f>IFERROR(__xludf.DUMMYFUNCTION("""COMPUTED_VALUE"""),"")</f>
        <v/>
      </c>
      <c r="K683" s="100" t="b">
        <v>0</v>
      </c>
      <c r="L683" s="101"/>
      <c r="M683" s="100"/>
      <c r="N683" s="97" t="b">
        <v>0</v>
      </c>
      <c r="O683" s="93" t="str">
        <f>IFERROR(__xludf.DUMMYFUNCTION("""COMPUTED_VALUE"""),"")</f>
        <v/>
      </c>
      <c r="P68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83" s="99"/>
    </row>
    <row r="684" ht="13.5" customHeight="1">
      <c r="A684" s="88"/>
      <c r="B684" s="88"/>
      <c r="C684" s="90" t="str">
        <f t="shared" si="4"/>
        <v/>
      </c>
      <c r="D684" s="92" t="str">
        <f>IFERROR(__xludf.DUMMYFUNCTION("""COMPUTED_VALUE"""),"")</f>
        <v/>
      </c>
      <c r="E684" s="92"/>
      <c r="F684" s="93"/>
      <c r="G684" s="92"/>
      <c r="H684" s="94" t="str">
        <f>IFERROR(__xludf.DUMMYFUNCTION("""COMPUTED_VALUE"""),"")</f>
        <v/>
      </c>
      <c r="I684" s="94" t="str">
        <f>IFERROR(__xludf.DUMMYFUNCTION("""COMPUTED_VALUE"""),"")</f>
        <v/>
      </c>
      <c r="J684" s="93" t="str">
        <f>IFERROR(__xludf.DUMMYFUNCTION("""COMPUTED_VALUE"""),"")</f>
        <v/>
      </c>
      <c r="K684" s="100" t="b">
        <v>0</v>
      </c>
      <c r="L684" s="101"/>
      <c r="M684" s="100"/>
      <c r="N684" s="97" t="b">
        <v>0</v>
      </c>
      <c r="O684" s="93" t="str">
        <f>IFERROR(__xludf.DUMMYFUNCTION("""COMPUTED_VALUE"""),"")</f>
        <v/>
      </c>
      <c r="P68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84" s="99"/>
    </row>
    <row r="685" ht="13.5" customHeight="1">
      <c r="A685" s="88"/>
      <c r="B685" s="88"/>
      <c r="C685" s="90" t="str">
        <f t="shared" si="4"/>
        <v/>
      </c>
      <c r="D685" s="92" t="str">
        <f>IFERROR(__xludf.DUMMYFUNCTION("""COMPUTED_VALUE"""),"")</f>
        <v/>
      </c>
      <c r="E685" s="92"/>
      <c r="F685" s="93"/>
      <c r="G685" s="92"/>
      <c r="H685" s="94" t="str">
        <f>IFERROR(__xludf.DUMMYFUNCTION("""COMPUTED_VALUE"""),"")</f>
        <v/>
      </c>
      <c r="I685" s="94" t="str">
        <f>IFERROR(__xludf.DUMMYFUNCTION("""COMPUTED_VALUE"""),"")</f>
        <v/>
      </c>
      <c r="J685" s="93" t="str">
        <f>IFERROR(__xludf.DUMMYFUNCTION("""COMPUTED_VALUE"""),"")</f>
        <v/>
      </c>
      <c r="K685" s="100" t="b">
        <v>0</v>
      </c>
      <c r="L685" s="101"/>
      <c r="M685" s="100"/>
      <c r="N685" s="97" t="b">
        <v>0</v>
      </c>
      <c r="O685" s="93" t="str">
        <f>IFERROR(__xludf.DUMMYFUNCTION("""COMPUTED_VALUE"""),"")</f>
        <v/>
      </c>
      <c r="P68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85" s="99"/>
    </row>
    <row r="686" ht="13.5" customHeight="1">
      <c r="A686" s="88"/>
      <c r="B686" s="88"/>
      <c r="C686" s="90" t="str">
        <f t="shared" si="4"/>
        <v/>
      </c>
      <c r="D686" s="92" t="str">
        <f>IFERROR(__xludf.DUMMYFUNCTION("""COMPUTED_VALUE"""),"")</f>
        <v/>
      </c>
      <c r="E686" s="92"/>
      <c r="F686" s="93"/>
      <c r="G686" s="92"/>
      <c r="H686" s="94" t="str">
        <f>IFERROR(__xludf.DUMMYFUNCTION("""COMPUTED_VALUE"""),"")</f>
        <v/>
      </c>
      <c r="I686" s="94" t="str">
        <f>IFERROR(__xludf.DUMMYFUNCTION("""COMPUTED_VALUE"""),"")</f>
        <v/>
      </c>
      <c r="J686" s="93" t="str">
        <f>IFERROR(__xludf.DUMMYFUNCTION("""COMPUTED_VALUE"""),"")</f>
        <v/>
      </c>
      <c r="K686" s="100" t="b">
        <v>0</v>
      </c>
      <c r="L686" s="101"/>
      <c r="M686" s="100"/>
      <c r="N686" s="97" t="b">
        <v>0</v>
      </c>
      <c r="O686" s="93" t="str">
        <f>IFERROR(__xludf.DUMMYFUNCTION("""COMPUTED_VALUE"""),"")</f>
        <v/>
      </c>
      <c r="P68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86" s="99"/>
    </row>
    <row r="687" ht="13.5" customHeight="1">
      <c r="A687" s="88"/>
      <c r="B687" s="88"/>
      <c r="C687" s="90" t="str">
        <f t="shared" si="4"/>
        <v/>
      </c>
      <c r="D687" s="92" t="str">
        <f>IFERROR(__xludf.DUMMYFUNCTION("""COMPUTED_VALUE"""),"")</f>
        <v/>
      </c>
      <c r="E687" s="92"/>
      <c r="F687" s="93"/>
      <c r="G687" s="92"/>
      <c r="H687" s="94" t="str">
        <f>IFERROR(__xludf.DUMMYFUNCTION("""COMPUTED_VALUE"""),"")</f>
        <v/>
      </c>
      <c r="I687" s="94" t="str">
        <f>IFERROR(__xludf.DUMMYFUNCTION("""COMPUTED_VALUE"""),"")</f>
        <v/>
      </c>
      <c r="J687" s="93" t="str">
        <f>IFERROR(__xludf.DUMMYFUNCTION("""COMPUTED_VALUE"""),"")</f>
        <v/>
      </c>
      <c r="K687" s="100" t="b">
        <v>0</v>
      </c>
      <c r="L687" s="101"/>
      <c r="M687" s="100"/>
      <c r="N687" s="97" t="b">
        <v>0</v>
      </c>
      <c r="O687" s="93" t="str">
        <f>IFERROR(__xludf.DUMMYFUNCTION("""COMPUTED_VALUE"""),"")</f>
        <v/>
      </c>
      <c r="P68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87" s="99"/>
    </row>
    <row r="688" ht="13.5" customHeight="1">
      <c r="A688" s="88"/>
      <c r="B688" s="88"/>
      <c r="C688" s="90" t="str">
        <f t="shared" si="4"/>
        <v/>
      </c>
      <c r="D688" s="92" t="str">
        <f>IFERROR(__xludf.DUMMYFUNCTION("""COMPUTED_VALUE"""),"")</f>
        <v/>
      </c>
      <c r="E688" s="92"/>
      <c r="F688" s="93"/>
      <c r="G688" s="92"/>
      <c r="H688" s="94" t="str">
        <f>IFERROR(__xludf.DUMMYFUNCTION("""COMPUTED_VALUE"""),"")</f>
        <v/>
      </c>
      <c r="I688" s="94" t="str">
        <f>IFERROR(__xludf.DUMMYFUNCTION("""COMPUTED_VALUE"""),"")</f>
        <v/>
      </c>
      <c r="J688" s="93" t="str">
        <f>IFERROR(__xludf.DUMMYFUNCTION("""COMPUTED_VALUE"""),"")</f>
        <v/>
      </c>
      <c r="K688" s="100" t="b">
        <v>0</v>
      </c>
      <c r="L688" s="101"/>
      <c r="M688" s="100"/>
      <c r="N688" s="97" t="b">
        <v>0</v>
      </c>
      <c r="O688" s="93" t="str">
        <f>IFERROR(__xludf.DUMMYFUNCTION("""COMPUTED_VALUE"""),"")</f>
        <v/>
      </c>
      <c r="P68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88" s="99"/>
    </row>
    <row r="689" ht="13.5" customHeight="1">
      <c r="A689" s="88"/>
      <c r="B689" s="88"/>
      <c r="C689" s="90" t="str">
        <f t="shared" ref="C689:C794" si="5">IF(A689&lt;&gt;"", IFERROR(IF(MONTH(A689) &gt;= 7, "Fall ", "Spring ") &amp; YEAR(A689) + IF(MONTH(A689) &gt;= 7, 1, 0), ""), "")</f>
        <v/>
      </c>
      <c r="D689" s="92" t="str">
        <f>IFERROR(__xludf.DUMMYFUNCTION("""COMPUTED_VALUE"""),"")</f>
        <v/>
      </c>
      <c r="E689" s="92"/>
      <c r="F689" s="93"/>
      <c r="G689" s="92"/>
      <c r="H689" s="94" t="str">
        <f>IFERROR(__xludf.DUMMYFUNCTION("""COMPUTED_VALUE"""),"")</f>
        <v/>
      </c>
      <c r="I689" s="94" t="str">
        <f>IFERROR(__xludf.DUMMYFUNCTION("""COMPUTED_VALUE"""),"")</f>
        <v/>
      </c>
      <c r="J689" s="93" t="str">
        <f>IFERROR(__xludf.DUMMYFUNCTION("""COMPUTED_VALUE"""),"")</f>
        <v/>
      </c>
      <c r="K689" s="100" t="b">
        <v>0</v>
      </c>
      <c r="L689" s="101"/>
      <c r="M689" s="100"/>
      <c r="N689" s="97" t="b">
        <v>0</v>
      </c>
      <c r="O689" s="93" t="str">
        <f>IFERROR(__xludf.DUMMYFUNCTION("""COMPUTED_VALUE"""),"")</f>
        <v/>
      </c>
      <c r="P68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89" s="99"/>
    </row>
    <row r="690" ht="13.5" customHeight="1">
      <c r="A690" s="88"/>
      <c r="B690" s="88"/>
      <c r="C690" s="90" t="str">
        <f t="shared" si="5"/>
        <v/>
      </c>
      <c r="D690" s="92" t="str">
        <f>IFERROR(__xludf.DUMMYFUNCTION("""COMPUTED_VALUE"""),"")</f>
        <v/>
      </c>
      <c r="E690" s="92"/>
      <c r="F690" s="93"/>
      <c r="G690" s="92"/>
      <c r="H690" s="94" t="str">
        <f>IFERROR(__xludf.DUMMYFUNCTION("""COMPUTED_VALUE"""),"")</f>
        <v/>
      </c>
      <c r="I690" s="94" t="str">
        <f>IFERROR(__xludf.DUMMYFUNCTION("""COMPUTED_VALUE"""),"")</f>
        <v/>
      </c>
      <c r="J690" s="93" t="str">
        <f>IFERROR(__xludf.DUMMYFUNCTION("""COMPUTED_VALUE"""),"")</f>
        <v/>
      </c>
      <c r="K690" s="100" t="b">
        <v>0</v>
      </c>
      <c r="L690" s="101"/>
      <c r="M690" s="100"/>
      <c r="N690" s="97" t="b">
        <v>0</v>
      </c>
      <c r="O690" s="93" t="str">
        <f>IFERROR(__xludf.DUMMYFUNCTION("""COMPUTED_VALUE"""),"")</f>
        <v/>
      </c>
      <c r="P69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90" s="99"/>
    </row>
    <row r="691" ht="13.5" customHeight="1">
      <c r="A691" s="88"/>
      <c r="B691" s="88"/>
      <c r="C691" s="90" t="str">
        <f t="shared" si="5"/>
        <v/>
      </c>
      <c r="D691" s="92" t="str">
        <f>IFERROR(__xludf.DUMMYFUNCTION("""COMPUTED_VALUE"""),"")</f>
        <v/>
      </c>
      <c r="E691" s="92"/>
      <c r="F691" s="93"/>
      <c r="G691" s="92"/>
      <c r="H691" s="94" t="str">
        <f>IFERROR(__xludf.DUMMYFUNCTION("""COMPUTED_VALUE"""),"")</f>
        <v/>
      </c>
      <c r="I691" s="94" t="str">
        <f>IFERROR(__xludf.DUMMYFUNCTION("""COMPUTED_VALUE"""),"")</f>
        <v/>
      </c>
      <c r="J691" s="93" t="str">
        <f>IFERROR(__xludf.DUMMYFUNCTION("""COMPUTED_VALUE"""),"")</f>
        <v/>
      </c>
      <c r="K691" s="100" t="b">
        <v>0</v>
      </c>
      <c r="L691" s="101"/>
      <c r="M691" s="100"/>
      <c r="N691" s="97" t="b">
        <v>0</v>
      </c>
      <c r="O691" s="93" t="str">
        <f>IFERROR(__xludf.DUMMYFUNCTION("""COMPUTED_VALUE"""),"")</f>
        <v/>
      </c>
      <c r="P69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91" s="99"/>
    </row>
    <row r="692" ht="13.5" customHeight="1">
      <c r="A692" s="88"/>
      <c r="B692" s="88"/>
      <c r="C692" s="90" t="str">
        <f t="shared" si="5"/>
        <v/>
      </c>
      <c r="D692" s="92" t="str">
        <f>IFERROR(__xludf.DUMMYFUNCTION("""COMPUTED_VALUE"""),"")</f>
        <v/>
      </c>
      <c r="E692" s="92"/>
      <c r="F692" s="93"/>
      <c r="G692" s="92"/>
      <c r="H692" s="94" t="str">
        <f>IFERROR(__xludf.DUMMYFUNCTION("""COMPUTED_VALUE"""),"")</f>
        <v/>
      </c>
      <c r="I692" s="94" t="str">
        <f>IFERROR(__xludf.DUMMYFUNCTION("""COMPUTED_VALUE"""),"")</f>
        <v/>
      </c>
      <c r="J692" s="93" t="str">
        <f>IFERROR(__xludf.DUMMYFUNCTION("""COMPUTED_VALUE"""),"")</f>
        <v/>
      </c>
      <c r="K692" s="100" t="b">
        <v>0</v>
      </c>
      <c r="L692" s="101"/>
      <c r="M692" s="100"/>
      <c r="N692" s="97" t="b">
        <v>0</v>
      </c>
      <c r="O692" s="93" t="str">
        <f>IFERROR(__xludf.DUMMYFUNCTION("""COMPUTED_VALUE"""),"")</f>
        <v/>
      </c>
      <c r="P69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92" s="99"/>
    </row>
    <row r="693" ht="13.5" customHeight="1">
      <c r="A693" s="88"/>
      <c r="B693" s="88"/>
      <c r="C693" s="90" t="str">
        <f t="shared" si="5"/>
        <v/>
      </c>
      <c r="D693" s="92" t="str">
        <f>IFERROR(__xludf.DUMMYFUNCTION("""COMPUTED_VALUE"""),"")</f>
        <v/>
      </c>
      <c r="E693" s="92"/>
      <c r="F693" s="93"/>
      <c r="G693" s="92"/>
      <c r="H693" s="94" t="str">
        <f>IFERROR(__xludf.DUMMYFUNCTION("""COMPUTED_VALUE"""),"")</f>
        <v/>
      </c>
      <c r="I693" s="94" t="str">
        <f>IFERROR(__xludf.DUMMYFUNCTION("""COMPUTED_VALUE"""),"")</f>
        <v/>
      </c>
      <c r="J693" s="93" t="str">
        <f>IFERROR(__xludf.DUMMYFUNCTION("""COMPUTED_VALUE"""),"")</f>
        <v/>
      </c>
      <c r="K693" s="100" t="b">
        <v>0</v>
      </c>
      <c r="L693" s="101"/>
      <c r="M693" s="100"/>
      <c r="N693" s="97" t="b">
        <v>0</v>
      </c>
      <c r="O693" s="93" t="str">
        <f>IFERROR(__xludf.DUMMYFUNCTION("""COMPUTED_VALUE"""),"")</f>
        <v/>
      </c>
      <c r="P69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93" s="99"/>
    </row>
    <row r="694" ht="13.5" customHeight="1">
      <c r="A694" s="88"/>
      <c r="B694" s="88"/>
      <c r="C694" s="90" t="str">
        <f t="shared" si="5"/>
        <v/>
      </c>
      <c r="D694" s="92" t="str">
        <f>IFERROR(__xludf.DUMMYFUNCTION("""COMPUTED_VALUE"""),"")</f>
        <v/>
      </c>
      <c r="E694" s="92"/>
      <c r="F694" s="93"/>
      <c r="G694" s="92"/>
      <c r="H694" s="94" t="str">
        <f>IFERROR(__xludf.DUMMYFUNCTION("""COMPUTED_VALUE"""),"")</f>
        <v/>
      </c>
      <c r="I694" s="94" t="str">
        <f>IFERROR(__xludf.DUMMYFUNCTION("""COMPUTED_VALUE"""),"")</f>
        <v/>
      </c>
      <c r="J694" s="93" t="str">
        <f>IFERROR(__xludf.DUMMYFUNCTION("""COMPUTED_VALUE"""),"")</f>
        <v/>
      </c>
      <c r="K694" s="100" t="b">
        <v>0</v>
      </c>
      <c r="L694" s="101"/>
      <c r="M694" s="100"/>
      <c r="N694" s="97" t="b">
        <v>0</v>
      </c>
      <c r="O694" s="93" t="str">
        <f>IFERROR(__xludf.DUMMYFUNCTION("""COMPUTED_VALUE"""),"")</f>
        <v/>
      </c>
      <c r="P69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94" s="99"/>
    </row>
    <row r="695" ht="13.5" customHeight="1">
      <c r="A695" s="88"/>
      <c r="B695" s="88"/>
      <c r="C695" s="90" t="str">
        <f t="shared" si="5"/>
        <v/>
      </c>
      <c r="D695" s="92" t="str">
        <f>IFERROR(__xludf.DUMMYFUNCTION("""COMPUTED_VALUE"""),"")</f>
        <v/>
      </c>
      <c r="E695" s="92"/>
      <c r="F695" s="93"/>
      <c r="G695" s="92"/>
      <c r="H695" s="94" t="str">
        <f>IFERROR(__xludf.DUMMYFUNCTION("""COMPUTED_VALUE"""),"")</f>
        <v/>
      </c>
      <c r="I695" s="94" t="str">
        <f>IFERROR(__xludf.DUMMYFUNCTION("""COMPUTED_VALUE"""),"")</f>
        <v/>
      </c>
      <c r="J695" s="93" t="str">
        <f>IFERROR(__xludf.DUMMYFUNCTION("""COMPUTED_VALUE"""),"")</f>
        <v/>
      </c>
      <c r="K695" s="100" t="b">
        <v>0</v>
      </c>
      <c r="L695" s="101"/>
      <c r="M695" s="100"/>
      <c r="N695" s="97" t="b">
        <v>0</v>
      </c>
      <c r="O695" s="93" t="str">
        <f>IFERROR(__xludf.DUMMYFUNCTION("""COMPUTED_VALUE"""),"")</f>
        <v/>
      </c>
      <c r="P69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95" s="99"/>
    </row>
    <row r="696" ht="13.5" customHeight="1">
      <c r="A696" s="88"/>
      <c r="B696" s="88"/>
      <c r="C696" s="90" t="str">
        <f t="shared" si="5"/>
        <v/>
      </c>
      <c r="D696" s="92" t="str">
        <f>IFERROR(__xludf.DUMMYFUNCTION("""COMPUTED_VALUE"""),"")</f>
        <v/>
      </c>
      <c r="E696" s="92"/>
      <c r="F696" s="93"/>
      <c r="G696" s="92"/>
      <c r="H696" s="94" t="str">
        <f>IFERROR(__xludf.DUMMYFUNCTION("""COMPUTED_VALUE"""),"")</f>
        <v/>
      </c>
      <c r="I696" s="94" t="str">
        <f>IFERROR(__xludf.DUMMYFUNCTION("""COMPUTED_VALUE"""),"")</f>
        <v/>
      </c>
      <c r="J696" s="93" t="str">
        <f>IFERROR(__xludf.DUMMYFUNCTION("""COMPUTED_VALUE"""),"")</f>
        <v/>
      </c>
      <c r="K696" s="100" t="b">
        <v>0</v>
      </c>
      <c r="L696" s="101"/>
      <c r="M696" s="100"/>
      <c r="N696" s="97" t="b">
        <v>0</v>
      </c>
      <c r="O696" s="93" t="str">
        <f>IFERROR(__xludf.DUMMYFUNCTION("""COMPUTED_VALUE"""),"")</f>
        <v/>
      </c>
      <c r="P69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96" s="99"/>
    </row>
    <row r="697" ht="13.5" customHeight="1">
      <c r="A697" s="88"/>
      <c r="B697" s="88"/>
      <c r="C697" s="90" t="str">
        <f t="shared" si="5"/>
        <v/>
      </c>
      <c r="D697" s="92" t="str">
        <f>IFERROR(__xludf.DUMMYFUNCTION("""COMPUTED_VALUE"""),"")</f>
        <v/>
      </c>
      <c r="E697" s="92"/>
      <c r="F697" s="93"/>
      <c r="G697" s="92"/>
      <c r="H697" s="94" t="str">
        <f>IFERROR(__xludf.DUMMYFUNCTION("""COMPUTED_VALUE"""),"")</f>
        <v/>
      </c>
      <c r="I697" s="94" t="str">
        <f>IFERROR(__xludf.DUMMYFUNCTION("""COMPUTED_VALUE"""),"")</f>
        <v/>
      </c>
      <c r="J697" s="93" t="str">
        <f>IFERROR(__xludf.DUMMYFUNCTION("""COMPUTED_VALUE"""),"")</f>
        <v/>
      </c>
      <c r="K697" s="100" t="b">
        <v>0</v>
      </c>
      <c r="L697" s="101"/>
      <c r="M697" s="100"/>
      <c r="N697" s="97" t="b">
        <v>0</v>
      </c>
      <c r="O697" s="93" t="str">
        <f>IFERROR(__xludf.DUMMYFUNCTION("""COMPUTED_VALUE"""),"")</f>
        <v/>
      </c>
      <c r="P69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97" s="99"/>
    </row>
    <row r="698" ht="13.5" customHeight="1">
      <c r="A698" s="88"/>
      <c r="B698" s="88"/>
      <c r="C698" s="90" t="str">
        <f t="shared" si="5"/>
        <v/>
      </c>
      <c r="D698" s="92" t="str">
        <f>IFERROR(__xludf.DUMMYFUNCTION("""COMPUTED_VALUE"""),"")</f>
        <v/>
      </c>
      <c r="E698" s="92"/>
      <c r="F698" s="93"/>
      <c r="G698" s="92"/>
      <c r="H698" s="94" t="str">
        <f>IFERROR(__xludf.DUMMYFUNCTION("""COMPUTED_VALUE"""),"")</f>
        <v/>
      </c>
      <c r="I698" s="94" t="str">
        <f>IFERROR(__xludf.DUMMYFUNCTION("""COMPUTED_VALUE"""),"")</f>
        <v/>
      </c>
      <c r="J698" s="93" t="str">
        <f>IFERROR(__xludf.DUMMYFUNCTION("""COMPUTED_VALUE"""),"")</f>
        <v/>
      </c>
      <c r="K698" s="100" t="b">
        <v>0</v>
      </c>
      <c r="L698" s="101"/>
      <c r="M698" s="100"/>
      <c r="N698" s="97" t="b">
        <v>0</v>
      </c>
      <c r="O698" s="93" t="str">
        <f>IFERROR(__xludf.DUMMYFUNCTION("""COMPUTED_VALUE"""),"")</f>
        <v/>
      </c>
      <c r="P69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98" s="99"/>
    </row>
    <row r="699" ht="13.5" customHeight="1">
      <c r="A699" s="88"/>
      <c r="B699" s="88"/>
      <c r="C699" s="90" t="str">
        <f t="shared" si="5"/>
        <v/>
      </c>
      <c r="D699" s="92" t="str">
        <f>IFERROR(__xludf.DUMMYFUNCTION("""COMPUTED_VALUE"""),"")</f>
        <v/>
      </c>
      <c r="E699" s="92"/>
      <c r="F699" s="93"/>
      <c r="G699" s="92"/>
      <c r="H699" s="94" t="str">
        <f>IFERROR(__xludf.DUMMYFUNCTION("""COMPUTED_VALUE"""),"")</f>
        <v/>
      </c>
      <c r="I699" s="94" t="str">
        <f>IFERROR(__xludf.DUMMYFUNCTION("""COMPUTED_VALUE"""),"")</f>
        <v/>
      </c>
      <c r="J699" s="93" t="str">
        <f>IFERROR(__xludf.DUMMYFUNCTION("""COMPUTED_VALUE"""),"")</f>
        <v/>
      </c>
      <c r="K699" s="100" t="b">
        <v>0</v>
      </c>
      <c r="L699" s="101"/>
      <c r="M699" s="100"/>
      <c r="N699" s="97" t="b">
        <v>0</v>
      </c>
      <c r="O699" s="93" t="str">
        <f>IFERROR(__xludf.DUMMYFUNCTION("""COMPUTED_VALUE"""),"")</f>
        <v/>
      </c>
      <c r="P69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699" s="99"/>
    </row>
    <row r="700" ht="13.5" customHeight="1">
      <c r="A700" s="88"/>
      <c r="B700" s="88"/>
      <c r="C700" s="90" t="str">
        <f t="shared" si="5"/>
        <v/>
      </c>
      <c r="D700" s="92" t="str">
        <f>IFERROR(__xludf.DUMMYFUNCTION("""COMPUTED_VALUE"""),"")</f>
        <v/>
      </c>
      <c r="E700" s="92"/>
      <c r="F700" s="93"/>
      <c r="G700" s="92"/>
      <c r="H700" s="94" t="str">
        <f>IFERROR(__xludf.DUMMYFUNCTION("""COMPUTED_VALUE"""),"")</f>
        <v/>
      </c>
      <c r="I700" s="94" t="str">
        <f>IFERROR(__xludf.DUMMYFUNCTION("""COMPUTED_VALUE"""),"")</f>
        <v/>
      </c>
      <c r="J700" s="93" t="str">
        <f>IFERROR(__xludf.DUMMYFUNCTION("""COMPUTED_VALUE"""),"")</f>
        <v/>
      </c>
      <c r="K700" s="100" t="b">
        <v>0</v>
      </c>
      <c r="L700" s="101"/>
      <c r="M700" s="100"/>
      <c r="N700" s="97" t="b">
        <v>0</v>
      </c>
      <c r="O700" s="93" t="str">
        <f>IFERROR(__xludf.DUMMYFUNCTION("""COMPUTED_VALUE"""),"")</f>
        <v/>
      </c>
      <c r="P70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00" s="99"/>
    </row>
    <row r="701" ht="13.5" customHeight="1">
      <c r="A701" s="88"/>
      <c r="B701" s="88"/>
      <c r="C701" s="90" t="str">
        <f t="shared" si="5"/>
        <v/>
      </c>
      <c r="D701" s="92" t="str">
        <f>IFERROR(__xludf.DUMMYFUNCTION("""COMPUTED_VALUE"""),"")</f>
        <v/>
      </c>
      <c r="E701" s="92"/>
      <c r="F701" s="93"/>
      <c r="G701" s="92"/>
      <c r="H701" s="94" t="str">
        <f>IFERROR(__xludf.DUMMYFUNCTION("""COMPUTED_VALUE"""),"")</f>
        <v/>
      </c>
      <c r="I701" s="94" t="str">
        <f>IFERROR(__xludf.DUMMYFUNCTION("""COMPUTED_VALUE"""),"")</f>
        <v/>
      </c>
      <c r="J701" s="93" t="str">
        <f>IFERROR(__xludf.DUMMYFUNCTION("""COMPUTED_VALUE"""),"")</f>
        <v/>
      </c>
      <c r="K701" s="100" t="b">
        <v>0</v>
      </c>
      <c r="L701" s="101"/>
      <c r="M701" s="100"/>
      <c r="N701" s="97" t="b">
        <v>0</v>
      </c>
      <c r="O701" s="93" t="str">
        <f>IFERROR(__xludf.DUMMYFUNCTION("""COMPUTED_VALUE"""),"")</f>
        <v/>
      </c>
      <c r="P70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01" s="99"/>
    </row>
    <row r="702" ht="13.5" customHeight="1">
      <c r="A702" s="88"/>
      <c r="B702" s="88"/>
      <c r="C702" s="90" t="str">
        <f t="shared" si="5"/>
        <v/>
      </c>
      <c r="D702" s="92" t="str">
        <f>IFERROR(__xludf.DUMMYFUNCTION("""COMPUTED_VALUE"""),"")</f>
        <v/>
      </c>
      <c r="E702" s="92"/>
      <c r="F702" s="93"/>
      <c r="G702" s="92"/>
      <c r="H702" s="94" t="str">
        <f>IFERROR(__xludf.DUMMYFUNCTION("""COMPUTED_VALUE"""),"")</f>
        <v/>
      </c>
      <c r="I702" s="94" t="str">
        <f>IFERROR(__xludf.DUMMYFUNCTION("""COMPUTED_VALUE"""),"")</f>
        <v/>
      </c>
      <c r="J702" s="93" t="str">
        <f>IFERROR(__xludf.DUMMYFUNCTION("""COMPUTED_VALUE"""),"")</f>
        <v/>
      </c>
      <c r="K702" s="100" t="b">
        <v>0</v>
      </c>
      <c r="L702" s="101"/>
      <c r="M702" s="100"/>
      <c r="N702" s="97" t="b">
        <v>0</v>
      </c>
      <c r="O702" s="93" t="str">
        <f>IFERROR(__xludf.DUMMYFUNCTION("""COMPUTED_VALUE"""),"")</f>
        <v/>
      </c>
      <c r="P70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02" s="99"/>
    </row>
    <row r="703" ht="13.5" customHeight="1">
      <c r="A703" s="88"/>
      <c r="B703" s="88"/>
      <c r="C703" s="90" t="str">
        <f t="shared" si="5"/>
        <v/>
      </c>
      <c r="D703" s="92" t="str">
        <f>IFERROR(__xludf.DUMMYFUNCTION("""COMPUTED_VALUE"""),"")</f>
        <v/>
      </c>
      <c r="E703" s="92"/>
      <c r="F703" s="93"/>
      <c r="G703" s="92"/>
      <c r="H703" s="94" t="str">
        <f>IFERROR(__xludf.DUMMYFUNCTION("""COMPUTED_VALUE"""),"")</f>
        <v/>
      </c>
      <c r="I703" s="94" t="str">
        <f>IFERROR(__xludf.DUMMYFUNCTION("""COMPUTED_VALUE"""),"")</f>
        <v/>
      </c>
      <c r="J703" s="93" t="str">
        <f>IFERROR(__xludf.DUMMYFUNCTION("""COMPUTED_VALUE"""),"")</f>
        <v/>
      </c>
      <c r="K703" s="100" t="b">
        <v>0</v>
      </c>
      <c r="L703" s="101"/>
      <c r="M703" s="100"/>
      <c r="N703" s="97" t="b">
        <v>0</v>
      </c>
      <c r="O703" s="93" t="str">
        <f>IFERROR(__xludf.DUMMYFUNCTION("""COMPUTED_VALUE"""),"")</f>
        <v/>
      </c>
      <c r="P70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03" s="99"/>
    </row>
    <row r="704" ht="13.5" customHeight="1">
      <c r="A704" s="88"/>
      <c r="B704" s="88"/>
      <c r="C704" s="90" t="str">
        <f t="shared" si="5"/>
        <v/>
      </c>
      <c r="D704" s="92" t="str">
        <f>IFERROR(__xludf.DUMMYFUNCTION("""COMPUTED_VALUE"""),"")</f>
        <v/>
      </c>
      <c r="E704" s="92"/>
      <c r="F704" s="93"/>
      <c r="G704" s="92"/>
      <c r="H704" s="94" t="str">
        <f>IFERROR(__xludf.DUMMYFUNCTION("""COMPUTED_VALUE"""),"")</f>
        <v/>
      </c>
      <c r="I704" s="94" t="str">
        <f>IFERROR(__xludf.DUMMYFUNCTION("""COMPUTED_VALUE"""),"")</f>
        <v/>
      </c>
      <c r="J704" s="93" t="str">
        <f>IFERROR(__xludf.DUMMYFUNCTION("""COMPUTED_VALUE"""),"")</f>
        <v/>
      </c>
      <c r="K704" s="100" t="b">
        <v>0</v>
      </c>
      <c r="L704" s="101"/>
      <c r="M704" s="100"/>
      <c r="N704" s="97" t="b">
        <v>0</v>
      </c>
      <c r="O704" s="93" t="str">
        <f>IFERROR(__xludf.DUMMYFUNCTION("""COMPUTED_VALUE"""),"")</f>
        <v/>
      </c>
      <c r="P70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04" s="99"/>
    </row>
    <row r="705" ht="13.5" customHeight="1">
      <c r="A705" s="88"/>
      <c r="B705" s="88"/>
      <c r="C705" s="90" t="str">
        <f t="shared" si="5"/>
        <v/>
      </c>
      <c r="D705" s="92" t="str">
        <f>IFERROR(__xludf.DUMMYFUNCTION("""COMPUTED_VALUE"""),"")</f>
        <v/>
      </c>
      <c r="E705" s="92"/>
      <c r="F705" s="93"/>
      <c r="G705" s="92"/>
      <c r="H705" s="94" t="str">
        <f>IFERROR(__xludf.DUMMYFUNCTION("""COMPUTED_VALUE"""),"")</f>
        <v/>
      </c>
      <c r="I705" s="94" t="str">
        <f>IFERROR(__xludf.DUMMYFUNCTION("""COMPUTED_VALUE"""),"")</f>
        <v/>
      </c>
      <c r="J705" s="93" t="str">
        <f>IFERROR(__xludf.DUMMYFUNCTION("""COMPUTED_VALUE"""),"")</f>
        <v/>
      </c>
      <c r="K705" s="100" t="b">
        <v>0</v>
      </c>
      <c r="L705" s="101"/>
      <c r="M705" s="100"/>
      <c r="N705" s="97" t="b">
        <v>0</v>
      </c>
      <c r="O705" s="93" t="str">
        <f>IFERROR(__xludf.DUMMYFUNCTION("""COMPUTED_VALUE"""),"")</f>
        <v/>
      </c>
      <c r="P70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05" s="99"/>
    </row>
    <row r="706" ht="13.5" customHeight="1">
      <c r="A706" s="88"/>
      <c r="B706" s="88"/>
      <c r="C706" s="90" t="str">
        <f t="shared" si="5"/>
        <v/>
      </c>
      <c r="D706" s="92" t="str">
        <f>IFERROR(__xludf.DUMMYFUNCTION("""COMPUTED_VALUE"""),"")</f>
        <v/>
      </c>
      <c r="E706" s="92"/>
      <c r="F706" s="93"/>
      <c r="G706" s="92"/>
      <c r="H706" s="94" t="str">
        <f>IFERROR(__xludf.DUMMYFUNCTION("""COMPUTED_VALUE"""),"")</f>
        <v/>
      </c>
      <c r="I706" s="94" t="str">
        <f>IFERROR(__xludf.DUMMYFUNCTION("""COMPUTED_VALUE"""),"")</f>
        <v/>
      </c>
      <c r="J706" s="93" t="str">
        <f>IFERROR(__xludf.DUMMYFUNCTION("""COMPUTED_VALUE"""),"")</f>
        <v/>
      </c>
      <c r="K706" s="100" t="b">
        <v>0</v>
      </c>
      <c r="L706" s="101"/>
      <c r="M706" s="100"/>
      <c r="N706" s="97" t="b">
        <v>0</v>
      </c>
      <c r="O706" s="93" t="str">
        <f>IFERROR(__xludf.DUMMYFUNCTION("""COMPUTED_VALUE"""),"")</f>
        <v/>
      </c>
      <c r="P70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06" s="99"/>
    </row>
    <row r="707" ht="13.5" customHeight="1">
      <c r="A707" s="88"/>
      <c r="B707" s="88"/>
      <c r="C707" s="90" t="str">
        <f t="shared" si="5"/>
        <v/>
      </c>
      <c r="D707" s="92" t="str">
        <f>IFERROR(__xludf.DUMMYFUNCTION("""COMPUTED_VALUE"""),"")</f>
        <v/>
      </c>
      <c r="E707" s="92"/>
      <c r="F707" s="93"/>
      <c r="G707" s="92"/>
      <c r="H707" s="94" t="str">
        <f>IFERROR(__xludf.DUMMYFUNCTION("""COMPUTED_VALUE"""),"")</f>
        <v/>
      </c>
      <c r="I707" s="94" t="str">
        <f>IFERROR(__xludf.DUMMYFUNCTION("""COMPUTED_VALUE"""),"")</f>
        <v/>
      </c>
      <c r="J707" s="93" t="str">
        <f>IFERROR(__xludf.DUMMYFUNCTION("""COMPUTED_VALUE"""),"")</f>
        <v/>
      </c>
      <c r="K707" s="100" t="b">
        <v>0</v>
      </c>
      <c r="L707" s="101"/>
      <c r="M707" s="100"/>
      <c r="N707" s="97" t="b">
        <v>0</v>
      </c>
      <c r="O707" s="93" t="str">
        <f>IFERROR(__xludf.DUMMYFUNCTION("""COMPUTED_VALUE"""),"")</f>
        <v/>
      </c>
      <c r="P70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07" s="99"/>
    </row>
    <row r="708" ht="13.5" customHeight="1">
      <c r="A708" s="88"/>
      <c r="B708" s="88"/>
      <c r="C708" s="90" t="str">
        <f t="shared" si="5"/>
        <v/>
      </c>
      <c r="D708" s="92" t="str">
        <f>IFERROR(__xludf.DUMMYFUNCTION("""COMPUTED_VALUE"""),"")</f>
        <v/>
      </c>
      <c r="E708" s="92"/>
      <c r="F708" s="93"/>
      <c r="G708" s="92"/>
      <c r="H708" s="94" t="str">
        <f>IFERROR(__xludf.DUMMYFUNCTION("""COMPUTED_VALUE"""),"")</f>
        <v/>
      </c>
      <c r="I708" s="94" t="str">
        <f>IFERROR(__xludf.DUMMYFUNCTION("""COMPUTED_VALUE"""),"")</f>
        <v/>
      </c>
      <c r="J708" s="93" t="str">
        <f>IFERROR(__xludf.DUMMYFUNCTION("""COMPUTED_VALUE"""),"")</f>
        <v/>
      </c>
      <c r="K708" s="100" t="b">
        <v>0</v>
      </c>
      <c r="L708" s="101"/>
      <c r="M708" s="100"/>
      <c r="N708" s="97" t="b">
        <v>0</v>
      </c>
      <c r="O708" s="93" t="str">
        <f>IFERROR(__xludf.DUMMYFUNCTION("""COMPUTED_VALUE"""),"")</f>
        <v/>
      </c>
      <c r="P70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08" s="99"/>
    </row>
    <row r="709" ht="13.5" customHeight="1">
      <c r="A709" s="88"/>
      <c r="B709" s="88"/>
      <c r="C709" s="90" t="str">
        <f t="shared" si="5"/>
        <v/>
      </c>
      <c r="D709" s="92" t="str">
        <f>IFERROR(__xludf.DUMMYFUNCTION("""COMPUTED_VALUE"""),"")</f>
        <v/>
      </c>
      <c r="E709" s="92"/>
      <c r="F709" s="93"/>
      <c r="G709" s="92"/>
      <c r="H709" s="94" t="str">
        <f>IFERROR(__xludf.DUMMYFUNCTION("""COMPUTED_VALUE"""),"")</f>
        <v/>
      </c>
      <c r="I709" s="94" t="str">
        <f>IFERROR(__xludf.DUMMYFUNCTION("""COMPUTED_VALUE"""),"")</f>
        <v/>
      </c>
      <c r="J709" s="93" t="str">
        <f>IFERROR(__xludf.DUMMYFUNCTION("""COMPUTED_VALUE"""),"")</f>
        <v/>
      </c>
      <c r="K709" s="100" t="b">
        <v>0</v>
      </c>
      <c r="L709" s="101"/>
      <c r="M709" s="100"/>
      <c r="N709" s="97" t="b">
        <v>0</v>
      </c>
      <c r="O709" s="93" t="str">
        <f>IFERROR(__xludf.DUMMYFUNCTION("""COMPUTED_VALUE"""),"")</f>
        <v/>
      </c>
      <c r="P70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09" s="99"/>
    </row>
    <row r="710" ht="13.5" customHeight="1">
      <c r="A710" s="88"/>
      <c r="B710" s="88"/>
      <c r="C710" s="90" t="str">
        <f t="shared" si="5"/>
        <v/>
      </c>
      <c r="D710" s="92" t="str">
        <f>IFERROR(__xludf.DUMMYFUNCTION("""COMPUTED_VALUE"""),"")</f>
        <v/>
      </c>
      <c r="E710" s="92"/>
      <c r="F710" s="93"/>
      <c r="G710" s="92"/>
      <c r="H710" s="94" t="str">
        <f>IFERROR(__xludf.DUMMYFUNCTION("""COMPUTED_VALUE"""),"")</f>
        <v/>
      </c>
      <c r="I710" s="94" t="str">
        <f>IFERROR(__xludf.DUMMYFUNCTION("""COMPUTED_VALUE"""),"")</f>
        <v/>
      </c>
      <c r="J710" s="93" t="str">
        <f>IFERROR(__xludf.DUMMYFUNCTION("""COMPUTED_VALUE"""),"")</f>
        <v/>
      </c>
      <c r="K710" s="100" t="b">
        <v>0</v>
      </c>
      <c r="L710" s="101"/>
      <c r="M710" s="100"/>
      <c r="N710" s="97" t="b">
        <v>0</v>
      </c>
      <c r="O710" s="93" t="str">
        <f>IFERROR(__xludf.DUMMYFUNCTION("""COMPUTED_VALUE"""),"")</f>
        <v/>
      </c>
      <c r="P71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10" s="99"/>
    </row>
    <row r="711" ht="13.5" customHeight="1">
      <c r="A711" s="88"/>
      <c r="B711" s="88"/>
      <c r="C711" s="90" t="str">
        <f t="shared" si="5"/>
        <v/>
      </c>
      <c r="D711" s="92" t="str">
        <f>IFERROR(__xludf.DUMMYFUNCTION("""COMPUTED_VALUE"""),"")</f>
        <v/>
      </c>
      <c r="E711" s="92"/>
      <c r="F711" s="93"/>
      <c r="G711" s="92"/>
      <c r="H711" s="94" t="str">
        <f>IFERROR(__xludf.DUMMYFUNCTION("""COMPUTED_VALUE"""),"")</f>
        <v/>
      </c>
      <c r="I711" s="94" t="str">
        <f>IFERROR(__xludf.DUMMYFUNCTION("""COMPUTED_VALUE"""),"")</f>
        <v/>
      </c>
      <c r="J711" s="93" t="str">
        <f>IFERROR(__xludf.DUMMYFUNCTION("""COMPUTED_VALUE"""),"")</f>
        <v/>
      </c>
      <c r="K711" s="100" t="b">
        <v>0</v>
      </c>
      <c r="L711" s="101"/>
      <c r="M711" s="100"/>
      <c r="N711" s="97" t="b">
        <v>0</v>
      </c>
      <c r="O711" s="93" t="str">
        <f>IFERROR(__xludf.DUMMYFUNCTION("""COMPUTED_VALUE"""),"")</f>
        <v/>
      </c>
      <c r="P71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11" s="99"/>
    </row>
    <row r="712" ht="13.5" customHeight="1">
      <c r="A712" s="88"/>
      <c r="B712" s="88"/>
      <c r="C712" s="90" t="str">
        <f t="shared" si="5"/>
        <v/>
      </c>
      <c r="D712" s="92" t="str">
        <f>IFERROR(__xludf.DUMMYFUNCTION("""COMPUTED_VALUE"""),"")</f>
        <v/>
      </c>
      <c r="E712" s="92"/>
      <c r="F712" s="93"/>
      <c r="G712" s="92"/>
      <c r="H712" s="94" t="str">
        <f>IFERROR(__xludf.DUMMYFUNCTION("""COMPUTED_VALUE"""),"")</f>
        <v/>
      </c>
      <c r="I712" s="94" t="str">
        <f>IFERROR(__xludf.DUMMYFUNCTION("""COMPUTED_VALUE"""),"")</f>
        <v/>
      </c>
      <c r="J712" s="93" t="str">
        <f>IFERROR(__xludf.DUMMYFUNCTION("""COMPUTED_VALUE"""),"")</f>
        <v/>
      </c>
      <c r="K712" s="100" t="b">
        <v>0</v>
      </c>
      <c r="L712" s="101"/>
      <c r="M712" s="100"/>
      <c r="N712" s="97" t="b">
        <v>0</v>
      </c>
      <c r="O712" s="93" t="str">
        <f>IFERROR(__xludf.DUMMYFUNCTION("""COMPUTED_VALUE"""),"")</f>
        <v/>
      </c>
      <c r="P71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12" s="99"/>
    </row>
    <row r="713" ht="13.5" customHeight="1">
      <c r="A713" s="88"/>
      <c r="B713" s="88"/>
      <c r="C713" s="90" t="str">
        <f t="shared" si="5"/>
        <v/>
      </c>
      <c r="D713" s="92" t="str">
        <f>IFERROR(__xludf.DUMMYFUNCTION("""COMPUTED_VALUE"""),"")</f>
        <v/>
      </c>
      <c r="E713" s="92"/>
      <c r="F713" s="93"/>
      <c r="G713" s="92"/>
      <c r="H713" s="94" t="str">
        <f>IFERROR(__xludf.DUMMYFUNCTION("""COMPUTED_VALUE"""),"")</f>
        <v/>
      </c>
      <c r="I713" s="94" t="str">
        <f>IFERROR(__xludf.DUMMYFUNCTION("""COMPUTED_VALUE"""),"")</f>
        <v/>
      </c>
      <c r="J713" s="93" t="str">
        <f>IFERROR(__xludf.DUMMYFUNCTION("""COMPUTED_VALUE"""),"")</f>
        <v/>
      </c>
      <c r="K713" s="100" t="b">
        <v>0</v>
      </c>
      <c r="L713" s="101"/>
      <c r="M713" s="100"/>
      <c r="N713" s="97" t="b">
        <v>0</v>
      </c>
      <c r="O713" s="93" t="str">
        <f>IFERROR(__xludf.DUMMYFUNCTION("""COMPUTED_VALUE"""),"")</f>
        <v/>
      </c>
      <c r="P71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13" s="99"/>
    </row>
    <row r="714" ht="13.5" customHeight="1">
      <c r="A714" s="88"/>
      <c r="B714" s="88"/>
      <c r="C714" s="90" t="str">
        <f t="shared" si="5"/>
        <v/>
      </c>
      <c r="D714" s="92" t="str">
        <f>IFERROR(__xludf.DUMMYFUNCTION("""COMPUTED_VALUE"""),"")</f>
        <v/>
      </c>
      <c r="E714" s="92"/>
      <c r="F714" s="93"/>
      <c r="G714" s="92"/>
      <c r="H714" s="94" t="str">
        <f>IFERROR(__xludf.DUMMYFUNCTION("""COMPUTED_VALUE"""),"")</f>
        <v/>
      </c>
      <c r="I714" s="94" t="str">
        <f>IFERROR(__xludf.DUMMYFUNCTION("""COMPUTED_VALUE"""),"")</f>
        <v/>
      </c>
      <c r="J714" s="93" t="str">
        <f>IFERROR(__xludf.DUMMYFUNCTION("""COMPUTED_VALUE"""),"")</f>
        <v/>
      </c>
      <c r="K714" s="100" t="b">
        <v>0</v>
      </c>
      <c r="L714" s="101"/>
      <c r="M714" s="100"/>
      <c r="N714" s="97" t="b">
        <v>0</v>
      </c>
      <c r="O714" s="93" t="str">
        <f>IFERROR(__xludf.DUMMYFUNCTION("""COMPUTED_VALUE"""),"")</f>
        <v/>
      </c>
      <c r="P71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14" s="99"/>
    </row>
    <row r="715" ht="13.5" customHeight="1">
      <c r="A715" s="88"/>
      <c r="B715" s="88"/>
      <c r="C715" s="90" t="str">
        <f t="shared" si="5"/>
        <v/>
      </c>
      <c r="D715" s="92" t="str">
        <f>IFERROR(__xludf.DUMMYFUNCTION("""COMPUTED_VALUE"""),"")</f>
        <v/>
      </c>
      <c r="E715" s="92"/>
      <c r="F715" s="93"/>
      <c r="G715" s="92"/>
      <c r="H715" s="94" t="str">
        <f>IFERROR(__xludf.DUMMYFUNCTION("""COMPUTED_VALUE"""),"")</f>
        <v/>
      </c>
      <c r="I715" s="94" t="str">
        <f>IFERROR(__xludf.DUMMYFUNCTION("""COMPUTED_VALUE"""),"")</f>
        <v/>
      </c>
      <c r="J715" s="93" t="str">
        <f>IFERROR(__xludf.DUMMYFUNCTION("""COMPUTED_VALUE"""),"")</f>
        <v/>
      </c>
      <c r="K715" s="100" t="b">
        <v>0</v>
      </c>
      <c r="L715" s="101"/>
      <c r="M715" s="100"/>
      <c r="N715" s="97" t="b">
        <v>0</v>
      </c>
      <c r="O715" s="93" t="str">
        <f>IFERROR(__xludf.DUMMYFUNCTION("""COMPUTED_VALUE"""),"")</f>
        <v/>
      </c>
      <c r="P71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15" s="99"/>
    </row>
    <row r="716" ht="13.5" customHeight="1">
      <c r="A716" s="88"/>
      <c r="B716" s="88"/>
      <c r="C716" s="90" t="str">
        <f t="shared" si="5"/>
        <v/>
      </c>
      <c r="D716" s="92" t="str">
        <f>IFERROR(__xludf.DUMMYFUNCTION("""COMPUTED_VALUE"""),"")</f>
        <v/>
      </c>
      <c r="E716" s="92"/>
      <c r="F716" s="93"/>
      <c r="G716" s="92"/>
      <c r="H716" s="94" t="str">
        <f>IFERROR(__xludf.DUMMYFUNCTION("""COMPUTED_VALUE"""),"")</f>
        <v/>
      </c>
      <c r="I716" s="94" t="str">
        <f>IFERROR(__xludf.DUMMYFUNCTION("""COMPUTED_VALUE"""),"")</f>
        <v/>
      </c>
      <c r="J716" s="93" t="str">
        <f>IFERROR(__xludf.DUMMYFUNCTION("""COMPUTED_VALUE"""),"")</f>
        <v/>
      </c>
      <c r="K716" s="100" t="b">
        <v>0</v>
      </c>
      <c r="L716" s="101"/>
      <c r="M716" s="100"/>
      <c r="N716" s="97" t="b">
        <v>0</v>
      </c>
      <c r="O716" s="93" t="str">
        <f>IFERROR(__xludf.DUMMYFUNCTION("""COMPUTED_VALUE"""),"")</f>
        <v/>
      </c>
      <c r="P71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16" s="99"/>
    </row>
    <row r="717" ht="13.5" customHeight="1">
      <c r="A717" s="88"/>
      <c r="B717" s="88"/>
      <c r="C717" s="90" t="str">
        <f t="shared" si="5"/>
        <v/>
      </c>
      <c r="D717" s="92" t="str">
        <f>IFERROR(__xludf.DUMMYFUNCTION("""COMPUTED_VALUE"""),"")</f>
        <v/>
      </c>
      <c r="E717" s="92"/>
      <c r="F717" s="93"/>
      <c r="G717" s="92"/>
      <c r="H717" s="94" t="str">
        <f>IFERROR(__xludf.DUMMYFUNCTION("""COMPUTED_VALUE"""),"")</f>
        <v/>
      </c>
      <c r="I717" s="94" t="str">
        <f>IFERROR(__xludf.DUMMYFUNCTION("""COMPUTED_VALUE"""),"")</f>
        <v/>
      </c>
      <c r="J717" s="93" t="str">
        <f>IFERROR(__xludf.DUMMYFUNCTION("""COMPUTED_VALUE"""),"")</f>
        <v/>
      </c>
      <c r="K717" s="100" t="b">
        <v>0</v>
      </c>
      <c r="L717" s="101"/>
      <c r="M717" s="100"/>
      <c r="N717" s="97" t="b">
        <v>0</v>
      </c>
      <c r="O717" s="93" t="str">
        <f>IFERROR(__xludf.DUMMYFUNCTION("""COMPUTED_VALUE"""),"")</f>
        <v/>
      </c>
      <c r="P71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17" s="99"/>
    </row>
    <row r="718" ht="13.5" customHeight="1">
      <c r="A718" s="88"/>
      <c r="B718" s="88"/>
      <c r="C718" s="90" t="str">
        <f t="shared" si="5"/>
        <v/>
      </c>
      <c r="D718" s="92" t="str">
        <f>IFERROR(__xludf.DUMMYFUNCTION("""COMPUTED_VALUE"""),"")</f>
        <v/>
      </c>
      <c r="E718" s="92"/>
      <c r="F718" s="93"/>
      <c r="G718" s="92"/>
      <c r="H718" s="94" t="str">
        <f>IFERROR(__xludf.DUMMYFUNCTION("""COMPUTED_VALUE"""),"")</f>
        <v/>
      </c>
      <c r="I718" s="94" t="str">
        <f>IFERROR(__xludf.DUMMYFUNCTION("""COMPUTED_VALUE"""),"")</f>
        <v/>
      </c>
      <c r="J718" s="93" t="str">
        <f>IFERROR(__xludf.DUMMYFUNCTION("""COMPUTED_VALUE"""),"")</f>
        <v/>
      </c>
      <c r="K718" s="100" t="b">
        <v>0</v>
      </c>
      <c r="L718" s="101"/>
      <c r="M718" s="100"/>
      <c r="N718" s="97" t="b">
        <v>0</v>
      </c>
      <c r="O718" s="93" t="str">
        <f>IFERROR(__xludf.DUMMYFUNCTION("""COMPUTED_VALUE"""),"")</f>
        <v/>
      </c>
      <c r="P71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18" s="99"/>
    </row>
    <row r="719" ht="13.5" customHeight="1">
      <c r="A719" s="88"/>
      <c r="B719" s="88"/>
      <c r="C719" s="90" t="str">
        <f t="shared" si="5"/>
        <v/>
      </c>
      <c r="D719" s="92" t="str">
        <f>IFERROR(__xludf.DUMMYFUNCTION("""COMPUTED_VALUE"""),"")</f>
        <v/>
      </c>
      <c r="E719" s="92"/>
      <c r="F719" s="93"/>
      <c r="G719" s="92"/>
      <c r="H719" s="94" t="str">
        <f>IFERROR(__xludf.DUMMYFUNCTION("""COMPUTED_VALUE"""),"")</f>
        <v/>
      </c>
      <c r="I719" s="94" t="str">
        <f>IFERROR(__xludf.DUMMYFUNCTION("""COMPUTED_VALUE"""),"")</f>
        <v/>
      </c>
      <c r="J719" s="93" t="str">
        <f>IFERROR(__xludf.DUMMYFUNCTION("""COMPUTED_VALUE"""),"")</f>
        <v/>
      </c>
      <c r="K719" s="100" t="b">
        <v>0</v>
      </c>
      <c r="L719" s="101"/>
      <c r="M719" s="100"/>
      <c r="N719" s="97" t="b">
        <v>0</v>
      </c>
      <c r="O719" s="93" t="str">
        <f>IFERROR(__xludf.DUMMYFUNCTION("""COMPUTED_VALUE"""),"")</f>
        <v/>
      </c>
      <c r="P71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19" s="99"/>
    </row>
    <row r="720" ht="13.5" customHeight="1">
      <c r="A720" s="88"/>
      <c r="B720" s="88"/>
      <c r="C720" s="90" t="str">
        <f t="shared" si="5"/>
        <v/>
      </c>
      <c r="D720" s="92" t="str">
        <f>IFERROR(__xludf.DUMMYFUNCTION("""COMPUTED_VALUE"""),"")</f>
        <v/>
      </c>
      <c r="E720" s="92"/>
      <c r="F720" s="93"/>
      <c r="G720" s="92"/>
      <c r="H720" s="94" t="str">
        <f>IFERROR(__xludf.DUMMYFUNCTION("""COMPUTED_VALUE"""),"")</f>
        <v/>
      </c>
      <c r="I720" s="94" t="str">
        <f>IFERROR(__xludf.DUMMYFUNCTION("""COMPUTED_VALUE"""),"")</f>
        <v/>
      </c>
      <c r="J720" s="93" t="str">
        <f>IFERROR(__xludf.DUMMYFUNCTION("""COMPUTED_VALUE"""),"")</f>
        <v/>
      </c>
      <c r="K720" s="100" t="b">
        <v>0</v>
      </c>
      <c r="L720" s="101"/>
      <c r="M720" s="100"/>
      <c r="N720" s="97" t="b">
        <v>0</v>
      </c>
      <c r="O720" s="93" t="str">
        <f>IFERROR(__xludf.DUMMYFUNCTION("""COMPUTED_VALUE"""),"")</f>
        <v/>
      </c>
      <c r="P72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20" s="99"/>
    </row>
    <row r="721" ht="13.5" customHeight="1">
      <c r="A721" s="88"/>
      <c r="B721" s="88"/>
      <c r="C721" s="90" t="str">
        <f t="shared" si="5"/>
        <v/>
      </c>
      <c r="D721" s="92" t="str">
        <f>IFERROR(__xludf.DUMMYFUNCTION("""COMPUTED_VALUE"""),"")</f>
        <v/>
      </c>
      <c r="E721" s="92"/>
      <c r="F721" s="93"/>
      <c r="G721" s="92"/>
      <c r="H721" s="94" t="str">
        <f>IFERROR(__xludf.DUMMYFUNCTION("""COMPUTED_VALUE"""),"")</f>
        <v/>
      </c>
      <c r="I721" s="94" t="str">
        <f>IFERROR(__xludf.DUMMYFUNCTION("""COMPUTED_VALUE"""),"")</f>
        <v/>
      </c>
      <c r="J721" s="93" t="str">
        <f>IFERROR(__xludf.DUMMYFUNCTION("""COMPUTED_VALUE"""),"")</f>
        <v/>
      </c>
      <c r="K721" s="100" t="b">
        <v>0</v>
      </c>
      <c r="L721" s="101"/>
      <c r="M721" s="100"/>
      <c r="N721" s="97" t="b">
        <v>0</v>
      </c>
      <c r="O721" s="93" t="str">
        <f>IFERROR(__xludf.DUMMYFUNCTION("""COMPUTED_VALUE"""),"")</f>
        <v/>
      </c>
      <c r="P72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21" s="99"/>
    </row>
    <row r="722" ht="13.5" customHeight="1">
      <c r="A722" s="88"/>
      <c r="B722" s="88"/>
      <c r="C722" s="90" t="str">
        <f t="shared" si="5"/>
        <v/>
      </c>
      <c r="D722" s="92" t="str">
        <f>IFERROR(__xludf.DUMMYFUNCTION("""COMPUTED_VALUE"""),"")</f>
        <v/>
      </c>
      <c r="E722" s="92"/>
      <c r="F722" s="93"/>
      <c r="G722" s="92"/>
      <c r="H722" s="94" t="str">
        <f>IFERROR(__xludf.DUMMYFUNCTION("""COMPUTED_VALUE"""),"")</f>
        <v/>
      </c>
      <c r="I722" s="94" t="str">
        <f>IFERROR(__xludf.DUMMYFUNCTION("""COMPUTED_VALUE"""),"")</f>
        <v/>
      </c>
      <c r="J722" s="93" t="str">
        <f>IFERROR(__xludf.DUMMYFUNCTION("""COMPUTED_VALUE"""),"")</f>
        <v/>
      </c>
      <c r="K722" s="100" t="b">
        <v>0</v>
      </c>
      <c r="L722" s="101"/>
      <c r="M722" s="100"/>
      <c r="N722" s="97" t="b">
        <v>0</v>
      </c>
      <c r="O722" s="93" t="str">
        <f>IFERROR(__xludf.DUMMYFUNCTION("""COMPUTED_VALUE"""),"")</f>
        <v/>
      </c>
      <c r="P72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22" s="99"/>
    </row>
    <row r="723" ht="13.5" customHeight="1">
      <c r="A723" s="88"/>
      <c r="B723" s="88"/>
      <c r="C723" s="90" t="str">
        <f t="shared" si="5"/>
        <v/>
      </c>
      <c r="D723" s="92" t="str">
        <f>IFERROR(__xludf.DUMMYFUNCTION("""COMPUTED_VALUE"""),"")</f>
        <v/>
      </c>
      <c r="E723" s="92"/>
      <c r="F723" s="93"/>
      <c r="G723" s="92"/>
      <c r="H723" s="94" t="str">
        <f>IFERROR(__xludf.DUMMYFUNCTION("""COMPUTED_VALUE"""),"")</f>
        <v/>
      </c>
      <c r="I723" s="94" t="str">
        <f>IFERROR(__xludf.DUMMYFUNCTION("""COMPUTED_VALUE"""),"")</f>
        <v/>
      </c>
      <c r="J723" s="93" t="str">
        <f>IFERROR(__xludf.DUMMYFUNCTION("""COMPUTED_VALUE"""),"")</f>
        <v/>
      </c>
      <c r="K723" s="100" t="b">
        <v>0</v>
      </c>
      <c r="L723" s="101"/>
      <c r="M723" s="100"/>
      <c r="N723" s="97" t="b">
        <v>0</v>
      </c>
      <c r="O723" s="93" t="str">
        <f>IFERROR(__xludf.DUMMYFUNCTION("""COMPUTED_VALUE"""),"")</f>
        <v/>
      </c>
      <c r="P72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23" s="99"/>
    </row>
    <row r="724" ht="13.5" customHeight="1">
      <c r="A724" s="88"/>
      <c r="B724" s="88"/>
      <c r="C724" s="90" t="str">
        <f t="shared" si="5"/>
        <v/>
      </c>
      <c r="D724" s="92" t="str">
        <f>IFERROR(__xludf.DUMMYFUNCTION("""COMPUTED_VALUE"""),"")</f>
        <v/>
      </c>
      <c r="E724" s="92"/>
      <c r="F724" s="93"/>
      <c r="G724" s="92"/>
      <c r="H724" s="94" t="str">
        <f>IFERROR(__xludf.DUMMYFUNCTION("""COMPUTED_VALUE"""),"")</f>
        <v/>
      </c>
      <c r="I724" s="94" t="str">
        <f>IFERROR(__xludf.DUMMYFUNCTION("""COMPUTED_VALUE"""),"")</f>
        <v/>
      </c>
      <c r="J724" s="93" t="str">
        <f>IFERROR(__xludf.DUMMYFUNCTION("""COMPUTED_VALUE"""),"")</f>
        <v/>
      </c>
      <c r="K724" s="100" t="b">
        <v>0</v>
      </c>
      <c r="L724" s="101"/>
      <c r="M724" s="100"/>
      <c r="N724" s="97" t="b">
        <v>0</v>
      </c>
      <c r="O724" s="93" t="str">
        <f>IFERROR(__xludf.DUMMYFUNCTION("""COMPUTED_VALUE"""),"")</f>
        <v/>
      </c>
      <c r="P72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24" s="99"/>
    </row>
    <row r="725" ht="13.5" customHeight="1">
      <c r="A725" s="88"/>
      <c r="B725" s="88"/>
      <c r="C725" s="90" t="str">
        <f t="shared" si="5"/>
        <v/>
      </c>
      <c r="D725" s="92" t="str">
        <f>IFERROR(__xludf.DUMMYFUNCTION("""COMPUTED_VALUE"""),"")</f>
        <v/>
      </c>
      <c r="E725" s="92"/>
      <c r="F725" s="93"/>
      <c r="G725" s="92"/>
      <c r="H725" s="94" t="str">
        <f>IFERROR(__xludf.DUMMYFUNCTION("""COMPUTED_VALUE"""),"")</f>
        <v/>
      </c>
      <c r="I725" s="94" t="str">
        <f>IFERROR(__xludf.DUMMYFUNCTION("""COMPUTED_VALUE"""),"")</f>
        <v/>
      </c>
      <c r="J725" s="93" t="str">
        <f>IFERROR(__xludf.DUMMYFUNCTION("""COMPUTED_VALUE"""),"")</f>
        <v/>
      </c>
      <c r="K725" s="100" t="b">
        <v>0</v>
      </c>
      <c r="L725" s="101"/>
      <c r="M725" s="100"/>
      <c r="N725" s="97" t="b">
        <v>0</v>
      </c>
      <c r="O725" s="93" t="str">
        <f>IFERROR(__xludf.DUMMYFUNCTION("""COMPUTED_VALUE"""),"")</f>
        <v/>
      </c>
      <c r="P72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25" s="99"/>
    </row>
    <row r="726" ht="13.5" customHeight="1">
      <c r="A726" s="88"/>
      <c r="B726" s="88"/>
      <c r="C726" s="90" t="str">
        <f t="shared" si="5"/>
        <v/>
      </c>
      <c r="D726" s="92" t="str">
        <f>IFERROR(__xludf.DUMMYFUNCTION("""COMPUTED_VALUE"""),"")</f>
        <v/>
      </c>
      <c r="E726" s="92"/>
      <c r="F726" s="93"/>
      <c r="G726" s="92"/>
      <c r="H726" s="94" t="str">
        <f>IFERROR(__xludf.DUMMYFUNCTION("""COMPUTED_VALUE"""),"")</f>
        <v/>
      </c>
      <c r="I726" s="94" t="str">
        <f>IFERROR(__xludf.DUMMYFUNCTION("""COMPUTED_VALUE"""),"")</f>
        <v/>
      </c>
      <c r="J726" s="93" t="str">
        <f>IFERROR(__xludf.DUMMYFUNCTION("""COMPUTED_VALUE"""),"")</f>
        <v/>
      </c>
      <c r="K726" s="100"/>
      <c r="L726" s="101"/>
      <c r="M726" s="100"/>
      <c r="N726" s="94"/>
      <c r="O726" s="93" t="str">
        <f>IFERROR(__xludf.DUMMYFUNCTION("""COMPUTED_VALUE"""),"")</f>
        <v/>
      </c>
      <c r="P72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26" s="99"/>
    </row>
    <row r="727" ht="13.5" customHeight="1">
      <c r="A727" s="88"/>
      <c r="B727" s="88"/>
      <c r="C727" s="90" t="str">
        <f t="shared" si="5"/>
        <v/>
      </c>
      <c r="D727" s="92" t="str">
        <f>IFERROR(__xludf.DUMMYFUNCTION("""COMPUTED_VALUE"""),"")</f>
        <v/>
      </c>
      <c r="E727" s="92"/>
      <c r="F727" s="93"/>
      <c r="G727" s="92"/>
      <c r="H727" s="94" t="str">
        <f>IFERROR(__xludf.DUMMYFUNCTION("""COMPUTED_VALUE"""),"")</f>
        <v/>
      </c>
      <c r="I727" s="94" t="str">
        <f>IFERROR(__xludf.DUMMYFUNCTION("""COMPUTED_VALUE"""),"")</f>
        <v/>
      </c>
      <c r="J727" s="93" t="str">
        <f>IFERROR(__xludf.DUMMYFUNCTION("""COMPUTED_VALUE"""),"")</f>
        <v/>
      </c>
      <c r="K727" s="100"/>
      <c r="L727" s="101"/>
      <c r="M727" s="100"/>
      <c r="N727" s="94"/>
      <c r="O727" s="93" t="str">
        <f>IFERROR(__xludf.DUMMYFUNCTION("""COMPUTED_VALUE"""),"")</f>
        <v/>
      </c>
      <c r="P72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27" s="99"/>
    </row>
    <row r="728" ht="13.5" customHeight="1">
      <c r="A728" s="88"/>
      <c r="B728" s="88"/>
      <c r="C728" s="90" t="str">
        <f t="shared" si="5"/>
        <v/>
      </c>
      <c r="D728" s="92" t="str">
        <f>IFERROR(__xludf.DUMMYFUNCTION("""COMPUTED_VALUE"""),"")</f>
        <v/>
      </c>
      <c r="E728" s="92"/>
      <c r="F728" s="93"/>
      <c r="G728" s="92"/>
      <c r="H728" s="94" t="str">
        <f>IFERROR(__xludf.DUMMYFUNCTION("""COMPUTED_VALUE"""),"")</f>
        <v/>
      </c>
      <c r="I728" s="94" t="str">
        <f>IFERROR(__xludf.DUMMYFUNCTION("""COMPUTED_VALUE"""),"")</f>
        <v/>
      </c>
      <c r="J728" s="93" t="str">
        <f>IFERROR(__xludf.DUMMYFUNCTION("""COMPUTED_VALUE"""),"")</f>
        <v/>
      </c>
      <c r="K728" s="100"/>
      <c r="L728" s="101"/>
      <c r="M728" s="100"/>
      <c r="N728" s="94"/>
      <c r="O728" s="93" t="str">
        <f>IFERROR(__xludf.DUMMYFUNCTION("""COMPUTED_VALUE"""),"")</f>
        <v/>
      </c>
      <c r="P72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28" s="99"/>
    </row>
    <row r="729" ht="13.5" customHeight="1">
      <c r="A729" s="88"/>
      <c r="B729" s="88"/>
      <c r="C729" s="90" t="str">
        <f t="shared" si="5"/>
        <v/>
      </c>
      <c r="D729" s="92" t="str">
        <f>IFERROR(__xludf.DUMMYFUNCTION("""COMPUTED_VALUE"""),"")</f>
        <v/>
      </c>
      <c r="E729" s="92"/>
      <c r="F729" s="93"/>
      <c r="G729" s="92"/>
      <c r="H729" s="94" t="str">
        <f>IFERROR(__xludf.DUMMYFUNCTION("""COMPUTED_VALUE"""),"")</f>
        <v/>
      </c>
      <c r="I729" s="94" t="str">
        <f>IFERROR(__xludf.DUMMYFUNCTION("""COMPUTED_VALUE"""),"")</f>
        <v/>
      </c>
      <c r="J729" s="93" t="str">
        <f>IFERROR(__xludf.DUMMYFUNCTION("""COMPUTED_VALUE"""),"")</f>
        <v/>
      </c>
      <c r="K729" s="100"/>
      <c r="L729" s="101"/>
      <c r="M729" s="100"/>
      <c r="N729" s="94"/>
      <c r="O729" s="93" t="str">
        <f>IFERROR(__xludf.DUMMYFUNCTION("""COMPUTED_VALUE"""),"")</f>
        <v/>
      </c>
      <c r="P72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29" s="99"/>
    </row>
    <row r="730" ht="13.5" customHeight="1">
      <c r="A730" s="88"/>
      <c r="B730" s="88"/>
      <c r="C730" s="90" t="str">
        <f t="shared" si="5"/>
        <v/>
      </c>
      <c r="D730" s="92" t="str">
        <f>IFERROR(__xludf.DUMMYFUNCTION("""COMPUTED_VALUE"""),"")</f>
        <v/>
      </c>
      <c r="E730" s="92"/>
      <c r="F730" s="93"/>
      <c r="G730" s="92"/>
      <c r="H730" s="94" t="str">
        <f>IFERROR(__xludf.DUMMYFUNCTION("""COMPUTED_VALUE"""),"")</f>
        <v/>
      </c>
      <c r="I730" s="94" t="str">
        <f>IFERROR(__xludf.DUMMYFUNCTION("""COMPUTED_VALUE"""),"")</f>
        <v/>
      </c>
      <c r="J730" s="93" t="str">
        <f>IFERROR(__xludf.DUMMYFUNCTION("""COMPUTED_VALUE"""),"")</f>
        <v/>
      </c>
      <c r="K730" s="100"/>
      <c r="L730" s="101"/>
      <c r="M730" s="100"/>
      <c r="N730" s="94"/>
      <c r="O730" s="93" t="str">
        <f>IFERROR(__xludf.DUMMYFUNCTION("""COMPUTED_VALUE"""),"")</f>
        <v/>
      </c>
      <c r="P73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30" s="99"/>
    </row>
    <row r="731" ht="13.5" customHeight="1">
      <c r="A731" s="88"/>
      <c r="B731" s="88"/>
      <c r="C731" s="90" t="str">
        <f t="shared" si="5"/>
        <v/>
      </c>
      <c r="D731" s="92" t="str">
        <f>IFERROR(__xludf.DUMMYFUNCTION("""COMPUTED_VALUE"""),"")</f>
        <v/>
      </c>
      <c r="E731" s="92"/>
      <c r="F731" s="93"/>
      <c r="G731" s="92"/>
      <c r="H731" s="94" t="str">
        <f>IFERROR(__xludf.DUMMYFUNCTION("""COMPUTED_VALUE"""),"")</f>
        <v/>
      </c>
      <c r="I731" s="94" t="str">
        <f>IFERROR(__xludf.DUMMYFUNCTION("""COMPUTED_VALUE"""),"")</f>
        <v/>
      </c>
      <c r="J731" s="93" t="str">
        <f>IFERROR(__xludf.DUMMYFUNCTION("""COMPUTED_VALUE"""),"")</f>
        <v/>
      </c>
      <c r="K731" s="100"/>
      <c r="L731" s="101"/>
      <c r="M731" s="100"/>
      <c r="N731" s="94"/>
      <c r="O731" s="93" t="str">
        <f>IFERROR(__xludf.DUMMYFUNCTION("""COMPUTED_VALUE"""),"")</f>
        <v/>
      </c>
      <c r="P73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31" s="99"/>
    </row>
    <row r="732" ht="13.5" customHeight="1">
      <c r="A732" s="88"/>
      <c r="B732" s="88"/>
      <c r="C732" s="90" t="str">
        <f t="shared" si="5"/>
        <v/>
      </c>
      <c r="D732" s="92"/>
      <c r="E732" s="92"/>
      <c r="F732" s="93"/>
      <c r="G732" s="92"/>
      <c r="H732" s="94"/>
      <c r="I732" s="94"/>
      <c r="J732" s="93" t="str">
        <f>IFERROR(__xludf.DUMMYFUNCTION("""COMPUTED_VALUE"""),"#N/A")</f>
        <v>#N/A</v>
      </c>
      <c r="K732" s="100"/>
      <c r="L732" s="101"/>
      <c r="M732" s="100"/>
      <c r="N732" s="94"/>
      <c r="O732" s="93"/>
      <c r="P73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32" s="99"/>
    </row>
    <row r="733" ht="13.5" customHeight="1">
      <c r="A733" s="88"/>
      <c r="B733" s="88"/>
      <c r="C733" s="90" t="str">
        <f t="shared" si="5"/>
        <v/>
      </c>
      <c r="D733" s="92"/>
      <c r="E733" s="92"/>
      <c r="F733" s="93"/>
      <c r="G733" s="92"/>
      <c r="H733" s="94"/>
      <c r="I733" s="94"/>
      <c r="J733" s="93" t="str">
        <f>IFERROR(__xludf.DUMMYFUNCTION("""COMPUTED_VALUE"""),"#N/A")</f>
        <v>#N/A</v>
      </c>
      <c r="K733" s="100"/>
      <c r="L733" s="101"/>
      <c r="M733" s="100"/>
      <c r="N733" s="94"/>
      <c r="O733" s="93"/>
      <c r="P73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33" s="99"/>
    </row>
    <row r="734" ht="13.5" customHeight="1">
      <c r="A734" s="88"/>
      <c r="B734" s="88"/>
      <c r="C734" s="90" t="str">
        <f t="shared" si="5"/>
        <v/>
      </c>
      <c r="D734" s="92"/>
      <c r="E734" s="92"/>
      <c r="F734" s="93"/>
      <c r="G734" s="92"/>
      <c r="H734" s="94"/>
      <c r="I734" s="94"/>
      <c r="J734" s="93" t="str">
        <f>IFERROR(__xludf.DUMMYFUNCTION("""COMPUTED_VALUE"""),"#N/A")</f>
        <v>#N/A</v>
      </c>
      <c r="K734" s="100"/>
      <c r="L734" s="101"/>
      <c r="M734" s="100"/>
      <c r="N734" s="94"/>
      <c r="O734" s="93"/>
      <c r="P73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34" s="99"/>
    </row>
    <row r="735" ht="13.5" customHeight="1">
      <c r="A735" s="88"/>
      <c r="B735" s="88"/>
      <c r="C735" s="90" t="str">
        <f t="shared" si="5"/>
        <v/>
      </c>
      <c r="D735" s="92"/>
      <c r="E735" s="92"/>
      <c r="F735" s="93"/>
      <c r="G735" s="92"/>
      <c r="H735" s="94"/>
      <c r="I735" s="94"/>
      <c r="J735" s="93" t="str">
        <f>IFERROR(__xludf.DUMMYFUNCTION("""COMPUTED_VALUE"""),"#N/A")</f>
        <v>#N/A</v>
      </c>
      <c r="K735" s="100"/>
      <c r="L735" s="101"/>
      <c r="M735" s="100"/>
      <c r="N735" s="94"/>
      <c r="O735" s="93"/>
      <c r="P73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35" s="99"/>
    </row>
    <row r="736" ht="13.5" customHeight="1">
      <c r="A736" s="88"/>
      <c r="B736" s="88"/>
      <c r="C736" s="90" t="str">
        <f t="shared" si="5"/>
        <v/>
      </c>
      <c r="D736" s="92"/>
      <c r="E736" s="92"/>
      <c r="F736" s="93"/>
      <c r="G736" s="92"/>
      <c r="H736" s="94"/>
      <c r="I736" s="94"/>
      <c r="J736" s="93" t="str">
        <f>IFERROR(__xludf.DUMMYFUNCTION("""COMPUTED_VALUE"""),"#N/A")</f>
        <v>#N/A</v>
      </c>
      <c r="K736" s="100"/>
      <c r="L736" s="101"/>
      <c r="M736" s="100"/>
      <c r="N736" s="94"/>
      <c r="O736" s="93"/>
      <c r="P73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36" s="99"/>
    </row>
    <row r="737" ht="13.5" customHeight="1">
      <c r="A737" s="88"/>
      <c r="B737" s="88"/>
      <c r="C737" s="90" t="str">
        <f t="shared" si="5"/>
        <v/>
      </c>
      <c r="D737" s="92"/>
      <c r="E737" s="92"/>
      <c r="F737" s="93"/>
      <c r="G737" s="92"/>
      <c r="H737" s="94"/>
      <c r="I737" s="94"/>
      <c r="J737" s="93" t="str">
        <f>IFERROR(__xludf.DUMMYFUNCTION("""COMPUTED_VALUE"""),"#N/A")</f>
        <v>#N/A</v>
      </c>
      <c r="K737" s="100"/>
      <c r="L737" s="101"/>
      <c r="M737" s="100"/>
      <c r="N737" s="94"/>
      <c r="O737" s="93"/>
      <c r="P73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37" s="99"/>
    </row>
    <row r="738" ht="13.5" customHeight="1">
      <c r="A738" s="88"/>
      <c r="B738" s="88"/>
      <c r="C738" s="90" t="str">
        <f t="shared" si="5"/>
        <v/>
      </c>
      <c r="D738" s="92"/>
      <c r="E738" s="92"/>
      <c r="F738" s="93"/>
      <c r="G738" s="92"/>
      <c r="H738" s="94"/>
      <c r="I738" s="94"/>
      <c r="J738" s="93" t="str">
        <f>IFERROR(__xludf.DUMMYFUNCTION("""COMPUTED_VALUE"""),"#N/A")</f>
        <v>#N/A</v>
      </c>
      <c r="K738" s="100"/>
      <c r="L738" s="101"/>
      <c r="M738" s="100"/>
      <c r="N738" s="94"/>
      <c r="O738" s="93"/>
      <c r="P73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38" s="99"/>
    </row>
    <row r="739" ht="13.5" customHeight="1">
      <c r="A739" s="88"/>
      <c r="B739" s="88"/>
      <c r="C739" s="90" t="str">
        <f t="shared" si="5"/>
        <v/>
      </c>
      <c r="D739" s="92"/>
      <c r="E739" s="92"/>
      <c r="F739" s="93"/>
      <c r="G739" s="92"/>
      <c r="H739" s="94"/>
      <c r="I739" s="94"/>
      <c r="J739" s="93" t="str">
        <f>IFERROR(__xludf.DUMMYFUNCTION("""COMPUTED_VALUE"""),"#N/A")</f>
        <v>#N/A</v>
      </c>
      <c r="K739" s="100"/>
      <c r="L739" s="101"/>
      <c r="M739" s="100"/>
      <c r="N739" s="94"/>
      <c r="O739" s="93"/>
      <c r="P73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39" s="99"/>
    </row>
    <row r="740" ht="13.5" customHeight="1">
      <c r="A740" s="88"/>
      <c r="B740" s="88"/>
      <c r="C740" s="90" t="str">
        <f t="shared" si="5"/>
        <v/>
      </c>
      <c r="D740" s="92"/>
      <c r="E740" s="92"/>
      <c r="F740" s="93"/>
      <c r="G740" s="92"/>
      <c r="H740" s="94"/>
      <c r="I740" s="94"/>
      <c r="J740" s="93" t="str">
        <f>IFERROR(__xludf.DUMMYFUNCTION("""COMPUTED_VALUE"""),"#N/A")</f>
        <v>#N/A</v>
      </c>
      <c r="K740" s="100"/>
      <c r="L740" s="101"/>
      <c r="M740" s="100"/>
      <c r="N740" s="94"/>
      <c r="O740" s="93"/>
      <c r="P74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40" s="99"/>
    </row>
    <row r="741" ht="13.5" customHeight="1">
      <c r="A741" s="88"/>
      <c r="B741" s="88"/>
      <c r="C741" s="90" t="str">
        <f t="shared" si="5"/>
        <v/>
      </c>
      <c r="D741" s="92"/>
      <c r="E741" s="92"/>
      <c r="F741" s="93"/>
      <c r="G741" s="92"/>
      <c r="H741" s="94"/>
      <c r="I741" s="94"/>
      <c r="J741" s="93" t="str">
        <f>IFERROR(__xludf.DUMMYFUNCTION("""COMPUTED_VALUE"""),"#N/A")</f>
        <v>#N/A</v>
      </c>
      <c r="K741" s="100"/>
      <c r="L741" s="101"/>
      <c r="M741" s="100"/>
      <c r="N741" s="94"/>
      <c r="O741" s="93"/>
      <c r="P74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41" s="99"/>
    </row>
    <row r="742" ht="13.5" customHeight="1">
      <c r="A742" s="88"/>
      <c r="B742" s="88"/>
      <c r="C742" s="90" t="str">
        <f t="shared" si="5"/>
        <v/>
      </c>
      <c r="D742" s="92"/>
      <c r="E742" s="92"/>
      <c r="F742" s="93"/>
      <c r="G742" s="92"/>
      <c r="H742" s="94"/>
      <c r="I742" s="94"/>
      <c r="J742" s="93" t="str">
        <f>IFERROR(__xludf.DUMMYFUNCTION("""COMPUTED_VALUE"""),"#N/A")</f>
        <v>#N/A</v>
      </c>
      <c r="K742" s="100"/>
      <c r="L742" s="101"/>
      <c r="M742" s="100"/>
      <c r="N742" s="94"/>
      <c r="O742" s="93"/>
      <c r="P74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42" s="99"/>
    </row>
    <row r="743" ht="13.5" customHeight="1">
      <c r="A743" s="88"/>
      <c r="B743" s="88"/>
      <c r="C743" s="90" t="str">
        <f t="shared" si="5"/>
        <v/>
      </c>
      <c r="D743" s="92"/>
      <c r="E743" s="92"/>
      <c r="F743" s="93"/>
      <c r="G743" s="92"/>
      <c r="H743" s="94"/>
      <c r="I743" s="94"/>
      <c r="J743" s="93" t="str">
        <f>IFERROR(__xludf.DUMMYFUNCTION("""COMPUTED_VALUE"""),"#N/A")</f>
        <v>#N/A</v>
      </c>
      <c r="K743" s="100"/>
      <c r="L743" s="101"/>
      <c r="M743" s="100"/>
      <c r="N743" s="94"/>
      <c r="O743" s="93"/>
      <c r="P74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43" s="99"/>
    </row>
    <row r="744" ht="13.5" customHeight="1">
      <c r="A744" s="88"/>
      <c r="B744" s="88"/>
      <c r="C744" s="90" t="str">
        <f t="shared" si="5"/>
        <v/>
      </c>
      <c r="D744" s="92"/>
      <c r="E744" s="92"/>
      <c r="F744" s="93"/>
      <c r="G744" s="92"/>
      <c r="H744" s="94"/>
      <c r="I744" s="94"/>
      <c r="J744" s="93" t="str">
        <f>IFERROR(__xludf.DUMMYFUNCTION("""COMPUTED_VALUE"""),"#N/A")</f>
        <v>#N/A</v>
      </c>
      <c r="K744" s="100"/>
      <c r="L744" s="101"/>
      <c r="M744" s="100"/>
      <c r="N744" s="94"/>
      <c r="O744" s="93"/>
      <c r="P74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44" s="99"/>
    </row>
    <row r="745" ht="13.5" customHeight="1">
      <c r="A745" s="88"/>
      <c r="B745" s="88"/>
      <c r="C745" s="90" t="str">
        <f t="shared" si="5"/>
        <v/>
      </c>
      <c r="D745" s="92"/>
      <c r="E745" s="92"/>
      <c r="F745" s="93"/>
      <c r="G745" s="92"/>
      <c r="H745" s="94"/>
      <c r="I745" s="94"/>
      <c r="J745" s="93" t="str">
        <f>IFERROR(__xludf.DUMMYFUNCTION("""COMPUTED_VALUE"""),"#N/A")</f>
        <v>#N/A</v>
      </c>
      <c r="K745" s="100"/>
      <c r="L745" s="101"/>
      <c r="M745" s="100"/>
      <c r="N745" s="94"/>
      <c r="O745" s="93"/>
      <c r="P74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45" s="99"/>
    </row>
    <row r="746" ht="13.5" customHeight="1">
      <c r="A746" s="88"/>
      <c r="B746" s="88"/>
      <c r="C746" s="90" t="str">
        <f t="shared" si="5"/>
        <v/>
      </c>
      <c r="D746" s="92"/>
      <c r="E746" s="92"/>
      <c r="F746" s="93"/>
      <c r="G746" s="92"/>
      <c r="H746" s="94"/>
      <c r="I746" s="94"/>
      <c r="J746" s="93" t="str">
        <f>IFERROR(__xludf.DUMMYFUNCTION("""COMPUTED_VALUE"""),"#N/A")</f>
        <v>#N/A</v>
      </c>
      <c r="K746" s="100"/>
      <c r="L746" s="101"/>
      <c r="M746" s="100"/>
      <c r="N746" s="94"/>
      <c r="O746" s="93"/>
      <c r="P74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46" s="99"/>
    </row>
    <row r="747" ht="13.5" customHeight="1">
      <c r="A747" s="88"/>
      <c r="B747" s="88"/>
      <c r="C747" s="90" t="str">
        <f t="shared" si="5"/>
        <v/>
      </c>
      <c r="D747" s="92"/>
      <c r="E747" s="92"/>
      <c r="F747" s="93"/>
      <c r="G747" s="92"/>
      <c r="H747" s="94"/>
      <c r="I747" s="94"/>
      <c r="J747" s="93" t="str">
        <f>IFERROR(__xludf.DUMMYFUNCTION("""COMPUTED_VALUE"""),"#N/A")</f>
        <v>#N/A</v>
      </c>
      <c r="K747" s="100"/>
      <c r="L747" s="101"/>
      <c r="M747" s="100"/>
      <c r="N747" s="94"/>
      <c r="O747" s="93"/>
      <c r="P74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47" s="99"/>
    </row>
    <row r="748" ht="13.5" customHeight="1">
      <c r="A748" s="88"/>
      <c r="B748" s="88"/>
      <c r="C748" s="90" t="str">
        <f t="shared" si="5"/>
        <v/>
      </c>
      <c r="D748" s="92"/>
      <c r="E748" s="92"/>
      <c r="F748" s="93"/>
      <c r="G748" s="92"/>
      <c r="H748" s="94"/>
      <c r="I748" s="94"/>
      <c r="J748" s="93" t="str">
        <f>IFERROR(__xludf.DUMMYFUNCTION("""COMPUTED_VALUE"""),"#N/A")</f>
        <v>#N/A</v>
      </c>
      <c r="K748" s="100"/>
      <c r="L748" s="101"/>
      <c r="M748" s="100"/>
      <c r="N748" s="94"/>
      <c r="O748" s="93"/>
      <c r="P74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48" s="99"/>
    </row>
    <row r="749" ht="13.5" customHeight="1">
      <c r="A749" s="88"/>
      <c r="B749" s="88"/>
      <c r="C749" s="90" t="str">
        <f t="shared" si="5"/>
        <v/>
      </c>
      <c r="D749" s="92"/>
      <c r="E749" s="92"/>
      <c r="F749" s="93"/>
      <c r="G749" s="92"/>
      <c r="H749" s="94"/>
      <c r="I749" s="94"/>
      <c r="J749" s="93" t="str">
        <f>IFERROR(__xludf.DUMMYFUNCTION("""COMPUTED_VALUE"""),"#N/A")</f>
        <v>#N/A</v>
      </c>
      <c r="K749" s="100"/>
      <c r="L749" s="101"/>
      <c r="M749" s="100"/>
      <c r="N749" s="94"/>
      <c r="O749" s="93"/>
      <c r="P74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49" s="99"/>
    </row>
    <row r="750" ht="13.5" customHeight="1">
      <c r="A750" s="88"/>
      <c r="B750" s="88"/>
      <c r="C750" s="90" t="str">
        <f t="shared" si="5"/>
        <v/>
      </c>
      <c r="D750" s="92"/>
      <c r="E750" s="92"/>
      <c r="F750" s="93"/>
      <c r="G750" s="92"/>
      <c r="H750" s="94"/>
      <c r="I750" s="94"/>
      <c r="J750" s="93" t="str">
        <f>IFERROR(__xludf.DUMMYFUNCTION("""COMPUTED_VALUE"""),"#N/A")</f>
        <v>#N/A</v>
      </c>
      <c r="K750" s="100"/>
      <c r="L750" s="101"/>
      <c r="M750" s="100"/>
      <c r="N750" s="94"/>
      <c r="O750" s="93"/>
      <c r="P75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50" s="99"/>
    </row>
    <row r="751" ht="13.5" customHeight="1">
      <c r="A751" s="88"/>
      <c r="B751" s="88"/>
      <c r="C751" s="90" t="str">
        <f t="shared" si="5"/>
        <v/>
      </c>
      <c r="D751" s="92"/>
      <c r="E751" s="92"/>
      <c r="F751" s="93"/>
      <c r="G751" s="92"/>
      <c r="H751" s="94"/>
      <c r="I751" s="94"/>
      <c r="J751" s="93" t="str">
        <f>IFERROR(__xludf.DUMMYFUNCTION("""COMPUTED_VALUE"""),"#N/A")</f>
        <v>#N/A</v>
      </c>
      <c r="K751" s="100"/>
      <c r="L751" s="101"/>
      <c r="M751" s="100"/>
      <c r="N751" s="94"/>
      <c r="O751" s="93"/>
      <c r="P75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51" s="99"/>
    </row>
    <row r="752" ht="13.5" customHeight="1">
      <c r="A752" s="88"/>
      <c r="B752" s="88"/>
      <c r="C752" s="90" t="str">
        <f t="shared" si="5"/>
        <v/>
      </c>
      <c r="D752" s="92"/>
      <c r="E752" s="92"/>
      <c r="F752" s="93"/>
      <c r="G752" s="92"/>
      <c r="H752" s="94"/>
      <c r="I752" s="94"/>
      <c r="J752" s="93" t="str">
        <f>IFERROR(__xludf.DUMMYFUNCTION("""COMPUTED_VALUE"""),"#N/A")</f>
        <v>#N/A</v>
      </c>
      <c r="K752" s="100"/>
      <c r="L752" s="101"/>
      <c r="M752" s="100"/>
      <c r="N752" s="94"/>
      <c r="O752" s="93"/>
      <c r="P75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52" s="99"/>
    </row>
    <row r="753" ht="13.5" customHeight="1">
      <c r="A753" s="88"/>
      <c r="B753" s="88"/>
      <c r="C753" s="90" t="str">
        <f t="shared" si="5"/>
        <v/>
      </c>
      <c r="D753" s="92"/>
      <c r="E753" s="92"/>
      <c r="F753" s="93"/>
      <c r="G753" s="92"/>
      <c r="H753" s="94"/>
      <c r="I753" s="94"/>
      <c r="J753" s="93" t="str">
        <f>IFERROR(__xludf.DUMMYFUNCTION("""COMPUTED_VALUE"""),"#N/A")</f>
        <v>#N/A</v>
      </c>
      <c r="K753" s="100"/>
      <c r="L753" s="101"/>
      <c r="M753" s="100"/>
      <c r="N753" s="94"/>
      <c r="O753" s="93"/>
      <c r="P75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53" s="99"/>
    </row>
    <row r="754" ht="13.5" customHeight="1">
      <c r="A754" s="88"/>
      <c r="B754" s="88"/>
      <c r="C754" s="90" t="str">
        <f t="shared" si="5"/>
        <v/>
      </c>
      <c r="D754" s="92"/>
      <c r="E754" s="92"/>
      <c r="F754" s="93"/>
      <c r="G754" s="92"/>
      <c r="H754" s="94"/>
      <c r="I754" s="94"/>
      <c r="J754" s="93" t="str">
        <f>IFERROR(__xludf.DUMMYFUNCTION("""COMPUTED_VALUE"""),"#N/A")</f>
        <v>#N/A</v>
      </c>
      <c r="K754" s="100"/>
      <c r="L754" s="101"/>
      <c r="M754" s="100"/>
      <c r="N754" s="94"/>
      <c r="O754" s="93"/>
      <c r="P75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54" s="99"/>
    </row>
    <row r="755" ht="13.5" customHeight="1">
      <c r="A755" s="88"/>
      <c r="B755" s="88"/>
      <c r="C755" s="90" t="str">
        <f t="shared" si="5"/>
        <v/>
      </c>
      <c r="D755" s="92"/>
      <c r="E755" s="92"/>
      <c r="F755" s="93"/>
      <c r="G755" s="92"/>
      <c r="H755" s="94"/>
      <c r="I755" s="94"/>
      <c r="J755" s="93" t="str">
        <f>IFERROR(__xludf.DUMMYFUNCTION("""COMPUTED_VALUE"""),"#N/A")</f>
        <v>#N/A</v>
      </c>
      <c r="K755" s="100"/>
      <c r="L755" s="101"/>
      <c r="M755" s="100"/>
      <c r="N755" s="94"/>
      <c r="O755" s="93"/>
      <c r="P75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55" s="99"/>
    </row>
    <row r="756" ht="13.5" customHeight="1">
      <c r="A756" s="88"/>
      <c r="B756" s="88"/>
      <c r="C756" s="90" t="str">
        <f t="shared" si="5"/>
        <v/>
      </c>
      <c r="D756" s="92"/>
      <c r="E756" s="92"/>
      <c r="F756" s="93"/>
      <c r="G756" s="92"/>
      <c r="H756" s="94"/>
      <c r="I756" s="94"/>
      <c r="J756" s="93" t="str">
        <f>IFERROR(__xludf.DUMMYFUNCTION("""COMPUTED_VALUE"""),"#N/A")</f>
        <v>#N/A</v>
      </c>
      <c r="K756" s="100"/>
      <c r="L756" s="101"/>
      <c r="M756" s="100"/>
      <c r="N756" s="94"/>
      <c r="O756" s="93"/>
      <c r="P75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56" s="99"/>
    </row>
    <row r="757" ht="13.5" customHeight="1">
      <c r="A757" s="88"/>
      <c r="B757" s="88"/>
      <c r="C757" s="90" t="str">
        <f t="shared" si="5"/>
        <v/>
      </c>
      <c r="D757" s="92"/>
      <c r="E757" s="92"/>
      <c r="F757" s="93"/>
      <c r="G757" s="92"/>
      <c r="H757" s="94"/>
      <c r="I757" s="94"/>
      <c r="J757" s="93" t="str">
        <f>IFERROR(__xludf.DUMMYFUNCTION("""COMPUTED_VALUE"""),"#N/A")</f>
        <v>#N/A</v>
      </c>
      <c r="K757" s="100"/>
      <c r="L757" s="101"/>
      <c r="M757" s="100"/>
      <c r="N757" s="94"/>
      <c r="O757" s="93"/>
      <c r="P75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57" s="99"/>
    </row>
    <row r="758" ht="13.5" customHeight="1">
      <c r="A758" s="88"/>
      <c r="B758" s="88"/>
      <c r="C758" s="90" t="str">
        <f t="shared" si="5"/>
        <v/>
      </c>
      <c r="D758" s="92"/>
      <c r="E758" s="92"/>
      <c r="F758" s="93"/>
      <c r="G758" s="92"/>
      <c r="H758" s="94"/>
      <c r="I758" s="94"/>
      <c r="J758" s="93" t="str">
        <f>IFERROR(__xludf.DUMMYFUNCTION("""COMPUTED_VALUE"""),"#N/A")</f>
        <v>#N/A</v>
      </c>
      <c r="K758" s="100"/>
      <c r="L758" s="101"/>
      <c r="M758" s="100"/>
      <c r="N758" s="94"/>
      <c r="O758" s="93"/>
      <c r="P75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58" s="99"/>
    </row>
    <row r="759" ht="13.5" customHeight="1">
      <c r="A759" s="88"/>
      <c r="B759" s="88"/>
      <c r="C759" s="90" t="str">
        <f t="shared" si="5"/>
        <v/>
      </c>
      <c r="D759" s="92"/>
      <c r="E759" s="92"/>
      <c r="F759" s="93"/>
      <c r="G759" s="92"/>
      <c r="H759" s="94"/>
      <c r="I759" s="94"/>
      <c r="J759" s="93" t="str">
        <f>IFERROR(__xludf.DUMMYFUNCTION("""COMPUTED_VALUE"""),"#N/A")</f>
        <v>#N/A</v>
      </c>
      <c r="K759" s="100"/>
      <c r="L759" s="101"/>
      <c r="M759" s="100"/>
      <c r="N759" s="94"/>
      <c r="O759" s="93"/>
      <c r="P75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59" s="99"/>
    </row>
    <row r="760" ht="13.5" customHeight="1">
      <c r="A760" s="88"/>
      <c r="B760" s="88"/>
      <c r="C760" s="90" t="str">
        <f t="shared" si="5"/>
        <v/>
      </c>
      <c r="D760" s="92"/>
      <c r="E760" s="92"/>
      <c r="F760" s="93"/>
      <c r="G760" s="92"/>
      <c r="H760" s="94"/>
      <c r="I760" s="94"/>
      <c r="J760" s="93" t="str">
        <f>IFERROR(__xludf.DUMMYFUNCTION("""COMPUTED_VALUE"""),"#N/A")</f>
        <v>#N/A</v>
      </c>
      <c r="K760" s="100"/>
      <c r="L760" s="101"/>
      <c r="M760" s="100"/>
      <c r="N760" s="94"/>
      <c r="O760" s="93"/>
      <c r="P76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60" s="99"/>
    </row>
    <row r="761" ht="13.5" customHeight="1">
      <c r="A761" s="88"/>
      <c r="B761" s="88"/>
      <c r="C761" s="90" t="str">
        <f t="shared" si="5"/>
        <v/>
      </c>
      <c r="D761" s="92"/>
      <c r="E761" s="92"/>
      <c r="F761" s="93"/>
      <c r="G761" s="92"/>
      <c r="H761" s="94"/>
      <c r="I761" s="94"/>
      <c r="J761" s="93" t="str">
        <f>IFERROR(__xludf.DUMMYFUNCTION("""COMPUTED_VALUE"""),"#N/A")</f>
        <v>#N/A</v>
      </c>
      <c r="K761" s="100"/>
      <c r="L761" s="101"/>
      <c r="M761" s="100"/>
      <c r="N761" s="94"/>
      <c r="O761" s="93"/>
      <c r="P76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61" s="99"/>
    </row>
    <row r="762" ht="13.5" customHeight="1">
      <c r="A762" s="88"/>
      <c r="B762" s="88"/>
      <c r="C762" s="90" t="str">
        <f t="shared" si="5"/>
        <v/>
      </c>
      <c r="D762" s="92"/>
      <c r="E762" s="92"/>
      <c r="F762" s="93"/>
      <c r="G762" s="92"/>
      <c r="H762" s="94"/>
      <c r="I762" s="94"/>
      <c r="J762" s="93" t="str">
        <f>IFERROR(__xludf.DUMMYFUNCTION("""COMPUTED_VALUE"""),"#N/A")</f>
        <v>#N/A</v>
      </c>
      <c r="K762" s="100"/>
      <c r="L762" s="101"/>
      <c r="M762" s="100"/>
      <c r="N762" s="94"/>
      <c r="O762" s="93"/>
      <c r="P76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62" s="99"/>
    </row>
    <row r="763" ht="13.5" customHeight="1">
      <c r="A763" s="88"/>
      <c r="B763" s="88"/>
      <c r="C763" s="90" t="str">
        <f t="shared" si="5"/>
        <v/>
      </c>
      <c r="D763" s="92"/>
      <c r="E763" s="92"/>
      <c r="F763" s="93"/>
      <c r="G763" s="92"/>
      <c r="H763" s="94"/>
      <c r="I763" s="94"/>
      <c r="J763" s="93" t="str">
        <f>IFERROR(__xludf.DUMMYFUNCTION("""COMPUTED_VALUE"""),"#N/A")</f>
        <v>#N/A</v>
      </c>
      <c r="K763" s="100"/>
      <c r="L763" s="101"/>
      <c r="M763" s="100"/>
      <c r="N763" s="94"/>
      <c r="O763" s="93"/>
      <c r="P76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63" s="99"/>
    </row>
    <row r="764" ht="13.5" customHeight="1">
      <c r="A764" s="88"/>
      <c r="B764" s="88"/>
      <c r="C764" s="90" t="str">
        <f t="shared" si="5"/>
        <v/>
      </c>
      <c r="D764" s="92"/>
      <c r="E764" s="92"/>
      <c r="F764" s="93"/>
      <c r="G764" s="92"/>
      <c r="H764" s="94"/>
      <c r="I764" s="94"/>
      <c r="J764" s="93" t="str">
        <f>IFERROR(__xludf.DUMMYFUNCTION("""COMPUTED_VALUE"""),"#N/A")</f>
        <v>#N/A</v>
      </c>
      <c r="K764" s="100"/>
      <c r="L764" s="101"/>
      <c r="M764" s="100"/>
      <c r="N764" s="94"/>
      <c r="O764" s="93"/>
      <c r="P76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64" s="99"/>
    </row>
    <row r="765" ht="13.5" customHeight="1">
      <c r="A765" s="88"/>
      <c r="B765" s="88"/>
      <c r="C765" s="90" t="str">
        <f t="shared" si="5"/>
        <v/>
      </c>
      <c r="D765" s="92"/>
      <c r="E765" s="92"/>
      <c r="F765" s="93"/>
      <c r="G765" s="92"/>
      <c r="H765" s="94"/>
      <c r="I765" s="94"/>
      <c r="J765" s="93" t="str">
        <f>IFERROR(__xludf.DUMMYFUNCTION("""COMPUTED_VALUE"""),"#N/A")</f>
        <v>#N/A</v>
      </c>
      <c r="K765" s="100"/>
      <c r="L765" s="101"/>
      <c r="M765" s="100"/>
      <c r="N765" s="94"/>
      <c r="O765" s="93"/>
      <c r="P765"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65" s="99"/>
    </row>
    <row r="766" ht="13.5" customHeight="1">
      <c r="A766" s="88"/>
      <c r="B766" s="88"/>
      <c r="C766" s="90" t="str">
        <f t="shared" si="5"/>
        <v/>
      </c>
      <c r="D766" s="92"/>
      <c r="E766" s="92"/>
      <c r="F766" s="93"/>
      <c r="G766" s="92"/>
      <c r="H766" s="94"/>
      <c r="I766" s="94"/>
      <c r="J766" s="93" t="str">
        <f>IFERROR(__xludf.DUMMYFUNCTION("""COMPUTED_VALUE"""),"#N/A")</f>
        <v>#N/A</v>
      </c>
      <c r="K766" s="100"/>
      <c r="L766" s="101"/>
      <c r="M766" s="100"/>
      <c r="N766" s="94"/>
      <c r="O766" s="93"/>
      <c r="P766"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66" s="99"/>
    </row>
    <row r="767" ht="13.5" customHeight="1">
      <c r="A767" s="88"/>
      <c r="B767" s="88"/>
      <c r="C767" s="90" t="str">
        <f t="shared" si="5"/>
        <v/>
      </c>
      <c r="D767" s="92"/>
      <c r="E767" s="92"/>
      <c r="F767" s="93"/>
      <c r="G767" s="92"/>
      <c r="H767" s="94"/>
      <c r="I767" s="94"/>
      <c r="J767" s="93" t="str">
        <f>IFERROR(__xludf.DUMMYFUNCTION("""COMPUTED_VALUE"""),"#N/A")</f>
        <v>#N/A</v>
      </c>
      <c r="K767" s="100"/>
      <c r="L767" s="101"/>
      <c r="M767" s="100"/>
      <c r="N767" s="94"/>
      <c r="O767" s="93"/>
      <c r="P767"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67" s="99"/>
    </row>
    <row r="768" ht="13.5" customHeight="1">
      <c r="A768" s="88"/>
      <c r="B768" s="88"/>
      <c r="C768" s="90" t="str">
        <f t="shared" si="5"/>
        <v/>
      </c>
      <c r="D768" s="92"/>
      <c r="E768" s="92"/>
      <c r="F768" s="93"/>
      <c r="G768" s="92"/>
      <c r="H768" s="94"/>
      <c r="I768" s="94"/>
      <c r="J768" s="93" t="str">
        <f>IFERROR(__xludf.DUMMYFUNCTION("""COMPUTED_VALUE"""),"#N/A")</f>
        <v>#N/A</v>
      </c>
      <c r="K768" s="100"/>
      <c r="L768" s="101"/>
      <c r="M768" s="100"/>
      <c r="N768" s="94"/>
      <c r="O768" s="93"/>
      <c r="P768"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68" s="99"/>
    </row>
    <row r="769" ht="13.5" customHeight="1">
      <c r="A769" s="88"/>
      <c r="B769" s="88"/>
      <c r="C769" s="90" t="str">
        <f t="shared" si="5"/>
        <v/>
      </c>
      <c r="D769" s="92"/>
      <c r="E769" s="92"/>
      <c r="F769" s="93"/>
      <c r="G769" s="92"/>
      <c r="H769" s="94"/>
      <c r="I769" s="94"/>
      <c r="J769" s="93" t="str">
        <f>IFERROR(__xludf.DUMMYFUNCTION("""COMPUTED_VALUE"""),"#N/A")</f>
        <v>#N/A</v>
      </c>
      <c r="K769" s="100"/>
      <c r="L769" s="101"/>
      <c r="M769" s="100"/>
      <c r="N769" s="94"/>
      <c r="O769" s="93"/>
      <c r="P769"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69" s="99"/>
    </row>
    <row r="770" ht="13.5" customHeight="1">
      <c r="A770" s="88"/>
      <c r="B770" s="88"/>
      <c r="C770" s="90" t="str">
        <f t="shared" si="5"/>
        <v/>
      </c>
      <c r="D770" s="92"/>
      <c r="E770" s="92"/>
      <c r="F770" s="93"/>
      <c r="G770" s="92"/>
      <c r="H770" s="94"/>
      <c r="I770" s="94"/>
      <c r="J770" s="93" t="str">
        <f>IFERROR(__xludf.DUMMYFUNCTION("""COMPUTED_VALUE"""),"#N/A")</f>
        <v>#N/A</v>
      </c>
      <c r="K770" s="100"/>
      <c r="L770" s="101"/>
      <c r="M770" s="100"/>
      <c r="N770" s="94"/>
      <c r="O770" s="93"/>
      <c r="P770"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70" s="99"/>
    </row>
    <row r="771" ht="13.5" customHeight="1">
      <c r="A771" s="88"/>
      <c r="B771" s="88"/>
      <c r="C771" s="90" t="str">
        <f t="shared" si="5"/>
        <v/>
      </c>
      <c r="D771" s="92"/>
      <c r="E771" s="92"/>
      <c r="F771" s="93"/>
      <c r="G771" s="92"/>
      <c r="H771" s="94"/>
      <c r="I771" s="94"/>
      <c r="J771" s="93" t="str">
        <f>IFERROR(__xludf.DUMMYFUNCTION("""COMPUTED_VALUE"""),"#N/A")</f>
        <v>#N/A</v>
      </c>
      <c r="K771" s="100"/>
      <c r="L771" s="101"/>
      <c r="M771" s="100"/>
      <c r="N771" s="94"/>
      <c r="O771" s="93"/>
      <c r="P771"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71" s="99"/>
    </row>
    <row r="772" ht="13.5" customHeight="1">
      <c r="A772" s="88"/>
      <c r="B772" s="88"/>
      <c r="C772" s="90" t="str">
        <f t="shared" si="5"/>
        <v/>
      </c>
      <c r="D772" s="92"/>
      <c r="E772" s="92"/>
      <c r="F772" s="93"/>
      <c r="G772" s="92"/>
      <c r="H772" s="94"/>
      <c r="I772" s="94"/>
      <c r="J772" s="93" t="str">
        <f>IFERROR(__xludf.DUMMYFUNCTION("""COMPUTED_VALUE"""),"#N/A")</f>
        <v>#N/A</v>
      </c>
      <c r="K772" s="100"/>
      <c r="L772" s="101"/>
      <c r="M772" s="100"/>
      <c r="N772" s="94"/>
      <c r="O772" s="93"/>
      <c r="P772"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72" s="99"/>
    </row>
    <row r="773" ht="13.5" customHeight="1">
      <c r="A773" s="88"/>
      <c r="B773" s="88"/>
      <c r="C773" s="90" t="str">
        <f t="shared" si="5"/>
        <v/>
      </c>
      <c r="D773" s="92"/>
      <c r="E773" s="92"/>
      <c r="F773" s="93"/>
      <c r="G773" s="92"/>
      <c r="H773" s="94"/>
      <c r="I773" s="94"/>
      <c r="J773" s="93" t="str">
        <f>IFERROR(__xludf.DUMMYFUNCTION("""COMPUTED_VALUE"""),"#N/A")</f>
        <v>#N/A</v>
      </c>
      <c r="K773" s="100"/>
      <c r="L773" s="101"/>
      <c r="M773" s="100"/>
      <c r="N773" s="94"/>
      <c r="O773" s="93"/>
      <c r="P773"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73" s="99"/>
    </row>
    <row r="774" ht="13.5" customHeight="1">
      <c r="A774" s="88"/>
      <c r="B774" s="88"/>
      <c r="C774" s="90" t="str">
        <f t="shared" si="5"/>
        <v/>
      </c>
      <c r="D774" s="92"/>
      <c r="E774" s="92"/>
      <c r="F774" s="93"/>
      <c r="G774" s="92"/>
      <c r="H774" s="94"/>
      <c r="I774" s="94"/>
      <c r="J774" s="93" t="str">
        <f>IFERROR(__xludf.DUMMYFUNCTION("""COMPUTED_VALUE"""),"#N/A")</f>
        <v>#N/A</v>
      </c>
      <c r="K774" s="100"/>
      <c r="L774" s="101"/>
      <c r="M774" s="100"/>
      <c r="N774" s="94"/>
      <c r="O774" s="93"/>
      <c r="P774" s="98" t="str">
        <f>IFERROR(__xludf.DUMMYFUNCTION("IFERROR(
IMAGE( ""https://drive.google.com/uc?export=download&amp;id=""&amp;MID( IMPORTRANGE(""18RaQw448NnENcNftounuam8eQyPVXS6StgZUz-RLzHA"",""'UTA Cat Coalition Membership Application'!L""&amp;ROW()-2) ,(FIND(""="", IMPORTRANGE(""18RaQw448NnENcNftounuam8eQyPVXS6St"&amp;"gZUz-RLzHA"",""'UTA Cat Coalition Membership Application'!L""&amp;ROW()-2) ))+1,LEN( IMPORTRANGE(""18RaQw448NnENcNftounuam8eQyPVXS6StgZUz-RLzHA"",""'UTA Cat Coalition Membership Application'!L""&amp;ROW()-2) )-FIND(""="", IMPORTRANGE(""18RaQw448NnENcNftounuam8eQy"&amp;"PVXS6StgZUz-RLzHA"",""'UTA Cat Coalition Membership Application'!L""&amp;ROW()-2) )),1 )
, """")"),"")</f>
        <v/>
      </c>
      <c r="Q774" s="99"/>
    </row>
    <row r="775" ht="13.5" customHeight="1">
      <c r="A775" s="88"/>
      <c r="B775" s="88"/>
      <c r="C775" s="90" t="str">
        <f t="shared" si="5"/>
        <v/>
      </c>
      <c r="D775" s="92"/>
      <c r="E775" s="92"/>
      <c r="F775" s="93"/>
      <c r="G775" s="92"/>
      <c r="H775" s="94"/>
      <c r="I775" s="94"/>
      <c r="J775" s="93" t="str">
        <f>IFERROR(__xludf.DUMMYFUNCTION("""COMPUTED_VALUE"""),"#N/A")</f>
        <v>#N/A</v>
      </c>
      <c r="K775" s="100"/>
      <c r="L775" s="101"/>
      <c r="M775" s="100"/>
      <c r="N775" s="94"/>
      <c r="O775" s="93"/>
      <c r="P775" s="180"/>
      <c r="Q775" s="99"/>
    </row>
    <row r="776" ht="13.5" customHeight="1">
      <c r="A776" s="88"/>
      <c r="B776" s="88"/>
      <c r="C776" s="90" t="str">
        <f t="shared" si="5"/>
        <v/>
      </c>
      <c r="D776" s="92"/>
      <c r="E776" s="92"/>
      <c r="F776" s="93"/>
      <c r="G776" s="92"/>
      <c r="H776" s="94"/>
      <c r="I776" s="94"/>
      <c r="J776" s="93" t="str">
        <f>IFERROR(__xludf.DUMMYFUNCTION("""COMPUTED_VALUE"""),"#N/A")</f>
        <v>#N/A</v>
      </c>
      <c r="K776" s="100"/>
      <c r="L776" s="101"/>
      <c r="M776" s="100"/>
      <c r="N776" s="94"/>
      <c r="O776" s="93"/>
      <c r="P776" s="180"/>
      <c r="Q776" s="99"/>
    </row>
    <row r="777" ht="13.5" customHeight="1">
      <c r="A777" s="88"/>
      <c r="B777" s="88"/>
      <c r="C777" s="90" t="str">
        <f t="shared" si="5"/>
        <v/>
      </c>
      <c r="D777" s="92"/>
      <c r="E777" s="92"/>
      <c r="F777" s="93"/>
      <c r="G777" s="92"/>
      <c r="H777" s="94"/>
      <c r="I777" s="94"/>
      <c r="J777" s="93" t="str">
        <f>IFERROR(__xludf.DUMMYFUNCTION("""COMPUTED_VALUE"""),"#N/A")</f>
        <v>#N/A</v>
      </c>
      <c r="K777" s="100"/>
      <c r="L777" s="101"/>
      <c r="M777" s="100"/>
      <c r="N777" s="94"/>
      <c r="O777" s="93"/>
      <c r="P777" s="180"/>
      <c r="Q777" s="99"/>
    </row>
    <row r="778" ht="13.5" customHeight="1">
      <c r="A778" s="88"/>
      <c r="B778" s="88"/>
      <c r="C778" s="90" t="str">
        <f t="shared" si="5"/>
        <v/>
      </c>
      <c r="D778" s="92"/>
      <c r="E778" s="92"/>
      <c r="F778" s="93"/>
      <c r="G778" s="92"/>
      <c r="H778" s="94"/>
      <c r="I778" s="94"/>
      <c r="J778" s="93" t="str">
        <f>IFERROR(__xludf.DUMMYFUNCTION("""COMPUTED_VALUE"""),"#N/A")</f>
        <v>#N/A</v>
      </c>
      <c r="K778" s="100"/>
      <c r="L778" s="101"/>
      <c r="M778" s="100"/>
      <c r="N778" s="94"/>
      <c r="O778" s="93"/>
      <c r="P778" s="180"/>
      <c r="Q778" s="99"/>
    </row>
    <row r="779" ht="13.5" customHeight="1">
      <c r="A779" s="88"/>
      <c r="B779" s="88"/>
      <c r="C779" s="90" t="str">
        <f t="shared" si="5"/>
        <v/>
      </c>
      <c r="D779" s="92"/>
      <c r="E779" s="92"/>
      <c r="F779" s="93"/>
      <c r="G779" s="92"/>
      <c r="H779" s="94"/>
      <c r="I779" s="94"/>
      <c r="J779" s="93" t="str">
        <f>IFERROR(__xludf.DUMMYFUNCTION("""COMPUTED_VALUE"""),"#N/A")</f>
        <v>#N/A</v>
      </c>
      <c r="K779" s="100"/>
      <c r="L779" s="101"/>
      <c r="M779" s="100"/>
      <c r="N779" s="94"/>
      <c r="O779" s="93"/>
      <c r="P779" s="180"/>
      <c r="Q779" s="99"/>
    </row>
    <row r="780" ht="13.5" customHeight="1">
      <c r="A780" s="88"/>
      <c r="B780" s="88"/>
      <c r="C780" s="90" t="str">
        <f t="shared" si="5"/>
        <v/>
      </c>
      <c r="D780" s="92"/>
      <c r="E780" s="92"/>
      <c r="F780" s="93"/>
      <c r="G780" s="92"/>
      <c r="H780" s="94"/>
      <c r="I780" s="94"/>
      <c r="J780" s="93" t="str">
        <f>IFERROR(__xludf.DUMMYFUNCTION("""COMPUTED_VALUE"""),"#N/A")</f>
        <v>#N/A</v>
      </c>
      <c r="K780" s="100"/>
      <c r="L780" s="101"/>
      <c r="M780" s="100"/>
      <c r="N780" s="94"/>
      <c r="O780" s="93"/>
      <c r="P780" s="180"/>
      <c r="Q780" s="99"/>
    </row>
    <row r="781" ht="13.5" customHeight="1">
      <c r="A781" s="88"/>
      <c r="B781" s="88"/>
      <c r="C781" s="90" t="str">
        <f t="shared" si="5"/>
        <v/>
      </c>
      <c r="D781" s="92"/>
      <c r="E781" s="92"/>
      <c r="F781" s="93"/>
      <c r="G781" s="92"/>
      <c r="H781" s="94"/>
      <c r="I781" s="94"/>
      <c r="J781" s="93" t="str">
        <f>IFERROR(__xludf.DUMMYFUNCTION("""COMPUTED_VALUE"""),"#N/A")</f>
        <v>#N/A</v>
      </c>
      <c r="K781" s="100"/>
      <c r="L781" s="101"/>
      <c r="M781" s="100"/>
      <c r="N781" s="94"/>
      <c r="O781" s="93"/>
      <c r="P781" s="180"/>
      <c r="Q781" s="99"/>
    </row>
    <row r="782" ht="13.5" customHeight="1">
      <c r="A782" s="88"/>
      <c r="B782" s="88"/>
      <c r="C782" s="90" t="str">
        <f t="shared" si="5"/>
        <v/>
      </c>
      <c r="D782" s="92"/>
      <c r="E782" s="92"/>
      <c r="F782" s="93"/>
      <c r="G782" s="92"/>
      <c r="H782" s="94"/>
      <c r="I782" s="94"/>
      <c r="J782" s="93" t="str">
        <f>IFERROR(__xludf.DUMMYFUNCTION("""COMPUTED_VALUE"""),"#N/A")</f>
        <v>#N/A</v>
      </c>
      <c r="K782" s="100"/>
      <c r="L782" s="101"/>
      <c r="M782" s="100"/>
      <c r="N782" s="94"/>
      <c r="O782" s="93"/>
      <c r="P782" s="180"/>
      <c r="Q782" s="99"/>
    </row>
    <row r="783" ht="13.5" customHeight="1">
      <c r="A783" s="88"/>
      <c r="B783" s="88"/>
      <c r="C783" s="90" t="str">
        <f t="shared" si="5"/>
        <v/>
      </c>
      <c r="D783" s="92"/>
      <c r="E783" s="92"/>
      <c r="F783" s="93"/>
      <c r="G783" s="92"/>
      <c r="H783" s="94"/>
      <c r="I783" s="94"/>
      <c r="J783" s="93" t="str">
        <f>IFERROR(__xludf.DUMMYFUNCTION("""COMPUTED_VALUE"""),"#N/A")</f>
        <v>#N/A</v>
      </c>
      <c r="K783" s="100"/>
      <c r="L783" s="101"/>
      <c r="M783" s="100"/>
      <c r="N783" s="94"/>
      <c r="O783" s="93"/>
      <c r="P783" s="180"/>
      <c r="Q783" s="99"/>
    </row>
    <row r="784" ht="13.5" customHeight="1">
      <c r="A784" s="88"/>
      <c r="B784" s="88"/>
      <c r="C784" s="90" t="str">
        <f t="shared" si="5"/>
        <v/>
      </c>
      <c r="D784" s="92"/>
      <c r="E784" s="92"/>
      <c r="F784" s="93"/>
      <c r="G784" s="92"/>
      <c r="H784" s="94"/>
      <c r="I784" s="94"/>
      <c r="J784" s="93" t="str">
        <f>IFERROR(__xludf.DUMMYFUNCTION("""COMPUTED_VALUE"""),"#N/A")</f>
        <v>#N/A</v>
      </c>
      <c r="K784" s="100"/>
      <c r="L784" s="101"/>
      <c r="M784" s="100"/>
      <c r="N784" s="94"/>
      <c r="O784" s="93"/>
      <c r="P784" s="180"/>
      <c r="Q784" s="99"/>
    </row>
    <row r="785" ht="13.5" customHeight="1">
      <c r="A785" s="88"/>
      <c r="B785" s="88"/>
      <c r="C785" s="90" t="str">
        <f t="shared" si="5"/>
        <v/>
      </c>
      <c r="D785" s="92"/>
      <c r="E785" s="92"/>
      <c r="F785" s="93"/>
      <c r="G785" s="92"/>
      <c r="H785" s="94"/>
      <c r="I785" s="94"/>
      <c r="J785" s="93" t="str">
        <f>IFERROR(__xludf.DUMMYFUNCTION("""COMPUTED_VALUE"""),"#N/A")</f>
        <v>#N/A</v>
      </c>
      <c r="K785" s="100"/>
      <c r="L785" s="101"/>
      <c r="M785" s="100"/>
      <c r="N785" s="94"/>
      <c r="O785" s="93"/>
      <c r="P785" s="180"/>
      <c r="Q785" s="99"/>
    </row>
    <row r="786" ht="13.5" customHeight="1">
      <c r="A786" s="88"/>
      <c r="B786" s="88"/>
      <c r="C786" s="90" t="str">
        <f t="shared" si="5"/>
        <v/>
      </c>
      <c r="D786" s="92"/>
      <c r="E786" s="92"/>
      <c r="F786" s="93"/>
      <c r="G786" s="92"/>
      <c r="H786" s="94"/>
      <c r="I786" s="94"/>
      <c r="J786" s="93" t="str">
        <f>IFERROR(__xludf.DUMMYFUNCTION("""COMPUTED_VALUE"""),"#N/A")</f>
        <v>#N/A</v>
      </c>
      <c r="K786" s="100"/>
      <c r="L786" s="101"/>
      <c r="M786" s="100"/>
      <c r="N786" s="94"/>
      <c r="O786" s="93"/>
      <c r="P786" s="180"/>
      <c r="Q786" s="99"/>
    </row>
    <row r="787" ht="13.5" customHeight="1">
      <c r="A787" s="88"/>
      <c r="B787" s="88"/>
      <c r="C787" s="90" t="str">
        <f t="shared" si="5"/>
        <v/>
      </c>
      <c r="D787" s="92"/>
      <c r="E787" s="92"/>
      <c r="F787" s="93"/>
      <c r="G787" s="92"/>
      <c r="H787" s="94"/>
      <c r="I787" s="94"/>
      <c r="J787" s="93" t="str">
        <f>IFERROR(__xludf.DUMMYFUNCTION("""COMPUTED_VALUE"""),"#N/A")</f>
        <v>#N/A</v>
      </c>
      <c r="K787" s="100"/>
      <c r="L787" s="101"/>
      <c r="M787" s="100"/>
      <c r="N787" s="94"/>
      <c r="O787" s="93"/>
      <c r="P787" s="180"/>
      <c r="Q787" s="99"/>
    </row>
    <row r="788" ht="13.5" customHeight="1">
      <c r="A788" s="88"/>
      <c r="B788" s="88"/>
      <c r="C788" s="90" t="str">
        <f t="shared" si="5"/>
        <v/>
      </c>
      <c r="D788" s="92"/>
      <c r="E788" s="92"/>
      <c r="F788" s="93"/>
      <c r="G788" s="92"/>
      <c r="H788" s="94"/>
      <c r="I788" s="94"/>
      <c r="J788" s="93" t="str">
        <f>IFERROR(__xludf.DUMMYFUNCTION("""COMPUTED_VALUE"""),"#N/A")</f>
        <v>#N/A</v>
      </c>
      <c r="K788" s="100"/>
      <c r="L788" s="101"/>
      <c r="M788" s="100"/>
      <c r="N788" s="94"/>
      <c r="O788" s="93"/>
      <c r="P788" s="180"/>
      <c r="Q788" s="99"/>
    </row>
    <row r="789" ht="13.5" customHeight="1">
      <c r="A789" s="88"/>
      <c r="B789" s="88"/>
      <c r="C789" s="90" t="str">
        <f t="shared" si="5"/>
        <v/>
      </c>
      <c r="D789" s="92"/>
      <c r="E789" s="92"/>
      <c r="F789" s="93"/>
      <c r="G789" s="92"/>
      <c r="H789" s="94"/>
      <c r="I789" s="94"/>
      <c r="J789" s="93" t="str">
        <f>IFERROR(__xludf.DUMMYFUNCTION("""COMPUTED_VALUE"""),"#N/A")</f>
        <v>#N/A</v>
      </c>
      <c r="K789" s="100"/>
      <c r="L789" s="101"/>
      <c r="M789" s="100"/>
      <c r="N789" s="94"/>
      <c r="O789" s="93"/>
      <c r="P789" s="180"/>
      <c r="Q789" s="99"/>
    </row>
    <row r="790" ht="13.5" customHeight="1">
      <c r="A790" s="88"/>
      <c r="B790" s="88"/>
      <c r="C790" s="90" t="str">
        <f t="shared" si="5"/>
        <v/>
      </c>
      <c r="D790" s="92"/>
      <c r="E790" s="92"/>
      <c r="F790" s="93"/>
      <c r="G790" s="92"/>
      <c r="H790" s="94"/>
      <c r="I790" s="94"/>
      <c r="J790" s="93" t="str">
        <f>IFERROR(__xludf.DUMMYFUNCTION("""COMPUTED_VALUE"""),"#N/A")</f>
        <v>#N/A</v>
      </c>
      <c r="K790" s="100"/>
      <c r="L790" s="101"/>
      <c r="M790" s="100"/>
      <c r="N790" s="94"/>
      <c r="O790" s="93"/>
      <c r="P790" s="180"/>
      <c r="Q790" s="99"/>
    </row>
    <row r="791" ht="13.5" customHeight="1">
      <c r="A791" s="88"/>
      <c r="B791" s="88"/>
      <c r="C791" s="90" t="str">
        <f t="shared" si="5"/>
        <v/>
      </c>
      <c r="D791" s="92"/>
      <c r="E791" s="92"/>
      <c r="F791" s="93"/>
      <c r="G791" s="92"/>
      <c r="H791" s="94"/>
      <c r="I791" s="94"/>
      <c r="J791" s="93" t="str">
        <f>IFERROR(__xludf.DUMMYFUNCTION("""COMPUTED_VALUE"""),"#N/A")</f>
        <v>#N/A</v>
      </c>
      <c r="K791" s="100"/>
      <c r="L791" s="101"/>
      <c r="M791" s="100"/>
      <c r="N791" s="94"/>
      <c r="O791" s="93"/>
      <c r="P791" s="180"/>
      <c r="Q791" s="99"/>
    </row>
    <row r="792" ht="13.5" customHeight="1">
      <c r="A792" s="88"/>
      <c r="B792" s="88"/>
      <c r="C792" s="90" t="str">
        <f t="shared" si="5"/>
        <v/>
      </c>
      <c r="D792" s="92"/>
      <c r="E792" s="92"/>
      <c r="F792" s="93"/>
      <c r="G792" s="92"/>
      <c r="H792" s="94"/>
      <c r="I792" s="94"/>
      <c r="J792" s="93" t="str">
        <f>IFERROR(__xludf.DUMMYFUNCTION("""COMPUTED_VALUE"""),"#N/A")</f>
        <v>#N/A</v>
      </c>
      <c r="K792" s="100"/>
      <c r="L792" s="101"/>
      <c r="M792" s="100"/>
      <c r="N792" s="94"/>
      <c r="O792" s="93"/>
      <c r="P792" s="180"/>
      <c r="Q792" s="99"/>
    </row>
    <row r="793" ht="13.5" customHeight="1">
      <c r="A793" s="88"/>
      <c r="B793" s="88"/>
      <c r="C793" s="90" t="str">
        <f t="shared" si="5"/>
        <v/>
      </c>
      <c r="D793" s="92"/>
      <c r="E793" s="92"/>
      <c r="F793" s="93"/>
      <c r="G793" s="92"/>
      <c r="H793" s="94"/>
      <c r="I793" s="94"/>
      <c r="J793" s="93" t="str">
        <f>IFERROR(__xludf.DUMMYFUNCTION("""COMPUTED_VALUE"""),"#N/A")</f>
        <v>#N/A</v>
      </c>
      <c r="K793" s="100"/>
      <c r="L793" s="101"/>
      <c r="M793" s="100"/>
      <c r="N793" s="94"/>
      <c r="O793" s="93"/>
      <c r="P793" s="180"/>
      <c r="Q793" s="99"/>
    </row>
    <row r="794" ht="13.5" customHeight="1">
      <c r="A794" s="88"/>
      <c r="B794" s="88"/>
      <c r="C794" s="90" t="str">
        <f t="shared" si="5"/>
        <v/>
      </c>
      <c r="D794" s="92"/>
      <c r="E794" s="92"/>
      <c r="F794" s="93"/>
      <c r="G794" s="92"/>
      <c r="H794" s="94"/>
      <c r="I794" s="94"/>
      <c r="J794" s="93" t="str">
        <f>IFERROR(__xludf.DUMMYFUNCTION("""COMPUTED_VALUE"""),"#N/A")</f>
        <v>#N/A</v>
      </c>
      <c r="K794" s="100"/>
      <c r="L794" s="101"/>
      <c r="M794" s="100"/>
      <c r="N794" s="94"/>
      <c r="O794" s="93"/>
      <c r="P794" s="180"/>
      <c r="Q794" s="99"/>
    </row>
    <row r="795" ht="13.5" customHeight="1">
      <c r="A795" s="88"/>
      <c r="B795" s="88"/>
      <c r="C795" s="90"/>
      <c r="D795" s="92"/>
      <c r="E795" s="92"/>
      <c r="F795" s="93"/>
      <c r="G795" s="92"/>
      <c r="H795" s="94"/>
      <c r="I795" s="94"/>
      <c r="J795" s="93" t="str">
        <f>IFERROR(__xludf.DUMMYFUNCTION("""COMPUTED_VALUE"""),"#N/A")</f>
        <v>#N/A</v>
      </c>
      <c r="K795" s="100"/>
      <c r="L795" s="101"/>
      <c r="M795" s="100"/>
      <c r="N795" s="94"/>
      <c r="O795" s="93"/>
      <c r="P795" s="180"/>
      <c r="Q795" s="99"/>
    </row>
    <row r="796" ht="13.5" customHeight="1">
      <c r="A796" s="88"/>
      <c r="B796" s="88"/>
      <c r="C796" s="90"/>
      <c r="D796" s="92"/>
      <c r="E796" s="92"/>
      <c r="F796" s="93"/>
      <c r="G796" s="92"/>
      <c r="H796" s="94"/>
      <c r="I796" s="94"/>
      <c r="J796" s="93" t="str">
        <f>IFERROR(__xludf.DUMMYFUNCTION("""COMPUTED_VALUE"""),"#N/A")</f>
        <v>#N/A</v>
      </c>
      <c r="K796" s="100"/>
      <c r="L796" s="101"/>
      <c r="M796" s="100"/>
      <c r="N796" s="94"/>
      <c r="O796" s="93"/>
      <c r="P796" s="180"/>
      <c r="Q796" s="99"/>
    </row>
    <row r="797" ht="13.5" customHeight="1">
      <c r="A797" s="88"/>
      <c r="B797" s="88"/>
      <c r="C797" s="90"/>
      <c r="D797" s="92"/>
      <c r="E797" s="92"/>
      <c r="F797" s="93"/>
      <c r="G797" s="92"/>
      <c r="H797" s="94"/>
      <c r="I797" s="94"/>
      <c r="J797" s="93" t="str">
        <f>IFERROR(__xludf.DUMMYFUNCTION("""COMPUTED_VALUE"""),"#N/A")</f>
        <v>#N/A</v>
      </c>
      <c r="K797" s="100"/>
      <c r="L797" s="101"/>
      <c r="M797" s="100"/>
      <c r="N797" s="94"/>
      <c r="O797" s="93"/>
      <c r="P797" s="180"/>
      <c r="Q797" s="99"/>
    </row>
    <row r="798" ht="13.5" customHeight="1">
      <c r="A798" s="88"/>
      <c r="B798" s="88"/>
      <c r="C798" s="90"/>
      <c r="D798" s="92"/>
      <c r="E798" s="92"/>
      <c r="F798" s="93"/>
      <c r="G798" s="92"/>
      <c r="H798" s="94"/>
      <c r="I798" s="94"/>
      <c r="J798" s="93" t="str">
        <f>IFERROR(__xludf.DUMMYFUNCTION("""COMPUTED_VALUE"""),"#N/A")</f>
        <v>#N/A</v>
      </c>
      <c r="K798" s="100"/>
      <c r="L798" s="101"/>
      <c r="M798" s="100"/>
      <c r="N798" s="94"/>
      <c r="O798" s="93"/>
      <c r="P798" s="180"/>
      <c r="Q798" s="99"/>
    </row>
    <row r="799" ht="13.5" customHeight="1">
      <c r="A799" s="88"/>
      <c r="B799" s="88"/>
      <c r="C799" s="90"/>
      <c r="D799" s="92"/>
      <c r="E799" s="92"/>
      <c r="F799" s="93"/>
      <c r="G799" s="92"/>
      <c r="H799" s="94"/>
      <c r="I799" s="94"/>
      <c r="J799" s="93" t="str">
        <f>IFERROR(__xludf.DUMMYFUNCTION("""COMPUTED_VALUE"""),"#N/A")</f>
        <v>#N/A</v>
      </c>
      <c r="K799" s="100"/>
      <c r="L799" s="101"/>
      <c r="M799" s="100"/>
      <c r="N799" s="94"/>
      <c r="O799" s="93"/>
      <c r="P799" s="180"/>
      <c r="Q799" s="99"/>
    </row>
    <row r="800" ht="13.5" customHeight="1">
      <c r="A800" s="88"/>
      <c r="B800" s="88"/>
      <c r="C800" s="90"/>
      <c r="D800" s="92"/>
      <c r="E800" s="92"/>
      <c r="F800" s="93"/>
      <c r="G800" s="92"/>
      <c r="H800" s="94"/>
      <c r="I800" s="94"/>
      <c r="J800" s="93" t="str">
        <f>IFERROR(__xludf.DUMMYFUNCTION("""COMPUTED_VALUE"""),"#N/A")</f>
        <v>#N/A</v>
      </c>
      <c r="K800" s="100"/>
      <c r="L800" s="101"/>
      <c r="M800" s="100"/>
      <c r="N800" s="94"/>
      <c r="O800" s="93"/>
      <c r="P800" s="180"/>
      <c r="Q800" s="99"/>
    </row>
    <row r="801" ht="13.5" customHeight="1">
      <c r="A801" s="88"/>
      <c r="B801" s="88"/>
      <c r="C801" s="90"/>
      <c r="D801" s="92"/>
      <c r="E801" s="92"/>
      <c r="F801" s="93"/>
      <c r="G801" s="92"/>
      <c r="H801" s="94"/>
      <c r="I801" s="94"/>
      <c r="J801" s="93" t="str">
        <f>IFERROR(__xludf.DUMMYFUNCTION("""COMPUTED_VALUE"""),"#N/A")</f>
        <v>#N/A</v>
      </c>
      <c r="K801" s="100"/>
      <c r="L801" s="101"/>
      <c r="M801" s="100"/>
      <c r="N801" s="94"/>
      <c r="O801" s="93"/>
      <c r="P801" s="180"/>
      <c r="Q801" s="99"/>
    </row>
    <row r="802" ht="13.5" customHeight="1">
      <c r="A802" s="88"/>
      <c r="B802" s="88"/>
      <c r="C802" s="90"/>
      <c r="D802" s="92"/>
      <c r="E802" s="92"/>
      <c r="F802" s="93"/>
      <c r="G802" s="92"/>
      <c r="H802" s="94"/>
      <c r="I802" s="94"/>
      <c r="J802" s="93" t="str">
        <f>IFERROR(__xludf.DUMMYFUNCTION("""COMPUTED_VALUE"""),"#N/A")</f>
        <v>#N/A</v>
      </c>
      <c r="K802" s="100"/>
      <c r="L802" s="101"/>
      <c r="M802" s="100"/>
      <c r="N802" s="94"/>
      <c r="O802" s="93"/>
      <c r="P802" s="180"/>
      <c r="Q802" s="99"/>
    </row>
    <row r="803" ht="13.5" customHeight="1">
      <c r="A803" s="88"/>
      <c r="B803" s="88"/>
      <c r="C803" s="90"/>
      <c r="D803" s="92"/>
      <c r="E803" s="92"/>
      <c r="F803" s="93"/>
      <c r="G803" s="92"/>
      <c r="H803" s="94"/>
      <c r="I803" s="94"/>
      <c r="J803" s="93" t="str">
        <f>IFERROR(__xludf.DUMMYFUNCTION("""COMPUTED_VALUE"""),"#N/A")</f>
        <v>#N/A</v>
      </c>
      <c r="K803" s="100"/>
      <c r="L803" s="101"/>
      <c r="M803" s="100"/>
      <c r="N803" s="94"/>
      <c r="O803" s="93"/>
      <c r="P803" s="180"/>
      <c r="Q803" s="99"/>
    </row>
    <row r="804" ht="13.5" customHeight="1">
      <c r="A804" s="88"/>
      <c r="B804" s="88"/>
      <c r="C804" s="90"/>
      <c r="D804" s="92"/>
      <c r="E804" s="92"/>
      <c r="F804" s="93"/>
      <c r="G804" s="92"/>
      <c r="H804" s="94"/>
      <c r="I804" s="94"/>
      <c r="J804" s="93" t="str">
        <f>IFERROR(__xludf.DUMMYFUNCTION("""COMPUTED_VALUE"""),"#N/A")</f>
        <v>#N/A</v>
      </c>
      <c r="K804" s="100"/>
      <c r="L804" s="101"/>
      <c r="M804" s="100"/>
      <c r="N804" s="94"/>
      <c r="O804" s="93"/>
      <c r="P804" s="180"/>
      <c r="Q804" s="99"/>
    </row>
    <row r="805" ht="13.5" customHeight="1">
      <c r="A805" s="88"/>
      <c r="B805" s="88"/>
      <c r="C805" s="90"/>
      <c r="D805" s="92"/>
      <c r="E805" s="92"/>
      <c r="F805" s="93"/>
      <c r="G805" s="92"/>
      <c r="H805" s="94"/>
      <c r="I805" s="94"/>
      <c r="J805" s="93" t="str">
        <f>IFERROR(__xludf.DUMMYFUNCTION("""COMPUTED_VALUE"""),"#N/A")</f>
        <v>#N/A</v>
      </c>
      <c r="K805" s="100"/>
      <c r="L805" s="101"/>
      <c r="M805" s="100"/>
      <c r="N805" s="94"/>
      <c r="O805" s="93"/>
      <c r="P805" s="180"/>
      <c r="Q805" s="99"/>
    </row>
    <row r="806" ht="13.5" customHeight="1">
      <c r="A806" s="88"/>
      <c r="B806" s="88"/>
      <c r="C806" s="90"/>
      <c r="D806" s="92"/>
      <c r="E806" s="92"/>
      <c r="F806" s="93"/>
      <c r="G806" s="92"/>
      <c r="H806" s="94"/>
      <c r="I806" s="94"/>
      <c r="J806" s="93" t="str">
        <f>IFERROR(__xludf.DUMMYFUNCTION("""COMPUTED_VALUE"""),"#N/A")</f>
        <v>#N/A</v>
      </c>
      <c r="K806" s="100"/>
      <c r="L806" s="101"/>
      <c r="M806" s="100"/>
      <c r="N806" s="94"/>
      <c r="O806" s="93"/>
      <c r="P806" s="180"/>
      <c r="Q806" s="99"/>
    </row>
    <row r="807" ht="13.5" customHeight="1">
      <c r="A807" s="88"/>
      <c r="B807" s="88"/>
      <c r="C807" s="90"/>
      <c r="D807" s="92"/>
      <c r="E807" s="92"/>
      <c r="F807" s="93"/>
      <c r="G807" s="92"/>
      <c r="H807" s="94"/>
      <c r="I807" s="94"/>
      <c r="J807" s="93" t="str">
        <f>IFERROR(__xludf.DUMMYFUNCTION("""COMPUTED_VALUE"""),"#N/A")</f>
        <v>#N/A</v>
      </c>
      <c r="K807" s="100"/>
      <c r="L807" s="101"/>
      <c r="M807" s="100"/>
      <c r="N807" s="94"/>
      <c r="O807" s="93"/>
      <c r="P807" s="180"/>
      <c r="Q807" s="99"/>
    </row>
    <row r="808" ht="13.5" customHeight="1">
      <c r="A808" s="88"/>
      <c r="B808" s="88"/>
      <c r="C808" s="90"/>
      <c r="D808" s="92"/>
      <c r="E808" s="92"/>
      <c r="F808" s="93"/>
      <c r="G808" s="92"/>
      <c r="H808" s="94"/>
      <c r="I808" s="94"/>
      <c r="J808" s="93" t="str">
        <f>IFERROR(__xludf.DUMMYFUNCTION("""COMPUTED_VALUE"""),"#N/A")</f>
        <v>#N/A</v>
      </c>
      <c r="K808" s="100"/>
      <c r="L808" s="101"/>
      <c r="M808" s="100"/>
      <c r="N808" s="94"/>
      <c r="O808" s="93"/>
      <c r="P808" s="180"/>
      <c r="Q808" s="99"/>
    </row>
    <row r="809" ht="13.5" customHeight="1">
      <c r="A809" s="88"/>
      <c r="B809" s="88"/>
      <c r="C809" s="90"/>
      <c r="D809" s="92"/>
      <c r="E809" s="92"/>
      <c r="F809" s="93"/>
      <c r="G809" s="92"/>
      <c r="H809" s="94"/>
      <c r="I809" s="94"/>
      <c r="J809" s="93" t="str">
        <f>IFERROR(__xludf.DUMMYFUNCTION("""COMPUTED_VALUE"""),"#N/A")</f>
        <v>#N/A</v>
      </c>
      <c r="K809" s="100"/>
      <c r="L809" s="101"/>
      <c r="M809" s="100"/>
      <c r="N809" s="94"/>
      <c r="O809" s="93"/>
      <c r="P809" s="180"/>
      <c r="Q809" s="99"/>
    </row>
    <row r="810" ht="13.5" customHeight="1">
      <c r="A810" s="88"/>
      <c r="B810" s="88"/>
      <c r="C810" s="90"/>
      <c r="D810" s="92"/>
      <c r="E810" s="92"/>
      <c r="F810" s="93"/>
      <c r="G810" s="92"/>
      <c r="H810" s="94"/>
      <c r="I810" s="94"/>
      <c r="J810" s="93" t="str">
        <f>IFERROR(__xludf.DUMMYFUNCTION("""COMPUTED_VALUE"""),"#N/A")</f>
        <v>#N/A</v>
      </c>
      <c r="K810" s="100"/>
      <c r="L810" s="101"/>
      <c r="M810" s="100"/>
      <c r="N810" s="94"/>
      <c r="O810" s="93"/>
      <c r="P810" s="180"/>
      <c r="Q810" s="99"/>
    </row>
    <row r="811" ht="13.5" customHeight="1">
      <c r="A811" s="88"/>
      <c r="B811" s="88"/>
      <c r="C811" s="90"/>
      <c r="D811" s="92"/>
      <c r="E811" s="92"/>
      <c r="F811" s="93"/>
      <c r="G811" s="92"/>
      <c r="H811" s="94"/>
      <c r="I811" s="94"/>
      <c r="J811" s="93" t="str">
        <f>IFERROR(__xludf.DUMMYFUNCTION("""COMPUTED_VALUE"""),"#N/A")</f>
        <v>#N/A</v>
      </c>
      <c r="K811" s="100"/>
      <c r="L811" s="101"/>
      <c r="M811" s="100"/>
      <c r="N811" s="94"/>
      <c r="O811" s="93"/>
      <c r="P811" s="180"/>
      <c r="Q811" s="99"/>
    </row>
    <row r="812" ht="13.5" customHeight="1">
      <c r="A812" s="88"/>
      <c r="B812" s="88"/>
      <c r="C812" s="90"/>
      <c r="D812" s="92"/>
      <c r="E812" s="92"/>
      <c r="F812" s="93"/>
      <c r="G812" s="92"/>
      <c r="H812" s="94"/>
      <c r="I812" s="94"/>
      <c r="J812" s="93" t="str">
        <f>IFERROR(__xludf.DUMMYFUNCTION("""COMPUTED_VALUE"""),"#N/A")</f>
        <v>#N/A</v>
      </c>
      <c r="K812" s="100"/>
      <c r="L812" s="101"/>
      <c r="M812" s="100"/>
      <c r="N812" s="94"/>
      <c r="O812" s="93"/>
      <c r="P812" s="180"/>
      <c r="Q812" s="99"/>
    </row>
    <row r="813" ht="13.5" customHeight="1">
      <c r="A813" s="88"/>
      <c r="B813" s="88"/>
      <c r="C813" s="90"/>
      <c r="D813" s="92"/>
      <c r="E813" s="92"/>
      <c r="F813" s="93"/>
      <c r="G813" s="92"/>
      <c r="H813" s="94"/>
      <c r="I813" s="94"/>
      <c r="J813" s="93" t="str">
        <f>IFERROR(__xludf.DUMMYFUNCTION("""COMPUTED_VALUE"""),"#N/A")</f>
        <v>#N/A</v>
      </c>
      <c r="K813" s="100"/>
      <c r="L813" s="101"/>
      <c r="M813" s="100"/>
      <c r="N813" s="94"/>
      <c r="O813" s="93"/>
      <c r="P813" s="180"/>
      <c r="Q813" s="99"/>
    </row>
    <row r="814" ht="13.5" customHeight="1">
      <c r="A814" s="88"/>
      <c r="B814" s="88"/>
      <c r="C814" s="90"/>
      <c r="D814" s="92"/>
      <c r="E814" s="92"/>
      <c r="F814" s="93"/>
      <c r="G814" s="92"/>
      <c r="H814" s="94"/>
      <c r="I814" s="94"/>
      <c r="J814" s="93" t="str">
        <f>IFERROR(__xludf.DUMMYFUNCTION("""COMPUTED_VALUE"""),"#N/A")</f>
        <v>#N/A</v>
      </c>
      <c r="K814" s="100"/>
      <c r="L814" s="101"/>
      <c r="M814" s="100"/>
      <c r="N814" s="94"/>
      <c r="O814" s="93"/>
      <c r="P814" s="180"/>
      <c r="Q814" s="99"/>
    </row>
    <row r="815" ht="13.5" customHeight="1">
      <c r="A815" s="88"/>
      <c r="B815" s="88"/>
      <c r="C815" s="90"/>
      <c r="D815" s="92"/>
      <c r="E815" s="92"/>
      <c r="F815" s="93"/>
      <c r="G815" s="92"/>
      <c r="H815" s="94"/>
      <c r="I815" s="94"/>
      <c r="J815" s="93" t="str">
        <f>IFERROR(__xludf.DUMMYFUNCTION("""COMPUTED_VALUE"""),"#N/A")</f>
        <v>#N/A</v>
      </c>
      <c r="K815" s="100"/>
      <c r="L815" s="101"/>
      <c r="M815" s="100"/>
      <c r="N815" s="94"/>
      <c r="O815" s="93"/>
      <c r="P815" s="180"/>
      <c r="Q815" s="99"/>
    </row>
    <row r="816" ht="13.5" customHeight="1">
      <c r="A816" s="88"/>
      <c r="B816" s="88"/>
      <c r="C816" s="90"/>
      <c r="D816" s="92"/>
      <c r="E816" s="92"/>
      <c r="F816" s="93"/>
      <c r="G816" s="92"/>
      <c r="H816" s="94"/>
      <c r="I816" s="94"/>
      <c r="J816" s="93" t="str">
        <f>IFERROR(__xludf.DUMMYFUNCTION("""COMPUTED_VALUE"""),"#N/A")</f>
        <v>#N/A</v>
      </c>
      <c r="K816" s="100"/>
      <c r="L816" s="101"/>
      <c r="M816" s="100"/>
      <c r="N816" s="94"/>
      <c r="O816" s="93"/>
      <c r="P816" s="180"/>
      <c r="Q816" s="99"/>
    </row>
    <row r="817" ht="13.5" customHeight="1">
      <c r="A817" s="88"/>
      <c r="B817" s="88"/>
      <c r="C817" s="90"/>
      <c r="D817" s="92"/>
      <c r="E817" s="92"/>
      <c r="F817" s="93"/>
      <c r="G817" s="92"/>
      <c r="H817" s="94"/>
      <c r="I817" s="94"/>
      <c r="J817" s="93" t="str">
        <f>IFERROR(__xludf.DUMMYFUNCTION("""COMPUTED_VALUE"""),"#N/A")</f>
        <v>#N/A</v>
      </c>
      <c r="K817" s="100"/>
      <c r="L817" s="101"/>
      <c r="M817" s="100"/>
      <c r="N817" s="94"/>
      <c r="O817" s="93"/>
      <c r="P817" s="180"/>
      <c r="Q817" s="99"/>
    </row>
    <row r="818" ht="13.5" customHeight="1">
      <c r="A818" s="88"/>
      <c r="B818" s="88"/>
      <c r="C818" s="90"/>
      <c r="D818" s="92"/>
      <c r="E818" s="92"/>
      <c r="F818" s="93"/>
      <c r="G818" s="92"/>
      <c r="H818" s="94"/>
      <c r="I818" s="94"/>
      <c r="J818" s="93" t="str">
        <f>IFERROR(__xludf.DUMMYFUNCTION("""COMPUTED_VALUE"""),"#N/A")</f>
        <v>#N/A</v>
      </c>
      <c r="K818" s="100"/>
      <c r="L818" s="101"/>
      <c r="M818" s="100"/>
      <c r="N818" s="94"/>
      <c r="O818" s="93"/>
      <c r="P818" s="180"/>
      <c r="Q818" s="99"/>
    </row>
    <row r="819" ht="13.5" customHeight="1">
      <c r="A819" s="88"/>
      <c r="B819" s="88"/>
      <c r="C819" s="90"/>
      <c r="D819" s="92"/>
      <c r="E819" s="92"/>
      <c r="F819" s="93"/>
      <c r="G819" s="92"/>
      <c r="H819" s="94"/>
      <c r="I819" s="94"/>
      <c r="J819" s="93" t="str">
        <f>IFERROR(__xludf.DUMMYFUNCTION("""COMPUTED_VALUE"""),"#N/A")</f>
        <v>#N/A</v>
      </c>
      <c r="K819" s="100"/>
      <c r="L819" s="101"/>
      <c r="M819" s="100"/>
      <c r="N819" s="94"/>
      <c r="O819" s="93"/>
      <c r="P819" s="180"/>
      <c r="Q819" s="99"/>
    </row>
    <row r="820" ht="13.5" customHeight="1">
      <c r="A820" s="88"/>
      <c r="B820" s="88"/>
      <c r="C820" s="90"/>
      <c r="D820" s="92"/>
      <c r="E820" s="92"/>
      <c r="F820" s="93"/>
      <c r="G820" s="92"/>
      <c r="H820" s="94"/>
      <c r="I820" s="94"/>
      <c r="J820" s="93" t="str">
        <f>IFERROR(__xludf.DUMMYFUNCTION("""COMPUTED_VALUE"""),"#N/A")</f>
        <v>#N/A</v>
      </c>
      <c r="K820" s="100"/>
      <c r="L820" s="101"/>
      <c r="M820" s="100"/>
      <c r="N820" s="94"/>
      <c r="O820" s="93"/>
      <c r="P820" s="180"/>
      <c r="Q820" s="99"/>
    </row>
    <row r="821" ht="13.5" customHeight="1">
      <c r="A821" s="88"/>
      <c r="B821" s="88"/>
      <c r="C821" s="90"/>
      <c r="D821" s="92"/>
      <c r="E821" s="92"/>
      <c r="F821" s="93"/>
      <c r="G821" s="92"/>
      <c r="H821" s="94"/>
      <c r="I821" s="94"/>
      <c r="J821" s="93" t="str">
        <f>IFERROR(__xludf.DUMMYFUNCTION("""COMPUTED_VALUE"""),"#N/A")</f>
        <v>#N/A</v>
      </c>
      <c r="K821" s="100"/>
      <c r="L821" s="101"/>
      <c r="M821" s="100"/>
      <c r="N821" s="94"/>
      <c r="O821" s="93"/>
      <c r="P821" s="180"/>
      <c r="Q821" s="99"/>
    </row>
    <row r="822" ht="13.5" customHeight="1">
      <c r="A822" s="88"/>
      <c r="B822" s="88"/>
      <c r="C822" s="90"/>
      <c r="D822" s="92"/>
      <c r="E822" s="92"/>
      <c r="F822" s="93"/>
      <c r="G822" s="92"/>
      <c r="H822" s="94"/>
      <c r="I822" s="94"/>
      <c r="J822" s="93" t="str">
        <f>IFERROR(__xludf.DUMMYFUNCTION("""COMPUTED_VALUE"""),"#N/A")</f>
        <v>#N/A</v>
      </c>
      <c r="K822" s="100"/>
      <c r="L822" s="101"/>
      <c r="M822" s="100"/>
      <c r="N822" s="94"/>
      <c r="O822" s="93"/>
      <c r="P822" s="180"/>
      <c r="Q822" s="99"/>
    </row>
    <row r="823" ht="13.5" customHeight="1">
      <c r="A823" s="88"/>
      <c r="B823" s="88"/>
      <c r="C823" s="90"/>
      <c r="D823" s="92"/>
      <c r="E823" s="92"/>
      <c r="F823" s="93"/>
      <c r="G823" s="92"/>
      <c r="H823" s="94"/>
      <c r="I823" s="94"/>
      <c r="J823" s="93" t="str">
        <f>IFERROR(__xludf.DUMMYFUNCTION("""COMPUTED_VALUE"""),"#N/A")</f>
        <v>#N/A</v>
      </c>
      <c r="K823" s="100"/>
      <c r="L823" s="101"/>
      <c r="M823" s="100"/>
      <c r="N823" s="94"/>
      <c r="O823" s="93"/>
      <c r="P823" s="180"/>
      <c r="Q823" s="99"/>
    </row>
    <row r="824" ht="13.5" customHeight="1">
      <c r="A824" s="88"/>
      <c r="B824" s="88"/>
      <c r="C824" s="90"/>
      <c r="D824" s="92"/>
      <c r="E824" s="92"/>
      <c r="F824" s="93"/>
      <c r="G824" s="92"/>
      <c r="H824" s="94"/>
      <c r="I824" s="94"/>
      <c r="J824" s="93" t="str">
        <f>IFERROR(__xludf.DUMMYFUNCTION("""COMPUTED_VALUE"""),"#N/A")</f>
        <v>#N/A</v>
      </c>
      <c r="K824" s="100"/>
      <c r="L824" s="101"/>
      <c r="M824" s="100"/>
      <c r="N824" s="94"/>
      <c r="O824" s="93"/>
      <c r="P824" s="180"/>
      <c r="Q824" s="99"/>
    </row>
    <row r="825" ht="13.5" customHeight="1">
      <c r="A825" s="88"/>
      <c r="B825" s="88"/>
      <c r="C825" s="90"/>
      <c r="D825" s="92"/>
      <c r="E825" s="92"/>
      <c r="F825" s="93"/>
      <c r="G825" s="92"/>
      <c r="H825" s="94"/>
      <c r="I825" s="94"/>
      <c r="J825" s="93" t="str">
        <f>IFERROR(__xludf.DUMMYFUNCTION("""COMPUTED_VALUE"""),"#N/A")</f>
        <v>#N/A</v>
      </c>
      <c r="K825" s="100"/>
      <c r="L825" s="101"/>
      <c r="M825" s="100"/>
      <c r="N825" s="94"/>
      <c r="O825" s="93"/>
      <c r="P825" s="180"/>
      <c r="Q825" s="99"/>
    </row>
    <row r="826" ht="13.5" customHeight="1">
      <c r="A826" s="88"/>
      <c r="B826" s="88"/>
      <c r="C826" s="90"/>
      <c r="D826" s="92"/>
      <c r="E826" s="92"/>
      <c r="F826" s="93"/>
      <c r="G826" s="92"/>
      <c r="H826" s="94"/>
      <c r="I826" s="94"/>
      <c r="J826" s="93" t="str">
        <f>IFERROR(__xludf.DUMMYFUNCTION("""COMPUTED_VALUE"""),"#N/A")</f>
        <v>#N/A</v>
      </c>
      <c r="K826" s="100"/>
      <c r="L826" s="101"/>
      <c r="M826" s="100"/>
      <c r="N826" s="94"/>
      <c r="O826" s="93"/>
      <c r="P826" s="180"/>
      <c r="Q826" s="99"/>
    </row>
    <row r="827" ht="13.5" customHeight="1">
      <c r="A827" s="88"/>
      <c r="B827" s="88"/>
      <c r="C827" s="90"/>
      <c r="D827" s="92"/>
      <c r="E827" s="92"/>
      <c r="F827" s="93"/>
      <c r="G827" s="92"/>
      <c r="H827" s="94"/>
      <c r="I827" s="94"/>
      <c r="J827" s="93" t="str">
        <f>IFERROR(__xludf.DUMMYFUNCTION("""COMPUTED_VALUE"""),"#N/A")</f>
        <v>#N/A</v>
      </c>
      <c r="K827" s="100"/>
      <c r="L827" s="101"/>
      <c r="M827" s="100"/>
      <c r="N827" s="94"/>
      <c r="O827" s="93"/>
      <c r="P827" s="180"/>
      <c r="Q827" s="99"/>
    </row>
    <row r="828" ht="13.5" customHeight="1">
      <c r="A828" s="88"/>
      <c r="B828" s="88"/>
      <c r="C828" s="90"/>
      <c r="D828" s="92"/>
      <c r="E828" s="92"/>
      <c r="F828" s="93"/>
      <c r="G828" s="92"/>
      <c r="H828" s="94"/>
      <c r="I828" s="94"/>
      <c r="J828" s="93" t="str">
        <f>IFERROR(__xludf.DUMMYFUNCTION("""COMPUTED_VALUE"""),"#N/A")</f>
        <v>#N/A</v>
      </c>
      <c r="K828" s="100"/>
      <c r="L828" s="101"/>
      <c r="M828" s="100"/>
      <c r="N828" s="94"/>
      <c r="O828" s="93"/>
      <c r="P828" s="180"/>
      <c r="Q828" s="99"/>
    </row>
    <row r="829" ht="13.5" customHeight="1">
      <c r="A829" s="88"/>
      <c r="B829" s="88"/>
      <c r="C829" s="90"/>
      <c r="D829" s="92"/>
      <c r="E829" s="92"/>
      <c r="F829" s="93"/>
      <c r="G829" s="92"/>
      <c r="H829" s="94"/>
      <c r="I829" s="94"/>
      <c r="J829" s="93" t="str">
        <f>IFERROR(__xludf.DUMMYFUNCTION("""COMPUTED_VALUE"""),"#N/A")</f>
        <v>#N/A</v>
      </c>
      <c r="K829" s="100"/>
      <c r="L829" s="101"/>
      <c r="M829" s="100"/>
      <c r="N829" s="94"/>
      <c r="O829" s="93"/>
      <c r="P829" s="180"/>
      <c r="Q829" s="99"/>
    </row>
    <row r="830" ht="13.5" customHeight="1">
      <c r="A830" s="88"/>
      <c r="B830" s="88"/>
      <c r="C830" s="90"/>
      <c r="D830" s="92"/>
      <c r="E830" s="92"/>
      <c r="F830" s="93"/>
      <c r="G830" s="92"/>
      <c r="H830" s="94"/>
      <c r="I830" s="94"/>
      <c r="J830" s="93" t="str">
        <f>IFERROR(__xludf.DUMMYFUNCTION("""COMPUTED_VALUE"""),"#N/A")</f>
        <v>#N/A</v>
      </c>
      <c r="K830" s="100"/>
      <c r="L830" s="101"/>
      <c r="M830" s="100"/>
      <c r="N830" s="94"/>
      <c r="O830" s="93"/>
      <c r="P830" s="180"/>
      <c r="Q830" s="99"/>
    </row>
    <row r="831" ht="13.5" customHeight="1">
      <c r="A831" s="88"/>
      <c r="B831" s="88"/>
      <c r="C831" s="90"/>
      <c r="D831" s="92"/>
      <c r="E831" s="92"/>
      <c r="F831" s="93"/>
      <c r="G831" s="92"/>
      <c r="H831" s="94"/>
      <c r="I831" s="94"/>
      <c r="J831" s="93" t="str">
        <f>IFERROR(__xludf.DUMMYFUNCTION("""COMPUTED_VALUE"""),"#N/A")</f>
        <v>#N/A</v>
      </c>
      <c r="K831" s="100"/>
      <c r="L831" s="101"/>
      <c r="M831" s="100"/>
      <c r="N831" s="94"/>
      <c r="O831" s="93"/>
      <c r="P831" s="180"/>
      <c r="Q831" s="99"/>
    </row>
    <row r="832" ht="13.5" customHeight="1">
      <c r="A832" s="88"/>
      <c r="B832" s="88"/>
      <c r="C832" s="90"/>
      <c r="D832" s="92"/>
      <c r="E832" s="92"/>
      <c r="F832" s="93"/>
      <c r="G832" s="92"/>
      <c r="H832" s="94"/>
      <c r="I832" s="94"/>
      <c r="J832" s="93" t="str">
        <f>IFERROR(__xludf.DUMMYFUNCTION("""COMPUTED_VALUE"""),"#N/A")</f>
        <v>#N/A</v>
      </c>
      <c r="K832" s="100"/>
      <c r="L832" s="101"/>
      <c r="M832" s="100"/>
      <c r="N832" s="94"/>
      <c r="O832" s="93"/>
      <c r="P832" s="180"/>
      <c r="Q832" s="99"/>
    </row>
    <row r="833" ht="13.5" customHeight="1">
      <c r="A833" s="88"/>
      <c r="B833" s="88"/>
      <c r="C833" s="90"/>
      <c r="D833" s="92"/>
      <c r="E833" s="92"/>
      <c r="F833" s="93"/>
      <c r="G833" s="92"/>
      <c r="H833" s="94"/>
      <c r="I833" s="94"/>
      <c r="J833" s="93" t="str">
        <f>IFERROR(__xludf.DUMMYFUNCTION("""COMPUTED_VALUE"""),"#N/A")</f>
        <v>#N/A</v>
      </c>
      <c r="K833" s="100"/>
      <c r="L833" s="101"/>
      <c r="M833" s="100"/>
      <c r="N833" s="94"/>
      <c r="O833" s="93"/>
      <c r="P833" s="180"/>
      <c r="Q833" s="99"/>
    </row>
    <row r="834" ht="13.5" customHeight="1">
      <c r="A834" s="88"/>
      <c r="B834" s="88"/>
      <c r="C834" s="90"/>
      <c r="D834" s="92"/>
      <c r="E834" s="92"/>
      <c r="F834" s="93"/>
      <c r="G834" s="92"/>
      <c r="H834" s="94"/>
      <c r="I834" s="94"/>
      <c r="J834" s="93" t="str">
        <f>IFERROR(__xludf.DUMMYFUNCTION("""COMPUTED_VALUE"""),"#N/A")</f>
        <v>#N/A</v>
      </c>
      <c r="K834" s="100"/>
      <c r="L834" s="101"/>
      <c r="M834" s="100"/>
      <c r="N834" s="94"/>
      <c r="O834" s="93"/>
      <c r="P834" s="180"/>
      <c r="Q834" s="99"/>
    </row>
    <row r="835" ht="13.5" customHeight="1">
      <c r="A835" s="88"/>
      <c r="B835" s="88"/>
      <c r="C835" s="90"/>
      <c r="D835" s="92"/>
      <c r="E835" s="92"/>
      <c r="F835" s="93"/>
      <c r="G835" s="92"/>
      <c r="H835" s="94"/>
      <c r="I835" s="94"/>
      <c r="J835" s="93" t="str">
        <f>IFERROR(__xludf.DUMMYFUNCTION("""COMPUTED_VALUE"""),"#N/A")</f>
        <v>#N/A</v>
      </c>
      <c r="K835" s="100"/>
      <c r="L835" s="101"/>
      <c r="M835" s="100"/>
      <c r="N835" s="94"/>
      <c r="O835" s="93"/>
      <c r="P835" s="180"/>
      <c r="Q835" s="99"/>
    </row>
    <row r="836" ht="13.5" customHeight="1">
      <c r="A836" s="88"/>
      <c r="B836" s="88"/>
      <c r="C836" s="90"/>
      <c r="D836" s="92"/>
      <c r="E836" s="92"/>
      <c r="F836" s="93"/>
      <c r="G836" s="92"/>
      <c r="H836" s="94"/>
      <c r="I836" s="94"/>
      <c r="J836" s="93" t="str">
        <f>IFERROR(__xludf.DUMMYFUNCTION("""COMPUTED_VALUE"""),"#N/A")</f>
        <v>#N/A</v>
      </c>
      <c r="K836" s="100"/>
      <c r="L836" s="101"/>
      <c r="M836" s="100"/>
      <c r="N836" s="94"/>
      <c r="O836" s="93"/>
      <c r="P836" s="180"/>
      <c r="Q836" s="99"/>
    </row>
    <row r="837" ht="13.5" customHeight="1">
      <c r="A837" s="88"/>
      <c r="B837" s="88"/>
      <c r="C837" s="90"/>
      <c r="D837" s="92"/>
      <c r="E837" s="92"/>
      <c r="F837" s="93"/>
      <c r="G837" s="92"/>
      <c r="H837" s="94"/>
      <c r="I837" s="94"/>
      <c r="J837" s="93" t="str">
        <f>IFERROR(__xludf.DUMMYFUNCTION("""COMPUTED_VALUE"""),"#N/A")</f>
        <v>#N/A</v>
      </c>
      <c r="K837" s="100"/>
      <c r="L837" s="101"/>
      <c r="M837" s="100"/>
      <c r="N837" s="94"/>
      <c r="O837" s="93"/>
      <c r="P837" s="180"/>
      <c r="Q837" s="99"/>
    </row>
    <row r="838" ht="13.5" customHeight="1">
      <c r="A838" s="88"/>
      <c r="B838" s="88"/>
      <c r="C838" s="90"/>
      <c r="D838" s="92"/>
      <c r="E838" s="92"/>
      <c r="F838" s="93"/>
      <c r="G838" s="92"/>
      <c r="H838" s="94"/>
      <c r="I838" s="94"/>
      <c r="J838" s="93" t="str">
        <f>IFERROR(__xludf.DUMMYFUNCTION("""COMPUTED_VALUE"""),"#N/A")</f>
        <v>#N/A</v>
      </c>
      <c r="K838" s="100"/>
      <c r="L838" s="101"/>
      <c r="M838" s="100"/>
      <c r="N838" s="94"/>
      <c r="O838" s="93"/>
      <c r="P838" s="180"/>
      <c r="Q838" s="99"/>
    </row>
    <row r="839" ht="13.5" customHeight="1">
      <c r="A839" s="88"/>
      <c r="B839" s="88"/>
      <c r="C839" s="90"/>
      <c r="D839" s="92"/>
      <c r="E839" s="92"/>
      <c r="F839" s="93"/>
      <c r="G839" s="92"/>
      <c r="H839" s="94"/>
      <c r="I839" s="94"/>
      <c r="J839" s="93" t="str">
        <f>IFERROR(__xludf.DUMMYFUNCTION("""COMPUTED_VALUE"""),"#N/A")</f>
        <v>#N/A</v>
      </c>
      <c r="K839" s="100"/>
      <c r="L839" s="101"/>
      <c r="M839" s="100"/>
      <c r="N839" s="94"/>
      <c r="O839" s="93"/>
      <c r="P839" s="180"/>
      <c r="Q839" s="99"/>
    </row>
    <row r="840" ht="13.5" customHeight="1">
      <c r="A840" s="88"/>
      <c r="B840" s="88"/>
      <c r="C840" s="90"/>
      <c r="D840" s="92"/>
      <c r="E840" s="92"/>
      <c r="F840" s="93"/>
      <c r="G840" s="92"/>
      <c r="H840" s="94"/>
      <c r="I840" s="94"/>
      <c r="J840" s="93" t="str">
        <f>IFERROR(__xludf.DUMMYFUNCTION("""COMPUTED_VALUE"""),"#N/A")</f>
        <v>#N/A</v>
      </c>
      <c r="K840" s="100"/>
      <c r="L840" s="101"/>
      <c r="M840" s="100"/>
      <c r="N840" s="94"/>
      <c r="O840" s="93"/>
      <c r="P840" s="180"/>
      <c r="Q840" s="99"/>
    </row>
    <row r="841" ht="13.5" customHeight="1">
      <c r="A841" s="88"/>
      <c r="B841" s="88"/>
      <c r="C841" s="90"/>
      <c r="D841" s="92"/>
      <c r="E841" s="92"/>
      <c r="F841" s="93"/>
      <c r="G841" s="92"/>
      <c r="H841" s="94"/>
      <c r="I841" s="94"/>
      <c r="J841" s="93" t="str">
        <f>IFERROR(__xludf.DUMMYFUNCTION("""COMPUTED_VALUE"""),"#N/A")</f>
        <v>#N/A</v>
      </c>
      <c r="K841" s="100"/>
      <c r="L841" s="101"/>
      <c r="M841" s="100"/>
      <c r="N841" s="94"/>
      <c r="O841" s="93"/>
      <c r="P841" s="180"/>
      <c r="Q841" s="99"/>
    </row>
    <row r="842" ht="13.5" customHeight="1">
      <c r="A842" s="88"/>
      <c r="B842" s="88"/>
      <c r="C842" s="90"/>
      <c r="D842" s="92"/>
      <c r="E842" s="92"/>
      <c r="F842" s="93"/>
      <c r="G842" s="92"/>
      <c r="H842" s="94"/>
      <c r="I842" s="94"/>
      <c r="J842" s="93" t="str">
        <f>IFERROR(__xludf.DUMMYFUNCTION("""COMPUTED_VALUE"""),"#N/A")</f>
        <v>#N/A</v>
      </c>
      <c r="K842" s="100"/>
      <c r="L842" s="101"/>
      <c r="M842" s="100"/>
      <c r="N842" s="94"/>
      <c r="O842" s="93"/>
      <c r="P842" s="180"/>
      <c r="Q842" s="99"/>
    </row>
    <row r="843" ht="13.5" customHeight="1">
      <c r="A843" s="88"/>
      <c r="B843" s="88"/>
      <c r="C843" s="90"/>
      <c r="D843" s="92"/>
      <c r="E843" s="92"/>
      <c r="F843" s="93"/>
      <c r="G843" s="92"/>
      <c r="H843" s="94"/>
      <c r="I843" s="94"/>
      <c r="J843" s="93" t="str">
        <f>IFERROR(__xludf.DUMMYFUNCTION("""COMPUTED_VALUE"""),"#N/A")</f>
        <v>#N/A</v>
      </c>
      <c r="K843" s="100"/>
      <c r="L843" s="101"/>
      <c r="M843" s="100"/>
      <c r="N843" s="94"/>
      <c r="O843" s="93"/>
      <c r="P843" s="180"/>
      <c r="Q843" s="99"/>
    </row>
    <row r="844" ht="13.5" customHeight="1">
      <c r="A844" s="88"/>
      <c r="B844" s="88"/>
      <c r="C844" s="90"/>
      <c r="D844" s="92"/>
      <c r="E844" s="92"/>
      <c r="F844" s="93"/>
      <c r="G844" s="92"/>
      <c r="H844" s="94"/>
      <c r="I844" s="94"/>
      <c r="J844" s="93" t="str">
        <f>IFERROR(__xludf.DUMMYFUNCTION("""COMPUTED_VALUE"""),"#N/A")</f>
        <v>#N/A</v>
      </c>
      <c r="K844" s="100"/>
      <c r="L844" s="101"/>
      <c r="M844" s="100"/>
      <c r="N844" s="94"/>
      <c r="O844" s="93"/>
      <c r="P844" s="180"/>
      <c r="Q844" s="99"/>
    </row>
    <row r="845" ht="13.5" customHeight="1">
      <c r="A845" s="88"/>
      <c r="B845" s="88"/>
      <c r="C845" s="90"/>
      <c r="D845" s="92"/>
      <c r="E845" s="92"/>
      <c r="F845" s="93"/>
      <c r="G845" s="92"/>
      <c r="H845" s="94"/>
      <c r="I845" s="94"/>
      <c r="J845" s="93" t="str">
        <f>IFERROR(__xludf.DUMMYFUNCTION("""COMPUTED_VALUE"""),"#N/A")</f>
        <v>#N/A</v>
      </c>
      <c r="K845" s="100"/>
      <c r="L845" s="101"/>
      <c r="M845" s="100"/>
      <c r="N845" s="94"/>
      <c r="O845" s="93"/>
      <c r="P845" s="180"/>
      <c r="Q845" s="99"/>
    </row>
    <row r="846" ht="13.5" customHeight="1">
      <c r="A846" s="88"/>
      <c r="B846" s="88"/>
      <c r="C846" s="90"/>
      <c r="D846" s="92"/>
      <c r="E846" s="92"/>
      <c r="F846" s="93"/>
      <c r="G846" s="92"/>
      <c r="H846" s="94"/>
      <c r="I846" s="94"/>
      <c r="J846" s="93" t="str">
        <f>IFERROR(__xludf.DUMMYFUNCTION("""COMPUTED_VALUE"""),"#N/A")</f>
        <v>#N/A</v>
      </c>
      <c r="K846" s="100"/>
      <c r="L846" s="101"/>
      <c r="M846" s="100"/>
      <c r="N846" s="94"/>
      <c r="O846" s="93"/>
      <c r="P846" s="180"/>
      <c r="Q846" s="99"/>
    </row>
    <row r="847" ht="13.5" customHeight="1">
      <c r="A847" s="88"/>
      <c r="B847" s="88"/>
      <c r="C847" s="90"/>
      <c r="D847" s="92"/>
      <c r="E847" s="92"/>
      <c r="F847" s="93"/>
      <c r="G847" s="92"/>
      <c r="H847" s="94"/>
      <c r="I847" s="94"/>
      <c r="J847" s="93" t="str">
        <f>IFERROR(__xludf.DUMMYFUNCTION("""COMPUTED_VALUE"""),"#N/A")</f>
        <v>#N/A</v>
      </c>
      <c r="K847" s="100"/>
      <c r="L847" s="101"/>
      <c r="M847" s="100"/>
      <c r="N847" s="94"/>
      <c r="O847" s="93"/>
      <c r="P847" s="180"/>
      <c r="Q847" s="99"/>
    </row>
    <row r="848" ht="13.5" customHeight="1">
      <c r="A848" s="88"/>
      <c r="B848" s="88"/>
      <c r="C848" s="90"/>
      <c r="D848" s="92"/>
      <c r="E848" s="92"/>
      <c r="F848" s="93"/>
      <c r="G848" s="92"/>
      <c r="H848" s="94"/>
      <c r="I848" s="94"/>
      <c r="J848" s="93" t="str">
        <f>IFERROR(__xludf.DUMMYFUNCTION("""COMPUTED_VALUE"""),"#N/A")</f>
        <v>#N/A</v>
      </c>
      <c r="K848" s="100"/>
      <c r="L848" s="101"/>
      <c r="M848" s="100"/>
      <c r="N848" s="94"/>
      <c r="O848" s="93"/>
      <c r="P848" s="180"/>
      <c r="Q848" s="99"/>
    </row>
    <row r="849" ht="13.5" customHeight="1">
      <c r="A849" s="88"/>
      <c r="B849" s="88"/>
      <c r="C849" s="90"/>
      <c r="D849" s="92"/>
      <c r="E849" s="92"/>
      <c r="F849" s="93"/>
      <c r="G849" s="92"/>
      <c r="H849" s="94"/>
      <c r="I849" s="94"/>
      <c r="J849" s="93" t="str">
        <f>IFERROR(__xludf.DUMMYFUNCTION("""COMPUTED_VALUE"""),"#N/A")</f>
        <v>#N/A</v>
      </c>
      <c r="K849" s="100"/>
      <c r="L849" s="101"/>
      <c r="M849" s="100"/>
      <c r="N849" s="94"/>
      <c r="O849" s="93"/>
      <c r="P849" s="180"/>
      <c r="Q849" s="99"/>
    </row>
    <row r="850" ht="13.5" customHeight="1">
      <c r="A850" s="88"/>
      <c r="B850" s="88"/>
      <c r="C850" s="90"/>
      <c r="D850" s="92"/>
      <c r="E850" s="92"/>
      <c r="F850" s="93"/>
      <c r="G850" s="92"/>
      <c r="H850" s="94"/>
      <c r="I850" s="94"/>
      <c r="J850" s="93" t="str">
        <f>IFERROR(__xludf.DUMMYFUNCTION("""COMPUTED_VALUE"""),"#N/A")</f>
        <v>#N/A</v>
      </c>
      <c r="K850" s="100"/>
      <c r="L850" s="101"/>
      <c r="M850" s="100"/>
      <c r="N850" s="94"/>
      <c r="O850" s="93"/>
      <c r="P850" s="180"/>
      <c r="Q850" s="99"/>
    </row>
    <row r="851" ht="13.5" customHeight="1">
      <c r="A851" s="88"/>
      <c r="B851" s="88"/>
      <c r="C851" s="90"/>
      <c r="D851" s="92"/>
      <c r="E851" s="92"/>
      <c r="F851" s="93"/>
      <c r="G851" s="92"/>
      <c r="H851" s="94"/>
      <c r="I851" s="94"/>
      <c r="J851" s="93" t="str">
        <f>IFERROR(__xludf.DUMMYFUNCTION("""COMPUTED_VALUE"""),"#N/A")</f>
        <v>#N/A</v>
      </c>
      <c r="K851" s="100"/>
      <c r="L851" s="101"/>
      <c r="M851" s="100"/>
      <c r="N851" s="94"/>
      <c r="O851" s="93"/>
      <c r="P851" s="180"/>
      <c r="Q851" s="99"/>
    </row>
    <row r="852" ht="13.5" customHeight="1">
      <c r="A852" s="88"/>
      <c r="B852" s="88"/>
      <c r="C852" s="90"/>
      <c r="D852" s="92"/>
      <c r="E852" s="92"/>
      <c r="F852" s="93"/>
      <c r="G852" s="92"/>
      <c r="H852" s="94"/>
      <c r="I852" s="94"/>
      <c r="J852" s="93" t="str">
        <f>IFERROR(__xludf.DUMMYFUNCTION("""COMPUTED_VALUE"""),"#N/A")</f>
        <v>#N/A</v>
      </c>
      <c r="K852" s="100"/>
      <c r="L852" s="101"/>
      <c r="M852" s="100"/>
      <c r="N852" s="94"/>
      <c r="O852" s="93"/>
      <c r="P852" s="180"/>
      <c r="Q852" s="99"/>
    </row>
    <row r="853" ht="13.5" customHeight="1">
      <c r="A853" s="88"/>
      <c r="B853" s="88"/>
      <c r="C853" s="90"/>
      <c r="D853" s="92"/>
      <c r="E853" s="92"/>
      <c r="F853" s="93"/>
      <c r="G853" s="92"/>
      <c r="H853" s="94"/>
      <c r="I853" s="94"/>
      <c r="J853" s="93" t="str">
        <f>IFERROR(__xludf.DUMMYFUNCTION("""COMPUTED_VALUE"""),"#N/A")</f>
        <v>#N/A</v>
      </c>
      <c r="K853" s="100"/>
      <c r="L853" s="101"/>
      <c r="M853" s="100"/>
      <c r="N853" s="94"/>
      <c r="O853" s="93"/>
      <c r="P853" s="180"/>
      <c r="Q853" s="99"/>
    </row>
    <row r="854" ht="13.5" customHeight="1">
      <c r="A854" s="88"/>
      <c r="B854" s="88"/>
      <c r="C854" s="90"/>
      <c r="D854" s="92"/>
      <c r="E854" s="92"/>
      <c r="F854" s="93"/>
      <c r="G854" s="92"/>
      <c r="H854" s="94"/>
      <c r="I854" s="94"/>
      <c r="J854" s="93" t="str">
        <f>IFERROR(__xludf.DUMMYFUNCTION("""COMPUTED_VALUE"""),"#N/A")</f>
        <v>#N/A</v>
      </c>
      <c r="K854" s="100"/>
      <c r="L854" s="101"/>
      <c r="M854" s="100"/>
      <c r="N854" s="94"/>
      <c r="O854" s="93"/>
      <c r="P854" s="180"/>
      <c r="Q854" s="99"/>
    </row>
    <row r="855" ht="13.5" customHeight="1">
      <c r="A855" s="88"/>
      <c r="B855" s="88"/>
      <c r="C855" s="90"/>
      <c r="D855" s="92"/>
      <c r="E855" s="92"/>
      <c r="F855" s="93"/>
      <c r="G855" s="92"/>
      <c r="H855" s="94"/>
      <c r="I855" s="94"/>
      <c r="J855" s="93" t="str">
        <f>IFERROR(__xludf.DUMMYFUNCTION("""COMPUTED_VALUE"""),"#N/A")</f>
        <v>#N/A</v>
      </c>
      <c r="K855" s="100"/>
      <c r="L855" s="101"/>
      <c r="M855" s="100"/>
      <c r="N855" s="94"/>
      <c r="O855" s="93"/>
      <c r="P855" s="180"/>
      <c r="Q855" s="99"/>
    </row>
    <row r="856" ht="13.5" customHeight="1">
      <c r="A856" s="88"/>
      <c r="B856" s="88"/>
      <c r="C856" s="90"/>
      <c r="D856" s="92"/>
      <c r="E856" s="92"/>
      <c r="F856" s="93"/>
      <c r="G856" s="92"/>
      <c r="H856" s="94"/>
      <c r="I856" s="94"/>
      <c r="J856" s="93" t="str">
        <f>IFERROR(__xludf.DUMMYFUNCTION("""COMPUTED_VALUE"""),"#N/A")</f>
        <v>#N/A</v>
      </c>
      <c r="K856" s="100"/>
      <c r="L856" s="101"/>
      <c r="M856" s="100"/>
      <c r="N856" s="94"/>
      <c r="O856" s="93"/>
      <c r="P856" s="180"/>
      <c r="Q856" s="99"/>
    </row>
    <row r="857" ht="13.5" customHeight="1">
      <c r="A857" s="88"/>
      <c r="B857" s="88"/>
      <c r="C857" s="90"/>
      <c r="D857" s="92"/>
      <c r="E857" s="92"/>
      <c r="F857" s="93"/>
      <c r="G857" s="92"/>
      <c r="H857" s="94"/>
      <c r="I857" s="94"/>
      <c r="J857" s="93" t="str">
        <f>IFERROR(__xludf.DUMMYFUNCTION("""COMPUTED_VALUE"""),"#N/A")</f>
        <v>#N/A</v>
      </c>
      <c r="K857" s="100"/>
      <c r="L857" s="101"/>
      <c r="M857" s="100"/>
      <c r="N857" s="94"/>
      <c r="O857" s="93"/>
      <c r="P857" s="180"/>
      <c r="Q857" s="99"/>
    </row>
    <row r="858" ht="13.5" customHeight="1">
      <c r="A858" s="88"/>
      <c r="B858" s="88"/>
      <c r="C858" s="90"/>
      <c r="D858" s="92"/>
      <c r="E858" s="92"/>
      <c r="F858" s="93"/>
      <c r="G858" s="92"/>
      <c r="H858" s="94"/>
      <c r="I858" s="94"/>
      <c r="J858" s="93" t="str">
        <f>IFERROR(__xludf.DUMMYFUNCTION("""COMPUTED_VALUE"""),"#N/A")</f>
        <v>#N/A</v>
      </c>
      <c r="K858" s="100"/>
      <c r="L858" s="101"/>
      <c r="M858" s="100"/>
      <c r="N858" s="94"/>
      <c r="O858" s="93"/>
      <c r="P858" s="180"/>
      <c r="Q858" s="99"/>
    </row>
    <row r="859" ht="13.5" customHeight="1">
      <c r="A859" s="88"/>
      <c r="B859" s="88"/>
      <c r="C859" s="90"/>
      <c r="D859" s="92"/>
      <c r="E859" s="92"/>
      <c r="F859" s="93"/>
      <c r="G859" s="92"/>
      <c r="H859" s="94"/>
      <c r="I859" s="94"/>
      <c r="J859" s="93" t="str">
        <f>IFERROR(__xludf.DUMMYFUNCTION("""COMPUTED_VALUE"""),"#N/A")</f>
        <v>#N/A</v>
      </c>
      <c r="K859" s="100"/>
      <c r="L859" s="101"/>
      <c r="M859" s="100"/>
      <c r="N859" s="94"/>
      <c r="O859" s="93"/>
      <c r="P859" s="180"/>
      <c r="Q859" s="99"/>
    </row>
    <row r="860" ht="13.5" customHeight="1">
      <c r="A860" s="88"/>
      <c r="B860" s="88"/>
      <c r="C860" s="90"/>
      <c r="D860" s="92"/>
      <c r="E860" s="92"/>
      <c r="F860" s="93"/>
      <c r="G860" s="92"/>
      <c r="H860" s="94"/>
      <c r="I860" s="94"/>
      <c r="J860" s="93" t="str">
        <f>IFERROR(__xludf.DUMMYFUNCTION("""COMPUTED_VALUE"""),"#N/A")</f>
        <v>#N/A</v>
      </c>
      <c r="K860" s="100"/>
      <c r="L860" s="101"/>
      <c r="M860" s="100"/>
      <c r="N860" s="94"/>
      <c r="O860" s="93"/>
      <c r="P860" s="180"/>
      <c r="Q860" s="99"/>
    </row>
    <row r="861" ht="13.5" customHeight="1">
      <c r="A861" s="88"/>
      <c r="B861" s="88"/>
      <c r="C861" s="90"/>
      <c r="D861" s="92"/>
      <c r="E861" s="92"/>
      <c r="F861" s="93"/>
      <c r="G861" s="92"/>
      <c r="H861" s="94"/>
      <c r="I861" s="94"/>
      <c r="J861" s="93" t="str">
        <f>IFERROR(__xludf.DUMMYFUNCTION("""COMPUTED_VALUE"""),"#N/A")</f>
        <v>#N/A</v>
      </c>
      <c r="K861" s="100"/>
      <c r="L861" s="101"/>
      <c r="M861" s="100"/>
      <c r="N861" s="94"/>
      <c r="O861" s="93"/>
      <c r="P861" s="180"/>
      <c r="Q861" s="99"/>
    </row>
    <row r="862" ht="13.5" customHeight="1">
      <c r="A862" s="88"/>
      <c r="B862" s="88"/>
      <c r="C862" s="90"/>
      <c r="D862" s="92"/>
      <c r="E862" s="92"/>
      <c r="F862" s="93"/>
      <c r="G862" s="92"/>
      <c r="H862" s="94"/>
      <c r="I862" s="94"/>
      <c r="J862" s="93" t="str">
        <f>IFERROR(__xludf.DUMMYFUNCTION("""COMPUTED_VALUE"""),"#N/A")</f>
        <v>#N/A</v>
      </c>
      <c r="K862" s="100"/>
      <c r="L862" s="101"/>
      <c r="M862" s="100"/>
      <c r="N862" s="94"/>
      <c r="O862" s="93"/>
      <c r="P862" s="180"/>
      <c r="Q862" s="99"/>
    </row>
    <row r="863" ht="13.5" customHeight="1">
      <c r="A863" s="88"/>
      <c r="B863" s="88"/>
      <c r="C863" s="90"/>
      <c r="D863" s="92"/>
      <c r="E863" s="92"/>
      <c r="F863" s="93"/>
      <c r="G863" s="92"/>
      <c r="H863" s="94"/>
      <c r="I863" s="94"/>
      <c r="J863" s="93" t="str">
        <f>IFERROR(__xludf.DUMMYFUNCTION("""COMPUTED_VALUE"""),"#N/A")</f>
        <v>#N/A</v>
      </c>
      <c r="K863" s="100"/>
      <c r="L863" s="101"/>
      <c r="M863" s="100"/>
      <c r="N863" s="94"/>
      <c r="O863" s="93"/>
      <c r="P863" s="180"/>
      <c r="Q863" s="99"/>
    </row>
    <row r="864" ht="13.5" customHeight="1">
      <c r="A864" s="88"/>
      <c r="B864" s="88"/>
      <c r="C864" s="90"/>
      <c r="D864" s="92"/>
      <c r="E864" s="92"/>
      <c r="F864" s="93"/>
      <c r="G864" s="92"/>
      <c r="H864" s="94"/>
      <c r="I864" s="94"/>
      <c r="J864" s="93" t="str">
        <f>IFERROR(__xludf.DUMMYFUNCTION("""COMPUTED_VALUE"""),"#N/A")</f>
        <v>#N/A</v>
      </c>
      <c r="K864" s="100"/>
      <c r="L864" s="101"/>
      <c r="M864" s="100"/>
      <c r="N864" s="94"/>
      <c r="O864" s="93"/>
      <c r="P864" s="180"/>
      <c r="Q864" s="99"/>
    </row>
    <row r="865" ht="13.5" customHeight="1">
      <c r="A865" s="88"/>
      <c r="B865" s="88"/>
      <c r="C865" s="90"/>
      <c r="D865" s="92"/>
      <c r="E865" s="92"/>
      <c r="F865" s="93"/>
      <c r="G865" s="92"/>
      <c r="H865" s="94"/>
      <c r="I865" s="94"/>
      <c r="J865" s="93" t="str">
        <f>IFERROR(__xludf.DUMMYFUNCTION("""COMPUTED_VALUE"""),"#N/A")</f>
        <v>#N/A</v>
      </c>
      <c r="K865" s="100"/>
      <c r="L865" s="101"/>
      <c r="M865" s="100"/>
      <c r="N865" s="94"/>
      <c r="O865" s="93"/>
      <c r="P865" s="180"/>
      <c r="Q865" s="99"/>
    </row>
    <row r="866" ht="13.5" customHeight="1">
      <c r="A866" s="88"/>
      <c r="B866" s="88"/>
      <c r="C866" s="90"/>
      <c r="D866" s="92"/>
      <c r="E866" s="92"/>
      <c r="F866" s="93"/>
      <c r="G866" s="92"/>
      <c r="H866" s="94"/>
      <c r="I866" s="94"/>
      <c r="J866" s="93" t="str">
        <f>IFERROR(__xludf.DUMMYFUNCTION("""COMPUTED_VALUE"""),"#N/A")</f>
        <v>#N/A</v>
      </c>
      <c r="K866" s="100"/>
      <c r="L866" s="101"/>
      <c r="M866" s="100"/>
      <c r="N866" s="94"/>
      <c r="O866" s="93"/>
      <c r="P866" s="180"/>
      <c r="Q866" s="99"/>
    </row>
    <row r="867" ht="13.5" customHeight="1">
      <c r="A867" s="88"/>
      <c r="B867" s="88"/>
      <c r="C867" s="90"/>
      <c r="D867" s="92"/>
      <c r="E867" s="92"/>
      <c r="F867" s="93"/>
      <c r="G867" s="92"/>
      <c r="H867" s="94"/>
      <c r="I867" s="94"/>
      <c r="J867" s="93" t="str">
        <f>IFERROR(__xludf.DUMMYFUNCTION("""COMPUTED_VALUE"""),"#N/A")</f>
        <v>#N/A</v>
      </c>
      <c r="K867" s="100"/>
      <c r="L867" s="101"/>
      <c r="M867" s="100"/>
      <c r="N867" s="94"/>
      <c r="O867" s="93"/>
      <c r="P867" s="180"/>
      <c r="Q867" s="99"/>
    </row>
    <row r="868" ht="13.5" customHeight="1">
      <c r="A868" s="88"/>
      <c r="B868" s="88"/>
      <c r="C868" s="90"/>
      <c r="D868" s="92"/>
      <c r="E868" s="92"/>
      <c r="F868" s="93"/>
      <c r="G868" s="92"/>
      <c r="H868" s="94"/>
      <c r="I868" s="94"/>
      <c r="J868" s="93" t="str">
        <f>IFERROR(__xludf.DUMMYFUNCTION("""COMPUTED_VALUE"""),"#N/A")</f>
        <v>#N/A</v>
      </c>
      <c r="K868" s="100"/>
      <c r="L868" s="101"/>
      <c r="M868" s="100"/>
      <c r="N868" s="94"/>
      <c r="O868" s="93"/>
      <c r="P868" s="180"/>
      <c r="Q868" s="99"/>
    </row>
    <row r="869" ht="13.5" customHeight="1">
      <c r="A869" s="88"/>
      <c r="B869" s="88"/>
      <c r="C869" s="90"/>
      <c r="D869" s="92"/>
      <c r="E869" s="92"/>
      <c r="F869" s="93"/>
      <c r="G869" s="92"/>
      <c r="H869" s="94"/>
      <c r="I869" s="94"/>
      <c r="J869" s="93" t="str">
        <f>IFERROR(__xludf.DUMMYFUNCTION("""COMPUTED_VALUE"""),"#N/A")</f>
        <v>#N/A</v>
      </c>
      <c r="K869" s="100"/>
      <c r="L869" s="101"/>
      <c r="M869" s="100"/>
      <c r="N869" s="94"/>
      <c r="O869" s="93"/>
      <c r="P869" s="180"/>
      <c r="Q869" s="99"/>
    </row>
    <row r="870" ht="13.5" customHeight="1">
      <c r="A870" s="88"/>
      <c r="B870" s="88"/>
      <c r="C870" s="90"/>
      <c r="D870" s="92"/>
      <c r="E870" s="92"/>
      <c r="F870" s="93"/>
      <c r="G870" s="92"/>
      <c r="H870" s="94"/>
      <c r="I870" s="94"/>
      <c r="J870" s="93" t="str">
        <f>IFERROR(__xludf.DUMMYFUNCTION("""COMPUTED_VALUE"""),"#N/A")</f>
        <v>#N/A</v>
      </c>
      <c r="K870" s="100"/>
      <c r="L870" s="101"/>
      <c r="M870" s="100"/>
      <c r="N870" s="94"/>
      <c r="O870" s="93"/>
      <c r="P870" s="180"/>
      <c r="Q870" s="99"/>
    </row>
    <row r="871" ht="13.5" customHeight="1">
      <c r="A871" s="88"/>
      <c r="B871" s="88"/>
      <c r="C871" s="90"/>
      <c r="D871" s="92"/>
      <c r="E871" s="92"/>
      <c r="F871" s="93"/>
      <c r="G871" s="92"/>
      <c r="H871" s="94"/>
      <c r="I871" s="94"/>
      <c r="J871" s="93" t="str">
        <f>IFERROR(__xludf.DUMMYFUNCTION("""COMPUTED_VALUE"""),"#N/A")</f>
        <v>#N/A</v>
      </c>
      <c r="K871" s="100"/>
      <c r="L871" s="101"/>
      <c r="M871" s="100"/>
      <c r="N871" s="94"/>
      <c r="O871" s="93"/>
      <c r="P871" s="180"/>
      <c r="Q871" s="99"/>
    </row>
    <row r="872" ht="13.5" customHeight="1">
      <c r="A872" s="88"/>
      <c r="B872" s="88"/>
      <c r="C872" s="90"/>
      <c r="D872" s="92"/>
      <c r="E872" s="92"/>
      <c r="F872" s="93"/>
      <c r="G872" s="92"/>
      <c r="H872" s="94"/>
      <c r="I872" s="94"/>
      <c r="J872" s="93" t="str">
        <f>IFERROR(__xludf.DUMMYFUNCTION("""COMPUTED_VALUE"""),"#N/A")</f>
        <v>#N/A</v>
      </c>
      <c r="K872" s="100"/>
      <c r="L872" s="101"/>
      <c r="M872" s="100"/>
      <c r="N872" s="94"/>
      <c r="O872" s="93"/>
      <c r="P872" s="180"/>
      <c r="Q872" s="99"/>
    </row>
    <row r="873" ht="13.5" customHeight="1">
      <c r="A873" s="88"/>
      <c r="B873" s="88"/>
      <c r="C873" s="90"/>
      <c r="D873" s="92"/>
      <c r="E873" s="92"/>
      <c r="F873" s="93"/>
      <c r="G873" s="92"/>
      <c r="H873" s="94"/>
      <c r="I873" s="94"/>
      <c r="J873" s="93" t="str">
        <f>IFERROR(__xludf.DUMMYFUNCTION("""COMPUTED_VALUE"""),"#N/A")</f>
        <v>#N/A</v>
      </c>
      <c r="K873" s="100"/>
      <c r="L873" s="101"/>
      <c r="M873" s="100"/>
      <c r="N873" s="94"/>
      <c r="O873" s="93"/>
      <c r="P873" s="180"/>
      <c r="Q873" s="99"/>
    </row>
    <row r="874" ht="13.5" customHeight="1">
      <c r="A874" s="88"/>
      <c r="B874" s="88"/>
      <c r="C874" s="90"/>
      <c r="D874" s="92"/>
      <c r="E874" s="92"/>
      <c r="F874" s="93"/>
      <c r="G874" s="92"/>
      <c r="H874" s="94"/>
      <c r="I874" s="94"/>
      <c r="J874" s="93" t="str">
        <f>IFERROR(__xludf.DUMMYFUNCTION("""COMPUTED_VALUE"""),"#N/A")</f>
        <v>#N/A</v>
      </c>
      <c r="K874" s="100"/>
      <c r="L874" s="101"/>
      <c r="M874" s="100"/>
      <c r="N874" s="94"/>
      <c r="O874" s="93"/>
      <c r="P874" s="180"/>
      <c r="Q874" s="99"/>
    </row>
    <row r="875" ht="13.5" customHeight="1">
      <c r="A875" s="88"/>
      <c r="B875" s="88"/>
      <c r="C875" s="90"/>
      <c r="D875" s="92"/>
      <c r="E875" s="92"/>
      <c r="F875" s="93"/>
      <c r="G875" s="92"/>
      <c r="H875" s="94"/>
      <c r="I875" s="94"/>
      <c r="J875" s="93" t="str">
        <f>IFERROR(__xludf.DUMMYFUNCTION("""COMPUTED_VALUE"""),"#N/A")</f>
        <v>#N/A</v>
      </c>
      <c r="K875" s="100"/>
      <c r="L875" s="101"/>
      <c r="M875" s="100"/>
      <c r="N875" s="94"/>
      <c r="O875" s="93"/>
      <c r="P875" s="180"/>
      <c r="Q875" s="99"/>
    </row>
    <row r="876" ht="13.5" customHeight="1">
      <c r="A876" s="88"/>
      <c r="B876" s="88"/>
      <c r="C876" s="90"/>
      <c r="D876" s="92"/>
      <c r="E876" s="92"/>
      <c r="F876" s="93"/>
      <c r="G876" s="92"/>
      <c r="H876" s="94"/>
      <c r="I876" s="94"/>
      <c r="J876" s="93" t="str">
        <f>IFERROR(__xludf.DUMMYFUNCTION("""COMPUTED_VALUE"""),"#N/A")</f>
        <v>#N/A</v>
      </c>
      <c r="K876" s="100"/>
      <c r="L876" s="101"/>
      <c r="M876" s="100"/>
      <c r="N876" s="94"/>
      <c r="O876" s="93"/>
      <c r="P876" s="180"/>
      <c r="Q876" s="99"/>
    </row>
    <row r="877" ht="13.5" customHeight="1">
      <c r="A877" s="88"/>
      <c r="B877" s="88"/>
      <c r="C877" s="90"/>
      <c r="D877" s="92"/>
      <c r="E877" s="92"/>
      <c r="F877" s="93"/>
      <c r="G877" s="92"/>
      <c r="H877" s="94"/>
      <c r="I877" s="94"/>
      <c r="J877" s="93" t="str">
        <f>IFERROR(__xludf.DUMMYFUNCTION("""COMPUTED_VALUE"""),"#N/A")</f>
        <v>#N/A</v>
      </c>
      <c r="K877" s="100"/>
      <c r="L877" s="101"/>
      <c r="M877" s="100"/>
      <c r="N877" s="94"/>
      <c r="O877" s="93"/>
      <c r="P877" s="180"/>
      <c r="Q877" s="99"/>
    </row>
    <row r="878" ht="13.5" customHeight="1">
      <c r="A878" s="88"/>
      <c r="B878" s="88"/>
      <c r="C878" s="90"/>
      <c r="D878" s="92"/>
      <c r="E878" s="92"/>
      <c r="F878" s="93"/>
      <c r="G878" s="92"/>
      <c r="H878" s="94"/>
      <c r="I878" s="94"/>
      <c r="J878" s="93" t="str">
        <f>IFERROR(__xludf.DUMMYFUNCTION("""COMPUTED_VALUE"""),"#N/A")</f>
        <v>#N/A</v>
      </c>
      <c r="K878" s="100"/>
      <c r="L878" s="101"/>
      <c r="M878" s="100"/>
      <c r="N878" s="94"/>
      <c r="O878" s="93"/>
      <c r="P878" s="180"/>
      <c r="Q878" s="99"/>
    </row>
    <row r="879" ht="13.5" customHeight="1">
      <c r="A879" s="88"/>
      <c r="B879" s="88"/>
      <c r="C879" s="90"/>
      <c r="D879" s="92"/>
      <c r="E879" s="92"/>
      <c r="F879" s="93"/>
      <c r="G879" s="92"/>
      <c r="H879" s="94"/>
      <c r="I879" s="94"/>
      <c r="J879" s="93" t="str">
        <f>IFERROR(__xludf.DUMMYFUNCTION("""COMPUTED_VALUE"""),"#N/A")</f>
        <v>#N/A</v>
      </c>
      <c r="K879" s="100"/>
      <c r="L879" s="101"/>
      <c r="M879" s="100"/>
      <c r="N879" s="94"/>
      <c r="O879" s="93"/>
      <c r="P879" s="180"/>
      <c r="Q879" s="99"/>
    </row>
    <row r="880" ht="13.5" customHeight="1">
      <c r="A880" s="88"/>
      <c r="B880" s="88"/>
      <c r="C880" s="90"/>
      <c r="D880" s="92"/>
      <c r="E880" s="92"/>
      <c r="F880" s="93"/>
      <c r="G880" s="92"/>
      <c r="H880" s="94"/>
      <c r="I880" s="94"/>
      <c r="J880" s="93" t="str">
        <f>IFERROR(__xludf.DUMMYFUNCTION("""COMPUTED_VALUE"""),"#N/A")</f>
        <v>#N/A</v>
      </c>
      <c r="K880" s="100"/>
      <c r="L880" s="101"/>
      <c r="M880" s="100"/>
      <c r="N880" s="94"/>
      <c r="O880" s="93"/>
      <c r="P880" s="180"/>
      <c r="Q880" s="99"/>
    </row>
    <row r="881" ht="13.5" customHeight="1">
      <c r="A881" s="88"/>
      <c r="B881" s="88"/>
      <c r="C881" s="90"/>
      <c r="D881" s="92"/>
      <c r="E881" s="92"/>
      <c r="F881" s="93"/>
      <c r="G881" s="92"/>
      <c r="H881" s="94"/>
      <c r="I881" s="94"/>
      <c r="J881" s="93" t="str">
        <f>IFERROR(__xludf.DUMMYFUNCTION("""COMPUTED_VALUE"""),"#N/A")</f>
        <v>#N/A</v>
      </c>
      <c r="K881" s="100"/>
      <c r="L881" s="101"/>
      <c r="M881" s="100"/>
      <c r="N881" s="94"/>
      <c r="O881" s="93"/>
      <c r="P881" s="180"/>
      <c r="Q881" s="99"/>
    </row>
    <row r="882" ht="13.5" customHeight="1">
      <c r="A882" s="88"/>
      <c r="B882" s="88"/>
      <c r="C882" s="90"/>
      <c r="D882" s="92"/>
      <c r="E882" s="92"/>
      <c r="F882" s="93"/>
      <c r="G882" s="92"/>
      <c r="H882" s="94"/>
      <c r="I882" s="94"/>
      <c r="J882" s="93" t="str">
        <f>IFERROR(__xludf.DUMMYFUNCTION("""COMPUTED_VALUE"""),"#N/A")</f>
        <v>#N/A</v>
      </c>
      <c r="K882" s="100"/>
      <c r="L882" s="101"/>
      <c r="M882" s="100"/>
      <c r="N882" s="94"/>
      <c r="O882" s="93"/>
      <c r="P882" s="180"/>
      <c r="Q882" s="99"/>
    </row>
    <row r="883" ht="13.5" customHeight="1">
      <c r="A883" s="88"/>
      <c r="B883" s="88"/>
      <c r="C883" s="90"/>
      <c r="D883" s="92"/>
      <c r="E883" s="92"/>
      <c r="F883" s="93"/>
      <c r="G883" s="92"/>
      <c r="H883" s="94"/>
      <c r="I883" s="94"/>
      <c r="J883" s="93" t="str">
        <f>IFERROR(__xludf.DUMMYFUNCTION("""COMPUTED_VALUE"""),"#N/A")</f>
        <v>#N/A</v>
      </c>
      <c r="K883" s="100"/>
      <c r="L883" s="101"/>
      <c r="M883" s="100"/>
      <c r="N883" s="94"/>
      <c r="O883" s="93"/>
      <c r="P883" s="180"/>
      <c r="Q883" s="99"/>
    </row>
    <row r="884" ht="13.5" customHeight="1">
      <c r="A884" s="88"/>
      <c r="B884" s="88"/>
      <c r="C884" s="90"/>
      <c r="D884" s="92"/>
      <c r="E884" s="92"/>
      <c r="F884" s="93"/>
      <c r="G884" s="92"/>
      <c r="H884" s="94"/>
      <c r="I884" s="94"/>
      <c r="J884" s="93" t="str">
        <f>IFERROR(__xludf.DUMMYFUNCTION("""COMPUTED_VALUE"""),"#N/A")</f>
        <v>#N/A</v>
      </c>
      <c r="K884" s="100"/>
      <c r="L884" s="101"/>
      <c r="M884" s="100"/>
      <c r="N884" s="94"/>
      <c r="O884" s="93"/>
      <c r="P884" s="180"/>
      <c r="Q884" s="99"/>
    </row>
    <row r="885" ht="13.5" customHeight="1">
      <c r="A885" s="88"/>
      <c r="B885" s="88"/>
      <c r="C885" s="90"/>
      <c r="D885" s="92"/>
      <c r="E885" s="92"/>
      <c r="F885" s="93"/>
      <c r="G885" s="92"/>
      <c r="H885" s="94"/>
      <c r="I885" s="94"/>
      <c r="J885" s="93" t="str">
        <f>IFERROR(__xludf.DUMMYFUNCTION("""COMPUTED_VALUE"""),"#N/A")</f>
        <v>#N/A</v>
      </c>
      <c r="K885" s="100"/>
      <c r="L885" s="101"/>
      <c r="M885" s="100"/>
      <c r="N885" s="94"/>
      <c r="O885" s="93"/>
      <c r="P885" s="180"/>
      <c r="Q885" s="99"/>
    </row>
    <row r="886" ht="13.5" customHeight="1">
      <c r="A886" s="88"/>
      <c r="B886" s="88"/>
      <c r="C886" s="90"/>
      <c r="D886" s="92"/>
      <c r="E886" s="92"/>
      <c r="F886" s="93"/>
      <c r="G886" s="92"/>
      <c r="H886" s="94"/>
      <c r="I886" s="94"/>
      <c r="J886" s="93" t="str">
        <f>IFERROR(__xludf.DUMMYFUNCTION("""COMPUTED_VALUE"""),"#N/A")</f>
        <v>#N/A</v>
      </c>
      <c r="K886" s="100"/>
      <c r="L886" s="101"/>
      <c r="M886" s="100"/>
      <c r="N886" s="94"/>
      <c r="O886" s="93"/>
      <c r="P886" s="180"/>
      <c r="Q886" s="99"/>
    </row>
    <row r="887" ht="13.5" customHeight="1">
      <c r="A887" s="88"/>
      <c r="B887" s="88"/>
      <c r="C887" s="90"/>
      <c r="D887" s="92"/>
      <c r="E887" s="92"/>
      <c r="F887" s="93"/>
      <c r="G887" s="92"/>
      <c r="H887" s="94"/>
      <c r="I887" s="94"/>
      <c r="J887" s="93" t="str">
        <f>IFERROR(__xludf.DUMMYFUNCTION("""COMPUTED_VALUE"""),"#N/A")</f>
        <v>#N/A</v>
      </c>
      <c r="K887" s="100"/>
      <c r="L887" s="101"/>
      <c r="M887" s="100"/>
      <c r="N887" s="94"/>
      <c r="O887" s="93"/>
      <c r="P887" s="180"/>
      <c r="Q887" s="99"/>
    </row>
    <row r="888" ht="13.5" customHeight="1">
      <c r="A888" s="88"/>
      <c r="B888" s="88"/>
      <c r="C888" s="90"/>
      <c r="D888" s="92"/>
      <c r="E888" s="92"/>
      <c r="F888" s="93"/>
      <c r="G888" s="92"/>
      <c r="H888" s="94"/>
      <c r="I888" s="94"/>
      <c r="J888" s="93" t="str">
        <f>IFERROR(__xludf.DUMMYFUNCTION("""COMPUTED_VALUE"""),"#N/A")</f>
        <v>#N/A</v>
      </c>
      <c r="K888" s="100"/>
      <c r="L888" s="101"/>
      <c r="M888" s="100"/>
      <c r="N888" s="94"/>
      <c r="O888" s="93"/>
      <c r="P888" s="180"/>
      <c r="Q888" s="99"/>
    </row>
    <row r="889" ht="13.5" customHeight="1">
      <c r="A889" s="88"/>
      <c r="B889" s="88"/>
      <c r="C889" s="90"/>
      <c r="D889" s="92"/>
      <c r="E889" s="92"/>
      <c r="F889" s="93"/>
      <c r="G889" s="92"/>
      <c r="H889" s="94"/>
      <c r="I889" s="94"/>
      <c r="J889" s="93" t="str">
        <f>IFERROR(__xludf.DUMMYFUNCTION("""COMPUTED_VALUE"""),"#N/A")</f>
        <v>#N/A</v>
      </c>
      <c r="K889" s="100"/>
      <c r="L889" s="101"/>
      <c r="M889" s="100"/>
      <c r="N889" s="94"/>
      <c r="O889" s="93"/>
      <c r="P889" s="180"/>
      <c r="Q889" s="99"/>
    </row>
    <row r="890" ht="13.5" customHeight="1">
      <c r="A890" s="88"/>
      <c r="B890" s="88"/>
      <c r="C890" s="90"/>
      <c r="D890" s="92"/>
      <c r="E890" s="92"/>
      <c r="F890" s="93"/>
      <c r="G890" s="92"/>
      <c r="H890" s="94"/>
      <c r="I890" s="94"/>
      <c r="J890" s="93" t="str">
        <f>IFERROR(__xludf.DUMMYFUNCTION("""COMPUTED_VALUE"""),"#N/A")</f>
        <v>#N/A</v>
      </c>
      <c r="K890" s="100"/>
      <c r="L890" s="101"/>
      <c r="M890" s="100"/>
      <c r="N890" s="94"/>
      <c r="O890" s="93"/>
      <c r="P890" s="180"/>
      <c r="Q890" s="99"/>
    </row>
    <row r="891" ht="13.5" customHeight="1">
      <c r="A891" s="88"/>
      <c r="B891" s="88"/>
      <c r="C891" s="90"/>
      <c r="D891" s="92"/>
      <c r="E891" s="92"/>
      <c r="F891" s="93"/>
      <c r="G891" s="92"/>
      <c r="H891" s="94"/>
      <c r="I891" s="94"/>
      <c r="J891" s="93" t="str">
        <f>IFERROR(__xludf.DUMMYFUNCTION("""COMPUTED_VALUE"""),"#N/A")</f>
        <v>#N/A</v>
      </c>
      <c r="K891" s="100"/>
      <c r="L891" s="101"/>
      <c r="M891" s="100"/>
      <c r="N891" s="94"/>
      <c r="O891" s="93"/>
      <c r="P891" s="180"/>
      <c r="Q891" s="99"/>
    </row>
    <row r="892" ht="13.5" customHeight="1">
      <c r="A892" s="88"/>
      <c r="B892" s="88"/>
      <c r="C892" s="90"/>
      <c r="D892" s="92"/>
      <c r="E892" s="92"/>
      <c r="F892" s="93"/>
      <c r="G892" s="92"/>
      <c r="H892" s="94"/>
      <c r="I892" s="94"/>
      <c r="J892" s="93" t="str">
        <f>IFERROR(__xludf.DUMMYFUNCTION("""COMPUTED_VALUE"""),"#N/A")</f>
        <v>#N/A</v>
      </c>
      <c r="K892" s="100"/>
      <c r="L892" s="101"/>
      <c r="M892" s="100"/>
      <c r="N892" s="94"/>
      <c r="O892" s="93"/>
      <c r="P892" s="180"/>
      <c r="Q892" s="99"/>
    </row>
    <row r="893" ht="13.5" customHeight="1">
      <c r="A893" s="88"/>
      <c r="B893" s="88"/>
      <c r="C893" s="90"/>
      <c r="D893" s="92"/>
      <c r="E893" s="92"/>
      <c r="F893" s="93"/>
      <c r="G893" s="92"/>
      <c r="H893" s="94"/>
      <c r="I893" s="94"/>
      <c r="J893" s="93" t="str">
        <f>IFERROR(__xludf.DUMMYFUNCTION("""COMPUTED_VALUE"""),"#N/A")</f>
        <v>#N/A</v>
      </c>
      <c r="K893" s="100"/>
      <c r="L893" s="101"/>
      <c r="M893" s="100"/>
      <c r="N893" s="94"/>
      <c r="O893" s="93"/>
      <c r="P893" s="180"/>
      <c r="Q893" s="99"/>
    </row>
    <row r="894" ht="13.5" customHeight="1">
      <c r="A894" s="88"/>
      <c r="B894" s="88"/>
      <c r="C894" s="90"/>
      <c r="D894" s="92"/>
      <c r="E894" s="92"/>
      <c r="F894" s="93"/>
      <c r="G894" s="92"/>
      <c r="H894" s="94"/>
      <c r="I894" s="94"/>
      <c r="J894" s="93" t="str">
        <f>IFERROR(__xludf.DUMMYFUNCTION("""COMPUTED_VALUE"""),"#N/A")</f>
        <v>#N/A</v>
      </c>
      <c r="K894" s="100"/>
      <c r="L894" s="101"/>
      <c r="M894" s="100"/>
      <c r="N894" s="94"/>
      <c r="O894" s="93"/>
      <c r="P894" s="180"/>
      <c r="Q894" s="99"/>
    </row>
    <row r="895" ht="13.5" customHeight="1">
      <c r="A895" s="88"/>
      <c r="B895" s="88"/>
      <c r="C895" s="90"/>
      <c r="D895" s="92"/>
      <c r="E895" s="92"/>
      <c r="F895" s="93"/>
      <c r="G895" s="92"/>
      <c r="H895" s="94"/>
      <c r="I895" s="94"/>
      <c r="J895" s="93" t="str">
        <f>IFERROR(__xludf.DUMMYFUNCTION("""COMPUTED_VALUE"""),"#N/A")</f>
        <v>#N/A</v>
      </c>
      <c r="K895" s="100"/>
      <c r="L895" s="101"/>
      <c r="M895" s="100"/>
      <c r="N895" s="94"/>
      <c r="O895" s="93"/>
      <c r="P895" s="180"/>
      <c r="Q895" s="99"/>
    </row>
    <row r="896" ht="13.5" customHeight="1">
      <c r="A896" s="88"/>
      <c r="B896" s="88"/>
      <c r="C896" s="90"/>
      <c r="D896" s="92"/>
      <c r="E896" s="92"/>
      <c r="F896" s="93"/>
      <c r="G896" s="92"/>
      <c r="H896" s="94"/>
      <c r="I896" s="94"/>
      <c r="J896" s="93" t="str">
        <f>IFERROR(__xludf.DUMMYFUNCTION("""COMPUTED_VALUE"""),"#N/A")</f>
        <v>#N/A</v>
      </c>
      <c r="K896" s="100"/>
      <c r="L896" s="101"/>
      <c r="M896" s="100"/>
      <c r="N896" s="94"/>
      <c r="O896" s="93"/>
      <c r="P896" s="180"/>
      <c r="Q896" s="99"/>
    </row>
    <row r="897" ht="13.5" customHeight="1">
      <c r="A897" s="88"/>
      <c r="B897" s="88"/>
      <c r="C897" s="90"/>
      <c r="D897" s="92"/>
      <c r="E897" s="92"/>
      <c r="F897" s="93"/>
      <c r="G897" s="92"/>
      <c r="H897" s="94"/>
      <c r="I897" s="94"/>
      <c r="J897" s="93" t="str">
        <f>IFERROR(__xludf.DUMMYFUNCTION("""COMPUTED_VALUE"""),"#N/A")</f>
        <v>#N/A</v>
      </c>
      <c r="K897" s="100"/>
      <c r="L897" s="101"/>
      <c r="M897" s="100"/>
      <c r="N897" s="94"/>
      <c r="O897" s="93"/>
      <c r="P897" s="180"/>
      <c r="Q897" s="99"/>
    </row>
    <row r="898" ht="13.5" customHeight="1">
      <c r="A898" s="88"/>
      <c r="B898" s="88"/>
      <c r="C898" s="90"/>
      <c r="D898" s="92"/>
      <c r="E898" s="92"/>
      <c r="F898" s="93"/>
      <c r="G898" s="92"/>
      <c r="H898" s="94"/>
      <c r="I898" s="94"/>
      <c r="J898" s="93" t="str">
        <f>IFERROR(__xludf.DUMMYFUNCTION("""COMPUTED_VALUE"""),"#N/A")</f>
        <v>#N/A</v>
      </c>
      <c r="K898" s="100"/>
      <c r="L898" s="101"/>
      <c r="M898" s="100"/>
      <c r="N898" s="94"/>
      <c r="O898" s="93"/>
      <c r="P898" s="180"/>
      <c r="Q898" s="99"/>
    </row>
    <row r="899" ht="13.5" customHeight="1">
      <c r="A899" s="88"/>
      <c r="B899" s="88"/>
      <c r="C899" s="90"/>
      <c r="D899" s="92"/>
      <c r="E899" s="92"/>
      <c r="F899" s="93"/>
      <c r="G899" s="92"/>
      <c r="H899" s="94"/>
      <c r="I899" s="94"/>
      <c r="J899" s="93" t="str">
        <f>IFERROR(__xludf.DUMMYFUNCTION("""COMPUTED_VALUE"""),"#N/A")</f>
        <v>#N/A</v>
      </c>
      <c r="K899" s="100"/>
      <c r="L899" s="101"/>
      <c r="M899" s="100"/>
      <c r="N899" s="94"/>
      <c r="O899" s="93"/>
      <c r="P899" s="180"/>
      <c r="Q899" s="99"/>
    </row>
    <row r="900" ht="13.5" customHeight="1">
      <c r="A900" s="88"/>
      <c r="B900" s="88"/>
      <c r="C900" s="90"/>
      <c r="D900" s="92"/>
      <c r="E900" s="92"/>
      <c r="F900" s="93"/>
      <c r="G900" s="92"/>
      <c r="H900" s="94"/>
      <c r="I900" s="94"/>
      <c r="J900" s="93" t="str">
        <f>IFERROR(__xludf.DUMMYFUNCTION("""COMPUTED_VALUE"""),"#N/A")</f>
        <v>#N/A</v>
      </c>
      <c r="K900" s="100"/>
      <c r="L900" s="101"/>
      <c r="M900" s="100"/>
      <c r="N900" s="94"/>
      <c r="O900" s="93"/>
      <c r="P900" s="180"/>
      <c r="Q900" s="99"/>
    </row>
    <row r="901" ht="13.5" customHeight="1">
      <c r="A901" s="88"/>
      <c r="B901" s="88"/>
      <c r="C901" s="90"/>
      <c r="D901" s="92"/>
      <c r="E901" s="92"/>
      <c r="F901" s="93"/>
      <c r="G901" s="92"/>
      <c r="H901" s="94"/>
      <c r="I901" s="94"/>
      <c r="J901" s="93" t="str">
        <f>IFERROR(__xludf.DUMMYFUNCTION("""COMPUTED_VALUE"""),"#N/A")</f>
        <v>#N/A</v>
      </c>
      <c r="K901" s="100"/>
      <c r="L901" s="101"/>
      <c r="M901" s="100"/>
      <c r="N901" s="94"/>
      <c r="O901" s="93"/>
      <c r="P901" s="180"/>
      <c r="Q901" s="99"/>
    </row>
    <row r="902" ht="13.5" customHeight="1">
      <c r="A902" s="88"/>
      <c r="B902" s="88"/>
      <c r="C902" s="90"/>
      <c r="D902" s="92"/>
      <c r="E902" s="92"/>
      <c r="F902" s="93"/>
      <c r="G902" s="92"/>
      <c r="H902" s="94"/>
      <c r="I902" s="94"/>
      <c r="J902" s="93" t="str">
        <f>IFERROR(__xludf.DUMMYFUNCTION("""COMPUTED_VALUE"""),"#N/A")</f>
        <v>#N/A</v>
      </c>
      <c r="K902" s="100"/>
      <c r="L902" s="101"/>
      <c r="M902" s="100"/>
      <c r="N902" s="94"/>
      <c r="O902" s="93"/>
      <c r="P902" s="180"/>
      <c r="Q902" s="99"/>
    </row>
    <row r="903" ht="13.5" customHeight="1">
      <c r="A903" s="88"/>
      <c r="B903" s="88"/>
      <c r="C903" s="90"/>
      <c r="D903" s="92"/>
      <c r="E903" s="92"/>
      <c r="F903" s="93"/>
      <c r="G903" s="92"/>
      <c r="H903" s="94"/>
      <c r="I903" s="94"/>
      <c r="J903" s="93" t="str">
        <f>IFERROR(__xludf.DUMMYFUNCTION("""COMPUTED_VALUE"""),"#N/A")</f>
        <v>#N/A</v>
      </c>
      <c r="K903" s="100"/>
      <c r="L903" s="101"/>
      <c r="M903" s="100"/>
      <c r="N903" s="94"/>
      <c r="O903" s="93"/>
      <c r="P903" s="180"/>
      <c r="Q903" s="99"/>
    </row>
    <row r="904" ht="13.5" customHeight="1">
      <c r="A904" s="88"/>
      <c r="B904" s="88"/>
      <c r="C904" s="90"/>
      <c r="D904" s="92"/>
      <c r="E904" s="92"/>
      <c r="F904" s="93"/>
      <c r="G904" s="92"/>
      <c r="H904" s="94"/>
      <c r="I904" s="94"/>
      <c r="J904" s="93" t="str">
        <f>IFERROR(__xludf.DUMMYFUNCTION("""COMPUTED_VALUE"""),"#N/A")</f>
        <v>#N/A</v>
      </c>
      <c r="K904" s="100"/>
      <c r="L904" s="101"/>
      <c r="M904" s="100"/>
      <c r="N904" s="94"/>
      <c r="O904" s="93"/>
      <c r="P904" s="180"/>
      <c r="Q904" s="99"/>
    </row>
    <row r="905" ht="13.5" customHeight="1">
      <c r="A905" s="88"/>
      <c r="B905" s="88"/>
      <c r="C905" s="90"/>
      <c r="D905" s="92"/>
      <c r="E905" s="92"/>
      <c r="F905" s="93"/>
      <c r="G905" s="92"/>
      <c r="H905" s="94"/>
      <c r="I905" s="94"/>
      <c r="J905" s="93" t="str">
        <f>IFERROR(__xludf.DUMMYFUNCTION("""COMPUTED_VALUE"""),"#N/A")</f>
        <v>#N/A</v>
      </c>
      <c r="K905" s="100"/>
      <c r="L905" s="101"/>
      <c r="M905" s="100"/>
      <c r="N905" s="94"/>
      <c r="O905" s="93"/>
      <c r="P905" s="180"/>
      <c r="Q905" s="99"/>
    </row>
    <row r="906" ht="13.5" customHeight="1">
      <c r="A906" s="88"/>
      <c r="B906" s="88"/>
      <c r="C906" s="90"/>
      <c r="D906" s="92"/>
      <c r="E906" s="92"/>
      <c r="F906" s="93"/>
      <c r="G906" s="92"/>
      <c r="H906" s="94"/>
      <c r="I906" s="94"/>
      <c r="J906" s="93" t="str">
        <f>IFERROR(__xludf.DUMMYFUNCTION("""COMPUTED_VALUE"""),"#N/A")</f>
        <v>#N/A</v>
      </c>
      <c r="K906" s="100"/>
      <c r="L906" s="101"/>
      <c r="M906" s="100"/>
      <c r="N906" s="94"/>
      <c r="O906" s="93"/>
      <c r="P906" s="180"/>
      <c r="Q906" s="99"/>
    </row>
    <row r="907" ht="13.5" customHeight="1">
      <c r="A907" s="88"/>
      <c r="B907" s="88"/>
      <c r="C907" s="90"/>
      <c r="D907" s="92"/>
      <c r="E907" s="92"/>
      <c r="F907" s="93"/>
      <c r="G907" s="92"/>
      <c r="H907" s="94"/>
      <c r="I907" s="94"/>
      <c r="J907" s="93" t="str">
        <f>IFERROR(__xludf.DUMMYFUNCTION("""COMPUTED_VALUE"""),"#N/A")</f>
        <v>#N/A</v>
      </c>
      <c r="K907" s="100"/>
      <c r="L907" s="101"/>
      <c r="M907" s="100"/>
      <c r="N907" s="94"/>
      <c r="O907" s="93"/>
      <c r="P907" s="180"/>
      <c r="Q907" s="99"/>
    </row>
    <row r="908" ht="13.5" customHeight="1">
      <c r="A908" s="88"/>
      <c r="B908" s="88"/>
      <c r="C908" s="90"/>
      <c r="D908" s="92"/>
      <c r="E908" s="92"/>
      <c r="F908" s="93"/>
      <c r="G908" s="92"/>
      <c r="H908" s="94"/>
      <c r="I908" s="94"/>
      <c r="J908" s="93" t="str">
        <f>IFERROR(__xludf.DUMMYFUNCTION("""COMPUTED_VALUE"""),"#N/A")</f>
        <v>#N/A</v>
      </c>
      <c r="K908" s="100"/>
      <c r="L908" s="101"/>
      <c r="M908" s="100"/>
      <c r="N908" s="94"/>
      <c r="O908" s="93"/>
      <c r="P908" s="180"/>
      <c r="Q908" s="99"/>
    </row>
    <row r="909" ht="13.5" customHeight="1">
      <c r="A909" s="88"/>
      <c r="B909" s="88"/>
      <c r="C909" s="90"/>
      <c r="D909" s="92"/>
      <c r="E909" s="92"/>
      <c r="F909" s="93"/>
      <c r="G909" s="92"/>
      <c r="H909" s="94"/>
      <c r="I909" s="94"/>
      <c r="J909" s="93" t="str">
        <f>IFERROR(__xludf.DUMMYFUNCTION("""COMPUTED_VALUE"""),"#N/A")</f>
        <v>#N/A</v>
      </c>
      <c r="K909" s="100"/>
      <c r="L909" s="101"/>
      <c r="M909" s="100"/>
      <c r="N909" s="94"/>
      <c r="O909" s="93"/>
      <c r="P909" s="180"/>
      <c r="Q909" s="99"/>
    </row>
    <row r="910" ht="13.5" customHeight="1">
      <c r="A910" s="88"/>
      <c r="B910" s="88"/>
      <c r="C910" s="90"/>
      <c r="D910" s="92"/>
      <c r="E910" s="92"/>
      <c r="F910" s="93"/>
      <c r="G910" s="92"/>
      <c r="H910" s="94"/>
      <c r="I910" s="94"/>
      <c r="J910" s="93" t="str">
        <f>IFERROR(__xludf.DUMMYFUNCTION("""COMPUTED_VALUE"""),"#N/A")</f>
        <v>#N/A</v>
      </c>
      <c r="K910" s="100"/>
      <c r="L910" s="101"/>
      <c r="M910" s="100"/>
      <c r="N910" s="94"/>
      <c r="O910" s="93"/>
      <c r="P910" s="180"/>
      <c r="Q910" s="99"/>
    </row>
    <row r="911" ht="13.5" customHeight="1">
      <c r="A911" s="88"/>
      <c r="B911" s="88"/>
      <c r="C911" s="90"/>
      <c r="D911" s="92"/>
      <c r="E911" s="92"/>
      <c r="F911" s="93"/>
      <c r="G911" s="92"/>
      <c r="H911" s="94"/>
      <c r="I911" s="94"/>
      <c r="J911" s="93" t="str">
        <f>IFERROR(__xludf.DUMMYFUNCTION("""COMPUTED_VALUE"""),"#N/A")</f>
        <v>#N/A</v>
      </c>
      <c r="K911" s="100"/>
      <c r="L911" s="101"/>
      <c r="M911" s="100"/>
      <c r="N911" s="94"/>
      <c r="O911" s="93"/>
      <c r="P911" s="180"/>
      <c r="Q911" s="99"/>
    </row>
    <row r="912" ht="13.5" customHeight="1">
      <c r="A912" s="88"/>
      <c r="B912" s="88"/>
      <c r="C912" s="90"/>
      <c r="D912" s="92"/>
      <c r="E912" s="92"/>
      <c r="F912" s="93"/>
      <c r="G912" s="92"/>
      <c r="H912" s="94"/>
      <c r="I912" s="94"/>
      <c r="J912" s="93" t="str">
        <f>IFERROR(__xludf.DUMMYFUNCTION("""COMPUTED_VALUE"""),"#N/A")</f>
        <v>#N/A</v>
      </c>
      <c r="K912" s="100"/>
      <c r="L912" s="101"/>
      <c r="M912" s="100"/>
      <c r="N912" s="94"/>
      <c r="O912" s="93"/>
      <c r="P912" s="180"/>
      <c r="Q912" s="99"/>
    </row>
    <row r="913" ht="13.5" customHeight="1">
      <c r="A913" s="88"/>
      <c r="B913" s="88"/>
      <c r="C913" s="90"/>
      <c r="D913" s="92"/>
      <c r="E913" s="92"/>
      <c r="F913" s="93"/>
      <c r="G913" s="92"/>
      <c r="H913" s="94"/>
      <c r="I913" s="94"/>
      <c r="J913" s="93" t="str">
        <f>IFERROR(__xludf.DUMMYFUNCTION("""COMPUTED_VALUE"""),"#N/A")</f>
        <v>#N/A</v>
      </c>
      <c r="K913" s="100"/>
      <c r="L913" s="101"/>
      <c r="M913" s="100"/>
      <c r="N913" s="94"/>
      <c r="O913" s="93"/>
      <c r="P913" s="180"/>
      <c r="Q913" s="99"/>
    </row>
    <row r="914" ht="13.5" customHeight="1">
      <c r="A914" s="88"/>
      <c r="B914" s="88"/>
      <c r="C914" s="90"/>
      <c r="D914" s="92"/>
      <c r="E914" s="92"/>
      <c r="F914" s="93"/>
      <c r="G914" s="92"/>
      <c r="H914" s="94"/>
      <c r="I914" s="94"/>
      <c r="J914" s="93" t="str">
        <f>IFERROR(__xludf.DUMMYFUNCTION("""COMPUTED_VALUE"""),"#N/A")</f>
        <v>#N/A</v>
      </c>
      <c r="K914" s="100"/>
      <c r="L914" s="101"/>
      <c r="M914" s="100"/>
      <c r="N914" s="94"/>
      <c r="O914" s="93"/>
      <c r="P914" s="180"/>
      <c r="Q914" s="99"/>
    </row>
    <row r="915" ht="13.5" customHeight="1">
      <c r="A915" s="88"/>
      <c r="B915" s="88"/>
      <c r="C915" s="90"/>
      <c r="D915" s="92"/>
      <c r="E915" s="92"/>
      <c r="F915" s="93"/>
      <c r="G915" s="92"/>
      <c r="H915" s="94"/>
      <c r="I915" s="94"/>
      <c r="J915" s="93" t="str">
        <f>IFERROR(__xludf.DUMMYFUNCTION("""COMPUTED_VALUE"""),"#N/A")</f>
        <v>#N/A</v>
      </c>
      <c r="K915" s="100"/>
      <c r="L915" s="101"/>
      <c r="M915" s="100"/>
      <c r="N915" s="94"/>
      <c r="O915" s="93"/>
      <c r="P915" s="180"/>
      <c r="Q915" s="99"/>
    </row>
    <row r="916" ht="13.5" customHeight="1">
      <c r="A916" s="88"/>
      <c r="B916" s="88"/>
      <c r="C916" s="90"/>
      <c r="D916" s="92"/>
      <c r="E916" s="92"/>
      <c r="F916" s="93"/>
      <c r="G916" s="92"/>
      <c r="H916" s="94"/>
      <c r="I916" s="94"/>
      <c r="J916" s="93" t="str">
        <f>IFERROR(__xludf.DUMMYFUNCTION("""COMPUTED_VALUE"""),"#N/A")</f>
        <v>#N/A</v>
      </c>
      <c r="K916" s="100"/>
      <c r="L916" s="101"/>
      <c r="M916" s="100"/>
      <c r="N916" s="94"/>
      <c r="O916" s="93"/>
      <c r="P916" s="180"/>
      <c r="Q916" s="99"/>
    </row>
    <row r="917" ht="13.5" customHeight="1">
      <c r="A917" s="88"/>
      <c r="B917" s="88"/>
      <c r="C917" s="90"/>
      <c r="D917" s="92"/>
      <c r="E917" s="92"/>
      <c r="F917" s="93"/>
      <c r="G917" s="92"/>
      <c r="H917" s="94"/>
      <c r="I917" s="94"/>
      <c r="J917" s="93" t="str">
        <f>IFERROR(__xludf.DUMMYFUNCTION("""COMPUTED_VALUE"""),"#N/A")</f>
        <v>#N/A</v>
      </c>
      <c r="K917" s="100"/>
      <c r="L917" s="101"/>
      <c r="M917" s="100"/>
      <c r="N917" s="94"/>
      <c r="O917" s="93"/>
      <c r="P917" s="180"/>
      <c r="Q917" s="99"/>
    </row>
    <row r="918" ht="13.5" customHeight="1">
      <c r="A918" s="88"/>
      <c r="B918" s="88"/>
      <c r="C918" s="90"/>
      <c r="D918" s="92"/>
      <c r="E918" s="92"/>
      <c r="F918" s="93"/>
      <c r="G918" s="92"/>
      <c r="H918" s="94"/>
      <c r="I918" s="94"/>
      <c r="J918" s="93" t="str">
        <f>IFERROR(__xludf.DUMMYFUNCTION("""COMPUTED_VALUE"""),"#N/A")</f>
        <v>#N/A</v>
      </c>
      <c r="K918" s="100"/>
      <c r="L918" s="101"/>
      <c r="M918" s="100"/>
      <c r="N918" s="94"/>
      <c r="O918" s="93"/>
      <c r="P918" s="180"/>
      <c r="Q918" s="99"/>
    </row>
    <row r="919" ht="13.5" customHeight="1">
      <c r="A919" s="88"/>
      <c r="B919" s="88"/>
      <c r="C919" s="90"/>
      <c r="D919" s="92"/>
      <c r="E919" s="92"/>
      <c r="F919" s="93"/>
      <c r="G919" s="92"/>
      <c r="H919" s="94"/>
      <c r="I919" s="94"/>
      <c r="J919" s="93" t="str">
        <f>IFERROR(__xludf.DUMMYFUNCTION("""COMPUTED_VALUE"""),"#N/A")</f>
        <v>#N/A</v>
      </c>
      <c r="K919" s="100"/>
      <c r="L919" s="101"/>
      <c r="M919" s="100"/>
      <c r="N919" s="94"/>
      <c r="O919" s="93"/>
      <c r="P919" s="180"/>
      <c r="Q919" s="99"/>
    </row>
    <row r="920" ht="13.5" customHeight="1">
      <c r="A920" s="88"/>
      <c r="B920" s="88"/>
      <c r="C920" s="90"/>
      <c r="D920" s="92"/>
      <c r="E920" s="92"/>
      <c r="F920" s="93"/>
      <c r="G920" s="92"/>
      <c r="H920" s="94"/>
      <c r="I920" s="94"/>
      <c r="J920" s="93" t="str">
        <f>IFERROR(__xludf.DUMMYFUNCTION("""COMPUTED_VALUE"""),"#N/A")</f>
        <v>#N/A</v>
      </c>
      <c r="K920" s="100"/>
      <c r="L920" s="101"/>
      <c r="M920" s="100"/>
      <c r="N920" s="94"/>
      <c r="O920" s="93"/>
      <c r="P920" s="180"/>
      <c r="Q920" s="99"/>
    </row>
    <row r="921" ht="13.5" customHeight="1">
      <c r="A921" s="88"/>
      <c r="B921" s="88"/>
      <c r="C921" s="90"/>
      <c r="D921" s="92"/>
      <c r="E921" s="92"/>
      <c r="F921" s="93"/>
      <c r="G921" s="92"/>
      <c r="H921" s="94"/>
      <c r="I921" s="94"/>
      <c r="J921" s="93" t="str">
        <f>IFERROR(__xludf.DUMMYFUNCTION("""COMPUTED_VALUE"""),"#N/A")</f>
        <v>#N/A</v>
      </c>
      <c r="K921" s="100"/>
      <c r="L921" s="101"/>
      <c r="M921" s="100"/>
      <c r="N921" s="94"/>
      <c r="O921" s="93"/>
      <c r="P921" s="180"/>
      <c r="Q921" s="99"/>
    </row>
    <row r="922" ht="13.5" customHeight="1">
      <c r="A922" s="88"/>
      <c r="B922" s="88"/>
      <c r="C922" s="90"/>
      <c r="D922" s="92"/>
      <c r="E922" s="92"/>
      <c r="F922" s="93"/>
      <c r="G922" s="92"/>
      <c r="H922" s="94"/>
      <c r="I922" s="94"/>
      <c r="J922" s="93" t="str">
        <f>IFERROR(__xludf.DUMMYFUNCTION("""COMPUTED_VALUE"""),"#N/A")</f>
        <v>#N/A</v>
      </c>
      <c r="K922" s="100"/>
      <c r="L922" s="101"/>
      <c r="M922" s="100"/>
      <c r="N922" s="94"/>
      <c r="O922" s="93"/>
      <c r="P922" s="180"/>
      <c r="Q922" s="99"/>
    </row>
    <row r="923" ht="13.5" customHeight="1">
      <c r="A923" s="88"/>
      <c r="B923" s="88"/>
      <c r="C923" s="90"/>
      <c r="D923" s="92"/>
      <c r="E923" s="92"/>
      <c r="F923" s="93"/>
      <c r="G923" s="92"/>
      <c r="H923" s="94"/>
      <c r="I923" s="94"/>
      <c r="J923" s="93" t="str">
        <f>IFERROR(__xludf.DUMMYFUNCTION("""COMPUTED_VALUE"""),"#N/A")</f>
        <v>#N/A</v>
      </c>
      <c r="K923" s="100"/>
      <c r="L923" s="101"/>
      <c r="M923" s="100"/>
      <c r="N923" s="94"/>
      <c r="O923" s="93"/>
      <c r="P923" s="180"/>
      <c r="Q923" s="99"/>
    </row>
    <row r="924" ht="13.5" customHeight="1">
      <c r="A924" s="88"/>
      <c r="B924" s="88"/>
      <c r="C924" s="90"/>
      <c r="D924" s="92"/>
      <c r="E924" s="92"/>
      <c r="F924" s="93"/>
      <c r="G924" s="92"/>
      <c r="H924" s="94"/>
      <c r="I924" s="94"/>
      <c r="J924" s="93" t="str">
        <f>IFERROR(__xludf.DUMMYFUNCTION("""COMPUTED_VALUE"""),"#N/A")</f>
        <v>#N/A</v>
      </c>
      <c r="K924" s="100"/>
      <c r="L924" s="101"/>
      <c r="M924" s="100"/>
      <c r="N924" s="94"/>
      <c r="O924" s="93"/>
      <c r="P924" s="180"/>
      <c r="Q924" s="99"/>
    </row>
    <row r="925" ht="13.5" customHeight="1">
      <c r="A925" s="88"/>
      <c r="B925" s="88"/>
      <c r="C925" s="90"/>
      <c r="D925" s="92"/>
      <c r="E925" s="92"/>
      <c r="F925" s="93"/>
      <c r="G925" s="92"/>
      <c r="H925" s="94"/>
      <c r="I925" s="94"/>
      <c r="J925" s="93" t="str">
        <f>IFERROR(__xludf.DUMMYFUNCTION("""COMPUTED_VALUE"""),"#N/A")</f>
        <v>#N/A</v>
      </c>
      <c r="K925" s="100"/>
      <c r="L925" s="101"/>
      <c r="M925" s="100"/>
      <c r="N925" s="94"/>
      <c r="O925" s="93"/>
      <c r="P925" s="180"/>
      <c r="Q925" s="99"/>
    </row>
    <row r="926" ht="13.5" customHeight="1">
      <c r="A926" s="88"/>
      <c r="B926" s="88"/>
      <c r="C926" s="90"/>
      <c r="D926" s="92"/>
      <c r="E926" s="92"/>
      <c r="F926" s="93"/>
      <c r="G926" s="92"/>
      <c r="H926" s="94"/>
      <c r="I926" s="94"/>
      <c r="J926" s="93" t="str">
        <f>IFERROR(__xludf.DUMMYFUNCTION("""COMPUTED_VALUE"""),"#N/A")</f>
        <v>#N/A</v>
      </c>
      <c r="K926" s="100"/>
      <c r="L926" s="101"/>
      <c r="M926" s="100"/>
      <c r="N926" s="94"/>
      <c r="O926" s="93"/>
      <c r="P926" s="180"/>
      <c r="Q926" s="99"/>
    </row>
    <row r="927" ht="13.5" customHeight="1">
      <c r="A927" s="88"/>
      <c r="B927" s="88"/>
      <c r="C927" s="90"/>
      <c r="D927" s="92"/>
      <c r="E927" s="92"/>
      <c r="F927" s="93"/>
      <c r="G927" s="92"/>
      <c r="H927" s="94"/>
      <c r="I927" s="94"/>
      <c r="J927" s="93" t="str">
        <f>IFERROR(__xludf.DUMMYFUNCTION("""COMPUTED_VALUE"""),"#N/A")</f>
        <v>#N/A</v>
      </c>
      <c r="K927" s="100"/>
      <c r="L927" s="101"/>
      <c r="M927" s="100"/>
      <c r="N927" s="94"/>
      <c r="O927" s="93"/>
      <c r="P927" s="180"/>
      <c r="Q927" s="99"/>
    </row>
    <row r="928" ht="13.5" customHeight="1">
      <c r="A928" s="88"/>
      <c r="B928" s="88"/>
      <c r="C928" s="90"/>
      <c r="D928" s="92"/>
      <c r="E928" s="92"/>
      <c r="F928" s="93"/>
      <c r="G928" s="92"/>
      <c r="H928" s="94"/>
      <c r="I928" s="94"/>
      <c r="J928" s="93" t="str">
        <f>IFERROR(__xludf.DUMMYFUNCTION("""COMPUTED_VALUE"""),"#N/A")</f>
        <v>#N/A</v>
      </c>
      <c r="K928" s="100"/>
      <c r="L928" s="101"/>
      <c r="M928" s="100"/>
      <c r="N928" s="94"/>
      <c r="O928" s="93"/>
      <c r="P928" s="180"/>
      <c r="Q928" s="99"/>
    </row>
    <row r="929" ht="13.5" customHeight="1">
      <c r="A929" s="88"/>
      <c r="B929" s="88"/>
      <c r="C929" s="90"/>
      <c r="D929" s="92"/>
      <c r="E929" s="92"/>
      <c r="F929" s="93"/>
      <c r="G929" s="92"/>
      <c r="H929" s="94"/>
      <c r="I929" s="94"/>
      <c r="J929" s="93" t="str">
        <f>IFERROR(__xludf.DUMMYFUNCTION("""COMPUTED_VALUE"""),"#N/A")</f>
        <v>#N/A</v>
      </c>
      <c r="K929" s="100"/>
      <c r="L929" s="101"/>
      <c r="M929" s="100"/>
      <c r="N929" s="94"/>
      <c r="O929" s="93"/>
      <c r="P929" s="180"/>
      <c r="Q929" s="99"/>
    </row>
    <row r="930" ht="13.5" customHeight="1">
      <c r="A930" s="88"/>
      <c r="B930" s="88"/>
      <c r="C930" s="90"/>
      <c r="D930" s="92"/>
      <c r="E930" s="92"/>
      <c r="F930" s="93"/>
      <c r="G930" s="92"/>
      <c r="H930" s="94"/>
      <c r="I930" s="94"/>
      <c r="J930" s="93" t="str">
        <f>IFERROR(__xludf.DUMMYFUNCTION("""COMPUTED_VALUE"""),"#N/A")</f>
        <v>#N/A</v>
      </c>
      <c r="K930" s="100"/>
      <c r="L930" s="101"/>
      <c r="M930" s="100"/>
      <c r="N930" s="94"/>
      <c r="O930" s="93"/>
      <c r="P930" s="180"/>
      <c r="Q930" s="99"/>
    </row>
    <row r="931" ht="13.5" customHeight="1">
      <c r="A931" s="88"/>
      <c r="B931" s="88"/>
      <c r="C931" s="90"/>
      <c r="D931" s="92"/>
      <c r="E931" s="92"/>
      <c r="F931" s="93"/>
      <c r="G931" s="92"/>
      <c r="H931" s="94"/>
      <c r="I931" s="94"/>
      <c r="J931" s="93" t="str">
        <f>IFERROR(__xludf.DUMMYFUNCTION("""COMPUTED_VALUE"""),"#N/A")</f>
        <v>#N/A</v>
      </c>
      <c r="K931" s="100"/>
      <c r="L931" s="101"/>
      <c r="M931" s="100"/>
      <c r="N931" s="94"/>
      <c r="O931" s="93"/>
      <c r="P931" s="180"/>
      <c r="Q931" s="99"/>
    </row>
    <row r="932" ht="13.5" customHeight="1">
      <c r="A932" s="88"/>
      <c r="B932" s="88"/>
      <c r="C932" s="90"/>
      <c r="D932" s="92"/>
      <c r="E932" s="92"/>
      <c r="F932" s="93"/>
      <c r="G932" s="92"/>
      <c r="H932" s="94"/>
      <c r="I932" s="94"/>
      <c r="J932" s="93" t="str">
        <f>IFERROR(__xludf.DUMMYFUNCTION("""COMPUTED_VALUE"""),"#N/A")</f>
        <v>#N/A</v>
      </c>
      <c r="K932" s="100"/>
      <c r="L932" s="101"/>
      <c r="M932" s="100"/>
      <c r="N932" s="94"/>
      <c r="O932" s="93"/>
      <c r="P932" s="180"/>
      <c r="Q932" s="99"/>
    </row>
    <row r="933" ht="13.5" customHeight="1">
      <c r="A933" s="88"/>
      <c r="B933" s="88"/>
      <c r="C933" s="90"/>
      <c r="D933" s="92"/>
      <c r="E933" s="92"/>
      <c r="F933" s="93"/>
      <c r="G933" s="92"/>
      <c r="H933" s="94"/>
      <c r="I933" s="94"/>
      <c r="J933" s="93" t="str">
        <f>IFERROR(__xludf.DUMMYFUNCTION("""COMPUTED_VALUE"""),"#N/A")</f>
        <v>#N/A</v>
      </c>
      <c r="K933" s="100"/>
      <c r="L933" s="101"/>
      <c r="M933" s="100"/>
      <c r="N933" s="94"/>
      <c r="O933" s="93"/>
      <c r="P933" s="180"/>
      <c r="Q933" s="99"/>
    </row>
    <row r="934" ht="13.5" customHeight="1">
      <c r="A934" s="88"/>
      <c r="B934" s="88"/>
      <c r="C934" s="90"/>
      <c r="D934" s="92"/>
      <c r="E934" s="92"/>
      <c r="F934" s="93"/>
      <c r="G934" s="92"/>
      <c r="H934" s="94"/>
      <c r="I934" s="94"/>
      <c r="J934" s="93" t="str">
        <f>IFERROR(__xludf.DUMMYFUNCTION("""COMPUTED_VALUE"""),"#N/A")</f>
        <v>#N/A</v>
      </c>
      <c r="K934" s="100"/>
      <c r="L934" s="101"/>
      <c r="M934" s="100"/>
      <c r="N934" s="94"/>
      <c r="O934" s="93"/>
      <c r="P934" s="180"/>
      <c r="Q934" s="99"/>
    </row>
    <row r="935" ht="13.5" customHeight="1">
      <c r="A935" s="88"/>
      <c r="B935" s="88"/>
      <c r="C935" s="90"/>
      <c r="D935" s="92"/>
      <c r="E935" s="92"/>
      <c r="F935" s="93"/>
      <c r="G935" s="92"/>
      <c r="H935" s="94"/>
      <c r="I935" s="94"/>
      <c r="J935" s="93" t="str">
        <f>IFERROR(__xludf.DUMMYFUNCTION("""COMPUTED_VALUE"""),"#N/A")</f>
        <v>#N/A</v>
      </c>
      <c r="K935" s="100"/>
      <c r="L935" s="101"/>
      <c r="M935" s="100"/>
      <c r="N935" s="94"/>
      <c r="O935" s="93"/>
      <c r="P935" s="180"/>
      <c r="Q935" s="99"/>
    </row>
    <row r="936" ht="13.5" customHeight="1">
      <c r="A936" s="88"/>
      <c r="B936" s="88"/>
      <c r="C936" s="90"/>
      <c r="D936" s="92"/>
      <c r="E936" s="92"/>
      <c r="F936" s="93"/>
      <c r="G936" s="92"/>
      <c r="H936" s="94"/>
      <c r="I936" s="94"/>
      <c r="J936" s="93" t="str">
        <f>IFERROR(__xludf.DUMMYFUNCTION("""COMPUTED_VALUE"""),"#N/A")</f>
        <v>#N/A</v>
      </c>
      <c r="K936" s="100"/>
      <c r="L936" s="101"/>
      <c r="M936" s="100"/>
      <c r="N936" s="94"/>
      <c r="O936" s="93"/>
      <c r="P936" s="180"/>
      <c r="Q936" s="99"/>
    </row>
    <row r="937" ht="13.5" customHeight="1">
      <c r="A937" s="88"/>
      <c r="B937" s="88"/>
      <c r="C937" s="90"/>
      <c r="D937" s="92"/>
      <c r="E937" s="92"/>
      <c r="F937" s="93"/>
      <c r="G937" s="92"/>
      <c r="H937" s="94"/>
      <c r="I937" s="94"/>
      <c r="J937" s="93" t="str">
        <f>IFERROR(__xludf.DUMMYFUNCTION("""COMPUTED_VALUE"""),"#N/A")</f>
        <v>#N/A</v>
      </c>
      <c r="K937" s="100"/>
      <c r="L937" s="101"/>
      <c r="M937" s="100"/>
      <c r="N937" s="94"/>
      <c r="O937" s="93"/>
      <c r="P937" s="180"/>
      <c r="Q937" s="99"/>
    </row>
    <row r="938" ht="13.5" customHeight="1">
      <c r="A938" s="88"/>
      <c r="B938" s="88"/>
      <c r="C938" s="90"/>
      <c r="D938" s="92"/>
      <c r="E938" s="92"/>
      <c r="F938" s="93"/>
      <c r="G938" s="92"/>
      <c r="H938" s="94"/>
      <c r="I938" s="94"/>
      <c r="J938" s="93" t="str">
        <f>IFERROR(__xludf.DUMMYFUNCTION("""COMPUTED_VALUE"""),"#N/A")</f>
        <v>#N/A</v>
      </c>
      <c r="K938" s="100"/>
      <c r="L938" s="101"/>
      <c r="M938" s="100"/>
      <c r="N938" s="94"/>
      <c r="O938" s="93"/>
      <c r="P938" s="180"/>
      <c r="Q938" s="99"/>
    </row>
    <row r="939" ht="13.5" customHeight="1">
      <c r="A939" s="88"/>
      <c r="B939" s="88"/>
      <c r="C939" s="90"/>
      <c r="D939" s="92"/>
      <c r="E939" s="92"/>
      <c r="F939" s="93"/>
      <c r="G939" s="92"/>
      <c r="H939" s="94"/>
      <c r="I939" s="94"/>
      <c r="J939" s="93" t="str">
        <f>IFERROR(__xludf.DUMMYFUNCTION("""COMPUTED_VALUE"""),"#N/A")</f>
        <v>#N/A</v>
      </c>
      <c r="K939" s="100"/>
      <c r="L939" s="101"/>
      <c r="M939" s="100"/>
      <c r="N939" s="94"/>
      <c r="O939" s="93"/>
      <c r="P939" s="180"/>
      <c r="Q939" s="99"/>
    </row>
    <row r="940" ht="13.5" customHeight="1">
      <c r="A940" s="88"/>
      <c r="B940" s="88"/>
      <c r="C940" s="90"/>
      <c r="D940" s="92"/>
      <c r="E940" s="92"/>
      <c r="F940" s="93"/>
      <c r="G940" s="92"/>
      <c r="H940" s="94"/>
      <c r="I940" s="94"/>
      <c r="J940" s="93" t="str">
        <f>IFERROR(__xludf.DUMMYFUNCTION("""COMPUTED_VALUE"""),"#N/A")</f>
        <v>#N/A</v>
      </c>
      <c r="K940" s="100"/>
      <c r="L940" s="101"/>
      <c r="M940" s="100"/>
      <c r="N940" s="94"/>
      <c r="O940" s="93"/>
      <c r="P940" s="180"/>
      <c r="Q940" s="99"/>
    </row>
    <row r="941" ht="13.5" customHeight="1">
      <c r="A941" s="88"/>
      <c r="B941" s="88"/>
      <c r="C941" s="90"/>
      <c r="D941" s="92"/>
      <c r="E941" s="92"/>
      <c r="F941" s="93"/>
      <c r="G941" s="92"/>
      <c r="H941" s="94"/>
      <c r="I941" s="94"/>
      <c r="J941" s="93" t="str">
        <f>IFERROR(__xludf.DUMMYFUNCTION("""COMPUTED_VALUE"""),"#N/A")</f>
        <v>#N/A</v>
      </c>
      <c r="K941" s="100"/>
      <c r="L941" s="101"/>
      <c r="M941" s="100"/>
      <c r="N941" s="94"/>
      <c r="O941" s="93"/>
      <c r="P941" s="180"/>
      <c r="Q941" s="99"/>
    </row>
    <row r="942" ht="13.5" customHeight="1">
      <c r="A942" s="88"/>
      <c r="B942" s="88"/>
      <c r="C942" s="90"/>
      <c r="D942" s="92"/>
      <c r="E942" s="92"/>
      <c r="F942" s="93"/>
      <c r="G942" s="92"/>
      <c r="H942" s="94"/>
      <c r="I942" s="94"/>
      <c r="J942" s="93" t="str">
        <f>IFERROR(__xludf.DUMMYFUNCTION("""COMPUTED_VALUE"""),"#N/A")</f>
        <v>#N/A</v>
      </c>
      <c r="K942" s="100"/>
      <c r="L942" s="101"/>
      <c r="M942" s="100"/>
      <c r="N942" s="94"/>
      <c r="O942" s="93"/>
      <c r="P942" s="180"/>
      <c r="Q942" s="99"/>
    </row>
    <row r="943" ht="13.5" customHeight="1">
      <c r="A943" s="88"/>
      <c r="B943" s="88"/>
      <c r="C943" s="90"/>
      <c r="D943" s="92"/>
      <c r="E943" s="92"/>
      <c r="F943" s="93"/>
      <c r="G943" s="92"/>
      <c r="H943" s="94"/>
      <c r="I943" s="94"/>
      <c r="J943" s="93" t="str">
        <f>IFERROR(__xludf.DUMMYFUNCTION("""COMPUTED_VALUE"""),"#N/A")</f>
        <v>#N/A</v>
      </c>
      <c r="K943" s="100"/>
      <c r="L943" s="101"/>
      <c r="M943" s="100"/>
      <c r="N943" s="94"/>
      <c r="O943" s="93"/>
      <c r="P943" s="180"/>
      <c r="Q943" s="99"/>
    </row>
    <row r="944" ht="13.5" customHeight="1">
      <c r="A944" s="88"/>
      <c r="B944" s="88"/>
      <c r="C944" s="90"/>
      <c r="D944" s="92"/>
      <c r="E944" s="92"/>
      <c r="F944" s="93"/>
      <c r="G944" s="92"/>
      <c r="H944" s="94"/>
      <c r="I944" s="94"/>
      <c r="J944" s="93" t="str">
        <f>IFERROR(__xludf.DUMMYFUNCTION("""COMPUTED_VALUE"""),"#N/A")</f>
        <v>#N/A</v>
      </c>
      <c r="K944" s="100"/>
      <c r="L944" s="101"/>
      <c r="M944" s="100"/>
      <c r="N944" s="94"/>
      <c r="O944" s="93"/>
      <c r="P944" s="180"/>
      <c r="Q944" s="99"/>
    </row>
    <row r="945" ht="13.5" customHeight="1">
      <c r="A945" s="88"/>
      <c r="B945" s="88"/>
      <c r="C945" s="90"/>
      <c r="D945" s="92"/>
      <c r="E945" s="92"/>
      <c r="F945" s="93"/>
      <c r="G945" s="92"/>
      <c r="H945" s="94"/>
      <c r="I945" s="94"/>
      <c r="J945" s="93" t="str">
        <f>IFERROR(__xludf.DUMMYFUNCTION("""COMPUTED_VALUE"""),"#N/A")</f>
        <v>#N/A</v>
      </c>
      <c r="K945" s="100"/>
      <c r="L945" s="101"/>
      <c r="M945" s="100"/>
      <c r="N945" s="94"/>
      <c r="O945" s="93"/>
      <c r="P945" s="180"/>
      <c r="Q945" s="99"/>
    </row>
    <row r="946" ht="13.5" customHeight="1">
      <c r="A946" s="88"/>
      <c r="B946" s="88"/>
      <c r="C946" s="90"/>
      <c r="D946" s="92"/>
      <c r="E946" s="92"/>
      <c r="F946" s="93"/>
      <c r="G946" s="92"/>
      <c r="H946" s="94"/>
      <c r="I946" s="94"/>
      <c r="J946" s="93" t="str">
        <f>IFERROR(__xludf.DUMMYFUNCTION("""COMPUTED_VALUE"""),"#N/A")</f>
        <v>#N/A</v>
      </c>
      <c r="K946" s="100"/>
      <c r="L946" s="101"/>
      <c r="M946" s="100"/>
      <c r="N946" s="94"/>
      <c r="O946" s="93"/>
      <c r="P946" s="180"/>
      <c r="Q946" s="99"/>
    </row>
    <row r="947" ht="13.5" customHeight="1">
      <c r="A947" s="88"/>
      <c r="B947" s="88"/>
      <c r="C947" s="90"/>
      <c r="D947" s="92"/>
      <c r="E947" s="92"/>
      <c r="F947" s="93"/>
      <c r="G947" s="92"/>
      <c r="H947" s="94"/>
      <c r="I947" s="94"/>
      <c r="J947" s="93" t="str">
        <f>IFERROR(__xludf.DUMMYFUNCTION("""COMPUTED_VALUE"""),"#N/A")</f>
        <v>#N/A</v>
      </c>
      <c r="K947" s="100"/>
      <c r="L947" s="101"/>
      <c r="M947" s="100"/>
      <c r="N947" s="94"/>
      <c r="O947" s="93"/>
      <c r="P947" s="180"/>
      <c r="Q947" s="99"/>
    </row>
    <row r="948" ht="13.5" customHeight="1">
      <c r="A948" s="88"/>
      <c r="B948" s="88"/>
      <c r="C948" s="90"/>
      <c r="D948" s="92"/>
      <c r="E948" s="92"/>
      <c r="F948" s="93"/>
      <c r="G948" s="92"/>
      <c r="H948" s="94"/>
      <c r="I948" s="94"/>
      <c r="J948" s="93" t="str">
        <f>IFERROR(__xludf.DUMMYFUNCTION("""COMPUTED_VALUE"""),"#N/A")</f>
        <v>#N/A</v>
      </c>
      <c r="K948" s="100"/>
      <c r="L948" s="101"/>
      <c r="M948" s="100"/>
      <c r="N948" s="94"/>
      <c r="O948" s="93"/>
      <c r="P948" s="180"/>
      <c r="Q948" s="99"/>
    </row>
    <row r="949" ht="13.5" customHeight="1">
      <c r="A949" s="88"/>
      <c r="B949" s="88"/>
      <c r="C949" s="90"/>
      <c r="D949" s="92"/>
      <c r="E949" s="92"/>
      <c r="F949" s="93"/>
      <c r="G949" s="92"/>
      <c r="H949" s="94"/>
      <c r="I949" s="94"/>
      <c r="J949" s="93" t="str">
        <f>IFERROR(__xludf.DUMMYFUNCTION("""COMPUTED_VALUE"""),"#N/A")</f>
        <v>#N/A</v>
      </c>
      <c r="K949" s="100"/>
      <c r="L949" s="101"/>
      <c r="M949" s="100"/>
      <c r="N949" s="94"/>
      <c r="O949" s="93"/>
      <c r="P949" s="180"/>
      <c r="Q949" s="99"/>
    </row>
    <row r="950" ht="13.5" customHeight="1">
      <c r="A950" s="88"/>
      <c r="B950" s="88"/>
      <c r="C950" s="90"/>
      <c r="D950" s="92"/>
      <c r="E950" s="92"/>
      <c r="F950" s="93"/>
      <c r="G950" s="92"/>
      <c r="H950" s="94"/>
      <c r="I950" s="94"/>
      <c r="J950" s="93" t="str">
        <f>IFERROR(__xludf.DUMMYFUNCTION("""COMPUTED_VALUE"""),"#N/A")</f>
        <v>#N/A</v>
      </c>
      <c r="K950" s="100"/>
      <c r="L950" s="101"/>
      <c r="M950" s="100"/>
      <c r="N950" s="94"/>
      <c r="O950" s="93"/>
      <c r="P950" s="180"/>
      <c r="Q950" s="99"/>
    </row>
    <row r="951" ht="13.5" customHeight="1">
      <c r="A951" s="88"/>
      <c r="B951" s="88"/>
      <c r="C951" s="90"/>
      <c r="D951" s="92"/>
      <c r="E951" s="92"/>
      <c r="F951" s="93"/>
      <c r="G951" s="92"/>
      <c r="H951" s="94"/>
      <c r="I951" s="94"/>
      <c r="J951" s="93" t="str">
        <f>IFERROR(__xludf.DUMMYFUNCTION("""COMPUTED_VALUE"""),"#N/A")</f>
        <v>#N/A</v>
      </c>
      <c r="K951" s="100"/>
      <c r="L951" s="101"/>
      <c r="M951" s="100"/>
      <c r="N951" s="94"/>
      <c r="O951" s="93"/>
      <c r="P951" s="180"/>
      <c r="Q951" s="99"/>
    </row>
    <row r="952" ht="13.5" customHeight="1">
      <c r="A952" s="88"/>
      <c r="B952" s="88"/>
      <c r="C952" s="90"/>
      <c r="D952" s="92"/>
      <c r="E952" s="92"/>
      <c r="F952" s="93"/>
      <c r="G952" s="92"/>
      <c r="H952" s="94"/>
      <c r="I952" s="94"/>
      <c r="J952" s="93" t="str">
        <f>IFERROR(__xludf.DUMMYFUNCTION("""COMPUTED_VALUE"""),"#N/A")</f>
        <v>#N/A</v>
      </c>
      <c r="K952" s="100"/>
      <c r="L952" s="101"/>
      <c r="M952" s="100"/>
      <c r="N952" s="94"/>
      <c r="O952" s="93"/>
      <c r="P952" s="180"/>
      <c r="Q952" s="99"/>
    </row>
    <row r="953" ht="13.5" customHeight="1">
      <c r="A953" s="88"/>
      <c r="B953" s="88"/>
      <c r="C953" s="90"/>
      <c r="D953" s="92"/>
      <c r="E953" s="92"/>
      <c r="F953" s="93"/>
      <c r="G953" s="92"/>
      <c r="H953" s="94"/>
      <c r="I953" s="94"/>
      <c r="J953" s="93" t="str">
        <f>IFERROR(__xludf.DUMMYFUNCTION("""COMPUTED_VALUE"""),"#N/A")</f>
        <v>#N/A</v>
      </c>
      <c r="K953" s="100"/>
      <c r="L953" s="101"/>
      <c r="M953" s="100"/>
      <c r="N953" s="94"/>
      <c r="O953" s="93"/>
      <c r="P953" s="180"/>
      <c r="Q953" s="99"/>
    </row>
    <row r="954" ht="13.5" customHeight="1">
      <c r="A954" s="88"/>
      <c r="B954" s="88"/>
      <c r="C954" s="90"/>
      <c r="D954" s="92"/>
      <c r="E954" s="92"/>
      <c r="F954" s="93"/>
      <c r="G954" s="92"/>
      <c r="H954" s="94"/>
      <c r="I954" s="94"/>
      <c r="J954" s="93" t="str">
        <f>IFERROR(__xludf.DUMMYFUNCTION("""COMPUTED_VALUE"""),"#N/A")</f>
        <v>#N/A</v>
      </c>
      <c r="K954" s="100"/>
      <c r="L954" s="101"/>
      <c r="M954" s="100"/>
      <c r="N954" s="94"/>
      <c r="O954" s="93"/>
      <c r="P954" s="180"/>
      <c r="Q954" s="99"/>
    </row>
    <row r="955" ht="13.5" customHeight="1">
      <c r="A955" s="88"/>
      <c r="B955" s="88"/>
      <c r="C955" s="90"/>
      <c r="D955" s="92"/>
      <c r="E955" s="92"/>
      <c r="F955" s="93"/>
      <c r="G955" s="92"/>
      <c r="H955" s="94"/>
      <c r="I955" s="94"/>
      <c r="J955" s="93" t="str">
        <f>IFERROR(__xludf.DUMMYFUNCTION("""COMPUTED_VALUE"""),"#N/A")</f>
        <v>#N/A</v>
      </c>
      <c r="K955" s="100"/>
      <c r="L955" s="101"/>
      <c r="M955" s="100"/>
      <c r="N955" s="94"/>
      <c r="O955" s="93"/>
      <c r="P955" s="180"/>
      <c r="Q955" s="99"/>
    </row>
    <row r="956" ht="13.5" customHeight="1">
      <c r="A956" s="88"/>
      <c r="B956" s="88"/>
      <c r="C956" s="90"/>
      <c r="D956" s="92"/>
      <c r="E956" s="92"/>
      <c r="F956" s="93"/>
      <c r="G956" s="92"/>
      <c r="H956" s="94"/>
      <c r="I956" s="94"/>
      <c r="J956" s="93" t="str">
        <f>IFERROR(__xludf.DUMMYFUNCTION("""COMPUTED_VALUE"""),"#N/A")</f>
        <v>#N/A</v>
      </c>
      <c r="K956" s="100"/>
      <c r="L956" s="101"/>
      <c r="M956" s="100"/>
      <c r="N956" s="94"/>
      <c r="O956" s="93"/>
      <c r="P956" s="180"/>
      <c r="Q956" s="99"/>
    </row>
    <row r="957" ht="13.5" customHeight="1">
      <c r="A957" s="88"/>
      <c r="B957" s="88"/>
      <c r="C957" s="90"/>
      <c r="D957" s="92"/>
      <c r="E957" s="92"/>
      <c r="F957" s="93"/>
      <c r="G957" s="92"/>
      <c r="H957" s="94"/>
      <c r="I957" s="94"/>
      <c r="J957" s="93" t="str">
        <f>IFERROR(__xludf.DUMMYFUNCTION("""COMPUTED_VALUE"""),"#N/A")</f>
        <v>#N/A</v>
      </c>
      <c r="K957" s="100"/>
      <c r="L957" s="101"/>
      <c r="M957" s="100"/>
      <c r="N957" s="94"/>
      <c r="O957" s="93"/>
      <c r="P957" s="180"/>
      <c r="Q957" s="99"/>
    </row>
    <row r="958" ht="13.5" customHeight="1">
      <c r="A958" s="88"/>
      <c r="B958" s="88"/>
      <c r="C958" s="90"/>
      <c r="D958" s="92"/>
      <c r="E958" s="92"/>
      <c r="F958" s="93"/>
      <c r="G958" s="92"/>
      <c r="H958" s="94"/>
      <c r="I958" s="94"/>
      <c r="J958" s="93" t="str">
        <f>IFERROR(__xludf.DUMMYFUNCTION("""COMPUTED_VALUE"""),"#N/A")</f>
        <v>#N/A</v>
      </c>
      <c r="K958" s="100"/>
      <c r="L958" s="101"/>
      <c r="M958" s="100"/>
      <c r="N958" s="94"/>
      <c r="O958" s="93"/>
      <c r="P958" s="180"/>
      <c r="Q958" s="99"/>
    </row>
    <row r="959" ht="13.5" customHeight="1">
      <c r="A959" s="88"/>
      <c r="B959" s="88"/>
      <c r="C959" s="90"/>
      <c r="D959" s="92"/>
      <c r="E959" s="92"/>
      <c r="F959" s="93"/>
      <c r="G959" s="92"/>
      <c r="H959" s="94"/>
      <c r="I959" s="94"/>
      <c r="J959" s="93" t="str">
        <f>IFERROR(__xludf.DUMMYFUNCTION("""COMPUTED_VALUE"""),"#N/A")</f>
        <v>#N/A</v>
      </c>
      <c r="K959" s="100"/>
      <c r="L959" s="101"/>
      <c r="M959" s="100"/>
      <c r="N959" s="94"/>
      <c r="O959" s="93"/>
      <c r="P959" s="180"/>
      <c r="Q959" s="99"/>
    </row>
    <row r="960" ht="13.5" customHeight="1">
      <c r="A960" s="88"/>
      <c r="B960" s="88"/>
      <c r="C960" s="90"/>
      <c r="D960" s="92"/>
      <c r="E960" s="92"/>
      <c r="F960" s="93"/>
      <c r="G960" s="92"/>
      <c r="H960" s="94"/>
      <c r="I960" s="94"/>
      <c r="J960" s="93" t="str">
        <f>IFERROR(__xludf.DUMMYFUNCTION("""COMPUTED_VALUE"""),"#N/A")</f>
        <v>#N/A</v>
      </c>
      <c r="K960" s="100"/>
      <c r="L960" s="101"/>
      <c r="M960" s="100"/>
      <c r="N960" s="94"/>
      <c r="O960" s="93"/>
      <c r="P960" s="180"/>
      <c r="Q960" s="99"/>
    </row>
    <row r="961" ht="13.5" customHeight="1">
      <c r="A961" s="88"/>
      <c r="B961" s="88"/>
      <c r="C961" s="90"/>
      <c r="D961" s="92"/>
      <c r="E961" s="92"/>
      <c r="F961" s="93"/>
      <c r="G961" s="92"/>
      <c r="H961" s="94"/>
      <c r="I961" s="94"/>
      <c r="J961" s="93" t="str">
        <f>IFERROR(__xludf.DUMMYFUNCTION("""COMPUTED_VALUE"""),"#N/A")</f>
        <v>#N/A</v>
      </c>
      <c r="K961" s="100"/>
      <c r="L961" s="101"/>
      <c r="M961" s="100"/>
      <c r="N961" s="94"/>
      <c r="O961" s="93"/>
      <c r="P961" s="180"/>
      <c r="Q961" s="99"/>
    </row>
    <row r="962" ht="13.5" customHeight="1">
      <c r="A962" s="88"/>
      <c r="B962" s="88"/>
      <c r="C962" s="90"/>
      <c r="D962" s="92"/>
      <c r="E962" s="92"/>
      <c r="F962" s="93"/>
      <c r="G962" s="92"/>
      <c r="H962" s="94"/>
      <c r="I962" s="94"/>
      <c r="J962" s="93" t="str">
        <f>IFERROR(__xludf.DUMMYFUNCTION("""COMPUTED_VALUE"""),"#N/A")</f>
        <v>#N/A</v>
      </c>
      <c r="K962" s="100"/>
      <c r="L962" s="101"/>
      <c r="M962" s="100"/>
      <c r="N962" s="94"/>
      <c r="O962" s="93"/>
      <c r="P962" s="180"/>
      <c r="Q962" s="99"/>
    </row>
    <row r="963" ht="13.5" customHeight="1">
      <c r="A963" s="88"/>
      <c r="B963" s="88"/>
      <c r="C963" s="90"/>
      <c r="D963" s="92"/>
      <c r="E963" s="92"/>
      <c r="F963" s="93"/>
      <c r="G963" s="92"/>
      <c r="H963" s="94"/>
      <c r="I963" s="94"/>
      <c r="J963" s="93" t="str">
        <f>IFERROR(__xludf.DUMMYFUNCTION("""COMPUTED_VALUE"""),"#N/A")</f>
        <v>#N/A</v>
      </c>
      <c r="K963" s="100"/>
      <c r="L963" s="101"/>
      <c r="M963" s="100"/>
      <c r="N963" s="94"/>
      <c r="O963" s="93"/>
      <c r="P963" s="180"/>
      <c r="Q963" s="99"/>
    </row>
    <row r="964" ht="13.5" customHeight="1">
      <c r="A964" s="88"/>
      <c r="B964" s="88"/>
      <c r="C964" s="90"/>
      <c r="D964" s="92"/>
      <c r="E964" s="92"/>
      <c r="F964" s="93"/>
      <c r="G964" s="92"/>
      <c r="H964" s="94"/>
      <c r="I964" s="94"/>
      <c r="J964" s="93" t="str">
        <f>IFERROR(__xludf.DUMMYFUNCTION("""COMPUTED_VALUE"""),"#N/A")</f>
        <v>#N/A</v>
      </c>
      <c r="K964" s="100"/>
      <c r="L964" s="101"/>
      <c r="M964" s="100"/>
      <c r="N964" s="94"/>
      <c r="O964" s="93"/>
      <c r="P964" s="180"/>
      <c r="Q964" s="99"/>
    </row>
    <row r="965" ht="13.5" customHeight="1">
      <c r="A965" s="88"/>
      <c r="B965" s="88"/>
      <c r="C965" s="90"/>
      <c r="D965" s="92"/>
      <c r="E965" s="92"/>
      <c r="F965" s="93"/>
      <c r="G965" s="92"/>
      <c r="H965" s="94"/>
      <c r="I965" s="94"/>
      <c r="J965" s="93" t="str">
        <f>IFERROR(__xludf.DUMMYFUNCTION("""COMPUTED_VALUE"""),"#N/A")</f>
        <v>#N/A</v>
      </c>
      <c r="K965" s="100"/>
      <c r="L965" s="101"/>
      <c r="M965" s="100"/>
      <c r="N965" s="94"/>
      <c r="O965" s="93"/>
      <c r="P965" s="180"/>
      <c r="Q965" s="99"/>
    </row>
    <row r="966" ht="13.5" customHeight="1">
      <c r="A966" s="88"/>
      <c r="B966" s="88"/>
      <c r="C966" s="90"/>
      <c r="D966" s="92"/>
      <c r="E966" s="92"/>
      <c r="F966" s="93"/>
      <c r="G966" s="92"/>
      <c r="H966" s="94"/>
      <c r="I966" s="94"/>
      <c r="J966" s="93" t="str">
        <f>IFERROR(__xludf.DUMMYFUNCTION("""COMPUTED_VALUE"""),"#N/A")</f>
        <v>#N/A</v>
      </c>
      <c r="K966" s="100"/>
      <c r="L966" s="101"/>
      <c r="M966" s="100"/>
      <c r="N966" s="94"/>
      <c r="O966" s="93"/>
      <c r="P966" s="180"/>
      <c r="Q966" s="99"/>
    </row>
    <row r="967" ht="13.5" customHeight="1">
      <c r="A967" s="88"/>
      <c r="B967" s="88"/>
      <c r="C967" s="90"/>
      <c r="D967" s="92"/>
      <c r="E967" s="92"/>
      <c r="F967" s="93"/>
      <c r="G967" s="92"/>
      <c r="H967" s="94"/>
      <c r="I967" s="94"/>
      <c r="J967" s="93" t="str">
        <f>IFERROR(__xludf.DUMMYFUNCTION("""COMPUTED_VALUE"""),"#N/A")</f>
        <v>#N/A</v>
      </c>
      <c r="K967" s="100"/>
      <c r="L967" s="101"/>
      <c r="M967" s="100"/>
      <c r="N967" s="94"/>
      <c r="O967" s="93"/>
      <c r="P967" s="180"/>
      <c r="Q967" s="99"/>
    </row>
    <row r="968" ht="13.5" customHeight="1">
      <c r="A968" s="88"/>
      <c r="B968" s="88"/>
      <c r="C968" s="90"/>
      <c r="D968" s="92"/>
      <c r="E968" s="92"/>
      <c r="F968" s="93"/>
      <c r="G968" s="92"/>
      <c r="H968" s="94"/>
      <c r="I968" s="94"/>
      <c r="J968" s="93" t="str">
        <f>IFERROR(__xludf.DUMMYFUNCTION("""COMPUTED_VALUE"""),"#N/A")</f>
        <v>#N/A</v>
      </c>
      <c r="K968" s="100"/>
      <c r="L968" s="101"/>
      <c r="M968" s="100"/>
      <c r="N968" s="94"/>
      <c r="O968" s="93"/>
      <c r="P968" s="180"/>
      <c r="Q968" s="99"/>
    </row>
    <row r="969" ht="13.5" customHeight="1">
      <c r="A969" s="88"/>
      <c r="B969" s="88"/>
      <c r="C969" s="90"/>
      <c r="D969" s="92"/>
      <c r="E969" s="92"/>
      <c r="F969" s="93"/>
      <c r="G969" s="92"/>
      <c r="H969" s="94"/>
      <c r="I969" s="94"/>
      <c r="J969" s="93" t="str">
        <f>IFERROR(__xludf.DUMMYFUNCTION("""COMPUTED_VALUE"""),"#N/A")</f>
        <v>#N/A</v>
      </c>
      <c r="K969" s="100"/>
      <c r="L969" s="101"/>
      <c r="M969" s="100"/>
      <c r="N969" s="94"/>
      <c r="O969" s="93"/>
      <c r="P969" s="180"/>
      <c r="Q969" s="99"/>
    </row>
    <row r="970" ht="13.5" customHeight="1">
      <c r="A970" s="88"/>
      <c r="B970" s="88"/>
      <c r="C970" s="90"/>
      <c r="D970" s="92"/>
      <c r="E970" s="92"/>
      <c r="F970" s="93"/>
      <c r="G970" s="92"/>
      <c r="H970" s="94"/>
      <c r="I970" s="94"/>
      <c r="J970" s="93" t="str">
        <f>IFERROR(__xludf.DUMMYFUNCTION("""COMPUTED_VALUE"""),"#N/A")</f>
        <v>#N/A</v>
      </c>
      <c r="K970" s="100"/>
      <c r="L970" s="101"/>
      <c r="M970" s="100"/>
      <c r="N970" s="94"/>
      <c r="O970" s="93"/>
      <c r="P970" s="180"/>
      <c r="Q970" s="99"/>
    </row>
    <row r="971" ht="13.5" customHeight="1">
      <c r="A971" s="88"/>
      <c r="B971" s="88"/>
      <c r="C971" s="90"/>
      <c r="D971" s="92"/>
      <c r="E971" s="92"/>
      <c r="F971" s="93"/>
      <c r="G971" s="92"/>
      <c r="H971" s="94"/>
      <c r="I971" s="94"/>
      <c r="J971" s="93" t="str">
        <f>IFERROR(__xludf.DUMMYFUNCTION("""COMPUTED_VALUE"""),"#N/A")</f>
        <v>#N/A</v>
      </c>
      <c r="K971" s="100"/>
      <c r="L971" s="101"/>
      <c r="M971" s="100"/>
      <c r="N971" s="94"/>
      <c r="O971" s="93"/>
      <c r="P971" s="180"/>
      <c r="Q971" s="99"/>
    </row>
    <row r="972" ht="13.5" customHeight="1">
      <c r="A972" s="88"/>
      <c r="B972" s="88"/>
      <c r="C972" s="90"/>
      <c r="D972" s="92"/>
      <c r="E972" s="92"/>
      <c r="F972" s="93"/>
      <c r="G972" s="92"/>
      <c r="H972" s="94"/>
      <c r="I972" s="94"/>
      <c r="J972" s="93" t="str">
        <f>IFERROR(__xludf.DUMMYFUNCTION("""COMPUTED_VALUE"""),"#N/A")</f>
        <v>#N/A</v>
      </c>
      <c r="K972" s="100"/>
      <c r="L972" s="101"/>
      <c r="M972" s="100"/>
      <c r="N972" s="94"/>
      <c r="O972" s="93"/>
      <c r="P972" s="180"/>
      <c r="Q972" s="99"/>
    </row>
    <row r="973" ht="13.5" customHeight="1">
      <c r="A973" s="88"/>
      <c r="B973" s="88"/>
      <c r="C973" s="90"/>
      <c r="D973" s="92"/>
      <c r="E973" s="92"/>
      <c r="F973" s="93"/>
      <c r="G973" s="92"/>
      <c r="H973" s="94"/>
      <c r="I973" s="94"/>
      <c r="J973" s="93" t="str">
        <f>IFERROR(__xludf.DUMMYFUNCTION("""COMPUTED_VALUE"""),"#N/A")</f>
        <v>#N/A</v>
      </c>
      <c r="K973" s="100"/>
      <c r="L973" s="101"/>
      <c r="M973" s="100"/>
      <c r="N973" s="94"/>
      <c r="O973" s="93"/>
      <c r="P973" s="180"/>
      <c r="Q973" s="99"/>
    </row>
    <row r="974" ht="13.5" customHeight="1">
      <c r="A974" s="88"/>
      <c r="B974" s="88"/>
      <c r="C974" s="90"/>
      <c r="D974" s="92"/>
      <c r="E974" s="92"/>
      <c r="F974" s="93"/>
      <c r="G974" s="92"/>
      <c r="H974" s="94"/>
      <c r="I974" s="94"/>
      <c r="J974" s="93" t="str">
        <f>IFERROR(__xludf.DUMMYFUNCTION("""COMPUTED_VALUE"""),"#N/A")</f>
        <v>#N/A</v>
      </c>
      <c r="K974" s="100"/>
      <c r="L974" s="101"/>
      <c r="M974" s="100"/>
      <c r="N974" s="94"/>
      <c r="O974" s="93"/>
      <c r="P974" s="180"/>
      <c r="Q974" s="99"/>
    </row>
    <row r="975" ht="13.5" customHeight="1">
      <c r="A975" s="88"/>
      <c r="B975" s="88"/>
      <c r="C975" s="90"/>
      <c r="D975" s="92"/>
      <c r="E975" s="92"/>
      <c r="F975" s="93"/>
      <c r="G975" s="92"/>
      <c r="H975" s="94"/>
      <c r="I975" s="94"/>
      <c r="J975" s="93" t="str">
        <f>IFERROR(__xludf.DUMMYFUNCTION("""COMPUTED_VALUE"""),"#N/A")</f>
        <v>#N/A</v>
      </c>
      <c r="K975" s="100"/>
      <c r="L975" s="101"/>
      <c r="M975" s="100"/>
      <c r="N975" s="94"/>
      <c r="O975" s="93"/>
      <c r="P975" s="180"/>
      <c r="Q975" s="99"/>
    </row>
    <row r="976" ht="13.5" customHeight="1">
      <c r="A976" s="88"/>
      <c r="B976" s="88"/>
      <c r="C976" s="90"/>
      <c r="D976" s="92"/>
      <c r="E976" s="92"/>
      <c r="F976" s="93"/>
      <c r="G976" s="92"/>
      <c r="H976" s="94"/>
      <c r="I976" s="94"/>
      <c r="J976" s="93" t="str">
        <f>IFERROR(__xludf.DUMMYFUNCTION("""COMPUTED_VALUE"""),"#N/A")</f>
        <v>#N/A</v>
      </c>
      <c r="K976" s="100"/>
      <c r="L976" s="101"/>
      <c r="M976" s="100"/>
      <c r="N976" s="94"/>
      <c r="O976" s="93"/>
      <c r="P976" s="180"/>
      <c r="Q976" s="99"/>
    </row>
    <row r="977" ht="13.5" customHeight="1">
      <c r="A977" s="88"/>
      <c r="B977" s="88"/>
      <c r="C977" s="90"/>
      <c r="D977" s="92"/>
      <c r="E977" s="92"/>
      <c r="F977" s="93"/>
      <c r="G977" s="92"/>
      <c r="H977" s="94"/>
      <c r="I977" s="94"/>
      <c r="J977" s="93" t="str">
        <f>IFERROR(__xludf.DUMMYFUNCTION("""COMPUTED_VALUE"""),"#N/A")</f>
        <v>#N/A</v>
      </c>
      <c r="K977" s="100"/>
      <c r="L977" s="101"/>
      <c r="M977" s="100"/>
      <c r="N977" s="94"/>
      <c r="O977" s="93"/>
      <c r="P977" s="180"/>
      <c r="Q977" s="99"/>
    </row>
    <row r="978" ht="13.5" customHeight="1">
      <c r="A978" s="88"/>
      <c r="B978" s="88"/>
      <c r="C978" s="90"/>
      <c r="D978" s="92"/>
      <c r="E978" s="92"/>
      <c r="F978" s="93"/>
      <c r="G978" s="92"/>
      <c r="H978" s="94"/>
      <c r="I978" s="94"/>
      <c r="J978" s="93" t="str">
        <f>IFERROR(__xludf.DUMMYFUNCTION("""COMPUTED_VALUE"""),"#N/A")</f>
        <v>#N/A</v>
      </c>
      <c r="K978" s="100"/>
      <c r="L978" s="101"/>
      <c r="M978" s="100"/>
      <c r="N978" s="94"/>
      <c r="O978" s="93"/>
      <c r="P978" s="180"/>
      <c r="Q978" s="99"/>
    </row>
    <row r="979" ht="13.5" customHeight="1">
      <c r="A979" s="88"/>
      <c r="B979" s="88"/>
      <c r="C979" s="90"/>
      <c r="D979" s="92"/>
      <c r="E979" s="92"/>
      <c r="F979" s="93"/>
      <c r="G979" s="92"/>
      <c r="H979" s="94"/>
      <c r="I979" s="94"/>
      <c r="J979" s="93" t="str">
        <f>IFERROR(__xludf.DUMMYFUNCTION("""COMPUTED_VALUE"""),"#N/A")</f>
        <v>#N/A</v>
      </c>
      <c r="K979" s="100"/>
      <c r="L979" s="101"/>
      <c r="M979" s="100"/>
      <c r="N979" s="94"/>
      <c r="O979" s="93"/>
      <c r="P979" s="180"/>
      <c r="Q979" s="99"/>
    </row>
    <row r="980" ht="13.5" customHeight="1">
      <c r="A980" s="88"/>
      <c r="B980" s="88"/>
      <c r="C980" s="90"/>
      <c r="D980" s="92"/>
      <c r="E980" s="92"/>
      <c r="F980" s="93"/>
      <c r="G980" s="92"/>
      <c r="H980" s="94"/>
      <c r="I980" s="94"/>
      <c r="J980" s="93" t="str">
        <f>IFERROR(__xludf.DUMMYFUNCTION("""COMPUTED_VALUE"""),"#N/A")</f>
        <v>#N/A</v>
      </c>
      <c r="K980" s="100"/>
      <c r="L980" s="101"/>
      <c r="M980" s="100"/>
      <c r="N980" s="94"/>
      <c r="O980" s="93"/>
      <c r="P980" s="180"/>
      <c r="Q980" s="99"/>
    </row>
    <row r="981" ht="13.5" customHeight="1">
      <c r="A981" s="88"/>
      <c r="B981" s="88"/>
      <c r="C981" s="90"/>
      <c r="D981" s="92"/>
      <c r="E981" s="92"/>
      <c r="F981" s="93"/>
      <c r="G981" s="92"/>
      <c r="H981" s="94"/>
      <c r="I981" s="94"/>
      <c r="J981" s="93" t="str">
        <f>IFERROR(__xludf.DUMMYFUNCTION("""COMPUTED_VALUE"""),"#N/A")</f>
        <v>#N/A</v>
      </c>
      <c r="K981" s="100"/>
      <c r="L981" s="101"/>
      <c r="M981" s="100"/>
      <c r="N981" s="94"/>
      <c r="O981" s="93"/>
      <c r="P981" s="180"/>
      <c r="Q981" s="99"/>
    </row>
    <row r="982" ht="13.5" customHeight="1">
      <c r="A982" s="88"/>
      <c r="B982" s="88"/>
      <c r="C982" s="90"/>
      <c r="D982" s="92"/>
      <c r="E982" s="92"/>
      <c r="F982" s="93"/>
      <c r="G982" s="92"/>
      <c r="H982" s="94"/>
      <c r="I982" s="94"/>
      <c r="J982" s="93" t="str">
        <f>IFERROR(__xludf.DUMMYFUNCTION("""COMPUTED_VALUE"""),"#N/A")</f>
        <v>#N/A</v>
      </c>
      <c r="K982" s="100"/>
      <c r="L982" s="101"/>
      <c r="M982" s="100"/>
      <c r="N982" s="94"/>
      <c r="O982" s="93"/>
      <c r="P982" s="180"/>
      <c r="Q982" s="99"/>
    </row>
    <row r="983" ht="13.5" customHeight="1">
      <c r="A983" s="88"/>
      <c r="B983" s="88"/>
      <c r="C983" s="90"/>
      <c r="D983" s="92"/>
      <c r="E983" s="92"/>
      <c r="F983" s="93"/>
      <c r="G983" s="92"/>
      <c r="H983" s="94"/>
      <c r="I983" s="94"/>
      <c r="J983" s="93" t="str">
        <f>IFERROR(__xludf.DUMMYFUNCTION("""COMPUTED_VALUE"""),"#N/A")</f>
        <v>#N/A</v>
      </c>
      <c r="K983" s="100"/>
      <c r="L983" s="101"/>
      <c r="M983" s="100"/>
      <c r="N983" s="94"/>
      <c r="O983" s="93"/>
      <c r="P983" s="180"/>
      <c r="Q983" s="99"/>
    </row>
    <row r="984" ht="13.5" customHeight="1">
      <c r="A984" s="88"/>
      <c r="B984" s="88"/>
      <c r="C984" s="90"/>
      <c r="D984" s="92"/>
      <c r="E984" s="92"/>
      <c r="F984" s="93"/>
      <c r="G984" s="92"/>
      <c r="H984" s="94"/>
      <c r="I984" s="94"/>
      <c r="J984" s="93" t="str">
        <f>IFERROR(__xludf.DUMMYFUNCTION("""COMPUTED_VALUE"""),"#N/A")</f>
        <v>#N/A</v>
      </c>
      <c r="K984" s="100"/>
      <c r="L984" s="101"/>
      <c r="M984" s="100"/>
      <c r="N984" s="94"/>
      <c r="O984" s="93"/>
      <c r="P984" s="180"/>
      <c r="Q984" s="99"/>
    </row>
    <row r="985" ht="13.5" customHeight="1">
      <c r="A985" s="88"/>
      <c r="B985" s="88"/>
      <c r="C985" s="90"/>
      <c r="D985" s="92"/>
      <c r="E985" s="92"/>
      <c r="F985" s="93"/>
      <c r="G985" s="92"/>
      <c r="H985" s="94"/>
      <c r="I985" s="94"/>
      <c r="J985" s="93" t="str">
        <f>IFERROR(__xludf.DUMMYFUNCTION("""COMPUTED_VALUE"""),"#N/A")</f>
        <v>#N/A</v>
      </c>
      <c r="K985" s="100"/>
      <c r="L985" s="101"/>
      <c r="M985" s="100"/>
      <c r="N985" s="94"/>
      <c r="O985" s="93"/>
      <c r="P985" s="180"/>
      <c r="Q985" s="99"/>
    </row>
    <row r="986" ht="13.5" customHeight="1">
      <c r="A986" s="88"/>
      <c r="B986" s="88"/>
      <c r="C986" s="90"/>
      <c r="D986" s="92"/>
      <c r="E986" s="92"/>
      <c r="F986" s="93"/>
      <c r="G986" s="92"/>
      <c r="H986" s="94"/>
      <c r="I986" s="94"/>
      <c r="J986" s="93" t="str">
        <f>IFERROR(__xludf.DUMMYFUNCTION("""COMPUTED_VALUE"""),"#N/A")</f>
        <v>#N/A</v>
      </c>
      <c r="K986" s="100"/>
      <c r="L986" s="101"/>
      <c r="M986" s="100"/>
      <c r="N986" s="94"/>
      <c r="O986" s="93"/>
      <c r="P986" s="180"/>
      <c r="Q986" s="99"/>
    </row>
    <row r="987" ht="13.5" customHeight="1">
      <c r="A987" s="88"/>
      <c r="B987" s="88"/>
      <c r="C987" s="90"/>
      <c r="D987" s="92"/>
      <c r="E987" s="92"/>
      <c r="F987" s="93"/>
      <c r="G987" s="92"/>
      <c r="H987" s="94"/>
      <c r="I987" s="94"/>
      <c r="J987" s="93" t="str">
        <f>IFERROR(__xludf.DUMMYFUNCTION("""COMPUTED_VALUE"""),"#N/A")</f>
        <v>#N/A</v>
      </c>
      <c r="K987" s="100"/>
      <c r="L987" s="101"/>
      <c r="M987" s="100"/>
      <c r="N987" s="94"/>
      <c r="O987" s="93"/>
      <c r="P987" s="180"/>
      <c r="Q987" s="99"/>
    </row>
    <row r="988" ht="13.5" customHeight="1">
      <c r="A988" s="88"/>
      <c r="B988" s="88"/>
      <c r="C988" s="90"/>
      <c r="D988" s="92"/>
      <c r="E988" s="92"/>
      <c r="F988" s="93"/>
      <c r="G988" s="92"/>
      <c r="H988" s="94"/>
      <c r="I988" s="94"/>
      <c r="J988" s="93" t="str">
        <f>IFERROR(__xludf.DUMMYFUNCTION("""COMPUTED_VALUE"""),"#N/A")</f>
        <v>#N/A</v>
      </c>
      <c r="K988" s="100"/>
      <c r="L988" s="101"/>
      <c r="M988" s="100"/>
      <c r="N988" s="94"/>
      <c r="O988" s="93"/>
      <c r="P988" s="180"/>
      <c r="Q988" s="99"/>
    </row>
    <row r="989" ht="13.5" customHeight="1">
      <c r="A989" s="88"/>
      <c r="B989" s="88"/>
      <c r="C989" s="90"/>
      <c r="D989" s="92"/>
      <c r="E989" s="92"/>
      <c r="F989" s="93"/>
      <c r="G989" s="92"/>
      <c r="H989" s="94"/>
      <c r="I989" s="94"/>
      <c r="J989" s="93" t="str">
        <f>IFERROR(__xludf.DUMMYFUNCTION("""COMPUTED_VALUE"""),"#N/A")</f>
        <v>#N/A</v>
      </c>
      <c r="K989" s="100"/>
      <c r="L989" s="101"/>
      <c r="M989" s="100"/>
      <c r="N989" s="94"/>
      <c r="O989" s="93"/>
      <c r="P989" s="180"/>
      <c r="Q989" s="99"/>
    </row>
    <row r="990" ht="13.5" customHeight="1">
      <c r="A990" s="88"/>
      <c r="B990" s="88"/>
      <c r="C990" s="90"/>
      <c r="D990" s="92"/>
      <c r="E990" s="92"/>
      <c r="F990" s="93"/>
      <c r="G990" s="92"/>
      <c r="H990" s="94"/>
      <c r="I990" s="94"/>
      <c r="J990" s="93" t="str">
        <f>IFERROR(__xludf.DUMMYFUNCTION("""COMPUTED_VALUE"""),"#N/A")</f>
        <v>#N/A</v>
      </c>
      <c r="K990" s="100"/>
      <c r="L990" s="101"/>
      <c r="M990" s="100"/>
      <c r="N990" s="94"/>
      <c r="O990" s="93"/>
      <c r="P990" s="180"/>
      <c r="Q990" s="99"/>
    </row>
    <row r="991" ht="13.5" customHeight="1">
      <c r="A991" s="88"/>
      <c r="B991" s="88"/>
      <c r="C991" s="90"/>
      <c r="D991" s="92"/>
      <c r="E991" s="92"/>
      <c r="F991" s="93"/>
      <c r="G991" s="92"/>
      <c r="H991" s="94"/>
      <c r="I991" s="94"/>
      <c r="J991" s="93" t="str">
        <f>IFERROR(__xludf.DUMMYFUNCTION("""COMPUTED_VALUE"""),"#N/A")</f>
        <v>#N/A</v>
      </c>
      <c r="K991" s="100"/>
      <c r="L991" s="101"/>
      <c r="M991" s="100"/>
      <c r="N991" s="94"/>
      <c r="O991" s="93"/>
      <c r="P991" s="180"/>
      <c r="Q991" s="99"/>
    </row>
    <row r="992" ht="13.5" customHeight="1">
      <c r="A992" s="88"/>
      <c r="B992" s="88"/>
      <c r="C992" s="90"/>
      <c r="D992" s="92"/>
      <c r="E992" s="92"/>
      <c r="F992" s="93"/>
      <c r="G992" s="92"/>
      <c r="H992" s="94"/>
      <c r="I992" s="94"/>
      <c r="J992" s="93" t="str">
        <f>IFERROR(__xludf.DUMMYFUNCTION("""COMPUTED_VALUE"""),"#N/A")</f>
        <v>#N/A</v>
      </c>
      <c r="K992" s="100"/>
      <c r="L992" s="101"/>
      <c r="M992" s="100"/>
      <c r="N992" s="94"/>
      <c r="O992" s="93"/>
      <c r="P992" s="180"/>
      <c r="Q992" s="99"/>
    </row>
    <row r="993" ht="13.5" customHeight="1">
      <c r="A993" s="88"/>
      <c r="B993" s="88"/>
      <c r="C993" s="90"/>
      <c r="D993" s="92"/>
      <c r="E993" s="92"/>
      <c r="F993" s="93"/>
      <c r="G993" s="92"/>
      <c r="H993" s="94"/>
      <c r="I993" s="94"/>
      <c r="J993" s="93" t="str">
        <f>IFERROR(__xludf.DUMMYFUNCTION("""COMPUTED_VALUE"""),"#N/A")</f>
        <v>#N/A</v>
      </c>
      <c r="K993" s="100"/>
      <c r="L993" s="101"/>
      <c r="M993" s="100"/>
      <c r="N993" s="94"/>
      <c r="O993" s="93"/>
      <c r="P993" s="180"/>
      <c r="Q993" s="99"/>
    </row>
    <row r="994" ht="13.5" customHeight="1">
      <c r="A994" s="88"/>
      <c r="B994" s="88"/>
      <c r="C994" s="90"/>
      <c r="D994" s="92"/>
      <c r="E994" s="92"/>
      <c r="F994" s="93"/>
      <c r="G994" s="92"/>
      <c r="H994" s="94"/>
      <c r="I994" s="94"/>
      <c r="J994" s="93" t="str">
        <f>IFERROR(__xludf.DUMMYFUNCTION("""COMPUTED_VALUE"""),"#N/A")</f>
        <v>#N/A</v>
      </c>
      <c r="K994" s="100"/>
      <c r="L994" s="101"/>
      <c r="M994" s="100"/>
      <c r="N994" s="94"/>
      <c r="O994" s="93"/>
      <c r="P994" s="180"/>
      <c r="Q994" s="99"/>
    </row>
    <row r="995" ht="13.5" customHeight="1">
      <c r="A995" s="88"/>
      <c r="B995" s="88"/>
      <c r="C995" s="90"/>
      <c r="D995" s="92"/>
      <c r="E995" s="92"/>
      <c r="F995" s="93"/>
      <c r="G995" s="92"/>
      <c r="H995" s="94"/>
      <c r="I995" s="94"/>
      <c r="J995" s="93" t="str">
        <f>IFERROR(__xludf.DUMMYFUNCTION("""COMPUTED_VALUE"""),"#N/A")</f>
        <v>#N/A</v>
      </c>
      <c r="K995" s="100"/>
      <c r="L995" s="101"/>
      <c r="M995" s="100"/>
      <c r="N995" s="94"/>
      <c r="O995" s="93"/>
      <c r="P995" s="180"/>
      <c r="Q995" s="99"/>
    </row>
    <row r="996" ht="13.5" customHeight="1">
      <c r="A996" s="88"/>
      <c r="B996" s="88"/>
      <c r="C996" s="90"/>
      <c r="D996" s="92"/>
      <c r="E996" s="92"/>
      <c r="F996" s="93"/>
      <c r="G996" s="92"/>
      <c r="H996" s="94"/>
      <c r="I996" s="94"/>
      <c r="J996" s="93" t="str">
        <f>IFERROR(__xludf.DUMMYFUNCTION("""COMPUTED_VALUE"""),"#N/A")</f>
        <v>#N/A</v>
      </c>
      <c r="K996" s="100"/>
      <c r="L996" s="101"/>
      <c r="M996" s="100"/>
      <c r="N996" s="94"/>
      <c r="O996" s="93"/>
      <c r="P996" s="180"/>
      <c r="Q996" s="99"/>
    </row>
    <row r="997" ht="13.5" customHeight="1">
      <c r="A997" s="88"/>
      <c r="B997" s="88"/>
      <c r="C997" s="90"/>
      <c r="D997" s="92"/>
      <c r="E997" s="92"/>
      <c r="F997" s="93"/>
      <c r="G997" s="92"/>
      <c r="H997" s="94"/>
      <c r="I997" s="94"/>
      <c r="J997" s="93" t="str">
        <f>IFERROR(__xludf.DUMMYFUNCTION("""COMPUTED_VALUE"""),"#N/A")</f>
        <v>#N/A</v>
      </c>
      <c r="K997" s="100"/>
      <c r="L997" s="101"/>
      <c r="M997" s="100"/>
      <c r="N997" s="94"/>
      <c r="O997" s="93"/>
      <c r="P997" s="180"/>
      <c r="Q997" s="99"/>
    </row>
    <row r="998" ht="13.5" customHeight="1">
      <c r="A998" s="88"/>
      <c r="B998" s="88"/>
      <c r="C998" s="90"/>
      <c r="D998" s="92"/>
      <c r="E998" s="92"/>
      <c r="F998" s="93"/>
      <c r="G998" s="92"/>
      <c r="H998" s="94"/>
      <c r="I998" s="94"/>
      <c r="J998" s="93" t="str">
        <f>IFERROR(__xludf.DUMMYFUNCTION("""COMPUTED_VALUE"""),"#N/A")</f>
        <v>#N/A</v>
      </c>
      <c r="K998" s="100"/>
      <c r="L998" s="101"/>
      <c r="M998" s="100"/>
      <c r="N998" s="94"/>
      <c r="O998" s="93"/>
      <c r="P998" s="180"/>
      <c r="Q998" s="99"/>
    </row>
    <row r="999" ht="13.5" customHeight="1">
      <c r="A999" s="88"/>
      <c r="B999" s="88"/>
      <c r="C999" s="90"/>
      <c r="D999" s="92"/>
      <c r="E999" s="92"/>
      <c r="F999" s="93"/>
      <c r="G999" s="92"/>
      <c r="H999" s="94"/>
      <c r="I999" s="94"/>
      <c r="J999" s="93" t="str">
        <f>IFERROR(__xludf.DUMMYFUNCTION("""COMPUTED_VALUE"""),"#N/A")</f>
        <v>#N/A</v>
      </c>
      <c r="K999" s="100"/>
      <c r="L999" s="101"/>
      <c r="M999" s="100"/>
      <c r="N999" s="94"/>
      <c r="O999" s="93"/>
      <c r="P999" s="180"/>
      <c r="Q999" s="99"/>
    </row>
    <row r="1000" ht="13.5" customHeight="1">
      <c r="A1000" s="88"/>
      <c r="B1000" s="88"/>
      <c r="C1000" s="90"/>
      <c r="D1000" s="92"/>
      <c r="E1000" s="92"/>
      <c r="F1000" s="93"/>
      <c r="G1000" s="92"/>
      <c r="H1000" s="94"/>
      <c r="I1000" s="94"/>
      <c r="J1000" s="93" t="str">
        <f>IFERROR(__xludf.DUMMYFUNCTION("""COMPUTED_VALUE"""),"#N/A")</f>
        <v>#N/A</v>
      </c>
      <c r="K1000" s="100"/>
      <c r="L1000" s="101"/>
      <c r="M1000" s="100"/>
      <c r="N1000" s="94"/>
      <c r="O1000" s="93"/>
      <c r="P1000" s="180"/>
      <c r="Q1000" s="99"/>
    </row>
    <row r="1001" ht="13.5" customHeight="1">
      <c r="A1001" s="88"/>
      <c r="B1001" s="88"/>
      <c r="C1001" s="90"/>
      <c r="D1001" s="92"/>
      <c r="E1001" s="92"/>
      <c r="F1001" s="93"/>
      <c r="G1001" s="92"/>
      <c r="H1001" s="94"/>
      <c r="I1001" s="94"/>
      <c r="J1001" s="93" t="str">
        <f>IFERROR(__xludf.DUMMYFUNCTION("""COMPUTED_VALUE"""),"#N/A")</f>
        <v>#N/A</v>
      </c>
      <c r="K1001" s="100"/>
      <c r="L1001" s="101"/>
      <c r="M1001" s="100"/>
      <c r="N1001" s="94"/>
      <c r="O1001" s="93"/>
      <c r="P1001" s="180"/>
      <c r="Q1001" s="99"/>
    </row>
    <row r="1002" ht="13.5" customHeight="1">
      <c r="A1002" s="88"/>
      <c r="B1002" s="88"/>
      <c r="C1002" s="90"/>
      <c r="D1002" s="92"/>
      <c r="E1002" s="92"/>
      <c r="F1002" s="93"/>
      <c r="G1002" s="92"/>
      <c r="H1002" s="94"/>
      <c r="I1002" s="94"/>
      <c r="J1002" s="93" t="str">
        <f>IFERROR(__xludf.DUMMYFUNCTION("""COMPUTED_VALUE"""),"#N/A")</f>
        <v>#N/A</v>
      </c>
      <c r="K1002" s="100"/>
      <c r="L1002" s="101"/>
      <c r="M1002" s="100"/>
      <c r="N1002" s="94"/>
      <c r="O1002" s="93"/>
      <c r="P1002" s="180"/>
      <c r="Q1002" s="99"/>
    </row>
    <row r="1003" ht="13.5" customHeight="1">
      <c r="A1003" s="181"/>
      <c r="B1003" s="181"/>
      <c r="C1003" s="182"/>
      <c r="D1003" s="183"/>
      <c r="E1003" s="183"/>
      <c r="F1003" s="184"/>
      <c r="G1003" s="183"/>
      <c r="H1003" s="185"/>
      <c r="I1003" s="185"/>
      <c r="J1003" s="184" t="str">
        <f>IFERROR(__xludf.DUMMYFUNCTION("""COMPUTED_VALUE"""),"#N/A")</f>
        <v>#N/A</v>
      </c>
      <c r="K1003" s="186"/>
      <c r="L1003" s="187"/>
      <c r="M1003" s="186"/>
      <c r="N1003" s="185"/>
      <c r="O1003" s="184"/>
      <c r="P1003" s="188"/>
      <c r="Q1003" s="189"/>
    </row>
  </sheetData>
  <customSheetViews>
    <customSheetView guid="{55F65A57-4B58-4894-A374-793BDFE31570}" filter="1" showAutoFilter="1">
      <autoFilter ref="$A$3:$Q$1003"/>
    </customSheetView>
  </customSheetViews>
  <mergeCells count="3">
    <mergeCell ref="A1:Q1"/>
    <mergeCell ref="A2:Q2"/>
    <mergeCell ref="Q424:Q425"/>
  </mergeCells>
  <conditionalFormatting sqref="C4:C1003">
    <cfRule type="containsBlanks" dxfId="7" priority="1">
      <formula>LEN(TRIM(C4))=0</formula>
    </cfRule>
  </conditionalFormatting>
  <conditionalFormatting sqref="C3:C1003">
    <cfRule type="expression" dxfId="8" priority="2" operator="containsText">
      <formula>NOT(ISERROR(SEARCH((IF(MONTH(TODAY()) &lt;= 6, "Spring " &amp; YEAR(TODAY()), "Fall " &amp; YEAR(TODAY()))),(C3))))</formula>
    </cfRule>
  </conditionalFormatting>
  <conditionalFormatting sqref="C4:C1003">
    <cfRule type="expression" dxfId="9" priority="3" operator="notContains">
      <formula>ISERROR(SEARCH((IF(MONTH(TODAY()) &lt;= 6, "Spring " &amp; YEAR(TODAY()), "Fall " &amp; YEAR(TODAY()))),(C4)))</formula>
    </cfRule>
  </conditionalFormatting>
  <conditionalFormatting sqref="K4:N1003">
    <cfRule type="containsBlanks" dxfId="10" priority="4">
      <formula>LEN(TRIM(K4))=0</formula>
    </cfRule>
  </conditionalFormatting>
  <conditionalFormatting sqref="A498:Q600">
    <cfRule type="expression" dxfId="4" priority="5">
      <formula>$N498=TRUE</formula>
    </cfRule>
  </conditionalFormatting>
  <hyperlinks>
    <hyperlink r:id="rId1" ref="A2"/>
    <hyperlink r:id="rId2" ref="D5"/>
    <hyperlink r:id="rId3" ref="D6"/>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 r:id="rId18" ref="D21"/>
    <hyperlink r:id="rId19" ref="D22"/>
    <hyperlink r:id="rId20" ref="D23"/>
    <hyperlink r:id="rId21" ref="D24"/>
    <hyperlink r:id="rId22" ref="D25"/>
    <hyperlink r:id="rId23" ref="D26"/>
    <hyperlink r:id="rId24" ref="D27"/>
    <hyperlink r:id="rId25" ref="D28"/>
    <hyperlink r:id="rId26" ref="D29"/>
    <hyperlink r:id="rId27" ref="D30"/>
    <hyperlink r:id="rId28" ref="D31"/>
    <hyperlink r:id="rId29" ref="D32"/>
    <hyperlink r:id="rId30" ref="D33"/>
    <hyperlink r:id="rId31" ref="D34"/>
    <hyperlink r:id="rId32" ref="D35"/>
    <hyperlink r:id="rId33" ref="D36"/>
    <hyperlink r:id="rId34" ref="D37"/>
    <hyperlink r:id="rId35" ref="D38"/>
    <hyperlink r:id="rId36" ref="D39"/>
    <hyperlink r:id="rId37" ref="D40"/>
    <hyperlink r:id="rId38" ref="D41"/>
    <hyperlink r:id="rId39" ref="D42"/>
    <hyperlink r:id="rId40" ref="D43"/>
    <hyperlink r:id="rId41" ref="D44"/>
    <hyperlink r:id="rId42" ref="D45"/>
    <hyperlink r:id="rId43" ref="D46"/>
    <hyperlink r:id="rId44" ref="D47"/>
    <hyperlink r:id="rId45" ref="D48"/>
    <hyperlink r:id="rId46" ref="D49"/>
    <hyperlink r:id="rId47" ref="D50"/>
    <hyperlink r:id="rId48" ref="D51"/>
    <hyperlink r:id="rId49" ref="D52"/>
    <hyperlink r:id="rId50" ref="D53"/>
    <hyperlink r:id="rId51" ref="D54"/>
    <hyperlink r:id="rId52" ref="D55"/>
    <hyperlink r:id="rId53" ref="D56"/>
    <hyperlink r:id="rId54" ref="D57"/>
    <hyperlink r:id="rId55" ref="D58"/>
    <hyperlink r:id="rId56" ref="D59"/>
    <hyperlink r:id="rId57" ref="D60"/>
    <hyperlink r:id="rId58" ref="D61"/>
    <hyperlink r:id="rId59" ref="D62"/>
    <hyperlink r:id="rId60" ref="D63"/>
    <hyperlink r:id="rId61" ref="D64"/>
    <hyperlink r:id="rId62" ref="D65"/>
    <hyperlink r:id="rId63" ref="D66"/>
    <hyperlink r:id="rId64" ref="D67"/>
    <hyperlink r:id="rId65" ref="D68"/>
    <hyperlink r:id="rId66" ref="D69"/>
    <hyperlink r:id="rId67" ref="D70"/>
    <hyperlink r:id="rId68" ref="D71"/>
    <hyperlink r:id="rId69" ref="D72"/>
    <hyperlink r:id="rId70" ref="D73"/>
    <hyperlink r:id="rId71" ref="D74"/>
    <hyperlink r:id="rId72" ref="D75"/>
    <hyperlink r:id="rId73" ref="D76"/>
    <hyperlink r:id="rId74" ref="D77"/>
    <hyperlink r:id="rId75" ref="D78"/>
    <hyperlink r:id="rId76" ref="D79"/>
    <hyperlink r:id="rId77" ref="D80"/>
    <hyperlink r:id="rId78" ref="D81"/>
    <hyperlink r:id="rId79" ref="D82"/>
    <hyperlink r:id="rId80" ref="D83"/>
    <hyperlink r:id="rId81" ref="D84"/>
    <hyperlink r:id="rId82" ref="D85"/>
    <hyperlink r:id="rId83" ref="D86"/>
    <hyperlink r:id="rId84" ref="D87"/>
    <hyperlink r:id="rId85" ref="D88"/>
    <hyperlink r:id="rId86" ref="D89"/>
    <hyperlink r:id="rId87" ref="D90"/>
    <hyperlink r:id="rId88" ref="D91"/>
    <hyperlink r:id="rId89" ref="D92"/>
    <hyperlink r:id="rId90" ref="D93"/>
    <hyperlink r:id="rId91" ref="D94"/>
    <hyperlink r:id="rId92" ref="D95"/>
    <hyperlink r:id="rId93" ref="D96"/>
    <hyperlink r:id="rId94" ref="D97"/>
    <hyperlink r:id="rId95" ref="D98"/>
    <hyperlink r:id="rId96" ref="D99"/>
    <hyperlink r:id="rId97" ref="D100"/>
    <hyperlink r:id="rId98" ref="D101"/>
    <hyperlink r:id="rId99" ref="D102"/>
    <hyperlink r:id="rId100" ref="D103"/>
    <hyperlink r:id="rId101" ref="D104"/>
    <hyperlink r:id="rId102" ref="D105"/>
    <hyperlink r:id="rId103" ref="D106"/>
    <hyperlink r:id="rId104" ref="D107"/>
    <hyperlink r:id="rId105" ref="D108"/>
    <hyperlink r:id="rId106" ref="D109"/>
    <hyperlink r:id="rId107" ref="D110"/>
    <hyperlink r:id="rId108" ref="D111"/>
    <hyperlink r:id="rId109" ref="D112"/>
    <hyperlink r:id="rId110" ref="D113"/>
    <hyperlink r:id="rId111" ref="D114"/>
    <hyperlink r:id="rId112" ref="D115"/>
    <hyperlink r:id="rId113" ref="D116"/>
    <hyperlink r:id="rId114" ref="D117"/>
    <hyperlink r:id="rId115" ref="D118"/>
    <hyperlink r:id="rId116" ref="D119"/>
    <hyperlink r:id="rId117" ref="D120"/>
    <hyperlink r:id="rId118" ref="D121"/>
    <hyperlink r:id="rId119" ref="D122"/>
    <hyperlink r:id="rId120" ref="D123"/>
    <hyperlink r:id="rId121" ref="D124"/>
    <hyperlink r:id="rId122" ref="D125"/>
    <hyperlink r:id="rId123" ref="D126"/>
    <hyperlink r:id="rId124" ref="D127"/>
    <hyperlink r:id="rId125" ref="D128"/>
    <hyperlink r:id="rId126" ref="D129"/>
    <hyperlink r:id="rId127" ref="D130"/>
    <hyperlink r:id="rId128" ref="D131"/>
    <hyperlink r:id="rId129" ref="D132"/>
    <hyperlink r:id="rId130" ref="D133"/>
    <hyperlink r:id="rId131" ref="D134"/>
    <hyperlink r:id="rId132" ref="D135"/>
    <hyperlink r:id="rId133" ref="D136"/>
    <hyperlink r:id="rId134" ref="D137"/>
    <hyperlink r:id="rId135" ref="D138"/>
    <hyperlink r:id="rId136" ref="D139"/>
    <hyperlink r:id="rId137" ref="D140"/>
    <hyperlink r:id="rId138" ref="D141"/>
    <hyperlink r:id="rId139" ref="D142"/>
    <hyperlink r:id="rId140" ref="D143"/>
    <hyperlink r:id="rId141" ref="D144"/>
    <hyperlink r:id="rId142" ref="D145"/>
    <hyperlink r:id="rId143" ref="D146"/>
    <hyperlink r:id="rId144" ref="D147"/>
    <hyperlink r:id="rId145" ref="D148"/>
    <hyperlink r:id="rId146" ref="D149"/>
    <hyperlink r:id="rId147" ref="D150"/>
    <hyperlink r:id="rId148" ref="D151"/>
    <hyperlink r:id="rId149" ref="D152"/>
    <hyperlink r:id="rId150" ref="D153"/>
    <hyperlink r:id="rId151" ref="D154"/>
    <hyperlink r:id="rId152" ref="D155"/>
    <hyperlink r:id="rId153" ref="D156"/>
    <hyperlink r:id="rId154" ref="D157"/>
    <hyperlink r:id="rId155" ref="D158"/>
    <hyperlink r:id="rId156" ref="D159"/>
    <hyperlink r:id="rId157" ref="D160"/>
    <hyperlink r:id="rId158" ref="D161"/>
    <hyperlink r:id="rId159" ref="D162"/>
    <hyperlink r:id="rId160" ref="D163"/>
    <hyperlink r:id="rId161" ref="D164"/>
    <hyperlink r:id="rId162" ref="D165"/>
    <hyperlink r:id="rId163" ref="D166"/>
    <hyperlink r:id="rId164" ref="D167"/>
    <hyperlink r:id="rId165" ref="D168"/>
    <hyperlink r:id="rId166" ref="D169"/>
    <hyperlink r:id="rId167" ref="D170"/>
    <hyperlink r:id="rId168" ref="D171"/>
    <hyperlink r:id="rId169" ref="D172"/>
    <hyperlink r:id="rId170" ref="D173"/>
    <hyperlink r:id="rId171" ref="D174"/>
    <hyperlink r:id="rId172" ref="D175"/>
    <hyperlink r:id="rId173" ref="D176"/>
    <hyperlink r:id="rId174" ref="D177"/>
    <hyperlink r:id="rId175" ref="D178"/>
    <hyperlink r:id="rId176" ref="D179"/>
    <hyperlink r:id="rId177" ref="D180"/>
    <hyperlink r:id="rId178" ref="D181"/>
    <hyperlink r:id="rId179" ref="D182"/>
    <hyperlink r:id="rId180" ref="D183"/>
    <hyperlink r:id="rId181" ref="D184"/>
    <hyperlink r:id="rId182" ref="D185"/>
    <hyperlink r:id="rId183" ref="D186"/>
    <hyperlink r:id="rId184" ref="D187"/>
    <hyperlink r:id="rId185" ref="D188"/>
    <hyperlink r:id="rId186" ref="D189"/>
    <hyperlink r:id="rId187" ref="D190"/>
    <hyperlink r:id="rId188" ref="D191"/>
    <hyperlink r:id="rId189" ref="D192"/>
    <hyperlink r:id="rId190" ref="D193"/>
    <hyperlink r:id="rId191" ref="D194"/>
    <hyperlink r:id="rId192" ref="D195"/>
    <hyperlink r:id="rId193" ref="D196"/>
    <hyperlink r:id="rId194" ref="D197"/>
    <hyperlink r:id="rId195" ref="D198"/>
    <hyperlink r:id="rId196" ref="D199"/>
    <hyperlink r:id="rId197" ref="D200"/>
    <hyperlink r:id="rId198" ref="D201"/>
    <hyperlink r:id="rId199" ref="D202"/>
    <hyperlink r:id="rId200" ref="D203"/>
    <hyperlink r:id="rId201" ref="D204"/>
    <hyperlink r:id="rId202" ref="D205"/>
    <hyperlink r:id="rId203" ref="D206"/>
    <hyperlink r:id="rId204" ref="D207"/>
    <hyperlink r:id="rId205" ref="D208"/>
    <hyperlink r:id="rId206" ref="D209"/>
    <hyperlink r:id="rId207" ref="D210"/>
    <hyperlink r:id="rId208" ref="D211"/>
    <hyperlink r:id="rId209" ref="D212"/>
    <hyperlink r:id="rId210" ref="D213"/>
    <hyperlink r:id="rId211" ref="D214"/>
    <hyperlink r:id="rId212" ref="D215"/>
    <hyperlink r:id="rId213" ref="D216"/>
    <hyperlink r:id="rId214" ref="D217"/>
    <hyperlink r:id="rId215" ref="D218"/>
    <hyperlink r:id="rId216" ref="D219"/>
    <hyperlink r:id="rId217" ref="D220"/>
    <hyperlink r:id="rId218" ref="D221"/>
    <hyperlink r:id="rId219" ref="D222"/>
    <hyperlink r:id="rId220" ref="D223"/>
    <hyperlink r:id="rId221" ref="D224"/>
    <hyperlink r:id="rId222" ref="D225"/>
    <hyperlink r:id="rId223" ref="D226"/>
    <hyperlink r:id="rId224" ref="D227"/>
    <hyperlink r:id="rId225" ref="D228"/>
    <hyperlink r:id="rId226" ref="D229"/>
    <hyperlink r:id="rId227" ref="D230"/>
    <hyperlink r:id="rId228" ref="D231"/>
    <hyperlink r:id="rId229" ref="D232"/>
    <hyperlink r:id="rId230" ref="D233"/>
    <hyperlink r:id="rId231" ref="D234"/>
    <hyperlink r:id="rId232" ref="D235"/>
    <hyperlink r:id="rId233" ref="D236"/>
    <hyperlink r:id="rId234" ref="D237"/>
    <hyperlink r:id="rId235" ref="D238"/>
    <hyperlink r:id="rId236" ref="D239"/>
    <hyperlink r:id="rId237" ref="D240"/>
    <hyperlink r:id="rId238" ref="D241"/>
    <hyperlink r:id="rId239" ref="D242"/>
    <hyperlink r:id="rId240" ref="D243"/>
    <hyperlink r:id="rId241" ref="D244"/>
    <hyperlink r:id="rId242" ref="D245"/>
    <hyperlink r:id="rId243" ref="D246"/>
    <hyperlink r:id="rId244" ref="D247"/>
    <hyperlink r:id="rId245" ref="D248"/>
    <hyperlink r:id="rId246" ref="D249"/>
    <hyperlink r:id="rId247" ref="D250"/>
    <hyperlink r:id="rId248" ref="D251"/>
    <hyperlink r:id="rId249" ref="D252"/>
    <hyperlink r:id="rId250" ref="D253"/>
    <hyperlink r:id="rId251" ref="D254"/>
    <hyperlink r:id="rId252" ref="D255"/>
    <hyperlink r:id="rId253" ref="D256"/>
    <hyperlink r:id="rId254" ref="D257"/>
    <hyperlink r:id="rId255" ref="D258"/>
    <hyperlink r:id="rId256" ref="D259"/>
    <hyperlink r:id="rId257" ref="D260"/>
    <hyperlink r:id="rId258" ref="D261"/>
    <hyperlink r:id="rId259" ref="D262"/>
    <hyperlink r:id="rId260" ref="D263"/>
    <hyperlink r:id="rId261" ref="D264"/>
    <hyperlink r:id="rId262" ref="D265"/>
    <hyperlink r:id="rId263" ref="D266"/>
    <hyperlink r:id="rId264" ref="D267"/>
    <hyperlink r:id="rId265" ref="D268"/>
    <hyperlink r:id="rId266" ref="D269"/>
    <hyperlink r:id="rId267" ref="D270"/>
    <hyperlink r:id="rId268" ref="D271"/>
    <hyperlink r:id="rId269" ref="D272"/>
    <hyperlink r:id="rId270" ref="D273"/>
    <hyperlink r:id="rId271" ref="D274"/>
    <hyperlink r:id="rId272" ref="D275"/>
    <hyperlink r:id="rId273" ref="D276"/>
    <hyperlink r:id="rId274" ref="D277"/>
    <hyperlink r:id="rId275" ref="D278"/>
    <hyperlink r:id="rId276" ref="D279"/>
    <hyperlink r:id="rId277" ref="D280"/>
    <hyperlink r:id="rId278" ref="D281"/>
    <hyperlink r:id="rId279" ref="D282"/>
    <hyperlink r:id="rId280" ref="D283"/>
    <hyperlink r:id="rId281" ref="D284"/>
    <hyperlink r:id="rId282" ref="D285"/>
    <hyperlink r:id="rId283" ref="D286"/>
    <hyperlink r:id="rId284" ref="D287"/>
    <hyperlink r:id="rId285" ref="D288"/>
    <hyperlink r:id="rId286" ref="D289"/>
    <hyperlink r:id="rId287" ref="D290"/>
    <hyperlink r:id="rId288" ref="D291"/>
    <hyperlink r:id="rId289" ref="D292"/>
    <hyperlink r:id="rId290" ref="D293"/>
    <hyperlink r:id="rId291" ref="D294"/>
    <hyperlink r:id="rId292" ref="D295"/>
    <hyperlink r:id="rId293" ref="D296"/>
    <hyperlink r:id="rId294" ref="D297"/>
    <hyperlink r:id="rId295" ref="D298"/>
    <hyperlink r:id="rId296" ref="D299"/>
    <hyperlink r:id="rId297" ref="D300"/>
    <hyperlink r:id="rId298" ref="D301"/>
    <hyperlink r:id="rId299" ref="D302"/>
    <hyperlink r:id="rId300" ref="D303"/>
    <hyperlink r:id="rId301" ref="D304"/>
    <hyperlink r:id="rId302" ref="D305"/>
    <hyperlink r:id="rId303" ref="D306"/>
    <hyperlink r:id="rId304" ref="D307"/>
    <hyperlink r:id="rId305" ref="D308"/>
    <hyperlink r:id="rId306" ref="D309"/>
    <hyperlink r:id="rId307" ref="D310"/>
    <hyperlink r:id="rId308" ref="D311"/>
    <hyperlink r:id="rId309" ref="D312"/>
    <hyperlink r:id="rId310" ref="D313"/>
    <hyperlink r:id="rId311" ref="D314"/>
    <hyperlink r:id="rId312" ref="D315"/>
    <hyperlink r:id="rId313" ref="D316"/>
    <hyperlink r:id="rId314" ref="D317"/>
    <hyperlink r:id="rId315" ref="D318"/>
    <hyperlink r:id="rId316" ref="D319"/>
    <hyperlink r:id="rId317" ref="D320"/>
    <hyperlink r:id="rId318" ref="D321"/>
    <hyperlink r:id="rId319" ref="D322"/>
    <hyperlink r:id="rId320" ref="D323"/>
    <hyperlink r:id="rId321" ref="D324"/>
    <hyperlink r:id="rId322" ref="D325"/>
    <hyperlink r:id="rId323" ref="D326"/>
    <hyperlink r:id="rId324" ref="D327"/>
    <hyperlink r:id="rId325" ref="D328"/>
    <hyperlink r:id="rId326" ref="D329"/>
    <hyperlink r:id="rId327" ref="D330"/>
    <hyperlink r:id="rId328" ref="D331"/>
    <hyperlink r:id="rId329" ref="D332"/>
    <hyperlink r:id="rId330" ref="D333"/>
    <hyperlink r:id="rId331" ref="D334"/>
    <hyperlink r:id="rId332" ref="D335"/>
    <hyperlink r:id="rId333" ref="D336"/>
    <hyperlink r:id="rId334" ref="D337"/>
    <hyperlink r:id="rId335" ref="D338"/>
    <hyperlink r:id="rId336" ref="D339"/>
    <hyperlink r:id="rId337" ref="D340"/>
    <hyperlink r:id="rId338" ref="D341"/>
    <hyperlink r:id="rId339" ref="D342"/>
    <hyperlink r:id="rId340" ref="D343"/>
    <hyperlink r:id="rId341" ref="D344"/>
    <hyperlink r:id="rId342" ref="D345"/>
    <hyperlink r:id="rId343" ref="D346"/>
    <hyperlink r:id="rId344" ref="D347"/>
    <hyperlink r:id="rId345" ref="D348"/>
    <hyperlink r:id="rId346" ref="D349"/>
    <hyperlink r:id="rId347" ref="D350"/>
    <hyperlink r:id="rId348" ref="D351"/>
    <hyperlink r:id="rId349" ref="D352"/>
    <hyperlink r:id="rId350" ref="D353"/>
    <hyperlink r:id="rId351" ref="D354"/>
    <hyperlink r:id="rId352" ref="D355"/>
    <hyperlink r:id="rId353" ref="D356"/>
    <hyperlink r:id="rId354" ref="D357"/>
    <hyperlink r:id="rId355" ref="D358"/>
    <hyperlink r:id="rId356" ref="D359"/>
    <hyperlink r:id="rId357" ref="D360"/>
    <hyperlink r:id="rId358" ref="D361"/>
    <hyperlink r:id="rId359" ref="D362"/>
    <hyperlink r:id="rId360" ref="D363"/>
    <hyperlink r:id="rId361" ref="D364"/>
    <hyperlink r:id="rId362" ref="D365"/>
    <hyperlink r:id="rId363" ref="D366"/>
    <hyperlink r:id="rId364" ref="D367"/>
    <hyperlink r:id="rId365" ref="D368"/>
    <hyperlink r:id="rId366" ref="D369"/>
    <hyperlink r:id="rId367" ref="D370"/>
    <hyperlink r:id="rId368" ref="D371"/>
    <hyperlink r:id="rId369" ref="D372"/>
    <hyperlink r:id="rId370" ref="D373"/>
    <hyperlink r:id="rId371" ref="D374"/>
    <hyperlink r:id="rId372" ref="D375"/>
    <hyperlink r:id="rId373" ref="D376"/>
    <hyperlink r:id="rId374" ref="D377"/>
    <hyperlink r:id="rId375" ref="D378"/>
    <hyperlink r:id="rId376" ref="D379"/>
    <hyperlink r:id="rId377" ref="D380"/>
    <hyperlink r:id="rId378" ref="D381"/>
    <hyperlink r:id="rId379" ref="D382"/>
    <hyperlink r:id="rId380" ref="D383"/>
    <hyperlink r:id="rId381" ref="D384"/>
    <hyperlink r:id="rId382" ref="D385"/>
    <hyperlink r:id="rId383" ref="D386"/>
    <hyperlink r:id="rId384" ref="D387"/>
    <hyperlink r:id="rId385" ref="D388"/>
    <hyperlink r:id="rId386" ref="D389"/>
    <hyperlink r:id="rId387" ref="D390"/>
    <hyperlink r:id="rId388" ref="D391"/>
    <hyperlink r:id="rId389" ref="D392"/>
    <hyperlink r:id="rId390" ref="D393"/>
    <hyperlink r:id="rId391" ref="D394"/>
    <hyperlink r:id="rId392" ref="D395"/>
    <hyperlink r:id="rId393" ref="D396"/>
    <hyperlink r:id="rId394" ref="D397"/>
    <hyperlink r:id="rId395" ref="D398"/>
    <hyperlink r:id="rId396" ref="D399"/>
    <hyperlink r:id="rId397" ref="D400"/>
    <hyperlink r:id="rId398" ref="D401"/>
    <hyperlink r:id="rId399" ref="D402"/>
    <hyperlink r:id="rId400" ref="D403"/>
    <hyperlink r:id="rId401" ref="D404"/>
    <hyperlink r:id="rId402" ref="D405"/>
    <hyperlink r:id="rId403" ref="D406"/>
    <hyperlink r:id="rId404" ref="D407"/>
    <hyperlink r:id="rId405" ref="D408"/>
    <hyperlink r:id="rId406" ref="D409"/>
    <hyperlink r:id="rId407" ref="D410"/>
    <hyperlink r:id="rId408" ref="D411"/>
    <hyperlink r:id="rId409" ref="D412"/>
    <hyperlink r:id="rId410" ref="D413"/>
    <hyperlink r:id="rId411" ref="D414"/>
    <hyperlink r:id="rId412" ref="D415"/>
    <hyperlink r:id="rId413" ref="D416"/>
    <hyperlink r:id="rId414" ref="D417"/>
    <hyperlink r:id="rId415" ref="D418"/>
    <hyperlink r:id="rId416" ref="D419"/>
    <hyperlink r:id="rId417" ref="D420"/>
    <hyperlink r:id="rId418" ref="D421"/>
    <hyperlink r:id="rId419" ref="D422"/>
    <hyperlink r:id="rId420" ref="D423"/>
    <hyperlink r:id="rId421" ref="D424"/>
    <hyperlink r:id="rId422" ref="D425"/>
    <hyperlink r:id="rId423" ref="D426"/>
    <hyperlink r:id="rId424" ref="D427"/>
    <hyperlink r:id="rId425" ref="D428"/>
    <hyperlink r:id="rId426" ref="D429"/>
    <hyperlink r:id="rId427" ref="D430"/>
    <hyperlink r:id="rId428" ref="D431"/>
    <hyperlink r:id="rId429" ref="D432"/>
    <hyperlink r:id="rId430" ref="D433"/>
    <hyperlink r:id="rId431" ref="D434"/>
    <hyperlink r:id="rId432" ref="D435"/>
    <hyperlink r:id="rId433" ref="D436"/>
    <hyperlink r:id="rId434" ref="D437"/>
    <hyperlink r:id="rId435" ref="D438"/>
    <hyperlink r:id="rId436" ref="D439"/>
    <hyperlink r:id="rId437" ref="D440"/>
    <hyperlink r:id="rId438" ref="D441"/>
    <hyperlink r:id="rId439" ref="D442"/>
    <hyperlink r:id="rId440" ref="D443"/>
    <hyperlink r:id="rId441" ref="D444"/>
    <hyperlink r:id="rId442" ref="D445"/>
    <hyperlink r:id="rId443" ref="D446"/>
    <hyperlink r:id="rId444" ref="D447"/>
    <hyperlink r:id="rId445" ref="D448"/>
    <hyperlink r:id="rId446" ref="D449"/>
    <hyperlink r:id="rId447" ref="D450"/>
    <hyperlink r:id="rId448" ref="D451"/>
    <hyperlink r:id="rId449" ref="D452"/>
    <hyperlink r:id="rId450" ref="D453"/>
    <hyperlink r:id="rId451" ref="D454"/>
    <hyperlink r:id="rId452" ref="D455"/>
    <hyperlink r:id="rId453" ref="D456"/>
    <hyperlink r:id="rId454" ref="D457"/>
    <hyperlink r:id="rId455" ref="D458"/>
    <hyperlink r:id="rId456" ref="D459"/>
    <hyperlink r:id="rId457" ref="D460"/>
    <hyperlink r:id="rId458" ref="D461"/>
    <hyperlink r:id="rId459" ref="D462"/>
    <hyperlink r:id="rId460" ref="D463"/>
    <hyperlink r:id="rId461" ref="D464"/>
    <hyperlink r:id="rId462" ref="D465"/>
    <hyperlink r:id="rId463" ref="D466"/>
    <hyperlink r:id="rId464" ref="D467"/>
    <hyperlink r:id="rId465" ref="D468"/>
    <hyperlink r:id="rId466" ref="D469"/>
    <hyperlink r:id="rId467" ref="D470"/>
    <hyperlink r:id="rId468" ref="D471"/>
    <hyperlink r:id="rId469" ref="D472"/>
    <hyperlink r:id="rId470" ref="D473"/>
    <hyperlink r:id="rId471" ref="D474"/>
    <hyperlink r:id="rId472" ref="D475"/>
    <hyperlink r:id="rId473" ref="D476"/>
    <hyperlink r:id="rId474" ref="D477"/>
    <hyperlink r:id="rId475" ref="D478"/>
    <hyperlink r:id="rId476" ref="D479"/>
    <hyperlink r:id="rId477" ref="D480"/>
    <hyperlink r:id="rId478" ref="D481"/>
    <hyperlink r:id="rId479" ref="D482"/>
    <hyperlink r:id="rId480" ref="D483"/>
    <hyperlink r:id="rId481" ref="D484"/>
    <hyperlink r:id="rId482" ref="D485"/>
    <hyperlink r:id="rId483" ref="D486"/>
    <hyperlink r:id="rId484" ref="D487"/>
    <hyperlink r:id="rId485" ref="D488"/>
    <hyperlink r:id="rId486" ref="D489"/>
    <hyperlink r:id="rId487" ref="D490"/>
    <hyperlink r:id="rId488" ref="D491"/>
    <hyperlink r:id="rId489" ref="D492"/>
    <hyperlink r:id="rId490" ref="D493"/>
    <hyperlink r:id="rId491" ref="D494"/>
    <hyperlink r:id="rId492" ref="D495"/>
    <hyperlink r:id="rId493" ref="D496"/>
    <hyperlink r:id="rId494" ref="D497"/>
    <hyperlink r:id="rId495" ref="D498"/>
    <hyperlink r:id="rId496" ref="D499"/>
    <hyperlink r:id="rId497" ref="D500"/>
    <hyperlink r:id="rId498" ref="D501"/>
    <hyperlink r:id="rId499" ref="D502"/>
    <hyperlink r:id="rId500" ref="D503"/>
    <hyperlink r:id="rId501" ref="D504"/>
    <hyperlink r:id="rId502" ref="D505"/>
    <hyperlink r:id="rId503" ref="D506"/>
    <hyperlink r:id="rId504" ref="D507"/>
    <hyperlink r:id="rId505" ref="D508"/>
    <hyperlink r:id="rId506" ref="D509"/>
    <hyperlink r:id="rId507" ref="D510"/>
    <hyperlink r:id="rId508" ref="D511"/>
    <hyperlink r:id="rId509" ref="D512"/>
    <hyperlink r:id="rId510" ref="D513"/>
    <hyperlink r:id="rId511" ref="D514"/>
    <hyperlink r:id="rId512" ref="D515"/>
    <hyperlink r:id="rId513" ref="D516"/>
    <hyperlink r:id="rId514" ref="D517"/>
    <hyperlink r:id="rId515" ref="D518"/>
    <hyperlink r:id="rId516" ref="D519"/>
    <hyperlink r:id="rId517" ref="D520"/>
    <hyperlink r:id="rId518" ref="D521"/>
    <hyperlink r:id="rId519" ref="D522"/>
    <hyperlink r:id="rId520" ref="D523"/>
    <hyperlink r:id="rId521" ref="D524"/>
    <hyperlink r:id="rId522" ref="D525"/>
    <hyperlink r:id="rId523" ref="D526"/>
    <hyperlink r:id="rId524" ref="D527"/>
    <hyperlink r:id="rId525" ref="D528"/>
    <hyperlink r:id="rId526" ref="D529"/>
    <hyperlink r:id="rId527" ref="D530"/>
    <hyperlink r:id="rId528" ref="D531"/>
    <hyperlink r:id="rId529" ref="D532"/>
    <hyperlink r:id="rId530" ref="D533"/>
    <hyperlink r:id="rId531" ref="D534"/>
    <hyperlink r:id="rId532" ref="D535"/>
    <hyperlink r:id="rId533" ref="D536"/>
    <hyperlink r:id="rId534" ref="D537"/>
    <hyperlink r:id="rId535" ref="D538"/>
    <hyperlink r:id="rId536" ref="D539"/>
    <hyperlink r:id="rId537" ref="D540"/>
    <hyperlink r:id="rId538" ref="D541"/>
    <hyperlink r:id="rId539" ref="D542"/>
    <hyperlink r:id="rId540" ref="D543"/>
    <hyperlink r:id="rId541" ref="D544"/>
    <hyperlink r:id="rId542" ref="D545"/>
    <hyperlink r:id="rId543" ref="D546"/>
    <hyperlink r:id="rId544" ref="D547"/>
    <hyperlink r:id="rId545" ref="D548"/>
    <hyperlink r:id="rId546" ref="D549"/>
    <hyperlink r:id="rId547" ref="D550"/>
    <hyperlink r:id="rId548" ref="D551"/>
    <hyperlink r:id="rId549" ref="D552"/>
    <hyperlink r:id="rId550" ref="D553"/>
    <hyperlink r:id="rId551" ref="D554"/>
    <hyperlink r:id="rId552" ref="D555"/>
    <hyperlink r:id="rId553" ref="D556"/>
    <hyperlink r:id="rId554" ref="D557"/>
    <hyperlink r:id="rId555" ref="D558"/>
    <hyperlink r:id="rId556" ref="D559"/>
    <hyperlink r:id="rId557" ref="D560"/>
    <hyperlink r:id="rId558" ref="D561"/>
    <hyperlink r:id="rId559" ref="D562"/>
    <hyperlink r:id="rId560" ref="D563"/>
    <hyperlink r:id="rId561" ref="D564"/>
    <hyperlink r:id="rId562" ref="D565"/>
    <hyperlink r:id="rId563" ref="D566"/>
    <hyperlink r:id="rId564" ref="D567"/>
    <hyperlink r:id="rId565" ref="D568"/>
    <hyperlink r:id="rId566" ref="D569"/>
    <hyperlink r:id="rId567" ref="D570"/>
    <hyperlink r:id="rId568" ref="D571"/>
    <hyperlink r:id="rId569" ref="D572"/>
    <hyperlink r:id="rId570" ref="D573"/>
    <hyperlink r:id="rId571" ref="D574"/>
    <hyperlink r:id="rId572" ref="D575"/>
    <hyperlink r:id="rId573" ref="D576"/>
    <hyperlink r:id="rId574" ref="D577"/>
    <hyperlink r:id="rId575" ref="D578"/>
    <hyperlink r:id="rId576" ref="D579"/>
    <hyperlink r:id="rId577" ref="D580"/>
    <hyperlink r:id="rId578" ref="D581"/>
    <hyperlink r:id="rId579" ref="D582"/>
    <hyperlink r:id="rId580" ref="D583"/>
    <hyperlink r:id="rId581" ref="D584"/>
    <hyperlink r:id="rId582" ref="D585"/>
    <hyperlink r:id="rId583" ref="D586"/>
    <hyperlink r:id="rId584" ref="D587"/>
    <hyperlink r:id="rId585" ref="D588"/>
    <hyperlink r:id="rId586" ref="D589"/>
  </hyperlinks>
  <drawing r:id="rId587"/>
  <tableParts count="2">
    <tablePart r:id="rId590"/>
    <tablePart r:id="rId59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2.75"/>
    <col customWidth="1" min="3" max="3" width="22.13"/>
    <col customWidth="1" min="4" max="4" width="24.5"/>
    <col customWidth="1" min="5" max="5" width="23.63"/>
    <col customWidth="1" min="6" max="6" width="71.75"/>
  </cols>
  <sheetData>
    <row r="1">
      <c r="A1" s="190" t="s">
        <v>93</v>
      </c>
      <c r="B1" s="190" t="s">
        <v>33</v>
      </c>
      <c r="C1" s="191" t="s">
        <v>94</v>
      </c>
      <c r="D1" s="190" t="s">
        <v>95</v>
      </c>
      <c r="E1" s="190" t="s">
        <v>96</v>
      </c>
      <c r="F1" s="190" t="s">
        <v>97</v>
      </c>
    </row>
    <row r="2">
      <c r="A2" s="192" t="s">
        <v>98</v>
      </c>
      <c r="B2" s="193" t="s">
        <v>99</v>
      </c>
      <c r="C2" s="194" t="s">
        <v>100</v>
      </c>
      <c r="D2" s="192"/>
      <c r="E2" s="195" t="s">
        <v>101</v>
      </c>
      <c r="F2" s="192"/>
    </row>
    <row r="3">
      <c r="A3" s="196" t="s">
        <v>102</v>
      </c>
      <c r="B3" s="197" t="s">
        <v>99</v>
      </c>
      <c r="C3" s="198"/>
      <c r="D3" s="196"/>
      <c r="E3" s="199" t="s">
        <v>101</v>
      </c>
      <c r="F3" s="200" t="s">
        <v>103</v>
      </c>
    </row>
    <row r="4">
      <c r="A4" s="201" t="s">
        <v>104</v>
      </c>
      <c r="B4" s="202" t="s">
        <v>99</v>
      </c>
      <c r="C4" s="203"/>
      <c r="D4" s="192"/>
      <c r="E4" s="199" t="s">
        <v>105</v>
      </c>
      <c r="F4" s="201" t="s">
        <v>106</v>
      </c>
    </row>
    <row r="5">
      <c r="A5" s="192" t="s">
        <v>107</v>
      </c>
      <c r="B5" s="193" t="s">
        <v>99</v>
      </c>
      <c r="C5" s="203"/>
      <c r="D5" s="192" t="s">
        <v>99</v>
      </c>
      <c r="E5" s="195" t="s">
        <v>108</v>
      </c>
      <c r="F5" s="192"/>
    </row>
    <row r="6">
      <c r="A6" s="204" t="s">
        <v>63</v>
      </c>
      <c r="B6" s="205" t="s">
        <v>99</v>
      </c>
      <c r="C6" s="206" t="s">
        <v>109</v>
      </c>
      <c r="D6" s="204" t="s">
        <v>110</v>
      </c>
      <c r="E6" s="207" t="s">
        <v>111</v>
      </c>
      <c r="F6" s="208" t="s">
        <v>112</v>
      </c>
    </row>
    <row r="7">
      <c r="A7" s="192" t="s">
        <v>113</v>
      </c>
      <c r="B7" s="193" t="s">
        <v>99</v>
      </c>
      <c r="C7" s="203"/>
      <c r="D7" s="192" t="s">
        <v>99</v>
      </c>
      <c r="E7" s="195" t="s">
        <v>114</v>
      </c>
      <c r="F7" s="192"/>
    </row>
    <row r="8">
      <c r="A8" s="196" t="s">
        <v>115</v>
      </c>
      <c r="B8" s="197" t="s">
        <v>99</v>
      </c>
      <c r="C8" s="209" t="s">
        <v>116</v>
      </c>
      <c r="D8" s="210" t="s">
        <v>117</v>
      </c>
      <c r="E8" s="199" t="s">
        <v>101</v>
      </c>
      <c r="F8" s="200" t="s">
        <v>118</v>
      </c>
    </row>
    <row r="9">
      <c r="A9" s="192" t="s">
        <v>119</v>
      </c>
      <c r="B9" s="193" t="s">
        <v>99</v>
      </c>
      <c r="C9" s="194" t="s">
        <v>120</v>
      </c>
      <c r="D9" s="192" t="s">
        <v>121</v>
      </c>
      <c r="E9" s="195" t="s">
        <v>122</v>
      </c>
      <c r="F9" s="211" t="s">
        <v>123</v>
      </c>
    </row>
    <row r="10">
      <c r="A10" s="204" t="s">
        <v>23</v>
      </c>
      <c r="B10" s="205" t="s">
        <v>99</v>
      </c>
      <c r="C10" s="212"/>
      <c r="D10" s="204"/>
      <c r="E10" s="213" t="s">
        <v>124</v>
      </c>
      <c r="F10" s="204"/>
    </row>
    <row r="11">
      <c r="A11" s="192" t="s">
        <v>125</v>
      </c>
      <c r="B11" s="193" t="s">
        <v>99</v>
      </c>
      <c r="C11" s="203"/>
      <c r="D11" s="192"/>
      <c r="E11" s="195" t="s">
        <v>126</v>
      </c>
      <c r="F11" s="211" t="s">
        <v>127</v>
      </c>
    </row>
    <row r="12">
      <c r="A12" s="196" t="s">
        <v>128</v>
      </c>
      <c r="B12" s="197" t="s">
        <v>99</v>
      </c>
      <c r="C12" s="209" t="s">
        <v>129</v>
      </c>
      <c r="D12" s="196" t="s">
        <v>121</v>
      </c>
      <c r="E12" s="214" t="s">
        <v>130</v>
      </c>
      <c r="F12" s="204"/>
    </row>
    <row r="13">
      <c r="A13" s="192" t="s">
        <v>131</v>
      </c>
      <c r="B13" s="193" t="s">
        <v>99</v>
      </c>
      <c r="C13" s="194" t="s">
        <v>132</v>
      </c>
      <c r="D13" s="192"/>
      <c r="E13" s="195" t="s">
        <v>101</v>
      </c>
      <c r="F13" s="211" t="s">
        <v>133</v>
      </c>
    </row>
    <row r="14">
      <c r="A14" s="196" t="s">
        <v>134</v>
      </c>
      <c r="B14" s="197" t="s">
        <v>99</v>
      </c>
      <c r="C14" s="209" t="s">
        <v>135</v>
      </c>
      <c r="D14" s="196" t="s">
        <v>99</v>
      </c>
      <c r="E14" s="199" t="s">
        <v>136</v>
      </c>
      <c r="F14" s="196"/>
    </row>
    <row r="15">
      <c r="A15" s="192" t="s">
        <v>137</v>
      </c>
      <c r="B15" s="193" t="s">
        <v>99</v>
      </c>
      <c r="C15" s="194" t="s">
        <v>138</v>
      </c>
      <c r="D15" s="192" t="s">
        <v>139</v>
      </c>
      <c r="E15" s="215" t="s">
        <v>140</v>
      </c>
      <c r="F15" s="211" t="s">
        <v>141</v>
      </c>
    </row>
    <row r="16">
      <c r="A16" s="196" t="s">
        <v>142</v>
      </c>
      <c r="B16" s="197" t="s">
        <v>99</v>
      </c>
      <c r="C16" s="212"/>
      <c r="D16" s="196" t="s">
        <v>121</v>
      </c>
      <c r="E16" s="199" t="s">
        <v>143</v>
      </c>
      <c r="F16" s="196"/>
    </row>
    <row r="17">
      <c r="A17" s="192" t="s">
        <v>144</v>
      </c>
      <c r="B17" s="193" t="s">
        <v>145</v>
      </c>
      <c r="C17" s="194" t="s">
        <v>146</v>
      </c>
      <c r="D17" s="192" t="s">
        <v>147</v>
      </c>
      <c r="E17" s="195" t="s">
        <v>148</v>
      </c>
      <c r="F17" s="211" t="s">
        <v>149</v>
      </c>
    </row>
    <row r="18">
      <c r="A18" s="196" t="s">
        <v>150</v>
      </c>
      <c r="B18" s="197" t="s">
        <v>99</v>
      </c>
      <c r="C18" s="209" t="s">
        <v>151</v>
      </c>
      <c r="D18" s="196"/>
      <c r="E18" s="199" t="s">
        <v>108</v>
      </c>
      <c r="F18" s="200" t="s">
        <v>152</v>
      </c>
    </row>
    <row r="19">
      <c r="A19" s="192" t="s">
        <v>11</v>
      </c>
      <c r="B19" s="193" t="s">
        <v>99</v>
      </c>
      <c r="C19" s="194" t="s">
        <v>153</v>
      </c>
      <c r="D19" s="192" t="s">
        <v>154</v>
      </c>
      <c r="E19" s="215" t="s">
        <v>155</v>
      </c>
      <c r="F19" s="192"/>
    </row>
    <row r="20">
      <c r="A20" s="192" t="s">
        <v>156</v>
      </c>
      <c r="B20" s="193" t="s">
        <v>99</v>
      </c>
      <c r="C20" s="194" t="s">
        <v>157</v>
      </c>
      <c r="D20" s="192"/>
      <c r="E20" s="195" t="s">
        <v>101</v>
      </c>
      <c r="F20" s="192"/>
    </row>
    <row r="21">
      <c r="A21" s="196" t="s">
        <v>158</v>
      </c>
      <c r="B21" s="197" t="s">
        <v>99</v>
      </c>
      <c r="C21" s="209" t="s">
        <v>159</v>
      </c>
      <c r="D21" s="196" t="s">
        <v>99</v>
      </c>
      <c r="E21" s="199" t="s">
        <v>160</v>
      </c>
      <c r="F21" s="200" t="s">
        <v>161</v>
      </c>
    </row>
    <row r="22">
      <c r="A22" s="196" t="s">
        <v>162</v>
      </c>
      <c r="B22" s="197" t="s">
        <v>99</v>
      </c>
      <c r="C22" s="209" t="s">
        <v>163</v>
      </c>
      <c r="D22" s="196" t="s">
        <v>99</v>
      </c>
      <c r="E22" s="199" t="s">
        <v>136</v>
      </c>
      <c r="F22" s="196"/>
    </row>
    <row r="23">
      <c r="A23" s="192" t="s">
        <v>164</v>
      </c>
      <c r="B23" s="193" t="s">
        <v>99</v>
      </c>
      <c r="C23" s="203"/>
      <c r="D23" s="192"/>
      <c r="E23" s="195" t="s">
        <v>165</v>
      </c>
      <c r="F23" s="211" t="s">
        <v>166</v>
      </c>
    </row>
    <row r="24">
      <c r="A24" s="196" t="s">
        <v>167</v>
      </c>
      <c r="B24" s="197" t="s">
        <v>99</v>
      </c>
      <c r="C24" s="198"/>
      <c r="D24" s="196" t="s">
        <v>99</v>
      </c>
      <c r="E24" s="199" t="s">
        <v>101</v>
      </c>
      <c r="F24" s="200" t="s">
        <v>168</v>
      </c>
    </row>
    <row r="25">
      <c r="A25" s="192" t="s">
        <v>169</v>
      </c>
      <c r="B25" s="193" t="s">
        <v>99</v>
      </c>
      <c r="C25" s="203"/>
      <c r="D25" s="192" t="s">
        <v>99</v>
      </c>
      <c r="E25" s="195" t="s">
        <v>143</v>
      </c>
      <c r="F25" s="192"/>
    </row>
    <row r="26">
      <c r="A26" s="192" t="s">
        <v>170</v>
      </c>
      <c r="B26" s="193" t="s">
        <v>99</v>
      </c>
      <c r="C26" s="194" t="s">
        <v>171</v>
      </c>
      <c r="D26" s="192"/>
      <c r="E26" s="195" t="s">
        <v>101</v>
      </c>
      <c r="F26" s="211" t="s">
        <v>172</v>
      </c>
    </row>
    <row r="27" ht="27.0" customHeight="1">
      <c r="A27" s="196" t="s">
        <v>173</v>
      </c>
      <c r="B27" s="197" t="s">
        <v>99</v>
      </c>
      <c r="C27" s="209" t="s">
        <v>174</v>
      </c>
      <c r="D27" s="196"/>
      <c r="E27" s="199" t="s">
        <v>114</v>
      </c>
      <c r="F27" s="196"/>
    </row>
    <row r="28">
      <c r="A28" s="192" t="s">
        <v>175</v>
      </c>
      <c r="B28" s="193" t="s">
        <v>99</v>
      </c>
      <c r="C28" s="194" t="s">
        <v>176</v>
      </c>
      <c r="D28" s="192"/>
      <c r="E28" s="195" t="s">
        <v>101</v>
      </c>
      <c r="F28" s="211" t="s">
        <v>177</v>
      </c>
    </row>
    <row r="29">
      <c r="A29" s="196" t="s">
        <v>178</v>
      </c>
      <c r="B29" s="197" t="s">
        <v>99</v>
      </c>
      <c r="C29" s="198"/>
      <c r="D29" s="196"/>
      <c r="E29" s="199" t="s">
        <v>179</v>
      </c>
      <c r="F29" s="196"/>
    </row>
    <row r="30">
      <c r="A30" s="192" t="s">
        <v>180</v>
      </c>
      <c r="B30" s="193" t="s">
        <v>99</v>
      </c>
      <c r="C30" s="194" t="s">
        <v>181</v>
      </c>
      <c r="D30" s="192" t="s">
        <v>182</v>
      </c>
      <c r="E30" s="195" t="s">
        <v>101</v>
      </c>
      <c r="F30" s="192"/>
    </row>
    <row r="31">
      <c r="A31" s="192" t="s">
        <v>183</v>
      </c>
      <c r="B31" s="193" t="s">
        <v>99</v>
      </c>
      <c r="C31" s="194" t="s">
        <v>184</v>
      </c>
      <c r="D31" s="192" t="s">
        <v>139</v>
      </c>
      <c r="E31" s="195" t="s">
        <v>143</v>
      </c>
      <c r="F31" s="192"/>
    </row>
    <row r="32">
      <c r="A32" s="196" t="s">
        <v>15</v>
      </c>
      <c r="B32" s="197" t="s">
        <v>99</v>
      </c>
      <c r="C32" s="209" t="s">
        <v>185</v>
      </c>
      <c r="D32" s="196" t="s">
        <v>154</v>
      </c>
      <c r="E32" s="216" t="s">
        <v>186</v>
      </c>
      <c r="F32" s="196"/>
    </row>
    <row r="33">
      <c r="A33" s="192" t="s">
        <v>187</v>
      </c>
      <c r="B33" s="193" t="s">
        <v>99</v>
      </c>
      <c r="C33" s="203"/>
      <c r="D33" s="192"/>
      <c r="E33" s="195" t="s">
        <v>101</v>
      </c>
      <c r="F33" s="211" t="s">
        <v>188</v>
      </c>
    </row>
    <row r="34">
      <c r="A34" s="196" t="s">
        <v>189</v>
      </c>
      <c r="B34" s="197" t="s">
        <v>99</v>
      </c>
      <c r="C34" s="198"/>
      <c r="D34" s="196"/>
      <c r="E34" s="199" t="s">
        <v>101</v>
      </c>
      <c r="F34" s="200" t="s">
        <v>190</v>
      </c>
    </row>
    <row r="35">
      <c r="A35" s="201" t="s">
        <v>191</v>
      </c>
      <c r="B35" s="193" t="s">
        <v>99</v>
      </c>
      <c r="C35" s="217" t="s">
        <v>192</v>
      </c>
      <c r="D35" s="192"/>
      <c r="E35" s="218" t="s">
        <v>193</v>
      </c>
      <c r="F35" s="201" t="s">
        <v>194</v>
      </c>
    </row>
    <row r="36">
      <c r="A36" s="219" t="s">
        <v>195</v>
      </c>
      <c r="B36" s="219" t="s">
        <v>99</v>
      </c>
      <c r="C36" s="220" t="s">
        <v>196</v>
      </c>
      <c r="D36" s="219"/>
      <c r="E36" s="221" t="s">
        <v>114</v>
      </c>
      <c r="F36" s="219" t="s">
        <v>197</v>
      </c>
    </row>
    <row r="37">
      <c r="A37" s="201" t="s">
        <v>198</v>
      </c>
      <c r="B37" s="219" t="s">
        <v>99</v>
      </c>
      <c r="C37" s="222" t="s">
        <v>199</v>
      </c>
      <c r="D37" s="219"/>
      <c r="E37" s="218" t="s">
        <v>200</v>
      </c>
      <c r="F37" s="201"/>
    </row>
    <row r="38">
      <c r="A38" s="219"/>
      <c r="B38" s="219"/>
      <c r="C38" s="219"/>
      <c r="D38" s="219"/>
      <c r="E38" s="219"/>
      <c r="F38" s="219"/>
    </row>
    <row r="39">
      <c r="A39" s="201"/>
      <c r="B39" s="193"/>
      <c r="C39" s="223"/>
      <c r="D39" s="219"/>
      <c r="E39" s="218"/>
      <c r="F39" s="201"/>
    </row>
    <row r="40">
      <c r="A40" s="219"/>
      <c r="B40" s="219"/>
      <c r="C40" s="219"/>
      <c r="D40" s="219"/>
      <c r="E40" s="219"/>
      <c r="F40" s="219"/>
    </row>
    <row r="41">
      <c r="A41" s="201"/>
      <c r="B41" s="193"/>
      <c r="C41" s="223"/>
      <c r="D41" s="219"/>
      <c r="E41" s="218"/>
      <c r="F41" s="201"/>
    </row>
    <row r="42">
      <c r="A42" s="219"/>
      <c r="B42" s="219"/>
      <c r="C42" s="219"/>
      <c r="D42" s="219"/>
      <c r="E42" s="219"/>
      <c r="F42" s="219"/>
    </row>
    <row r="43">
      <c r="A43" s="201"/>
      <c r="B43" s="193"/>
      <c r="C43" s="223"/>
      <c r="D43" s="219"/>
      <c r="E43" s="218"/>
      <c r="F43" s="201"/>
    </row>
    <row r="44">
      <c r="A44" s="219"/>
      <c r="B44" s="219"/>
      <c r="C44" s="219"/>
      <c r="D44" s="219"/>
      <c r="E44" s="219"/>
      <c r="F44" s="219"/>
    </row>
    <row r="45">
      <c r="A45" s="201"/>
      <c r="B45" s="193"/>
      <c r="C45" s="223"/>
      <c r="D45" s="219"/>
      <c r="E45" s="218"/>
      <c r="F45" s="201"/>
    </row>
    <row r="46">
      <c r="A46" s="219"/>
      <c r="B46" s="219"/>
      <c r="C46" s="219"/>
      <c r="D46" s="219"/>
      <c r="E46" s="219"/>
      <c r="F46" s="219"/>
    </row>
    <row r="47">
      <c r="A47" s="201"/>
      <c r="B47" s="193"/>
      <c r="C47" s="223"/>
      <c r="D47" s="219"/>
      <c r="E47" s="218"/>
      <c r="F47" s="201"/>
    </row>
    <row r="48">
      <c r="A48" s="219"/>
      <c r="B48" s="219"/>
      <c r="C48" s="219"/>
      <c r="D48" s="219"/>
      <c r="E48" s="219"/>
      <c r="F48" s="219"/>
    </row>
    <row r="49">
      <c r="A49" s="201"/>
      <c r="B49" s="193"/>
      <c r="C49" s="223"/>
      <c r="D49" s="219"/>
      <c r="E49" s="218"/>
      <c r="F49" s="201"/>
    </row>
    <row r="50">
      <c r="A50" s="219"/>
      <c r="B50" s="219"/>
      <c r="C50" s="219"/>
      <c r="D50" s="219"/>
      <c r="E50" s="219"/>
      <c r="F50" s="219"/>
    </row>
    <row r="51">
      <c r="A51" s="201"/>
      <c r="B51" s="193"/>
      <c r="C51" s="223"/>
      <c r="D51" s="219"/>
      <c r="E51" s="218"/>
      <c r="F51" s="201"/>
    </row>
    <row r="52">
      <c r="A52" s="219"/>
      <c r="B52" s="219"/>
      <c r="C52" s="219"/>
      <c r="D52" s="219"/>
      <c r="E52" s="219"/>
      <c r="F52" s="219"/>
    </row>
    <row r="53">
      <c r="A53" s="201"/>
      <c r="B53" s="193"/>
      <c r="C53" s="223"/>
      <c r="D53" s="219"/>
      <c r="E53" s="218"/>
      <c r="F53" s="201"/>
    </row>
    <row r="54">
      <c r="A54" s="219"/>
      <c r="B54" s="219"/>
      <c r="C54" s="219"/>
      <c r="D54" s="219"/>
      <c r="E54" s="219"/>
      <c r="F54" s="219"/>
    </row>
    <row r="55">
      <c r="A55" s="201"/>
      <c r="B55" s="193"/>
      <c r="C55" s="223"/>
      <c r="D55" s="219"/>
      <c r="E55" s="218"/>
      <c r="F55" s="201"/>
    </row>
    <row r="56">
      <c r="A56" s="219"/>
      <c r="B56" s="219"/>
      <c r="C56" s="219"/>
      <c r="D56" s="219"/>
      <c r="E56" s="219"/>
      <c r="F56" s="219"/>
    </row>
    <row r="57">
      <c r="A57" s="201"/>
      <c r="B57" s="193"/>
      <c r="C57" s="223"/>
      <c r="D57" s="219"/>
      <c r="E57" s="218"/>
      <c r="F57" s="201"/>
    </row>
    <row r="58">
      <c r="A58" s="219"/>
      <c r="B58" s="219"/>
      <c r="C58" s="219"/>
      <c r="D58" s="219"/>
      <c r="E58" s="219"/>
      <c r="F58" s="219"/>
    </row>
    <row r="59">
      <c r="A59" s="201"/>
      <c r="B59" s="193"/>
      <c r="C59" s="223"/>
      <c r="D59" s="219"/>
      <c r="E59" s="218"/>
      <c r="F59" s="201"/>
    </row>
    <row r="60">
      <c r="A60" s="219"/>
      <c r="B60" s="219"/>
      <c r="C60" s="219"/>
      <c r="D60" s="219"/>
      <c r="E60" s="219"/>
      <c r="F60" s="219"/>
    </row>
    <row r="61">
      <c r="A61" s="201"/>
      <c r="B61" s="193"/>
      <c r="C61" s="223"/>
      <c r="D61" s="219"/>
      <c r="E61" s="218"/>
      <c r="F61" s="201"/>
    </row>
    <row r="62">
      <c r="A62" s="219"/>
      <c r="B62" s="219"/>
      <c r="C62" s="219"/>
      <c r="D62" s="219"/>
      <c r="E62" s="219"/>
      <c r="F62" s="219"/>
    </row>
    <row r="63">
      <c r="A63" s="201"/>
      <c r="B63" s="193"/>
      <c r="C63" s="223"/>
      <c r="D63" s="219"/>
      <c r="E63" s="218"/>
      <c r="F63" s="201"/>
    </row>
    <row r="64">
      <c r="A64" s="219"/>
      <c r="B64" s="219"/>
      <c r="C64" s="219"/>
      <c r="D64" s="219"/>
      <c r="E64" s="219"/>
      <c r="F64" s="219"/>
    </row>
    <row r="65">
      <c r="A65" s="201"/>
      <c r="B65" s="193"/>
      <c r="C65" s="223"/>
      <c r="D65" s="219"/>
      <c r="E65" s="218"/>
      <c r="F65" s="201"/>
    </row>
    <row r="66">
      <c r="A66" s="219"/>
      <c r="B66" s="219"/>
      <c r="C66" s="219"/>
      <c r="D66" s="219"/>
      <c r="E66" s="219"/>
      <c r="F66" s="219"/>
    </row>
    <row r="67">
      <c r="A67" s="201"/>
      <c r="B67" s="193"/>
      <c r="C67" s="223"/>
      <c r="D67" s="219"/>
      <c r="E67" s="218"/>
      <c r="F67" s="201"/>
    </row>
    <row r="68">
      <c r="A68" s="219"/>
      <c r="B68" s="219"/>
      <c r="C68" s="219"/>
      <c r="D68" s="219"/>
      <c r="E68" s="219"/>
      <c r="F68" s="219"/>
    </row>
    <row r="69">
      <c r="A69" s="201"/>
      <c r="B69" s="193"/>
      <c r="C69" s="223"/>
      <c r="D69" s="219"/>
      <c r="E69" s="218"/>
      <c r="F69" s="201"/>
    </row>
    <row r="70">
      <c r="A70" s="219"/>
      <c r="B70" s="219"/>
      <c r="C70" s="219"/>
      <c r="D70" s="219"/>
      <c r="E70" s="219"/>
      <c r="F70" s="219"/>
    </row>
    <row r="71">
      <c r="A71" s="201"/>
      <c r="B71" s="193"/>
      <c r="C71" s="223"/>
      <c r="D71" s="219"/>
      <c r="E71" s="218"/>
      <c r="F71" s="201"/>
    </row>
    <row r="72">
      <c r="A72" s="219"/>
      <c r="B72" s="219"/>
      <c r="C72" s="219"/>
      <c r="D72" s="219"/>
      <c r="E72" s="219"/>
      <c r="F72" s="219"/>
    </row>
    <row r="73">
      <c r="A73" s="201"/>
      <c r="B73" s="193"/>
      <c r="C73" s="223"/>
      <c r="D73" s="219"/>
      <c r="E73" s="218"/>
      <c r="F73" s="201"/>
    </row>
    <row r="74">
      <c r="A74" s="219"/>
      <c r="B74" s="219"/>
      <c r="C74" s="219"/>
      <c r="D74" s="219"/>
      <c r="E74" s="219"/>
      <c r="F74" s="219"/>
    </row>
    <row r="75">
      <c r="A75" s="201"/>
      <c r="B75" s="193"/>
      <c r="C75" s="223"/>
      <c r="D75" s="219"/>
      <c r="E75" s="218"/>
      <c r="F75" s="201"/>
    </row>
    <row r="76">
      <c r="A76" s="219"/>
      <c r="B76" s="219"/>
      <c r="C76" s="219"/>
      <c r="D76" s="219"/>
      <c r="E76" s="219"/>
      <c r="F76" s="219"/>
    </row>
    <row r="77">
      <c r="A77" s="201"/>
      <c r="B77" s="193"/>
      <c r="C77" s="223"/>
      <c r="D77" s="219"/>
      <c r="E77" s="218"/>
      <c r="F77" s="201"/>
    </row>
    <row r="78">
      <c r="A78" s="219"/>
      <c r="B78" s="219"/>
      <c r="C78" s="219"/>
      <c r="D78" s="219"/>
      <c r="E78" s="219"/>
      <c r="F78" s="219"/>
    </row>
    <row r="79">
      <c r="A79" s="201"/>
      <c r="B79" s="193"/>
      <c r="C79" s="223"/>
      <c r="D79" s="219"/>
      <c r="E79" s="218"/>
      <c r="F79" s="201"/>
    </row>
    <row r="80">
      <c r="A80" s="219"/>
      <c r="B80" s="219"/>
      <c r="C80" s="219"/>
      <c r="D80" s="219"/>
      <c r="E80" s="219"/>
      <c r="F80" s="219"/>
    </row>
    <row r="81">
      <c r="A81" s="201"/>
      <c r="B81" s="193"/>
      <c r="C81" s="223"/>
      <c r="D81" s="219"/>
      <c r="E81" s="218"/>
      <c r="F81" s="201"/>
    </row>
    <row r="82">
      <c r="A82" s="219"/>
      <c r="B82" s="219"/>
      <c r="C82" s="219"/>
      <c r="D82" s="219"/>
      <c r="E82" s="219"/>
      <c r="F82" s="219"/>
    </row>
    <row r="83">
      <c r="A83" s="201"/>
      <c r="B83" s="193"/>
      <c r="C83" s="223"/>
      <c r="D83" s="219"/>
      <c r="E83" s="218"/>
      <c r="F83" s="201"/>
    </row>
    <row r="84">
      <c r="A84" s="219"/>
      <c r="B84" s="219"/>
      <c r="C84" s="219"/>
      <c r="D84" s="219"/>
      <c r="E84" s="219"/>
      <c r="F84" s="219"/>
    </row>
    <row r="85">
      <c r="A85" s="201"/>
      <c r="B85" s="193"/>
      <c r="C85" s="223"/>
      <c r="D85" s="219"/>
      <c r="E85" s="218"/>
      <c r="F85" s="201"/>
    </row>
    <row r="86">
      <c r="A86" s="219"/>
      <c r="B86" s="219"/>
      <c r="C86" s="219"/>
      <c r="D86" s="219"/>
      <c r="E86" s="219"/>
      <c r="F86" s="219"/>
    </row>
    <row r="87">
      <c r="A87" s="201"/>
      <c r="B87" s="193"/>
      <c r="C87" s="223"/>
      <c r="D87" s="219"/>
      <c r="E87" s="218"/>
      <c r="F87" s="201"/>
    </row>
    <row r="88">
      <c r="A88" s="219"/>
      <c r="B88" s="219"/>
      <c r="C88" s="219"/>
      <c r="D88" s="219"/>
      <c r="E88" s="219"/>
      <c r="F88" s="219"/>
    </row>
    <row r="89">
      <c r="A89" s="201"/>
      <c r="B89" s="193"/>
      <c r="C89" s="223"/>
      <c r="D89" s="219"/>
      <c r="E89" s="218"/>
      <c r="F89" s="201"/>
    </row>
    <row r="90">
      <c r="A90" s="219"/>
      <c r="B90" s="219"/>
      <c r="C90" s="219"/>
      <c r="D90" s="219"/>
      <c r="E90" s="219"/>
      <c r="F90" s="219"/>
    </row>
    <row r="91">
      <c r="A91" s="201"/>
      <c r="B91" s="193"/>
      <c r="C91" s="223"/>
      <c r="D91" s="219"/>
      <c r="E91" s="218"/>
      <c r="F91" s="201"/>
    </row>
    <row r="92">
      <c r="A92" s="219"/>
      <c r="B92" s="219"/>
      <c r="C92" s="219"/>
      <c r="D92" s="219"/>
      <c r="E92" s="219"/>
      <c r="F92" s="219"/>
    </row>
    <row r="93">
      <c r="A93" s="201"/>
      <c r="B93" s="193"/>
      <c r="C93" s="223"/>
      <c r="D93" s="219"/>
      <c r="E93" s="218"/>
      <c r="F93" s="201"/>
    </row>
    <row r="94">
      <c r="A94" s="219"/>
      <c r="B94" s="219"/>
      <c r="C94" s="219"/>
      <c r="D94" s="219"/>
      <c r="E94" s="219"/>
      <c r="F94" s="219"/>
    </row>
    <row r="95">
      <c r="A95" s="201"/>
      <c r="B95" s="193"/>
      <c r="C95" s="223"/>
      <c r="D95" s="219"/>
      <c r="E95" s="218"/>
      <c r="F95" s="201"/>
    </row>
  </sheetData>
  <hyperlinks>
    <hyperlink r:id="rId1" ref="C2"/>
    <hyperlink r:id="rId2" ref="C8"/>
    <hyperlink r:id="rId3" ref="D8"/>
    <hyperlink r:id="rId4" ref="C9"/>
    <hyperlink r:id="rId5" ref="C12"/>
    <hyperlink r:id="rId6" ref="C13"/>
    <hyperlink r:id="rId7" ref="C14"/>
    <hyperlink r:id="rId8" ref="C15"/>
    <hyperlink r:id="rId9" ref="C17"/>
    <hyperlink r:id="rId10" ref="C18"/>
    <hyperlink r:id="rId11" ref="C19"/>
    <hyperlink r:id="rId12" ref="C20"/>
    <hyperlink r:id="rId13" ref="C21"/>
    <hyperlink r:id="rId14" ref="C22"/>
    <hyperlink r:id="rId15" ref="C26"/>
    <hyperlink r:id="rId16" ref="C27"/>
    <hyperlink r:id="rId17" ref="C28"/>
    <hyperlink r:id="rId18" ref="C30"/>
    <hyperlink r:id="rId19" ref="C31"/>
    <hyperlink r:id="rId20" ref="C32"/>
    <hyperlink r:id="rId21" ref="C35"/>
    <hyperlink r:id="rId22" ref="C36"/>
    <hyperlink r:id="rId23" ref="C37"/>
  </hyperlinks>
  <drawing r:id="rId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3" width="23.38"/>
    <col customWidth="1" min="4" max="4" width="14.88"/>
  </cols>
  <sheetData>
    <row r="1">
      <c r="A1" s="224" t="s">
        <v>201</v>
      </c>
      <c r="B1" s="225"/>
      <c r="C1" s="226" t="s">
        <v>94</v>
      </c>
      <c r="D1" s="227" t="s">
        <v>202</v>
      </c>
      <c r="E1" s="228" t="s">
        <v>203</v>
      </c>
      <c r="F1" s="229"/>
      <c r="G1" s="229"/>
    </row>
    <row r="2">
      <c r="A2" s="230" t="s">
        <v>204</v>
      </c>
      <c r="B2" s="231">
        <v>570.59</v>
      </c>
      <c r="C2" s="232" t="s">
        <v>205</v>
      </c>
      <c r="D2" s="233">
        <f t="shared" ref="D2:D4" si="1">$B2/$B$5</f>
        <v>0.3163722457</v>
      </c>
      <c r="E2" s="234">
        <f t="shared" ref="E2:E3" si="2">$B$5*(0.25)</f>
        <v>450.885</v>
      </c>
      <c r="F2" s="235" t="s">
        <v>206</v>
      </c>
    </row>
    <row r="3">
      <c r="A3" s="230" t="s">
        <v>207</v>
      </c>
      <c r="B3" s="231">
        <v>567.3</v>
      </c>
      <c r="C3" s="232" t="s">
        <v>208</v>
      </c>
      <c r="D3" s="233">
        <f t="shared" si="1"/>
        <v>0.3145480555</v>
      </c>
      <c r="E3" s="234">
        <f t="shared" si="2"/>
        <v>450.885</v>
      </c>
      <c r="F3" s="236" t="s">
        <v>209</v>
      </c>
    </row>
    <row r="4">
      <c r="A4" s="230" t="s">
        <v>210</v>
      </c>
      <c r="B4" s="231">
        <v>665.65</v>
      </c>
      <c r="C4" s="237" t="s">
        <v>15</v>
      </c>
      <c r="D4" s="238">
        <f t="shared" si="1"/>
        <v>0.3690796988</v>
      </c>
      <c r="E4" s="239">
        <f>$B$5*(0.5)</f>
        <v>901.77</v>
      </c>
      <c r="F4" s="236" t="s">
        <v>211</v>
      </c>
    </row>
    <row r="5">
      <c r="A5" s="230" t="s">
        <v>212</v>
      </c>
      <c r="B5" s="240">
        <f>(B2+B3+B4)</f>
        <v>1803.54</v>
      </c>
      <c r="C5" s="241"/>
      <c r="D5" s="242"/>
    </row>
    <row r="6">
      <c r="A6" s="243" t="s">
        <v>213</v>
      </c>
    </row>
    <row r="7">
      <c r="A7" s="244" t="s">
        <v>214</v>
      </c>
      <c r="B7" s="245"/>
      <c r="C7" s="245"/>
      <c r="D7" s="245"/>
      <c r="E7" s="245"/>
      <c r="F7" s="245"/>
      <c r="G7" s="245"/>
    </row>
    <row r="8">
      <c r="A8" s="246" t="s">
        <v>215</v>
      </c>
      <c r="B8" s="245"/>
      <c r="C8" s="245"/>
      <c r="D8" s="245"/>
      <c r="E8" s="245"/>
      <c r="F8" s="245"/>
      <c r="G8" s="245"/>
    </row>
    <row r="9">
      <c r="A9" s="245"/>
      <c r="E9" s="245"/>
      <c r="F9" s="245"/>
      <c r="G9" s="245"/>
    </row>
    <row r="10">
      <c r="A10" s="247" t="s">
        <v>216</v>
      </c>
      <c r="B10" s="248"/>
      <c r="C10" s="241"/>
      <c r="D10" s="245"/>
      <c r="E10" s="245"/>
      <c r="F10" s="245"/>
      <c r="G10" s="245"/>
    </row>
    <row r="11">
      <c r="A11" s="249" t="s">
        <v>217</v>
      </c>
      <c r="B11" s="250">
        <v>799.68</v>
      </c>
      <c r="C11" s="241"/>
      <c r="D11" s="251" t="s">
        <v>218</v>
      </c>
      <c r="G11" s="245"/>
    </row>
    <row r="12">
      <c r="A12" s="249" t="s">
        <v>219</v>
      </c>
      <c r="B12" s="250">
        <v>0.0</v>
      </c>
      <c r="C12" s="241"/>
      <c r="D12" s="251" t="s">
        <v>220</v>
      </c>
      <c r="G12" s="245"/>
    </row>
    <row r="13">
      <c r="A13" s="249" t="s">
        <v>221</v>
      </c>
      <c r="B13" s="252">
        <v>0.0</v>
      </c>
      <c r="C13" s="241"/>
      <c r="D13" s="253" t="s">
        <v>222</v>
      </c>
      <c r="G13" s="245"/>
    </row>
    <row r="14" ht="24.75" customHeight="1">
      <c r="A14" s="254" t="s">
        <v>223</v>
      </c>
      <c r="B14" s="252"/>
      <c r="C14" s="241"/>
      <c r="D14" s="251"/>
      <c r="G14" s="245"/>
    </row>
    <row r="15">
      <c r="A15" s="249" t="s">
        <v>224</v>
      </c>
      <c r="B15" s="250">
        <f>1297</f>
        <v>1297</v>
      </c>
      <c r="C15" s="241"/>
      <c r="D15" s="251" t="s">
        <v>225</v>
      </c>
      <c r="G15" s="245"/>
    </row>
    <row r="16">
      <c r="A16" s="230" t="s">
        <v>226</v>
      </c>
      <c r="B16" s="255">
        <f>SUM(B11:B15)</f>
        <v>2096.68</v>
      </c>
      <c r="C16" s="241"/>
      <c r="D16" s="245"/>
      <c r="G16" s="245"/>
    </row>
    <row r="17">
      <c r="A17" s="245"/>
      <c r="G17" s="245"/>
    </row>
    <row r="18">
      <c r="A18" s="244" t="s">
        <v>227</v>
      </c>
      <c r="B18" s="245"/>
      <c r="C18" s="245"/>
      <c r="D18" s="245"/>
      <c r="E18" s="245"/>
      <c r="F18" s="245"/>
      <c r="G18" s="245"/>
    </row>
    <row r="19">
      <c r="A19" s="256"/>
      <c r="G19" s="245"/>
    </row>
    <row r="20">
      <c r="A20" s="247" t="s">
        <v>228</v>
      </c>
      <c r="B20" s="257"/>
      <c r="C20" s="258"/>
      <c r="D20" s="245"/>
      <c r="E20" s="245"/>
      <c r="F20" s="245"/>
      <c r="G20" s="245"/>
    </row>
    <row r="21">
      <c r="A21" s="259" t="s">
        <v>229</v>
      </c>
      <c r="B21" s="260">
        <f>(B16+B5)</f>
        <v>3900.22</v>
      </c>
      <c r="C21" s="2"/>
      <c r="D21" s="245"/>
      <c r="E21" s="245"/>
      <c r="F21" s="245"/>
      <c r="G21" s="245"/>
    </row>
    <row r="22">
      <c r="A22" s="75"/>
      <c r="B22" s="261"/>
      <c r="C22" s="241"/>
      <c r="D22" s="245"/>
      <c r="E22" s="245"/>
      <c r="F22" s="245"/>
      <c r="G22" s="245"/>
    </row>
  </sheetData>
  <mergeCells count="24">
    <mergeCell ref="F2:G2"/>
    <mergeCell ref="F3:G3"/>
    <mergeCell ref="F4:G4"/>
    <mergeCell ref="B5:C5"/>
    <mergeCell ref="D5:G5"/>
    <mergeCell ref="A6:G6"/>
    <mergeCell ref="A9:D9"/>
    <mergeCell ref="B10:C10"/>
    <mergeCell ref="B11:C11"/>
    <mergeCell ref="D11:F11"/>
    <mergeCell ref="B12:C12"/>
    <mergeCell ref="D12:F12"/>
    <mergeCell ref="B13:C13"/>
    <mergeCell ref="D13:F13"/>
    <mergeCell ref="A19:F19"/>
    <mergeCell ref="A21:A22"/>
    <mergeCell ref="B21:C22"/>
    <mergeCell ref="B14:C14"/>
    <mergeCell ref="D14:F14"/>
    <mergeCell ref="B15:C15"/>
    <mergeCell ref="D15:F15"/>
    <mergeCell ref="B16:C16"/>
    <mergeCell ref="D16:F16"/>
    <mergeCell ref="A17:F17"/>
  </mergeCells>
  <hyperlinks>
    <hyperlink r:id="rId1" ref="C2"/>
    <hyperlink r:id="rId2" ref="C3"/>
    <hyperlink r:id="rId3" ref="C4"/>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3.5"/>
    <col customWidth="1" min="2" max="2" width="9.5"/>
    <col customWidth="1" min="3" max="3" width="6.88"/>
    <col customWidth="1" hidden="1" min="4" max="4" width="8.38"/>
    <col customWidth="1" min="5" max="5" width="26.75"/>
    <col customWidth="1" min="6" max="6" width="22.88"/>
    <col customWidth="1" min="7" max="8" width="18.88"/>
  </cols>
  <sheetData>
    <row r="1" ht="30.0" customHeight="1">
      <c r="A1" s="262" t="s">
        <v>230</v>
      </c>
      <c r="B1" s="263" t="s">
        <v>231</v>
      </c>
      <c r="H1" s="2"/>
    </row>
    <row r="2" ht="19.5" customHeight="1">
      <c r="A2" s="264" t="s">
        <v>232</v>
      </c>
      <c r="H2" s="2"/>
    </row>
    <row r="3">
      <c r="A3" s="265" t="s">
        <v>233</v>
      </c>
      <c r="B3" s="266" t="s">
        <v>234</v>
      </c>
      <c r="C3" s="266" t="s">
        <v>235</v>
      </c>
      <c r="D3" s="267" t="s">
        <v>236</v>
      </c>
      <c r="E3" s="268" t="s">
        <v>237</v>
      </c>
      <c r="F3" s="269" t="s">
        <v>238</v>
      </c>
      <c r="G3" s="270" t="s">
        <v>239</v>
      </c>
      <c r="H3" s="271" t="s">
        <v>240</v>
      </c>
    </row>
    <row r="4">
      <c r="A4" s="272">
        <v>45305.0</v>
      </c>
      <c r="B4" s="273" t="str">
        <f t="shared" ref="B4:B341" si="1">IF(A4&lt;&gt;"", TEXT(A4, "MMMM"), "")</f>
        <v>January</v>
      </c>
      <c r="C4" s="273">
        <f t="shared" ref="C4:C341" si="2">IF(A4&lt;&gt;"", YEAR(A4), "")</f>
        <v>2024</v>
      </c>
      <c r="D4" s="274" t="s">
        <v>241</v>
      </c>
      <c r="E4" s="275" t="s">
        <v>242</v>
      </c>
      <c r="F4" s="275" t="s">
        <v>24</v>
      </c>
      <c r="G4" s="276">
        <v>4.78</v>
      </c>
      <c r="H4" s="277" t="s">
        <v>11</v>
      </c>
    </row>
    <row r="5">
      <c r="A5" s="278">
        <v>45305.0</v>
      </c>
      <c r="B5" s="279" t="str">
        <f t="shared" si="1"/>
        <v>January</v>
      </c>
      <c r="C5" s="279">
        <f t="shared" si="2"/>
        <v>2024</v>
      </c>
      <c r="D5" s="280" t="s">
        <v>241</v>
      </c>
      <c r="E5" s="281" t="s">
        <v>243</v>
      </c>
      <c r="F5" s="281" t="s">
        <v>25</v>
      </c>
      <c r="G5" s="282">
        <v>25.0</v>
      </c>
      <c r="H5" s="283" t="s">
        <v>13</v>
      </c>
    </row>
    <row r="6">
      <c r="A6" s="284">
        <v>45322.0</v>
      </c>
      <c r="B6" s="285" t="str">
        <f t="shared" si="1"/>
        <v>January</v>
      </c>
      <c r="C6" s="285">
        <f t="shared" si="2"/>
        <v>2024</v>
      </c>
      <c r="D6" s="286"/>
      <c r="E6" s="281" t="s">
        <v>244</v>
      </c>
      <c r="F6" s="281" t="s">
        <v>245</v>
      </c>
      <c r="G6" s="282">
        <v>3.0</v>
      </c>
      <c r="H6" s="283" t="s">
        <v>11</v>
      </c>
    </row>
    <row r="7">
      <c r="A7" s="284">
        <v>45322.0</v>
      </c>
      <c r="B7" s="285" t="str">
        <f t="shared" si="1"/>
        <v>January</v>
      </c>
      <c r="C7" s="285">
        <f t="shared" si="2"/>
        <v>2024</v>
      </c>
      <c r="D7" s="281" t="s">
        <v>241</v>
      </c>
      <c r="E7" s="281" t="s">
        <v>246</v>
      </c>
      <c r="F7" s="281" t="s">
        <v>245</v>
      </c>
      <c r="G7" s="282">
        <v>2.0</v>
      </c>
      <c r="H7" s="283" t="s">
        <v>15</v>
      </c>
    </row>
    <row r="8">
      <c r="A8" s="284">
        <v>45322.0</v>
      </c>
      <c r="B8" s="285" t="str">
        <f t="shared" si="1"/>
        <v>January</v>
      </c>
      <c r="C8" s="285">
        <f t="shared" si="2"/>
        <v>2024</v>
      </c>
      <c r="D8" s="281" t="s">
        <v>241</v>
      </c>
      <c r="E8" s="281" t="s">
        <v>247</v>
      </c>
      <c r="F8" s="281" t="s">
        <v>245</v>
      </c>
      <c r="G8" s="282">
        <v>2.0</v>
      </c>
      <c r="H8" s="283" t="s">
        <v>15</v>
      </c>
    </row>
    <row r="9">
      <c r="A9" s="284">
        <v>45322.0</v>
      </c>
      <c r="B9" s="285" t="str">
        <f t="shared" si="1"/>
        <v>January</v>
      </c>
      <c r="C9" s="285">
        <f t="shared" si="2"/>
        <v>2024</v>
      </c>
      <c r="D9" s="280" t="s">
        <v>241</v>
      </c>
      <c r="E9" s="281" t="s">
        <v>248</v>
      </c>
      <c r="F9" s="281" t="s">
        <v>245</v>
      </c>
      <c r="G9" s="282">
        <v>3.0</v>
      </c>
      <c r="H9" s="283" t="s">
        <v>15</v>
      </c>
    </row>
    <row r="10">
      <c r="A10" s="284">
        <v>45322.0</v>
      </c>
      <c r="B10" s="285" t="str">
        <f t="shared" si="1"/>
        <v>January</v>
      </c>
      <c r="C10" s="285">
        <f t="shared" si="2"/>
        <v>2024</v>
      </c>
      <c r="D10" s="280" t="s">
        <v>241</v>
      </c>
      <c r="E10" s="281" t="s">
        <v>249</v>
      </c>
      <c r="F10" s="281" t="s">
        <v>25</v>
      </c>
      <c r="G10" s="282">
        <v>3.0</v>
      </c>
      <c r="H10" s="283" t="s">
        <v>15</v>
      </c>
    </row>
    <row r="11">
      <c r="A11" s="287">
        <v>45322.0</v>
      </c>
      <c r="B11" s="285" t="str">
        <f t="shared" si="1"/>
        <v>January</v>
      </c>
      <c r="C11" s="285">
        <f t="shared" si="2"/>
        <v>2024</v>
      </c>
      <c r="D11" s="280" t="s">
        <v>241</v>
      </c>
      <c r="E11" s="281" t="s">
        <v>250</v>
      </c>
      <c r="F11" s="281" t="s">
        <v>25</v>
      </c>
      <c r="G11" s="282">
        <v>50.0</v>
      </c>
      <c r="H11" s="283" t="s">
        <v>15</v>
      </c>
    </row>
    <row r="12">
      <c r="A12" s="278">
        <v>45322.0</v>
      </c>
      <c r="B12" s="279" t="str">
        <f t="shared" si="1"/>
        <v>January</v>
      </c>
      <c r="C12" s="279">
        <f t="shared" si="2"/>
        <v>2024</v>
      </c>
      <c r="D12" s="280" t="s">
        <v>241</v>
      </c>
      <c r="E12" s="281" t="s">
        <v>251</v>
      </c>
      <c r="F12" s="281" t="s">
        <v>245</v>
      </c>
      <c r="G12" s="282">
        <v>3.0</v>
      </c>
      <c r="H12" s="283" t="s">
        <v>13</v>
      </c>
    </row>
    <row r="13">
      <c r="A13" s="278">
        <v>45322.0</v>
      </c>
      <c r="B13" s="279" t="str">
        <f t="shared" si="1"/>
        <v>January</v>
      </c>
      <c r="C13" s="279">
        <f t="shared" si="2"/>
        <v>2024</v>
      </c>
      <c r="D13" s="280" t="s">
        <v>241</v>
      </c>
      <c r="E13" s="281" t="s">
        <v>252</v>
      </c>
      <c r="F13" s="281" t="s">
        <v>245</v>
      </c>
      <c r="G13" s="282">
        <v>3.0</v>
      </c>
      <c r="H13" s="283" t="s">
        <v>13</v>
      </c>
    </row>
    <row r="14">
      <c r="A14" s="278">
        <v>45322.0</v>
      </c>
      <c r="B14" s="279" t="str">
        <f t="shared" si="1"/>
        <v>January</v>
      </c>
      <c r="C14" s="279">
        <f t="shared" si="2"/>
        <v>2024</v>
      </c>
      <c r="D14" s="280" t="s">
        <v>241</v>
      </c>
      <c r="E14" s="281" t="s">
        <v>253</v>
      </c>
      <c r="F14" s="281" t="s">
        <v>245</v>
      </c>
      <c r="G14" s="282">
        <v>2.0</v>
      </c>
      <c r="H14" s="283" t="s">
        <v>13</v>
      </c>
    </row>
    <row r="15">
      <c r="A15" s="278">
        <v>45322.0</v>
      </c>
      <c r="B15" s="279" t="str">
        <f t="shared" si="1"/>
        <v>January</v>
      </c>
      <c r="C15" s="279">
        <f t="shared" si="2"/>
        <v>2024</v>
      </c>
      <c r="D15" s="280" t="s">
        <v>241</v>
      </c>
      <c r="E15" s="281" t="s">
        <v>252</v>
      </c>
      <c r="F15" s="281" t="s">
        <v>245</v>
      </c>
      <c r="G15" s="282">
        <v>2.0</v>
      </c>
      <c r="H15" s="283" t="s">
        <v>13</v>
      </c>
    </row>
    <row r="16">
      <c r="A16" s="278">
        <v>45322.0</v>
      </c>
      <c r="B16" s="279" t="str">
        <f t="shared" si="1"/>
        <v>January</v>
      </c>
      <c r="C16" s="279">
        <f t="shared" si="2"/>
        <v>2024</v>
      </c>
      <c r="D16" s="280" t="s">
        <v>241</v>
      </c>
      <c r="E16" s="281" t="s">
        <v>254</v>
      </c>
      <c r="F16" s="281" t="s">
        <v>245</v>
      </c>
      <c r="G16" s="282">
        <v>70.0</v>
      </c>
      <c r="H16" s="283" t="s">
        <v>17</v>
      </c>
    </row>
    <row r="17">
      <c r="A17" s="284">
        <v>45328.0</v>
      </c>
      <c r="B17" s="285" t="str">
        <f t="shared" si="1"/>
        <v>February</v>
      </c>
      <c r="C17" s="285">
        <f t="shared" si="2"/>
        <v>2024</v>
      </c>
      <c r="D17" s="281" t="s">
        <v>241</v>
      </c>
      <c r="E17" s="281" t="s">
        <v>255</v>
      </c>
      <c r="F17" s="281" t="s">
        <v>245</v>
      </c>
      <c r="G17" s="282">
        <v>9.0</v>
      </c>
      <c r="H17" s="283" t="s">
        <v>15</v>
      </c>
    </row>
    <row r="18">
      <c r="A18" s="278">
        <v>45328.0</v>
      </c>
      <c r="B18" s="279" t="str">
        <f t="shared" si="1"/>
        <v>February</v>
      </c>
      <c r="C18" s="279">
        <f t="shared" si="2"/>
        <v>2024</v>
      </c>
      <c r="D18" s="288" t="s">
        <v>241</v>
      </c>
      <c r="E18" s="281" t="s">
        <v>256</v>
      </c>
      <c r="F18" s="281" t="s">
        <v>245</v>
      </c>
      <c r="G18" s="282">
        <v>3.0</v>
      </c>
      <c r="H18" s="283" t="s">
        <v>15</v>
      </c>
    </row>
    <row r="19">
      <c r="A19" s="278">
        <v>45328.0</v>
      </c>
      <c r="B19" s="279" t="str">
        <f t="shared" si="1"/>
        <v>February</v>
      </c>
      <c r="C19" s="279">
        <f t="shared" si="2"/>
        <v>2024</v>
      </c>
      <c r="D19" s="280" t="s">
        <v>241</v>
      </c>
      <c r="E19" s="281" t="s">
        <v>248</v>
      </c>
      <c r="F19" s="281" t="s">
        <v>245</v>
      </c>
      <c r="G19" s="282">
        <v>9.0</v>
      </c>
      <c r="H19" s="283" t="s">
        <v>15</v>
      </c>
    </row>
    <row r="20">
      <c r="A20" s="278">
        <v>45328.0</v>
      </c>
      <c r="B20" s="279" t="str">
        <f t="shared" si="1"/>
        <v>February</v>
      </c>
      <c r="C20" s="279">
        <f t="shared" si="2"/>
        <v>2024</v>
      </c>
      <c r="D20" s="280" t="s">
        <v>241</v>
      </c>
      <c r="E20" s="281" t="s">
        <v>257</v>
      </c>
      <c r="F20" s="281" t="s">
        <v>245</v>
      </c>
      <c r="G20" s="282">
        <v>2.0</v>
      </c>
      <c r="H20" s="283" t="s">
        <v>15</v>
      </c>
    </row>
    <row r="21">
      <c r="A21" s="278">
        <v>45328.0</v>
      </c>
      <c r="B21" s="279" t="str">
        <f t="shared" si="1"/>
        <v>February</v>
      </c>
      <c r="C21" s="279">
        <f t="shared" si="2"/>
        <v>2024</v>
      </c>
      <c r="D21" s="280" t="s">
        <v>241</v>
      </c>
      <c r="E21" s="281" t="s">
        <v>258</v>
      </c>
      <c r="F21" s="281" t="s">
        <v>245</v>
      </c>
      <c r="G21" s="282">
        <v>3.0</v>
      </c>
      <c r="H21" s="283" t="s">
        <v>13</v>
      </c>
    </row>
    <row r="22">
      <c r="A22" s="278">
        <v>45328.0</v>
      </c>
      <c r="B22" s="279" t="str">
        <f t="shared" si="1"/>
        <v>February</v>
      </c>
      <c r="C22" s="279">
        <f t="shared" si="2"/>
        <v>2024</v>
      </c>
      <c r="D22" s="280" t="s">
        <v>241</v>
      </c>
      <c r="E22" s="281" t="s">
        <v>259</v>
      </c>
      <c r="F22" s="281" t="s">
        <v>245</v>
      </c>
      <c r="G22" s="282">
        <v>3.0</v>
      </c>
      <c r="H22" s="283" t="s">
        <v>13</v>
      </c>
    </row>
    <row r="23">
      <c r="A23" s="278">
        <v>45328.0</v>
      </c>
      <c r="B23" s="279" t="str">
        <f t="shared" si="1"/>
        <v>February</v>
      </c>
      <c r="C23" s="279">
        <f t="shared" si="2"/>
        <v>2024</v>
      </c>
      <c r="D23" s="280" t="s">
        <v>241</v>
      </c>
      <c r="E23" s="281" t="s">
        <v>260</v>
      </c>
      <c r="F23" s="281" t="s">
        <v>245</v>
      </c>
      <c r="G23" s="282">
        <v>3.0</v>
      </c>
      <c r="H23" s="283" t="s">
        <v>13</v>
      </c>
    </row>
    <row r="24">
      <c r="A24" s="278">
        <v>45328.0</v>
      </c>
      <c r="B24" s="279" t="str">
        <f t="shared" si="1"/>
        <v>February</v>
      </c>
      <c r="C24" s="279">
        <f t="shared" si="2"/>
        <v>2024</v>
      </c>
      <c r="D24" s="280" t="s">
        <v>241</v>
      </c>
      <c r="E24" s="281" t="s">
        <v>261</v>
      </c>
      <c r="F24" s="281" t="s">
        <v>245</v>
      </c>
      <c r="G24" s="282">
        <v>3.0</v>
      </c>
      <c r="H24" s="283" t="s">
        <v>13</v>
      </c>
    </row>
    <row r="25">
      <c r="A25" s="278">
        <v>45337.0</v>
      </c>
      <c r="B25" s="279" t="str">
        <f t="shared" si="1"/>
        <v>February</v>
      </c>
      <c r="C25" s="279">
        <f t="shared" si="2"/>
        <v>2024</v>
      </c>
      <c r="D25" s="280" t="s">
        <v>241</v>
      </c>
      <c r="E25" s="281" t="s">
        <v>243</v>
      </c>
      <c r="F25" s="281" t="s">
        <v>25</v>
      </c>
      <c r="G25" s="282">
        <v>25.0</v>
      </c>
      <c r="H25" s="283" t="s">
        <v>13</v>
      </c>
    </row>
    <row r="26">
      <c r="A26" s="278">
        <v>45360.86658325231</v>
      </c>
      <c r="B26" s="279" t="str">
        <f t="shared" si="1"/>
        <v>March</v>
      </c>
      <c r="C26" s="279">
        <f t="shared" si="2"/>
        <v>2024</v>
      </c>
      <c r="D26" s="280" t="s">
        <v>241</v>
      </c>
      <c r="E26" s="281" t="s">
        <v>262</v>
      </c>
      <c r="F26" s="281" t="s">
        <v>25</v>
      </c>
      <c r="G26" s="282">
        <v>50.0</v>
      </c>
      <c r="H26" s="283" t="s">
        <v>13</v>
      </c>
    </row>
    <row r="27">
      <c r="A27" s="278">
        <v>45365.763164965276</v>
      </c>
      <c r="B27" s="279" t="str">
        <f t="shared" si="1"/>
        <v>March</v>
      </c>
      <c r="C27" s="279">
        <f t="shared" si="2"/>
        <v>2024</v>
      </c>
      <c r="D27" s="280" t="s">
        <v>241</v>
      </c>
      <c r="E27" s="281" t="s">
        <v>263</v>
      </c>
      <c r="F27" s="281" t="s">
        <v>25</v>
      </c>
      <c r="G27" s="282">
        <v>200.0</v>
      </c>
      <c r="H27" s="283" t="s">
        <v>13</v>
      </c>
    </row>
    <row r="28">
      <c r="A28" s="278">
        <v>45369.78903476852</v>
      </c>
      <c r="B28" s="279" t="str">
        <f t="shared" si="1"/>
        <v>March</v>
      </c>
      <c r="C28" s="279">
        <f t="shared" si="2"/>
        <v>2024</v>
      </c>
      <c r="D28" s="280" t="s">
        <v>241</v>
      </c>
      <c r="E28" s="281" t="s">
        <v>264</v>
      </c>
      <c r="F28" s="281" t="s">
        <v>25</v>
      </c>
      <c r="G28" s="282">
        <v>12.0</v>
      </c>
      <c r="H28" s="283" t="s">
        <v>13</v>
      </c>
    </row>
    <row r="29">
      <c r="A29" s="278">
        <v>45373.0</v>
      </c>
      <c r="B29" s="279" t="str">
        <f t="shared" si="1"/>
        <v>March</v>
      </c>
      <c r="C29" s="279">
        <f t="shared" si="2"/>
        <v>2024</v>
      </c>
      <c r="D29" s="280" t="s">
        <v>241</v>
      </c>
      <c r="E29" s="281" t="s">
        <v>265</v>
      </c>
      <c r="F29" s="281" t="s">
        <v>25</v>
      </c>
      <c r="G29" s="282">
        <v>489.49</v>
      </c>
      <c r="H29" s="283" t="s">
        <v>23</v>
      </c>
    </row>
    <row r="30">
      <c r="A30" s="278">
        <v>45374.85503011574</v>
      </c>
      <c r="B30" s="279" t="str">
        <f t="shared" si="1"/>
        <v>March</v>
      </c>
      <c r="C30" s="279">
        <f t="shared" si="2"/>
        <v>2024</v>
      </c>
      <c r="D30" s="280" t="s">
        <v>241</v>
      </c>
      <c r="E30" s="281" t="s">
        <v>266</v>
      </c>
      <c r="F30" s="281" t="s">
        <v>24</v>
      </c>
      <c r="G30" s="282">
        <v>1.0</v>
      </c>
      <c r="H30" s="283" t="s">
        <v>15</v>
      </c>
    </row>
    <row r="31">
      <c r="A31" s="278">
        <v>45374.85551663194</v>
      </c>
      <c r="B31" s="279" t="str">
        <f t="shared" si="1"/>
        <v>March</v>
      </c>
      <c r="C31" s="279">
        <f t="shared" si="2"/>
        <v>2024</v>
      </c>
      <c r="D31" s="280" t="s">
        <v>241</v>
      </c>
      <c r="E31" s="281" t="s">
        <v>267</v>
      </c>
      <c r="F31" s="281" t="s">
        <v>24</v>
      </c>
      <c r="G31" s="282">
        <v>1.0</v>
      </c>
      <c r="H31" s="283" t="s">
        <v>15</v>
      </c>
    </row>
    <row r="32">
      <c r="A32" s="278">
        <v>45374.856965115745</v>
      </c>
      <c r="B32" s="279" t="str">
        <f t="shared" si="1"/>
        <v>March</v>
      </c>
      <c r="C32" s="279">
        <f t="shared" si="2"/>
        <v>2024</v>
      </c>
      <c r="D32" s="280" t="s">
        <v>241</v>
      </c>
      <c r="E32" s="281" t="s">
        <v>268</v>
      </c>
      <c r="F32" s="281" t="s">
        <v>24</v>
      </c>
      <c r="G32" s="282">
        <v>10.0</v>
      </c>
      <c r="H32" s="283" t="s">
        <v>15</v>
      </c>
    </row>
    <row r="33">
      <c r="A33" s="278">
        <v>45374.85726212963</v>
      </c>
      <c r="B33" s="279" t="str">
        <f t="shared" si="1"/>
        <v>March</v>
      </c>
      <c r="C33" s="279">
        <f t="shared" si="2"/>
        <v>2024</v>
      </c>
      <c r="D33" s="280" t="s">
        <v>241</v>
      </c>
      <c r="E33" s="281" t="s">
        <v>269</v>
      </c>
      <c r="F33" s="281" t="s">
        <v>24</v>
      </c>
      <c r="G33" s="282">
        <v>5.0</v>
      </c>
      <c r="H33" s="283" t="s">
        <v>15</v>
      </c>
    </row>
    <row r="34">
      <c r="A34" s="278">
        <v>45374.85745236111</v>
      </c>
      <c r="B34" s="279" t="str">
        <f t="shared" si="1"/>
        <v>March</v>
      </c>
      <c r="C34" s="279">
        <f t="shared" si="2"/>
        <v>2024</v>
      </c>
      <c r="D34" s="280" t="s">
        <v>241</v>
      </c>
      <c r="E34" s="281" t="s">
        <v>270</v>
      </c>
      <c r="F34" s="281" t="s">
        <v>24</v>
      </c>
      <c r="G34" s="282">
        <v>6.0</v>
      </c>
      <c r="H34" s="283" t="s">
        <v>15</v>
      </c>
    </row>
    <row r="35">
      <c r="A35" s="278">
        <v>45374.8719746412</v>
      </c>
      <c r="B35" s="279" t="str">
        <f t="shared" si="1"/>
        <v>March</v>
      </c>
      <c r="C35" s="279">
        <f t="shared" si="2"/>
        <v>2024</v>
      </c>
      <c r="D35" s="280" t="s">
        <v>241</v>
      </c>
      <c r="E35" s="281" t="s">
        <v>271</v>
      </c>
      <c r="F35" s="281" t="s">
        <v>24</v>
      </c>
      <c r="G35" s="282">
        <v>1.0</v>
      </c>
      <c r="H35" s="283" t="s">
        <v>13</v>
      </c>
    </row>
    <row r="36">
      <c r="A36" s="278">
        <v>45374.872330162034</v>
      </c>
      <c r="B36" s="279" t="str">
        <f t="shared" si="1"/>
        <v>March</v>
      </c>
      <c r="C36" s="279">
        <f t="shared" si="2"/>
        <v>2024</v>
      </c>
      <c r="D36" s="280" t="s">
        <v>241</v>
      </c>
      <c r="E36" s="281" t="s">
        <v>272</v>
      </c>
      <c r="F36" s="281" t="s">
        <v>24</v>
      </c>
      <c r="G36" s="282">
        <v>10.0</v>
      </c>
      <c r="H36" s="283" t="s">
        <v>13</v>
      </c>
    </row>
    <row r="37">
      <c r="A37" s="278">
        <v>45374.87283791667</v>
      </c>
      <c r="B37" s="279" t="str">
        <f t="shared" si="1"/>
        <v>March</v>
      </c>
      <c r="C37" s="279">
        <f t="shared" si="2"/>
        <v>2024</v>
      </c>
      <c r="D37" s="280" t="s">
        <v>241</v>
      </c>
      <c r="E37" s="281" t="s">
        <v>273</v>
      </c>
      <c r="F37" s="281" t="s">
        <v>24</v>
      </c>
      <c r="G37" s="282">
        <v>9.0</v>
      </c>
      <c r="H37" s="283" t="s">
        <v>13</v>
      </c>
    </row>
    <row r="38">
      <c r="A38" s="278">
        <v>45374.87302568287</v>
      </c>
      <c r="B38" s="279" t="str">
        <f t="shared" si="1"/>
        <v>March</v>
      </c>
      <c r="C38" s="279">
        <f t="shared" si="2"/>
        <v>2024</v>
      </c>
      <c r="D38" s="280" t="s">
        <v>241</v>
      </c>
      <c r="E38" s="281" t="s">
        <v>274</v>
      </c>
      <c r="F38" s="281" t="s">
        <v>24</v>
      </c>
      <c r="G38" s="282">
        <v>10.0</v>
      </c>
      <c r="H38" s="283" t="s">
        <v>13</v>
      </c>
    </row>
    <row r="39">
      <c r="A39" s="278">
        <v>45374.87331060185</v>
      </c>
      <c r="B39" s="279" t="str">
        <f t="shared" si="1"/>
        <v>March</v>
      </c>
      <c r="C39" s="279">
        <f t="shared" si="2"/>
        <v>2024</v>
      </c>
      <c r="D39" s="280" t="s">
        <v>241</v>
      </c>
      <c r="E39" s="281" t="s">
        <v>275</v>
      </c>
      <c r="F39" s="281" t="s">
        <v>24</v>
      </c>
      <c r="G39" s="282">
        <v>10.0</v>
      </c>
      <c r="H39" s="283" t="s">
        <v>13</v>
      </c>
    </row>
    <row r="40">
      <c r="A40" s="278">
        <v>45374.87350770833</v>
      </c>
      <c r="B40" s="279" t="str">
        <f t="shared" si="1"/>
        <v>March</v>
      </c>
      <c r="C40" s="279">
        <f t="shared" si="2"/>
        <v>2024</v>
      </c>
      <c r="D40" s="280" t="s">
        <v>241</v>
      </c>
      <c r="E40" s="281" t="s">
        <v>276</v>
      </c>
      <c r="F40" s="281" t="s">
        <v>24</v>
      </c>
      <c r="G40" s="282">
        <v>10.0</v>
      </c>
      <c r="H40" s="283" t="s">
        <v>13</v>
      </c>
    </row>
    <row r="41">
      <c r="A41" s="278">
        <v>45374.87377523148</v>
      </c>
      <c r="B41" s="279" t="str">
        <f t="shared" si="1"/>
        <v>March</v>
      </c>
      <c r="C41" s="279">
        <f t="shared" si="2"/>
        <v>2024</v>
      </c>
      <c r="D41" s="280" t="s">
        <v>241</v>
      </c>
      <c r="E41" s="281" t="s">
        <v>277</v>
      </c>
      <c r="F41" s="281" t="s">
        <v>24</v>
      </c>
      <c r="G41" s="282">
        <v>5.0</v>
      </c>
      <c r="H41" s="283" t="s">
        <v>13</v>
      </c>
    </row>
    <row r="42">
      <c r="A42" s="278">
        <v>45374.873941956015</v>
      </c>
      <c r="B42" s="279" t="str">
        <f t="shared" si="1"/>
        <v>March</v>
      </c>
      <c r="C42" s="279">
        <f t="shared" si="2"/>
        <v>2024</v>
      </c>
      <c r="D42" s="280" t="s">
        <v>241</v>
      </c>
      <c r="E42" s="281" t="s">
        <v>278</v>
      </c>
      <c r="F42" s="281" t="s">
        <v>24</v>
      </c>
      <c r="G42" s="282">
        <v>4.0</v>
      </c>
      <c r="H42" s="283" t="s">
        <v>13</v>
      </c>
    </row>
    <row r="43">
      <c r="A43" s="278">
        <v>45377.91855229167</v>
      </c>
      <c r="B43" s="279" t="str">
        <f t="shared" si="1"/>
        <v>March</v>
      </c>
      <c r="C43" s="279">
        <f t="shared" si="2"/>
        <v>2024</v>
      </c>
      <c r="D43" s="280" t="s">
        <v>241</v>
      </c>
      <c r="E43" s="281" t="s">
        <v>279</v>
      </c>
      <c r="F43" s="281" t="s">
        <v>25</v>
      </c>
      <c r="G43" s="282">
        <v>216.37</v>
      </c>
      <c r="H43" s="283" t="s">
        <v>23</v>
      </c>
    </row>
    <row r="44">
      <c r="A44" s="278">
        <v>45378.89323163194</v>
      </c>
      <c r="B44" s="279" t="str">
        <f t="shared" si="1"/>
        <v>March</v>
      </c>
      <c r="C44" s="279">
        <f t="shared" si="2"/>
        <v>2024</v>
      </c>
      <c r="D44" s="280" t="s">
        <v>241</v>
      </c>
      <c r="E44" s="281" t="s">
        <v>280</v>
      </c>
      <c r="F44" s="281" t="s">
        <v>25</v>
      </c>
      <c r="G44" s="282">
        <v>97.01</v>
      </c>
      <c r="H44" s="283" t="s">
        <v>11</v>
      </c>
    </row>
    <row r="45">
      <c r="A45" s="278">
        <v>45380.0</v>
      </c>
      <c r="B45" s="279" t="str">
        <f t="shared" si="1"/>
        <v>March</v>
      </c>
      <c r="C45" s="279">
        <f t="shared" si="2"/>
        <v>2024</v>
      </c>
      <c r="D45" s="280" t="s">
        <v>241</v>
      </c>
      <c r="E45" s="281" t="s">
        <v>252</v>
      </c>
      <c r="F45" s="281" t="s">
        <v>245</v>
      </c>
      <c r="G45" s="282">
        <v>1.0</v>
      </c>
      <c r="H45" s="283" t="s">
        <v>13</v>
      </c>
    </row>
    <row r="46">
      <c r="A46" s="278">
        <v>45381.71895568287</v>
      </c>
      <c r="B46" s="279" t="str">
        <f t="shared" si="1"/>
        <v>March</v>
      </c>
      <c r="C46" s="279">
        <f t="shared" si="2"/>
        <v>2024</v>
      </c>
      <c r="D46" s="280" t="s">
        <v>241</v>
      </c>
      <c r="E46" s="281" t="s">
        <v>281</v>
      </c>
      <c r="F46" s="281" t="s">
        <v>245</v>
      </c>
      <c r="G46" s="282">
        <v>10.0</v>
      </c>
      <c r="H46" s="283" t="s">
        <v>13</v>
      </c>
    </row>
    <row r="47">
      <c r="A47" s="278">
        <v>45381.719777199076</v>
      </c>
      <c r="B47" s="279" t="str">
        <f t="shared" si="1"/>
        <v>March</v>
      </c>
      <c r="C47" s="279">
        <f t="shared" si="2"/>
        <v>2024</v>
      </c>
      <c r="D47" s="280" t="s">
        <v>241</v>
      </c>
      <c r="E47" s="281" t="s">
        <v>282</v>
      </c>
      <c r="F47" s="281" t="s">
        <v>245</v>
      </c>
      <c r="G47" s="282">
        <v>17.0</v>
      </c>
      <c r="H47" s="283" t="s">
        <v>13</v>
      </c>
    </row>
    <row r="48">
      <c r="A48" s="278">
        <v>45381.72001586806</v>
      </c>
      <c r="B48" s="279" t="str">
        <f t="shared" si="1"/>
        <v>March</v>
      </c>
      <c r="C48" s="279">
        <f t="shared" si="2"/>
        <v>2024</v>
      </c>
      <c r="D48" s="280" t="s">
        <v>241</v>
      </c>
      <c r="E48" s="281" t="s">
        <v>283</v>
      </c>
      <c r="F48" s="281" t="s">
        <v>245</v>
      </c>
      <c r="G48" s="282">
        <v>4.0</v>
      </c>
      <c r="H48" s="283" t="s">
        <v>13</v>
      </c>
    </row>
    <row r="49">
      <c r="A49" s="278">
        <v>45381.72021568287</v>
      </c>
      <c r="B49" s="279" t="str">
        <f t="shared" si="1"/>
        <v>March</v>
      </c>
      <c r="C49" s="279">
        <f t="shared" si="2"/>
        <v>2024</v>
      </c>
      <c r="D49" s="280" t="s">
        <v>241</v>
      </c>
      <c r="E49" s="281" t="s">
        <v>284</v>
      </c>
      <c r="F49" s="281" t="s">
        <v>245</v>
      </c>
      <c r="G49" s="282">
        <v>10.0</v>
      </c>
      <c r="H49" s="283" t="s">
        <v>13</v>
      </c>
    </row>
    <row r="50">
      <c r="A50" s="278">
        <v>45381.720407685185</v>
      </c>
      <c r="B50" s="279" t="str">
        <f t="shared" si="1"/>
        <v>March</v>
      </c>
      <c r="C50" s="279">
        <f t="shared" si="2"/>
        <v>2024</v>
      </c>
      <c r="D50" s="280" t="s">
        <v>241</v>
      </c>
      <c r="E50" s="281" t="s">
        <v>285</v>
      </c>
      <c r="F50" s="281" t="s">
        <v>245</v>
      </c>
      <c r="G50" s="282">
        <v>2.0</v>
      </c>
      <c r="H50" s="283" t="s">
        <v>13</v>
      </c>
    </row>
    <row r="51">
      <c r="A51" s="278">
        <v>45381.72064840278</v>
      </c>
      <c r="B51" s="279" t="str">
        <f t="shared" si="1"/>
        <v>March</v>
      </c>
      <c r="C51" s="279">
        <f t="shared" si="2"/>
        <v>2024</v>
      </c>
      <c r="D51" s="280" t="s">
        <v>241</v>
      </c>
      <c r="E51" s="281" t="s">
        <v>286</v>
      </c>
      <c r="F51" s="281" t="s">
        <v>25</v>
      </c>
      <c r="G51" s="282">
        <v>200.0</v>
      </c>
      <c r="H51" s="283" t="s">
        <v>13</v>
      </c>
    </row>
    <row r="52">
      <c r="A52" s="278">
        <v>45381.72348984954</v>
      </c>
      <c r="B52" s="279" t="str">
        <f t="shared" si="1"/>
        <v>March</v>
      </c>
      <c r="C52" s="279">
        <f t="shared" si="2"/>
        <v>2024</v>
      </c>
      <c r="D52" s="280" t="s">
        <v>241</v>
      </c>
      <c r="E52" s="281" t="s">
        <v>287</v>
      </c>
      <c r="F52" s="281" t="s">
        <v>245</v>
      </c>
      <c r="G52" s="282">
        <v>2.0</v>
      </c>
      <c r="H52" s="283" t="s">
        <v>15</v>
      </c>
    </row>
    <row r="53">
      <c r="A53" s="278">
        <v>45381.723765752315</v>
      </c>
      <c r="B53" s="279" t="str">
        <f t="shared" si="1"/>
        <v>March</v>
      </c>
      <c r="C53" s="279">
        <f t="shared" si="2"/>
        <v>2024</v>
      </c>
      <c r="D53" s="280" t="s">
        <v>241</v>
      </c>
      <c r="E53" s="281" t="s">
        <v>288</v>
      </c>
      <c r="F53" s="281" t="s">
        <v>245</v>
      </c>
      <c r="G53" s="282">
        <v>3.0</v>
      </c>
      <c r="H53" s="283" t="s">
        <v>15</v>
      </c>
    </row>
    <row r="54">
      <c r="A54" s="278">
        <v>45381.724893287035</v>
      </c>
      <c r="B54" s="279" t="str">
        <f t="shared" si="1"/>
        <v>March</v>
      </c>
      <c r="C54" s="279">
        <f t="shared" si="2"/>
        <v>2024</v>
      </c>
      <c r="D54" s="280" t="s">
        <v>241</v>
      </c>
      <c r="E54" s="281" t="s">
        <v>289</v>
      </c>
      <c r="F54" s="281" t="s">
        <v>245</v>
      </c>
      <c r="G54" s="282">
        <v>2.0</v>
      </c>
      <c r="H54" s="283" t="s">
        <v>15</v>
      </c>
    </row>
    <row r="55">
      <c r="A55" s="278">
        <v>45381.72530278935</v>
      </c>
      <c r="B55" s="279" t="str">
        <f t="shared" si="1"/>
        <v>March</v>
      </c>
      <c r="C55" s="279">
        <f t="shared" si="2"/>
        <v>2024</v>
      </c>
      <c r="D55" s="280" t="s">
        <v>241</v>
      </c>
      <c r="E55" s="281" t="s">
        <v>290</v>
      </c>
      <c r="F55" s="281" t="s">
        <v>245</v>
      </c>
      <c r="G55" s="282">
        <v>7.0</v>
      </c>
      <c r="H55" s="283" t="s">
        <v>17</v>
      </c>
    </row>
    <row r="56">
      <c r="A56" s="278">
        <v>45403.95935780092</v>
      </c>
      <c r="B56" s="279" t="str">
        <f t="shared" si="1"/>
        <v>April</v>
      </c>
      <c r="C56" s="279">
        <f t="shared" si="2"/>
        <v>2024</v>
      </c>
      <c r="D56" s="280" t="s">
        <v>241</v>
      </c>
      <c r="E56" s="281" t="s">
        <v>291</v>
      </c>
      <c r="F56" s="281" t="s">
        <v>245</v>
      </c>
      <c r="G56" s="282">
        <v>5.0</v>
      </c>
      <c r="H56" s="283" t="s">
        <v>13</v>
      </c>
    </row>
    <row r="57">
      <c r="A57" s="278">
        <v>45403.959564467594</v>
      </c>
      <c r="B57" s="279" t="str">
        <f t="shared" si="1"/>
        <v>April</v>
      </c>
      <c r="C57" s="279">
        <f t="shared" si="2"/>
        <v>2024</v>
      </c>
      <c r="D57" s="280" t="s">
        <v>241</v>
      </c>
      <c r="E57" s="281" t="s">
        <v>292</v>
      </c>
      <c r="F57" s="281" t="s">
        <v>245</v>
      </c>
      <c r="G57" s="282">
        <v>6.0</v>
      </c>
      <c r="H57" s="283" t="s">
        <v>13</v>
      </c>
    </row>
    <row r="58">
      <c r="A58" s="278">
        <v>45403.95988903935</v>
      </c>
      <c r="B58" s="279" t="str">
        <f t="shared" si="1"/>
        <v>April</v>
      </c>
      <c r="C58" s="279">
        <f t="shared" si="2"/>
        <v>2024</v>
      </c>
      <c r="D58" s="280" t="s">
        <v>241</v>
      </c>
      <c r="E58" s="281" t="s">
        <v>293</v>
      </c>
      <c r="F58" s="281" t="s">
        <v>245</v>
      </c>
      <c r="G58" s="282">
        <v>3.0</v>
      </c>
      <c r="H58" s="283" t="s">
        <v>13</v>
      </c>
    </row>
    <row r="59">
      <c r="A59" s="278">
        <v>45403.96033174769</v>
      </c>
      <c r="B59" s="279" t="str">
        <f t="shared" si="1"/>
        <v>April</v>
      </c>
      <c r="C59" s="279">
        <f t="shared" si="2"/>
        <v>2024</v>
      </c>
      <c r="D59" s="280" t="s">
        <v>241</v>
      </c>
      <c r="E59" s="281" t="s">
        <v>294</v>
      </c>
      <c r="F59" s="281" t="s">
        <v>245</v>
      </c>
      <c r="G59" s="282">
        <v>6.0</v>
      </c>
      <c r="H59" s="283" t="s">
        <v>13</v>
      </c>
    </row>
    <row r="60">
      <c r="A60" s="278">
        <v>45403.96076487268</v>
      </c>
      <c r="B60" s="279" t="str">
        <f t="shared" si="1"/>
        <v>April</v>
      </c>
      <c r="C60" s="279">
        <f t="shared" si="2"/>
        <v>2024</v>
      </c>
      <c r="D60" s="280" t="s">
        <v>241</v>
      </c>
      <c r="E60" s="281" t="s">
        <v>295</v>
      </c>
      <c r="F60" s="281" t="s">
        <v>245</v>
      </c>
      <c r="G60" s="282">
        <v>3.0</v>
      </c>
      <c r="H60" s="283" t="s">
        <v>13</v>
      </c>
    </row>
    <row r="61">
      <c r="A61" s="278">
        <v>45403.9610458449</v>
      </c>
      <c r="B61" s="279" t="str">
        <f t="shared" si="1"/>
        <v>April</v>
      </c>
      <c r="C61" s="279">
        <f t="shared" si="2"/>
        <v>2024</v>
      </c>
      <c r="D61" s="280" t="s">
        <v>241</v>
      </c>
      <c r="E61" s="281" t="s">
        <v>296</v>
      </c>
      <c r="F61" s="281" t="s">
        <v>245</v>
      </c>
      <c r="G61" s="282">
        <v>1.0</v>
      </c>
      <c r="H61" s="283" t="s">
        <v>13</v>
      </c>
    </row>
    <row r="62">
      <c r="A62" s="278">
        <v>45403.96367200231</v>
      </c>
      <c r="B62" s="279" t="str">
        <f t="shared" si="1"/>
        <v>April</v>
      </c>
      <c r="C62" s="279">
        <f t="shared" si="2"/>
        <v>2024</v>
      </c>
      <c r="D62" s="280" t="s">
        <v>241</v>
      </c>
      <c r="E62" s="281" t="s">
        <v>297</v>
      </c>
      <c r="F62" s="281" t="s">
        <v>245</v>
      </c>
      <c r="G62" s="282">
        <v>5.0</v>
      </c>
      <c r="H62" s="283" t="s">
        <v>13</v>
      </c>
    </row>
    <row r="63">
      <c r="A63" s="278">
        <v>45403.96385822917</v>
      </c>
      <c r="B63" s="279" t="str">
        <f t="shared" si="1"/>
        <v>April</v>
      </c>
      <c r="C63" s="279">
        <f t="shared" si="2"/>
        <v>2024</v>
      </c>
      <c r="D63" s="280" t="s">
        <v>241</v>
      </c>
      <c r="E63" s="281" t="s">
        <v>298</v>
      </c>
      <c r="F63" s="281" t="s">
        <v>245</v>
      </c>
      <c r="G63" s="282">
        <v>11.0</v>
      </c>
      <c r="H63" s="283" t="s">
        <v>13</v>
      </c>
    </row>
    <row r="64">
      <c r="A64" s="278">
        <v>45403.96595702546</v>
      </c>
      <c r="B64" s="279" t="str">
        <f t="shared" si="1"/>
        <v>April</v>
      </c>
      <c r="C64" s="279">
        <f t="shared" si="2"/>
        <v>2024</v>
      </c>
      <c r="D64" s="280" t="s">
        <v>241</v>
      </c>
      <c r="E64" s="281" t="s">
        <v>299</v>
      </c>
      <c r="F64" s="281" t="s">
        <v>245</v>
      </c>
      <c r="G64" s="282">
        <v>5.0</v>
      </c>
      <c r="H64" s="283" t="s">
        <v>15</v>
      </c>
    </row>
    <row r="65">
      <c r="A65" s="278">
        <v>45403.966226585646</v>
      </c>
      <c r="B65" s="279" t="str">
        <f t="shared" si="1"/>
        <v>April</v>
      </c>
      <c r="C65" s="279">
        <f t="shared" si="2"/>
        <v>2024</v>
      </c>
      <c r="D65" s="280" t="s">
        <v>241</v>
      </c>
      <c r="E65" s="281" t="s">
        <v>300</v>
      </c>
      <c r="F65" s="281" t="s">
        <v>245</v>
      </c>
      <c r="G65" s="282">
        <v>4.0</v>
      </c>
      <c r="H65" s="283" t="s">
        <v>15</v>
      </c>
    </row>
    <row r="66">
      <c r="A66" s="278">
        <v>45403.96651967593</v>
      </c>
      <c r="B66" s="279" t="str">
        <f t="shared" si="1"/>
        <v>April</v>
      </c>
      <c r="C66" s="279">
        <f t="shared" si="2"/>
        <v>2024</v>
      </c>
      <c r="D66" s="280" t="s">
        <v>241</v>
      </c>
      <c r="E66" s="281" t="s">
        <v>301</v>
      </c>
      <c r="F66" s="281" t="s">
        <v>245</v>
      </c>
      <c r="G66" s="282">
        <v>2.0</v>
      </c>
      <c r="H66" s="283" t="s">
        <v>15</v>
      </c>
    </row>
    <row r="67">
      <c r="A67" s="278">
        <v>45403.96715285879</v>
      </c>
      <c r="B67" s="279" t="str">
        <f t="shared" si="1"/>
        <v>April</v>
      </c>
      <c r="C67" s="279">
        <f t="shared" si="2"/>
        <v>2024</v>
      </c>
      <c r="D67" s="280" t="s">
        <v>241</v>
      </c>
      <c r="E67" s="281" t="s">
        <v>302</v>
      </c>
      <c r="F67" s="281" t="s">
        <v>25</v>
      </c>
      <c r="G67" s="282">
        <v>10.0</v>
      </c>
      <c r="H67" s="283" t="s">
        <v>15</v>
      </c>
    </row>
    <row r="68">
      <c r="A68" s="278">
        <v>45403.96730246527</v>
      </c>
      <c r="B68" s="279" t="str">
        <f t="shared" si="1"/>
        <v>April</v>
      </c>
      <c r="C68" s="279">
        <f t="shared" si="2"/>
        <v>2024</v>
      </c>
      <c r="D68" s="280" t="s">
        <v>241</v>
      </c>
      <c r="E68" s="281" t="s">
        <v>303</v>
      </c>
      <c r="F68" s="281" t="s">
        <v>245</v>
      </c>
      <c r="G68" s="282">
        <v>4.0</v>
      </c>
      <c r="H68" s="283" t="s">
        <v>15</v>
      </c>
    </row>
    <row r="69">
      <c r="A69" s="278">
        <v>45403.96780032407</v>
      </c>
      <c r="B69" s="279" t="str">
        <f t="shared" si="1"/>
        <v>April</v>
      </c>
      <c r="C69" s="279">
        <f t="shared" si="2"/>
        <v>2024</v>
      </c>
      <c r="D69" s="280" t="s">
        <v>241</v>
      </c>
      <c r="E69" s="281" t="s">
        <v>304</v>
      </c>
      <c r="F69" s="281" t="s">
        <v>245</v>
      </c>
      <c r="G69" s="282">
        <v>3.0</v>
      </c>
      <c r="H69" s="283" t="s">
        <v>15</v>
      </c>
    </row>
    <row r="70">
      <c r="A70" s="278">
        <v>45403.968002939815</v>
      </c>
      <c r="B70" s="279" t="str">
        <f t="shared" si="1"/>
        <v>April</v>
      </c>
      <c r="C70" s="279">
        <f t="shared" si="2"/>
        <v>2024</v>
      </c>
      <c r="D70" s="280" t="s">
        <v>241</v>
      </c>
      <c r="E70" s="281" t="s">
        <v>305</v>
      </c>
      <c r="F70" s="281" t="s">
        <v>245</v>
      </c>
      <c r="G70" s="282">
        <v>3.0</v>
      </c>
      <c r="H70" s="283" t="s">
        <v>15</v>
      </c>
    </row>
    <row r="71">
      <c r="A71" s="278">
        <v>45403.96822226852</v>
      </c>
      <c r="B71" s="279" t="str">
        <f t="shared" si="1"/>
        <v>April</v>
      </c>
      <c r="C71" s="279">
        <f t="shared" si="2"/>
        <v>2024</v>
      </c>
      <c r="D71" s="280" t="s">
        <v>241</v>
      </c>
      <c r="E71" s="281" t="s">
        <v>306</v>
      </c>
      <c r="F71" s="281" t="s">
        <v>245</v>
      </c>
      <c r="G71" s="282">
        <v>10.0</v>
      </c>
      <c r="H71" s="283" t="s">
        <v>15</v>
      </c>
    </row>
    <row r="72">
      <c r="A72" s="278">
        <v>45403.96839712963</v>
      </c>
      <c r="B72" s="279" t="str">
        <f t="shared" si="1"/>
        <v>April</v>
      </c>
      <c r="C72" s="279">
        <f t="shared" si="2"/>
        <v>2024</v>
      </c>
      <c r="D72" s="280" t="s">
        <v>241</v>
      </c>
      <c r="E72" s="281" t="s">
        <v>307</v>
      </c>
      <c r="F72" s="281" t="s">
        <v>245</v>
      </c>
      <c r="G72" s="282">
        <v>3.0</v>
      </c>
      <c r="H72" s="283" t="s">
        <v>15</v>
      </c>
    </row>
    <row r="73">
      <c r="A73" s="278">
        <v>45403.96887710648</v>
      </c>
      <c r="B73" s="279" t="str">
        <f t="shared" si="1"/>
        <v>April</v>
      </c>
      <c r="C73" s="279">
        <f t="shared" si="2"/>
        <v>2024</v>
      </c>
      <c r="D73" s="280" t="s">
        <v>241</v>
      </c>
      <c r="E73" s="281" t="s">
        <v>304</v>
      </c>
      <c r="F73" s="281" t="s">
        <v>245</v>
      </c>
      <c r="G73" s="282">
        <v>3.0</v>
      </c>
      <c r="H73" s="283" t="s">
        <v>15</v>
      </c>
    </row>
    <row r="74">
      <c r="A74" s="278">
        <v>45404.58648074074</v>
      </c>
      <c r="B74" s="279" t="str">
        <f t="shared" si="1"/>
        <v>April</v>
      </c>
      <c r="C74" s="279">
        <f t="shared" si="2"/>
        <v>2024</v>
      </c>
      <c r="D74" s="280" t="s">
        <v>241</v>
      </c>
      <c r="E74" s="281" t="s">
        <v>308</v>
      </c>
      <c r="F74" s="281" t="s">
        <v>245</v>
      </c>
      <c r="G74" s="282">
        <v>148.0</v>
      </c>
      <c r="H74" s="283" t="s">
        <v>17</v>
      </c>
    </row>
    <row r="75">
      <c r="A75" s="278">
        <v>45404.58711519676</v>
      </c>
      <c r="B75" s="279" t="str">
        <f t="shared" si="1"/>
        <v>April</v>
      </c>
      <c r="C75" s="279">
        <f t="shared" si="2"/>
        <v>2024</v>
      </c>
      <c r="D75" s="280" t="s">
        <v>241</v>
      </c>
      <c r="E75" s="281" t="s">
        <v>308</v>
      </c>
      <c r="F75" s="281" t="s">
        <v>245</v>
      </c>
      <c r="G75" s="282">
        <v>26.0</v>
      </c>
      <c r="H75" s="283" t="s">
        <v>19</v>
      </c>
    </row>
    <row r="76">
      <c r="A76" s="278">
        <v>45405.62283849537</v>
      </c>
      <c r="B76" s="279" t="str">
        <f t="shared" si="1"/>
        <v>April</v>
      </c>
      <c r="C76" s="279">
        <f t="shared" si="2"/>
        <v>2024</v>
      </c>
      <c r="D76" s="280" t="s">
        <v>241</v>
      </c>
      <c r="E76" s="281" t="s">
        <v>309</v>
      </c>
      <c r="F76" s="281" t="s">
        <v>25</v>
      </c>
      <c r="G76" s="282">
        <v>250.0</v>
      </c>
      <c r="H76" s="283" t="s">
        <v>23</v>
      </c>
    </row>
    <row r="77">
      <c r="A77" s="278">
        <v>45407.59685998842</v>
      </c>
      <c r="B77" s="279" t="str">
        <f t="shared" si="1"/>
        <v>April</v>
      </c>
      <c r="C77" s="279">
        <f t="shared" si="2"/>
        <v>2024</v>
      </c>
      <c r="D77" s="280" t="s">
        <v>241</v>
      </c>
      <c r="E77" s="281" t="s">
        <v>310</v>
      </c>
      <c r="F77" s="281" t="s">
        <v>25</v>
      </c>
      <c r="G77" s="282">
        <v>150.0</v>
      </c>
      <c r="H77" s="283" t="s">
        <v>17</v>
      </c>
    </row>
    <row r="78">
      <c r="A78" s="278">
        <v>45407.5979852662</v>
      </c>
      <c r="B78" s="279" t="str">
        <f t="shared" si="1"/>
        <v>April</v>
      </c>
      <c r="C78" s="279">
        <f t="shared" si="2"/>
        <v>2024</v>
      </c>
      <c r="D78" s="280" t="s">
        <v>241</v>
      </c>
      <c r="E78" s="281" t="s">
        <v>308</v>
      </c>
      <c r="F78" s="281" t="s">
        <v>245</v>
      </c>
      <c r="G78" s="282">
        <v>55.0</v>
      </c>
      <c r="H78" s="283" t="s">
        <v>17</v>
      </c>
    </row>
    <row r="79">
      <c r="A79" s="278">
        <v>45407.59908344907</v>
      </c>
      <c r="B79" s="279" t="str">
        <f t="shared" si="1"/>
        <v>April</v>
      </c>
      <c r="C79" s="279">
        <f t="shared" si="2"/>
        <v>2024</v>
      </c>
      <c r="D79" s="280" t="s">
        <v>241</v>
      </c>
      <c r="E79" s="281" t="s">
        <v>311</v>
      </c>
      <c r="F79" s="281" t="s">
        <v>245</v>
      </c>
      <c r="G79" s="282">
        <v>2.0</v>
      </c>
      <c r="H79" s="283" t="s">
        <v>13</v>
      </c>
    </row>
    <row r="80">
      <c r="A80" s="278">
        <v>45407.60013664352</v>
      </c>
      <c r="B80" s="279" t="str">
        <f t="shared" si="1"/>
        <v>April</v>
      </c>
      <c r="C80" s="279">
        <f t="shared" si="2"/>
        <v>2024</v>
      </c>
      <c r="D80" s="280" t="s">
        <v>241</v>
      </c>
      <c r="E80" s="281" t="s">
        <v>255</v>
      </c>
      <c r="F80" s="281" t="s">
        <v>245</v>
      </c>
      <c r="G80" s="282">
        <v>2.0</v>
      </c>
      <c r="H80" s="283" t="s">
        <v>15</v>
      </c>
    </row>
    <row r="81">
      <c r="A81" s="278">
        <v>45407.60035596065</v>
      </c>
      <c r="B81" s="279" t="str">
        <f t="shared" si="1"/>
        <v>April</v>
      </c>
      <c r="C81" s="279">
        <f t="shared" si="2"/>
        <v>2024</v>
      </c>
      <c r="D81" s="280" t="s">
        <v>241</v>
      </c>
      <c r="E81" s="281" t="s">
        <v>312</v>
      </c>
      <c r="F81" s="281" t="s">
        <v>245</v>
      </c>
      <c r="G81" s="282">
        <v>1.0</v>
      </c>
      <c r="H81" s="283" t="s">
        <v>15</v>
      </c>
    </row>
    <row r="82">
      <c r="A82" s="278">
        <v>45407.60061690972</v>
      </c>
      <c r="B82" s="279" t="str">
        <f t="shared" si="1"/>
        <v>April</v>
      </c>
      <c r="C82" s="279">
        <f t="shared" si="2"/>
        <v>2024</v>
      </c>
      <c r="D82" s="280" t="s">
        <v>241</v>
      </c>
      <c r="E82" s="281" t="s">
        <v>313</v>
      </c>
      <c r="F82" s="281" t="s">
        <v>245</v>
      </c>
      <c r="G82" s="282">
        <v>2.5</v>
      </c>
      <c r="H82" s="283" t="s">
        <v>15</v>
      </c>
    </row>
    <row r="83">
      <c r="A83" s="278">
        <v>45407.60086572917</v>
      </c>
      <c r="B83" s="279" t="str">
        <f t="shared" si="1"/>
        <v>April</v>
      </c>
      <c r="C83" s="279">
        <f t="shared" si="2"/>
        <v>2024</v>
      </c>
      <c r="D83" s="280" t="s">
        <v>241</v>
      </c>
      <c r="E83" s="281" t="s">
        <v>314</v>
      </c>
      <c r="F83" s="281" t="s">
        <v>245</v>
      </c>
      <c r="G83" s="282">
        <v>1.0</v>
      </c>
      <c r="H83" s="283" t="s">
        <v>15</v>
      </c>
    </row>
    <row r="84">
      <c r="A84" s="278">
        <v>45419.722840057875</v>
      </c>
      <c r="B84" s="279" t="str">
        <f t="shared" si="1"/>
        <v>May</v>
      </c>
      <c r="C84" s="279">
        <f t="shared" si="2"/>
        <v>2024</v>
      </c>
      <c r="D84" s="280" t="s">
        <v>241</v>
      </c>
      <c r="E84" s="281" t="s">
        <v>315</v>
      </c>
      <c r="F84" s="281" t="s">
        <v>25</v>
      </c>
      <c r="G84" s="282">
        <v>50.0</v>
      </c>
      <c r="H84" s="283" t="s">
        <v>13</v>
      </c>
    </row>
    <row r="85">
      <c r="A85" s="278">
        <v>45434.449557604166</v>
      </c>
      <c r="B85" s="279" t="str">
        <f t="shared" si="1"/>
        <v>May</v>
      </c>
      <c r="C85" s="279">
        <f t="shared" si="2"/>
        <v>2024</v>
      </c>
      <c r="D85" s="280" t="s">
        <v>241</v>
      </c>
      <c r="E85" s="281" t="s">
        <v>316</v>
      </c>
      <c r="F85" s="281" t="s">
        <v>24</v>
      </c>
      <c r="G85" s="282">
        <v>50.0</v>
      </c>
      <c r="H85" s="283" t="s">
        <v>23</v>
      </c>
    </row>
    <row r="86">
      <c r="A86" s="278">
        <v>45451.63010763889</v>
      </c>
      <c r="B86" s="279" t="str">
        <f t="shared" si="1"/>
        <v>June</v>
      </c>
      <c r="C86" s="279">
        <f t="shared" si="2"/>
        <v>2024</v>
      </c>
      <c r="D86" s="280" t="s">
        <v>241</v>
      </c>
      <c r="E86" s="281" t="s">
        <v>317</v>
      </c>
      <c r="F86" s="281" t="s">
        <v>25</v>
      </c>
      <c r="G86" s="282">
        <v>25.0</v>
      </c>
      <c r="H86" s="283" t="s">
        <v>13</v>
      </c>
    </row>
    <row r="87">
      <c r="A87" s="278">
        <v>45469.44578554398</v>
      </c>
      <c r="B87" s="279" t="str">
        <f t="shared" si="1"/>
        <v>June</v>
      </c>
      <c r="C87" s="279">
        <f t="shared" si="2"/>
        <v>2024</v>
      </c>
      <c r="D87" s="280" t="s">
        <v>241</v>
      </c>
      <c r="E87" s="281" t="s">
        <v>243</v>
      </c>
      <c r="F87" s="281" t="s">
        <v>25</v>
      </c>
      <c r="G87" s="282">
        <v>25.0</v>
      </c>
      <c r="H87" s="283" t="s">
        <v>13</v>
      </c>
    </row>
    <row r="88">
      <c r="A88" s="278">
        <v>45483.51665097222</v>
      </c>
      <c r="B88" s="279" t="str">
        <f t="shared" si="1"/>
        <v>July</v>
      </c>
      <c r="C88" s="279">
        <f t="shared" si="2"/>
        <v>2024</v>
      </c>
      <c r="D88" s="280" t="s">
        <v>241</v>
      </c>
      <c r="E88" s="281" t="s">
        <v>318</v>
      </c>
      <c r="F88" s="281" t="s">
        <v>25</v>
      </c>
      <c r="G88" s="282">
        <v>50.0</v>
      </c>
      <c r="H88" s="283" t="s">
        <v>15</v>
      </c>
    </row>
    <row r="89">
      <c r="A89" s="278">
        <v>45485.95482912037</v>
      </c>
      <c r="B89" s="279" t="str">
        <f t="shared" si="1"/>
        <v>July</v>
      </c>
      <c r="C89" s="279">
        <f t="shared" si="2"/>
        <v>2024</v>
      </c>
      <c r="D89" s="280" t="s">
        <v>241</v>
      </c>
      <c r="E89" s="281" t="s">
        <v>319</v>
      </c>
      <c r="F89" s="281" t="s">
        <v>320</v>
      </c>
      <c r="G89" s="282">
        <v>75.0</v>
      </c>
      <c r="H89" s="283" t="s">
        <v>13</v>
      </c>
    </row>
    <row r="90">
      <c r="A90" s="278">
        <v>45488.87342662037</v>
      </c>
      <c r="B90" s="279" t="str">
        <f t="shared" si="1"/>
        <v>July</v>
      </c>
      <c r="C90" s="279">
        <f t="shared" si="2"/>
        <v>2024</v>
      </c>
      <c r="D90" s="280" t="s">
        <v>241</v>
      </c>
      <c r="E90" s="281" t="s">
        <v>321</v>
      </c>
      <c r="F90" s="281" t="s">
        <v>25</v>
      </c>
      <c r="G90" s="282">
        <v>10.0</v>
      </c>
      <c r="H90" s="283" t="s">
        <v>15</v>
      </c>
    </row>
    <row r="91">
      <c r="A91" s="278">
        <v>45488.88020429398</v>
      </c>
      <c r="B91" s="279" t="str">
        <f t="shared" si="1"/>
        <v>July</v>
      </c>
      <c r="C91" s="279">
        <f t="shared" si="2"/>
        <v>2024</v>
      </c>
      <c r="D91" s="280" t="s">
        <v>241</v>
      </c>
      <c r="E91" s="281" t="s">
        <v>322</v>
      </c>
      <c r="F91" s="281" t="s">
        <v>25</v>
      </c>
      <c r="G91" s="282">
        <v>15.0</v>
      </c>
      <c r="H91" s="283" t="s">
        <v>15</v>
      </c>
    </row>
    <row r="92">
      <c r="A92" s="278">
        <v>45488.89544582176</v>
      </c>
      <c r="B92" s="279" t="str">
        <f t="shared" si="1"/>
        <v>July</v>
      </c>
      <c r="C92" s="279">
        <f t="shared" si="2"/>
        <v>2024</v>
      </c>
      <c r="D92" s="280" t="s">
        <v>241</v>
      </c>
      <c r="E92" s="281" t="s">
        <v>323</v>
      </c>
      <c r="F92" s="281" t="s">
        <v>24</v>
      </c>
      <c r="G92" s="282">
        <v>20.0</v>
      </c>
      <c r="H92" s="283" t="s">
        <v>13</v>
      </c>
    </row>
    <row r="93">
      <c r="A93" s="278">
        <v>45489.431960625</v>
      </c>
      <c r="B93" s="279" t="str">
        <f t="shared" si="1"/>
        <v>July</v>
      </c>
      <c r="C93" s="279">
        <f t="shared" si="2"/>
        <v>2024</v>
      </c>
      <c r="D93" s="280" t="s">
        <v>241</v>
      </c>
      <c r="E93" s="281" t="s">
        <v>324</v>
      </c>
      <c r="F93" s="281" t="s">
        <v>25</v>
      </c>
      <c r="G93" s="282">
        <v>29.37</v>
      </c>
      <c r="H93" s="283" t="s">
        <v>23</v>
      </c>
    </row>
    <row r="94">
      <c r="A94" s="278">
        <v>45491.44311305556</v>
      </c>
      <c r="B94" s="279" t="str">
        <f t="shared" si="1"/>
        <v>July</v>
      </c>
      <c r="C94" s="279">
        <f t="shared" si="2"/>
        <v>2024</v>
      </c>
      <c r="D94" s="280" t="s">
        <v>241</v>
      </c>
      <c r="E94" s="281" t="s">
        <v>324</v>
      </c>
      <c r="F94" s="281" t="s">
        <v>25</v>
      </c>
      <c r="G94" s="282">
        <v>215.39</v>
      </c>
      <c r="H94" s="283" t="s">
        <v>23</v>
      </c>
    </row>
    <row r="95">
      <c r="A95" s="278">
        <v>45492.664335416666</v>
      </c>
      <c r="B95" s="279" t="str">
        <f t="shared" si="1"/>
        <v>July</v>
      </c>
      <c r="C95" s="279">
        <f t="shared" si="2"/>
        <v>2024</v>
      </c>
      <c r="D95" s="280" t="s">
        <v>241</v>
      </c>
      <c r="E95" s="281" t="s">
        <v>324</v>
      </c>
      <c r="F95" s="281" t="s">
        <v>25</v>
      </c>
      <c r="G95" s="282">
        <v>152.94</v>
      </c>
      <c r="H95" s="283" t="s">
        <v>23</v>
      </c>
    </row>
    <row r="96">
      <c r="A96" s="278">
        <v>45492.88088039352</v>
      </c>
      <c r="B96" s="279" t="str">
        <f t="shared" si="1"/>
        <v>July</v>
      </c>
      <c r="C96" s="279">
        <f t="shared" si="2"/>
        <v>2024</v>
      </c>
      <c r="D96" s="280" t="s">
        <v>241</v>
      </c>
      <c r="E96" s="281" t="s">
        <v>325</v>
      </c>
      <c r="F96" s="281" t="s">
        <v>320</v>
      </c>
      <c r="G96" s="282">
        <v>75.0</v>
      </c>
      <c r="H96" s="283" t="s">
        <v>13</v>
      </c>
    </row>
    <row r="97">
      <c r="A97" s="278">
        <v>45493.0</v>
      </c>
      <c r="B97" s="279" t="str">
        <f t="shared" si="1"/>
        <v>July</v>
      </c>
      <c r="C97" s="279">
        <f t="shared" si="2"/>
        <v>2024</v>
      </c>
      <c r="D97" s="280" t="s">
        <v>241</v>
      </c>
      <c r="E97" s="281" t="s">
        <v>324</v>
      </c>
      <c r="F97" s="281" t="s">
        <v>25</v>
      </c>
      <c r="G97" s="282">
        <v>55.41</v>
      </c>
      <c r="H97" s="283" t="s">
        <v>23</v>
      </c>
    </row>
    <row r="98">
      <c r="A98" s="278">
        <v>45497.0</v>
      </c>
      <c r="B98" s="279" t="str">
        <f t="shared" si="1"/>
        <v>July</v>
      </c>
      <c r="C98" s="279">
        <f t="shared" si="2"/>
        <v>2024</v>
      </c>
      <c r="D98" s="280" t="s">
        <v>241</v>
      </c>
      <c r="E98" s="281" t="s">
        <v>326</v>
      </c>
      <c r="F98" s="281" t="s">
        <v>25</v>
      </c>
      <c r="G98" s="282">
        <v>50.0</v>
      </c>
      <c r="H98" s="283" t="s">
        <v>15</v>
      </c>
    </row>
    <row r="99">
      <c r="A99" s="278">
        <v>45507.017238229164</v>
      </c>
      <c r="B99" s="279" t="str">
        <f t="shared" si="1"/>
        <v>August</v>
      </c>
      <c r="C99" s="279">
        <f t="shared" si="2"/>
        <v>2024</v>
      </c>
      <c r="D99" s="280" t="s">
        <v>241</v>
      </c>
      <c r="E99" s="281" t="s">
        <v>327</v>
      </c>
      <c r="F99" s="281" t="s">
        <v>25</v>
      </c>
      <c r="G99" s="282">
        <v>50.0</v>
      </c>
      <c r="H99" s="283" t="s">
        <v>13</v>
      </c>
    </row>
    <row r="100">
      <c r="A100" s="278">
        <v>45513.417824062504</v>
      </c>
      <c r="B100" s="279" t="str">
        <f t="shared" si="1"/>
        <v>August</v>
      </c>
      <c r="C100" s="279">
        <f t="shared" si="2"/>
        <v>2024</v>
      </c>
      <c r="D100" s="280" t="s">
        <v>241</v>
      </c>
      <c r="E100" s="281" t="s">
        <v>328</v>
      </c>
      <c r="F100" s="281" t="s">
        <v>25</v>
      </c>
      <c r="G100" s="282">
        <v>50.0</v>
      </c>
      <c r="H100" s="283" t="s">
        <v>15</v>
      </c>
    </row>
    <row r="101">
      <c r="A101" s="278">
        <v>45513.41844692129</v>
      </c>
      <c r="B101" s="279" t="str">
        <f t="shared" si="1"/>
        <v>August</v>
      </c>
      <c r="C101" s="279">
        <f t="shared" si="2"/>
        <v>2024</v>
      </c>
      <c r="D101" s="280" t="s">
        <v>241</v>
      </c>
      <c r="E101" s="281" t="s">
        <v>329</v>
      </c>
      <c r="F101" s="281" t="s">
        <v>25</v>
      </c>
      <c r="G101" s="282">
        <v>20.0</v>
      </c>
      <c r="H101" s="283" t="s">
        <v>15</v>
      </c>
    </row>
    <row r="102">
      <c r="A102" s="278">
        <v>45513.41866744213</v>
      </c>
      <c r="B102" s="279" t="str">
        <f t="shared" si="1"/>
        <v>August</v>
      </c>
      <c r="C102" s="279">
        <f t="shared" si="2"/>
        <v>2024</v>
      </c>
      <c r="D102" s="280" t="s">
        <v>241</v>
      </c>
      <c r="E102" s="281" t="s">
        <v>330</v>
      </c>
      <c r="F102" s="281" t="s">
        <v>25</v>
      </c>
      <c r="G102" s="282">
        <v>20.0</v>
      </c>
      <c r="H102" s="283" t="s">
        <v>15</v>
      </c>
    </row>
    <row r="103">
      <c r="A103" s="278">
        <v>45513.418945011574</v>
      </c>
      <c r="B103" s="279" t="str">
        <f t="shared" si="1"/>
        <v>August</v>
      </c>
      <c r="C103" s="279">
        <f t="shared" si="2"/>
        <v>2024</v>
      </c>
      <c r="D103" s="280" t="s">
        <v>241</v>
      </c>
      <c r="E103" s="281" t="s">
        <v>331</v>
      </c>
      <c r="F103" s="281" t="s">
        <v>25</v>
      </c>
      <c r="G103" s="282">
        <v>100.0</v>
      </c>
      <c r="H103" s="283" t="s">
        <v>15</v>
      </c>
    </row>
    <row r="104">
      <c r="A104" s="278">
        <v>45513.4199815162</v>
      </c>
      <c r="B104" s="279" t="str">
        <f t="shared" si="1"/>
        <v>August</v>
      </c>
      <c r="C104" s="279">
        <f t="shared" si="2"/>
        <v>2024</v>
      </c>
      <c r="D104" s="280" t="s">
        <v>241</v>
      </c>
      <c r="E104" s="281" t="s">
        <v>332</v>
      </c>
      <c r="F104" s="281" t="s">
        <v>25</v>
      </c>
      <c r="G104" s="282">
        <v>10.0</v>
      </c>
      <c r="H104" s="283" t="s">
        <v>15</v>
      </c>
    </row>
    <row r="105">
      <c r="A105" s="278">
        <v>45513.42019506944</v>
      </c>
      <c r="B105" s="279" t="str">
        <f t="shared" si="1"/>
        <v>August</v>
      </c>
      <c r="C105" s="279">
        <f t="shared" si="2"/>
        <v>2024</v>
      </c>
      <c r="D105" s="280" t="s">
        <v>241</v>
      </c>
      <c r="E105" s="281" t="s">
        <v>333</v>
      </c>
      <c r="F105" s="281" t="s">
        <v>25</v>
      </c>
      <c r="G105" s="282">
        <v>50.0</v>
      </c>
      <c r="H105" s="283" t="s">
        <v>15</v>
      </c>
    </row>
    <row r="106">
      <c r="A106" s="278">
        <v>45513.42047150463</v>
      </c>
      <c r="B106" s="279" t="str">
        <f t="shared" si="1"/>
        <v>August</v>
      </c>
      <c r="C106" s="279">
        <f t="shared" si="2"/>
        <v>2024</v>
      </c>
      <c r="D106" s="280" t="s">
        <v>241</v>
      </c>
      <c r="E106" s="281" t="s">
        <v>334</v>
      </c>
      <c r="F106" s="281" t="s">
        <v>25</v>
      </c>
      <c r="G106" s="282">
        <v>25.0</v>
      </c>
      <c r="H106" s="283" t="s">
        <v>15</v>
      </c>
    </row>
    <row r="107">
      <c r="A107" s="278">
        <v>45513.42071841435</v>
      </c>
      <c r="B107" s="279" t="str">
        <f t="shared" si="1"/>
        <v>August</v>
      </c>
      <c r="C107" s="279">
        <f t="shared" si="2"/>
        <v>2024</v>
      </c>
      <c r="D107" s="280" t="s">
        <v>241</v>
      </c>
      <c r="E107" s="281" t="s">
        <v>335</v>
      </c>
      <c r="F107" s="281" t="s">
        <v>25</v>
      </c>
      <c r="G107" s="282">
        <v>100.0</v>
      </c>
      <c r="H107" s="283" t="s">
        <v>15</v>
      </c>
    </row>
    <row r="108">
      <c r="A108" s="278">
        <v>45513.420976678244</v>
      </c>
      <c r="B108" s="279" t="str">
        <f t="shared" si="1"/>
        <v>August</v>
      </c>
      <c r="C108" s="279">
        <f t="shared" si="2"/>
        <v>2024</v>
      </c>
      <c r="D108" s="280" t="s">
        <v>241</v>
      </c>
      <c r="E108" s="281" t="s">
        <v>336</v>
      </c>
      <c r="F108" s="281" t="s">
        <v>25</v>
      </c>
      <c r="G108" s="282">
        <v>20.0</v>
      </c>
      <c r="H108" s="283" t="s">
        <v>15</v>
      </c>
    </row>
    <row r="109">
      <c r="A109" s="278">
        <v>45513.422076539355</v>
      </c>
      <c r="B109" s="279" t="str">
        <f t="shared" si="1"/>
        <v>August</v>
      </c>
      <c r="C109" s="279">
        <f t="shared" si="2"/>
        <v>2024</v>
      </c>
      <c r="D109" s="280" t="s">
        <v>241</v>
      </c>
      <c r="E109" s="281" t="s">
        <v>337</v>
      </c>
      <c r="F109" s="281" t="s">
        <v>25</v>
      </c>
      <c r="G109" s="282">
        <v>50.0</v>
      </c>
      <c r="H109" s="283" t="s">
        <v>15</v>
      </c>
    </row>
    <row r="110">
      <c r="A110" s="278">
        <v>45513.422350486115</v>
      </c>
      <c r="B110" s="279" t="str">
        <f t="shared" si="1"/>
        <v>August</v>
      </c>
      <c r="C110" s="279">
        <f t="shared" si="2"/>
        <v>2024</v>
      </c>
      <c r="D110" s="280" t="s">
        <v>241</v>
      </c>
      <c r="E110" s="281" t="s">
        <v>338</v>
      </c>
      <c r="F110" s="281" t="s">
        <v>25</v>
      </c>
      <c r="G110" s="282">
        <v>50.0</v>
      </c>
      <c r="H110" s="283" t="s">
        <v>15</v>
      </c>
    </row>
    <row r="111">
      <c r="A111" s="278">
        <v>45513.42257462963</v>
      </c>
      <c r="B111" s="279" t="str">
        <f t="shared" si="1"/>
        <v>August</v>
      </c>
      <c r="C111" s="279">
        <f t="shared" si="2"/>
        <v>2024</v>
      </c>
      <c r="D111" s="280" t="s">
        <v>241</v>
      </c>
      <c r="E111" s="281" t="s">
        <v>339</v>
      </c>
      <c r="F111" s="281" t="s">
        <v>25</v>
      </c>
      <c r="G111" s="282">
        <v>10.0</v>
      </c>
      <c r="H111" s="283" t="s">
        <v>15</v>
      </c>
    </row>
    <row r="112">
      <c r="A112" s="278">
        <v>45513.422745497686</v>
      </c>
      <c r="B112" s="279" t="str">
        <f t="shared" si="1"/>
        <v>August</v>
      </c>
      <c r="C112" s="279">
        <f t="shared" si="2"/>
        <v>2024</v>
      </c>
      <c r="D112" s="280" t="s">
        <v>241</v>
      </c>
      <c r="E112" s="281" t="s">
        <v>340</v>
      </c>
      <c r="F112" s="281" t="s">
        <v>25</v>
      </c>
      <c r="G112" s="282">
        <v>20.0</v>
      </c>
      <c r="H112" s="283" t="s">
        <v>15</v>
      </c>
    </row>
    <row r="113">
      <c r="A113" s="278">
        <v>45513.42317149305</v>
      </c>
      <c r="B113" s="279" t="str">
        <f t="shared" si="1"/>
        <v>August</v>
      </c>
      <c r="C113" s="279">
        <f t="shared" si="2"/>
        <v>2024</v>
      </c>
      <c r="D113" s="280" t="s">
        <v>241</v>
      </c>
      <c r="E113" s="281" t="s">
        <v>341</v>
      </c>
      <c r="F113" s="281" t="s">
        <v>25</v>
      </c>
      <c r="G113" s="282">
        <v>50.0</v>
      </c>
      <c r="H113" s="283" t="s">
        <v>13</v>
      </c>
    </row>
    <row r="114">
      <c r="A114" s="278">
        <v>45513.42336273148</v>
      </c>
      <c r="B114" s="279" t="str">
        <f t="shared" si="1"/>
        <v>August</v>
      </c>
      <c r="C114" s="279">
        <f t="shared" si="2"/>
        <v>2024</v>
      </c>
      <c r="D114" s="280" t="s">
        <v>241</v>
      </c>
      <c r="E114" s="281" t="s">
        <v>342</v>
      </c>
      <c r="F114" s="281" t="s">
        <v>25</v>
      </c>
      <c r="G114" s="282">
        <v>10.0</v>
      </c>
      <c r="H114" s="283" t="s">
        <v>13</v>
      </c>
    </row>
    <row r="115">
      <c r="A115" s="278">
        <v>45513.42349357639</v>
      </c>
      <c r="B115" s="279" t="str">
        <f t="shared" si="1"/>
        <v>August</v>
      </c>
      <c r="C115" s="279">
        <f t="shared" si="2"/>
        <v>2024</v>
      </c>
      <c r="D115" s="280" t="s">
        <v>241</v>
      </c>
      <c r="E115" s="281" t="s">
        <v>343</v>
      </c>
      <c r="F115" s="281" t="s">
        <v>25</v>
      </c>
      <c r="G115" s="282">
        <v>10.0</v>
      </c>
      <c r="H115" s="283" t="s">
        <v>13</v>
      </c>
    </row>
    <row r="116">
      <c r="A116" s="278">
        <v>45513.42778445602</v>
      </c>
      <c r="B116" s="279" t="str">
        <f t="shared" si="1"/>
        <v>August</v>
      </c>
      <c r="C116" s="279">
        <f t="shared" si="2"/>
        <v>2024</v>
      </c>
      <c r="D116" s="280" t="s">
        <v>241</v>
      </c>
      <c r="E116" s="281" t="s">
        <v>344</v>
      </c>
      <c r="F116" s="281" t="s">
        <v>25</v>
      </c>
      <c r="G116" s="282">
        <v>20.0</v>
      </c>
      <c r="H116" s="283" t="s">
        <v>11</v>
      </c>
    </row>
    <row r="117">
      <c r="A117" s="278">
        <v>45513.428171458334</v>
      </c>
      <c r="B117" s="279" t="str">
        <f t="shared" si="1"/>
        <v>August</v>
      </c>
      <c r="C117" s="279">
        <f t="shared" si="2"/>
        <v>2024</v>
      </c>
      <c r="D117" s="280" t="s">
        <v>241</v>
      </c>
      <c r="E117" s="281" t="s">
        <v>345</v>
      </c>
      <c r="F117" s="281" t="s">
        <v>25</v>
      </c>
      <c r="G117" s="282">
        <v>50.0</v>
      </c>
      <c r="H117" s="283" t="s">
        <v>11</v>
      </c>
    </row>
    <row r="118">
      <c r="A118" s="278">
        <v>45513.42848722222</v>
      </c>
      <c r="B118" s="279" t="str">
        <f t="shared" si="1"/>
        <v>August</v>
      </c>
      <c r="C118" s="279">
        <f t="shared" si="2"/>
        <v>2024</v>
      </c>
      <c r="D118" s="280" t="s">
        <v>241</v>
      </c>
      <c r="E118" s="281" t="s">
        <v>346</v>
      </c>
      <c r="F118" s="281" t="s">
        <v>25</v>
      </c>
      <c r="G118" s="282">
        <v>50.0</v>
      </c>
      <c r="H118" s="283" t="s">
        <v>11</v>
      </c>
    </row>
    <row r="119">
      <c r="A119" s="278">
        <v>45513.42877392361</v>
      </c>
      <c r="B119" s="279" t="str">
        <f t="shared" si="1"/>
        <v>August</v>
      </c>
      <c r="C119" s="279">
        <f t="shared" si="2"/>
        <v>2024</v>
      </c>
      <c r="D119" s="280" t="s">
        <v>241</v>
      </c>
      <c r="E119" s="281" t="s">
        <v>347</v>
      </c>
      <c r="F119" s="281" t="s">
        <v>25</v>
      </c>
      <c r="G119" s="282">
        <v>10.0</v>
      </c>
      <c r="H119" s="283" t="s">
        <v>11</v>
      </c>
    </row>
    <row r="120">
      <c r="A120" s="278">
        <v>45513.42897040509</v>
      </c>
      <c r="B120" s="279" t="str">
        <f t="shared" si="1"/>
        <v>August</v>
      </c>
      <c r="C120" s="279">
        <f t="shared" si="2"/>
        <v>2024</v>
      </c>
      <c r="D120" s="280" t="s">
        <v>241</v>
      </c>
      <c r="E120" s="281" t="s">
        <v>348</v>
      </c>
      <c r="F120" s="281" t="s">
        <v>25</v>
      </c>
      <c r="G120" s="282">
        <v>20.0</v>
      </c>
      <c r="H120" s="283" t="s">
        <v>11</v>
      </c>
    </row>
    <row r="121">
      <c r="A121" s="278">
        <v>45513.46117079861</v>
      </c>
      <c r="B121" s="279" t="str">
        <f t="shared" si="1"/>
        <v>August</v>
      </c>
      <c r="C121" s="279">
        <f t="shared" si="2"/>
        <v>2024</v>
      </c>
      <c r="D121" s="280" t="s">
        <v>241</v>
      </c>
      <c r="E121" s="281" t="s">
        <v>349</v>
      </c>
      <c r="F121" s="281" t="s">
        <v>25</v>
      </c>
      <c r="G121" s="282">
        <v>50.0</v>
      </c>
      <c r="H121" s="283" t="s">
        <v>11</v>
      </c>
    </row>
    <row r="122">
      <c r="A122" s="278">
        <v>45513.53076496528</v>
      </c>
      <c r="B122" s="279" t="str">
        <f t="shared" si="1"/>
        <v>August</v>
      </c>
      <c r="C122" s="279">
        <f t="shared" si="2"/>
        <v>2024</v>
      </c>
      <c r="D122" s="280" t="s">
        <v>241</v>
      </c>
      <c r="E122" s="281" t="s">
        <v>350</v>
      </c>
      <c r="F122" s="281" t="s">
        <v>25</v>
      </c>
      <c r="G122" s="282">
        <v>25.0</v>
      </c>
      <c r="H122" s="283" t="s">
        <v>15</v>
      </c>
    </row>
    <row r="123">
      <c r="A123" s="278">
        <v>45513.53096175926</v>
      </c>
      <c r="B123" s="279" t="str">
        <f t="shared" si="1"/>
        <v>August</v>
      </c>
      <c r="C123" s="279">
        <f t="shared" si="2"/>
        <v>2024</v>
      </c>
      <c r="D123" s="280" t="s">
        <v>241</v>
      </c>
      <c r="E123" s="281" t="s">
        <v>351</v>
      </c>
      <c r="F123" s="281" t="s">
        <v>25</v>
      </c>
      <c r="G123" s="282">
        <v>40.0</v>
      </c>
      <c r="H123" s="283" t="s">
        <v>11</v>
      </c>
    </row>
    <row r="124">
      <c r="A124" s="278">
        <v>45513.53113059027</v>
      </c>
      <c r="B124" s="279" t="str">
        <f t="shared" si="1"/>
        <v>August</v>
      </c>
      <c r="C124" s="279">
        <f t="shared" si="2"/>
        <v>2024</v>
      </c>
      <c r="D124" s="280" t="s">
        <v>241</v>
      </c>
      <c r="E124" s="281" t="s">
        <v>352</v>
      </c>
      <c r="F124" s="281" t="s">
        <v>25</v>
      </c>
      <c r="G124" s="282">
        <v>50.0</v>
      </c>
      <c r="H124" s="283" t="s">
        <v>15</v>
      </c>
    </row>
    <row r="125">
      <c r="A125" s="278">
        <v>45513.56143915509</v>
      </c>
      <c r="B125" s="279" t="str">
        <f t="shared" si="1"/>
        <v>August</v>
      </c>
      <c r="C125" s="279">
        <f t="shared" si="2"/>
        <v>2024</v>
      </c>
      <c r="D125" s="280" t="s">
        <v>241</v>
      </c>
      <c r="E125" s="281" t="s">
        <v>353</v>
      </c>
      <c r="F125" s="281" t="s">
        <v>25</v>
      </c>
      <c r="G125" s="282">
        <v>5.0</v>
      </c>
      <c r="H125" s="283" t="s">
        <v>13</v>
      </c>
    </row>
    <row r="126">
      <c r="A126" s="278">
        <v>45513.59074346065</v>
      </c>
      <c r="B126" s="279" t="str">
        <f t="shared" si="1"/>
        <v>August</v>
      </c>
      <c r="C126" s="279">
        <f t="shared" si="2"/>
        <v>2024</v>
      </c>
      <c r="D126" s="280" t="s">
        <v>241</v>
      </c>
      <c r="E126" s="281" t="s">
        <v>354</v>
      </c>
      <c r="F126" s="281" t="s">
        <v>25</v>
      </c>
      <c r="G126" s="282">
        <v>25.0</v>
      </c>
      <c r="H126" s="283" t="s">
        <v>15</v>
      </c>
    </row>
    <row r="127">
      <c r="A127" s="289">
        <v>45514.0</v>
      </c>
      <c r="B127" s="279" t="str">
        <f t="shared" si="1"/>
        <v>August</v>
      </c>
      <c r="C127" s="279">
        <f t="shared" si="2"/>
        <v>2024</v>
      </c>
      <c r="D127" s="280"/>
      <c r="E127" s="281" t="s">
        <v>355</v>
      </c>
      <c r="F127" s="281" t="s">
        <v>25</v>
      </c>
      <c r="G127" s="282">
        <v>30.0</v>
      </c>
      <c r="H127" s="283" t="s">
        <v>13</v>
      </c>
    </row>
    <row r="128">
      <c r="A128" s="289">
        <v>45514.75891287037</v>
      </c>
      <c r="B128" s="290" t="str">
        <f t="shared" si="1"/>
        <v>August</v>
      </c>
      <c r="C128" s="291">
        <f t="shared" si="2"/>
        <v>2024</v>
      </c>
      <c r="D128" s="280" t="s">
        <v>241</v>
      </c>
      <c r="E128" s="281" t="s">
        <v>356</v>
      </c>
      <c r="F128" s="281" t="s">
        <v>25</v>
      </c>
      <c r="G128" s="282">
        <v>71.92</v>
      </c>
      <c r="H128" s="283" t="s">
        <v>23</v>
      </c>
    </row>
    <row r="129">
      <c r="A129" s="289">
        <v>45515.45267642361</v>
      </c>
      <c r="B129" s="273" t="str">
        <f t="shared" si="1"/>
        <v>August</v>
      </c>
      <c r="C129" s="273">
        <f t="shared" si="2"/>
        <v>2024</v>
      </c>
      <c r="D129" s="280" t="s">
        <v>241</v>
      </c>
      <c r="E129" s="281" t="s">
        <v>357</v>
      </c>
      <c r="F129" s="281" t="s">
        <v>25</v>
      </c>
      <c r="G129" s="282">
        <v>100.0</v>
      </c>
      <c r="H129" s="283" t="s">
        <v>15</v>
      </c>
    </row>
    <row r="130">
      <c r="A130" s="272">
        <v>45515.73269046296</v>
      </c>
      <c r="B130" s="279" t="str">
        <f t="shared" si="1"/>
        <v>August</v>
      </c>
      <c r="C130" s="279">
        <f t="shared" si="2"/>
        <v>2024</v>
      </c>
      <c r="D130" s="280" t="s">
        <v>241</v>
      </c>
      <c r="E130" s="281" t="s">
        <v>358</v>
      </c>
      <c r="F130" s="281" t="s">
        <v>25</v>
      </c>
      <c r="G130" s="282">
        <v>5.0</v>
      </c>
      <c r="H130" s="283" t="s">
        <v>15</v>
      </c>
    </row>
    <row r="131">
      <c r="A131" s="278">
        <v>45517.822093703704</v>
      </c>
      <c r="B131" s="279" t="str">
        <f t="shared" si="1"/>
        <v>August</v>
      </c>
      <c r="C131" s="279">
        <f t="shared" si="2"/>
        <v>2024</v>
      </c>
      <c r="D131" s="280" t="s">
        <v>241</v>
      </c>
      <c r="E131" s="281" t="s">
        <v>324</v>
      </c>
      <c r="F131" s="281" t="s">
        <v>25</v>
      </c>
      <c r="G131" s="282">
        <v>200.0</v>
      </c>
      <c r="H131" s="283" t="s">
        <v>23</v>
      </c>
    </row>
    <row r="132">
      <c r="A132" s="278">
        <v>45526.60123909722</v>
      </c>
      <c r="B132" s="279" t="str">
        <f t="shared" si="1"/>
        <v>August</v>
      </c>
      <c r="C132" s="292">
        <f t="shared" si="2"/>
        <v>2024</v>
      </c>
      <c r="D132" s="280" t="s">
        <v>241</v>
      </c>
      <c r="E132" s="281" t="s">
        <v>359</v>
      </c>
      <c r="F132" s="281" t="s">
        <v>25</v>
      </c>
      <c r="G132" s="282">
        <v>30.0</v>
      </c>
      <c r="H132" s="283" t="s">
        <v>15</v>
      </c>
    </row>
    <row r="133">
      <c r="A133" s="278">
        <v>45526.603369027776</v>
      </c>
      <c r="B133" s="279" t="str">
        <f t="shared" si="1"/>
        <v>August</v>
      </c>
      <c r="C133" s="292">
        <f t="shared" si="2"/>
        <v>2024</v>
      </c>
      <c r="D133" s="280" t="s">
        <v>241</v>
      </c>
      <c r="E133" s="281" t="s">
        <v>360</v>
      </c>
      <c r="F133" s="281" t="s">
        <v>25</v>
      </c>
      <c r="G133" s="282">
        <v>25.0</v>
      </c>
      <c r="H133" s="283" t="s">
        <v>11</v>
      </c>
    </row>
    <row r="134">
      <c r="A134" s="278">
        <v>45540.660591238426</v>
      </c>
      <c r="B134" s="279" t="str">
        <f t="shared" si="1"/>
        <v>September</v>
      </c>
      <c r="C134" s="292">
        <f t="shared" si="2"/>
        <v>2024</v>
      </c>
      <c r="D134" s="280" t="s">
        <v>241</v>
      </c>
      <c r="E134" s="281" t="s">
        <v>361</v>
      </c>
      <c r="F134" s="281" t="s">
        <v>245</v>
      </c>
      <c r="G134" s="282">
        <v>1.0</v>
      </c>
      <c r="H134" s="283" t="s">
        <v>13</v>
      </c>
    </row>
    <row r="135">
      <c r="A135" s="278">
        <v>45540.66087907407</v>
      </c>
      <c r="B135" s="279" t="str">
        <f t="shared" si="1"/>
        <v>September</v>
      </c>
      <c r="C135" s="292">
        <f t="shared" si="2"/>
        <v>2024</v>
      </c>
      <c r="D135" s="280" t="s">
        <v>241</v>
      </c>
      <c r="E135" s="281" t="s">
        <v>362</v>
      </c>
      <c r="F135" s="281" t="s">
        <v>245</v>
      </c>
      <c r="G135" s="282">
        <v>1.0</v>
      </c>
      <c r="H135" s="283" t="s">
        <v>13</v>
      </c>
    </row>
    <row r="136">
      <c r="A136" s="278">
        <v>45540.66156418981</v>
      </c>
      <c r="B136" s="279" t="str">
        <f t="shared" si="1"/>
        <v>September</v>
      </c>
      <c r="C136" s="292">
        <f t="shared" si="2"/>
        <v>2024</v>
      </c>
      <c r="D136" s="280" t="s">
        <v>241</v>
      </c>
      <c r="E136" s="281" t="s">
        <v>363</v>
      </c>
      <c r="F136" s="281" t="s">
        <v>245</v>
      </c>
      <c r="G136" s="282">
        <v>2.0</v>
      </c>
      <c r="H136" s="283" t="s">
        <v>13</v>
      </c>
    </row>
    <row r="137">
      <c r="A137" s="278">
        <v>45540.66176181713</v>
      </c>
      <c r="B137" s="279" t="str">
        <f t="shared" si="1"/>
        <v>September</v>
      </c>
      <c r="C137" s="292">
        <f t="shared" si="2"/>
        <v>2024</v>
      </c>
      <c r="D137" s="280" t="s">
        <v>241</v>
      </c>
      <c r="E137" s="281" t="s">
        <v>364</v>
      </c>
      <c r="F137" s="281" t="s">
        <v>245</v>
      </c>
      <c r="G137" s="282">
        <v>3.0</v>
      </c>
      <c r="H137" s="283" t="s">
        <v>13</v>
      </c>
    </row>
    <row r="138">
      <c r="A138" s="278">
        <v>45540.662048680555</v>
      </c>
      <c r="B138" s="279" t="str">
        <f t="shared" si="1"/>
        <v>September</v>
      </c>
      <c r="C138" s="292">
        <f t="shared" si="2"/>
        <v>2024</v>
      </c>
      <c r="D138" s="280" t="s">
        <v>241</v>
      </c>
      <c r="E138" s="281" t="s">
        <v>365</v>
      </c>
      <c r="F138" s="281" t="s">
        <v>245</v>
      </c>
      <c r="G138" s="282">
        <v>1.0</v>
      </c>
      <c r="H138" s="283" t="s">
        <v>13</v>
      </c>
    </row>
    <row r="139">
      <c r="A139" s="278">
        <v>45540.662399513894</v>
      </c>
      <c r="B139" s="279" t="str">
        <f t="shared" si="1"/>
        <v>September</v>
      </c>
      <c r="C139" s="292">
        <f t="shared" si="2"/>
        <v>2024</v>
      </c>
      <c r="D139" s="280" t="s">
        <v>241</v>
      </c>
      <c r="E139" s="281" t="s">
        <v>366</v>
      </c>
      <c r="F139" s="281" t="s">
        <v>25</v>
      </c>
      <c r="G139" s="282">
        <v>5.0</v>
      </c>
      <c r="H139" s="283" t="s">
        <v>13</v>
      </c>
    </row>
    <row r="140">
      <c r="A140" s="278">
        <v>45540.662745752314</v>
      </c>
      <c r="B140" s="279" t="str">
        <f t="shared" si="1"/>
        <v>September</v>
      </c>
      <c r="C140" s="292">
        <f t="shared" si="2"/>
        <v>2024</v>
      </c>
      <c r="D140" s="280" t="s">
        <v>241</v>
      </c>
      <c r="E140" s="281" t="s">
        <v>367</v>
      </c>
      <c r="F140" s="281" t="s">
        <v>245</v>
      </c>
      <c r="G140" s="282">
        <v>1.0</v>
      </c>
      <c r="H140" s="283" t="s">
        <v>13</v>
      </c>
    </row>
    <row r="141">
      <c r="A141" s="278">
        <v>45540.66336679398</v>
      </c>
      <c r="B141" s="279" t="str">
        <f t="shared" si="1"/>
        <v>September</v>
      </c>
      <c r="C141" s="292">
        <f t="shared" si="2"/>
        <v>2024</v>
      </c>
      <c r="D141" s="280" t="s">
        <v>241</v>
      </c>
      <c r="E141" s="281" t="s">
        <v>368</v>
      </c>
      <c r="F141" s="281" t="s">
        <v>245</v>
      </c>
      <c r="G141" s="282">
        <v>2.0</v>
      </c>
      <c r="H141" s="283" t="s">
        <v>13</v>
      </c>
    </row>
    <row r="142">
      <c r="A142" s="278">
        <v>45540.664385578704</v>
      </c>
      <c r="B142" s="279" t="str">
        <f t="shared" si="1"/>
        <v>September</v>
      </c>
      <c r="C142" s="292">
        <f t="shared" si="2"/>
        <v>2024</v>
      </c>
      <c r="D142" s="280" t="s">
        <v>241</v>
      </c>
      <c r="E142" s="281" t="s">
        <v>369</v>
      </c>
      <c r="F142" s="281" t="s">
        <v>245</v>
      </c>
      <c r="G142" s="282">
        <v>2.0</v>
      </c>
      <c r="H142" s="283" t="s">
        <v>15</v>
      </c>
    </row>
    <row r="143">
      <c r="A143" s="278">
        <v>45540.664576724535</v>
      </c>
      <c r="B143" s="279" t="str">
        <f t="shared" si="1"/>
        <v>September</v>
      </c>
      <c r="C143" s="292">
        <f t="shared" si="2"/>
        <v>2024</v>
      </c>
      <c r="D143" s="280" t="s">
        <v>241</v>
      </c>
      <c r="E143" s="281" t="s">
        <v>370</v>
      </c>
      <c r="F143" s="281" t="s">
        <v>245</v>
      </c>
      <c r="G143" s="282">
        <v>20.0</v>
      </c>
      <c r="H143" s="283" t="s">
        <v>15</v>
      </c>
    </row>
    <row r="144">
      <c r="A144" s="278">
        <v>45540.66494033565</v>
      </c>
      <c r="B144" s="279" t="str">
        <f t="shared" si="1"/>
        <v>September</v>
      </c>
      <c r="C144" s="292">
        <f t="shared" si="2"/>
        <v>2024</v>
      </c>
      <c r="D144" s="280" t="s">
        <v>241</v>
      </c>
      <c r="E144" s="281" t="s">
        <v>371</v>
      </c>
      <c r="F144" s="281" t="s">
        <v>245</v>
      </c>
      <c r="G144" s="282">
        <v>2.0</v>
      </c>
      <c r="H144" s="283" t="s">
        <v>15</v>
      </c>
    </row>
    <row r="145">
      <c r="A145" s="278">
        <v>45540.665140474535</v>
      </c>
      <c r="B145" s="279" t="str">
        <f t="shared" si="1"/>
        <v>September</v>
      </c>
      <c r="C145" s="292">
        <f t="shared" si="2"/>
        <v>2024</v>
      </c>
      <c r="D145" s="280" t="s">
        <v>241</v>
      </c>
      <c r="E145" s="281" t="s">
        <v>369</v>
      </c>
      <c r="F145" s="281" t="s">
        <v>245</v>
      </c>
      <c r="G145" s="282">
        <v>2.0</v>
      </c>
      <c r="H145" s="283" t="s">
        <v>15</v>
      </c>
    </row>
    <row r="146">
      <c r="A146" s="278">
        <v>45543.69474554398</v>
      </c>
      <c r="B146" s="279" t="str">
        <f t="shared" si="1"/>
        <v>September</v>
      </c>
      <c r="C146" s="292">
        <f t="shared" si="2"/>
        <v>2024</v>
      </c>
      <c r="D146" s="280" t="s">
        <v>241</v>
      </c>
      <c r="E146" s="281" t="s">
        <v>372</v>
      </c>
      <c r="F146" s="281" t="s">
        <v>25</v>
      </c>
      <c r="G146" s="282">
        <v>25.0</v>
      </c>
      <c r="H146" s="283" t="s">
        <v>13</v>
      </c>
    </row>
    <row r="147">
      <c r="A147" s="278">
        <v>45544.43665962963</v>
      </c>
      <c r="B147" s="279" t="str">
        <f t="shared" si="1"/>
        <v>September</v>
      </c>
      <c r="C147" s="292">
        <f t="shared" si="2"/>
        <v>2024</v>
      </c>
      <c r="D147" s="280" t="s">
        <v>241</v>
      </c>
      <c r="E147" s="281" t="s">
        <v>356</v>
      </c>
      <c r="F147" s="281" t="s">
        <v>25</v>
      </c>
      <c r="G147" s="282">
        <v>200.0</v>
      </c>
      <c r="H147" s="283" t="s">
        <v>23</v>
      </c>
    </row>
    <row r="148">
      <c r="A148" s="278">
        <v>45544.47730293982</v>
      </c>
      <c r="B148" s="279" t="str">
        <f t="shared" si="1"/>
        <v>September</v>
      </c>
      <c r="C148" s="292">
        <f t="shared" si="2"/>
        <v>2024</v>
      </c>
      <c r="D148" s="280" t="s">
        <v>241</v>
      </c>
      <c r="E148" s="281" t="s">
        <v>373</v>
      </c>
      <c r="F148" s="281" t="s">
        <v>25</v>
      </c>
      <c r="G148" s="282">
        <v>600.0</v>
      </c>
      <c r="H148" s="283" t="s">
        <v>23</v>
      </c>
    </row>
    <row r="149">
      <c r="A149" s="278">
        <v>45545.58492010417</v>
      </c>
      <c r="B149" s="279" t="str">
        <f t="shared" si="1"/>
        <v>September</v>
      </c>
      <c r="C149" s="292">
        <f t="shared" si="2"/>
        <v>2024</v>
      </c>
      <c r="D149" s="280" t="s">
        <v>241</v>
      </c>
      <c r="E149" s="281" t="s">
        <v>374</v>
      </c>
      <c r="F149" s="281" t="s">
        <v>25</v>
      </c>
      <c r="G149" s="282">
        <v>10.0</v>
      </c>
      <c r="H149" s="283" t="s">
        <v>11</v>
      </c>
    </row>
    <row r="150">
      <c r="A150" s="278">
        <v>45547.57330292824</v>
      </c>
      <c r="B150" s="279" t="str">
        <f t="shared" si="1"/>
        <v>September</v>
      </c>
      <c r="C150" s="292">
        <f t="shared" si="2"/>
        <v>2024</v>
      </c>
      <c r="D150" s="280" t="s">
        <v>241</v>
      </c>
      <c r="E150" s="281" t="s">
        <v>375</v>
      </c>
      <c r="F150" s="281" t="s">
        <v>25</v>
      </c>
      <c r="G150" s="282">
        <v>15.0</v>
      </c>
      <c r="H150" s="283" t="s">
        <v>13</v>
      </c>
    </row>
    <row r="151">
      <c r="A151" s="278">
        <v>45547.573524861116</v>
      </c>
      <c r="B151" s="279" t="str">
        <f t="shared" si="1"/>
        <v>September</v>
      </c>
      <c r="C151" s="292">
        <f t="shared" si="2"/>
        <v>2024</v>
      </c>
      <c r="D151" s="280" t="s">
        <v>241</v>
      </c>
      <c r="E151" s="281" t="s">
        <v>376</v>
      </c>
      <c r="F151" s="281" t="s">
        <v>25</v>
      </c>
      <c r="G151" s="282">
        <v>30.0</v>
      </c>
      <c r="H151" s="283" t="s">
        <v>13</v>
      </c>
    </row>
    <row r="152">
      <c r="A152" s="278">
        <v>45561.57879762731</v>
      </c>
      <c r="B152" s="279" t="str">
        <f t="shared" si="1"/>
        <v>September</v>
      </c>
      <c r="C152" s="292">
        <f t="shared" si="2"/>
        <v>2024</v>
      </c>
      <c r="D152" s="280" t="s">
        <v>241</v>
      </c>
      <c r="E152" s="281" t="s">
        <v>377</v>
      </c>
      <c r="F152" s="281" t="s">
        <v>245</v>
      </c>
      <c r="G152" s="282">
        <v>158.0</v>
      </c>
      <c r="H152" s="283" t="s">
        <v>17</v>
      </c>
    </row>
    <row r="153">
      <c r="A153" s="278">
        <v>45561.581721863426</v>
      </c>
      <c r="B153" s="279" t="str">
        <f t="shared" si="1"/>
        <v>September</v>
      </c>
      <c r="C153" s="292">
        <f t="shared" si="2"/>
        <v>2024</v>
      </c>
      <c r="D153" s="280" t="s">
        <v>241</v>
      </c>
      <c r="E153" s="281" t="s">
        <v>378</v>
      </c>
      <c r="F153" s="281" t="s">
        <v>245</v>
      </c>
      <c r="G153" s="282">
        <v>25.0</v>
      </c>
      <c r="H153" s="283" t="s">
        <v>13</v>
      </c>
    </row>
    <row r="154">
      <c r="A154" s="278">
        <v>45561.581886631946</v>
      </c>
      <c r="B154" s="279" t="str">
        <f t="shared" si="1"/>
        <v>September</v>
      </c>
      <c r="C154" s="292">
        <f t="shared" si="2"/>
        <v>2024</v>
      </c>
      <c r="D154" s="280" t="s">
        <v>241</v>
      </c>
      <c r="E154" s="281" t="s">
        <v>379</v>
      </c>
      <c r="F154" s="281" t="s">
        <v>245</v>
      </c>
      <c r="G154" s="282">
        <v>3.0</v>
      </c>
      <c r="H154" s="283" t="s">
        <v>13</v>
      </c>
    </row>
    <row r="155">
      <c r="A155" s="278">
        <v>45561.58202722222</v>
      </c>
      <c r="B155" s="279" t="str">
        <f t="shared" si="1"/>
        <v>September</v>
      </c>
      <c r="C155" s="292">
        <f t="shared" si="2"/>
        <v>2024</v>
      </c>
      <c r="D155" s="280" t="s">
        <v>241</v>
      </c>
      <c r="E155" s="281" t="s">
        <v>380</v>
      </c>
      <c r="F155" s="281" t="s">
        <v>245</v>
      </c>
      <c r="G155" s="282">
        <v>5.0</v>
      </c>
      <c r="H155" s="283" t="s">
        <v>13</v>
      </c>
    </row>
    <row r="156">
      <c r="A156" s="278">
        <v>45561.582213726855</v>
      </c>
      <c r="B156" s="279" t="str">
        <f t="shared" si="1"/>
        <v>September</v>
      </c>
      <c r="C156" s="292">
        <f t="shared" si="2"/>
        <v>2024</v>
      </c>
      <c r="D156" s="280" t="s">
        <v>241</v>
      </c>
      <c r="E156" s="281" t="s">
        <v>381</v>
      </c>
      <c r="F156" s="281" t="s">
        <v>245</v>
      </c>
      <c r="G156" s="282">
        <v>3.0</v>
      </c>
      <c r="H156" s="283" t="s">
        <v>13</v>
      </c>
    </row>
    <row r="157">
      <c r="A157" s="278">
        <v>45561.58240818287</v>
      </c>
      <c r="B157" s="279" t="str">
        <f t="shared" si="1"/>
        <v>September</v>
      </c>
      <c r="C157" s="292">
        <f t="shared" si="2"/>
        <v>2024</v>
      </c>
      <c r="D157" s="280" t="s">
        <v>241</v>
      </c>
      <c r="E157" s="281" t="s">
        <v>382</v>
      </c>
      <c r="F157" s="281" t="s">
        <v>245</v>
      </c>
      <c r="G157" s="282">
        <v>9.0</v>
      </c>
      <c r="H157" s="283" t="s">
        <v>13</v>
      </c>
    </row>
    <row r="158">
      <c r="A158" s="278">
        <v>45561.58265401621</v>
      </c>
      <c r="B158" s="279" t="str">
        <f t="shared" si="1"/>
        <v>September</v>
      </c>
      <c r="C158" s="292">
        <f t="shared" si="2"/>
        <v>2024</v>
      </c>
      <c r="D158" s="280" t="s">
        <v>241</v>
      </c>
      <c r="E158" s="281" t="s">
        <v>383</v>
      </c>
      <c r="F158" s="281" t="s">
        <v>245</v>
      </c>
      <c r="G158" s="282">
        <v>5.0</v>
      </c>
      <c r="H158" s="283" t="s">
        <v>13</v>
      </c>
    </row>
    <row r="159">
      <c r="A159" s="278">
        <v>45561.58286737269</v>
      </c>
      <c r="B159" s="279" t="str">
        <f t="shared" si="1"/>
        <v>September</v>
      </c>
      <c r="C159" s="292">
        <f t="shared" si="2"/>
        <v>2024</v>
      </c>
      <c r="D159" s="280" t="s">
        <v>241</v>
      </c>
      <c r="E159" s="281" t="s">
        <v>384</v>
      </c>
      <c r="F159" s="281" t="s">
        <v>245</v>
      </c>
      <c r="G159" s="282">
        <v>3.0</v>
      </c>
      <c r="H159" s="283" t="s">
        <v>13</v>
      </c>
    </row>
    <row r="160">
      <c r="A160" s="278">
        <v>45561.58359616898</v>
      </c>
      <c r="B160" s="279" t="str">
        <f t="shared" si="1"/>
        <v>September</v>
      </c>
      <c r="C160" s="292">
        <f t="shared" si="2"/>
        <v>2024</v>
      </c>
      <c r="D160" s="280" t="s">
        <v>241</v>
      </c>
      <c r="E160" s="293" t="s">
        <v>385</v>
      </c>
      <c r="F160" s="281" t="s">
        <v>245</v>
      </c>
      <c r="G160" s="282">
        <v>9.0</v>
      </c>
      <c r="H160" s="283" t="s">
        <v>13</v>
      </c>
    </row>
    <row r="161">
      <c r="A161" s="278">
        <v>45561.58377657407</v>
      </c>
      <c r="B161" s="279" t="str">
        <f t="shared" si="1"/>
        <v>September</v>
      </c>
      <c r="C161" s="292">
        <f t="shared" si="2"/>
        <v>2024</v>
      </c>
      <c r="D161" s="280" t="s">
        <v>241</v>
      </c>
      <c r="E161" s="293" t="s">
        <v>386</v>
      </c>
      <c r="F161" s="281" t="s">
        <v>245</v>
      </c>
      <c r="G161" s="282">
        <v>2.0</v>
      </c>
      <c r="H161" s="283" t="s">
        <v>13</v>
      </c>
    </row>
    <row r="162">
      <c r="A162" s="278">
        <v>45561.583946053244</v>
      </c>
      <c r="B162" s="279" t="str">
        <f t="shared" si="1"/>
        <v>September</v>
      </c>
      <c r="C162" s="292">
        <f t="shared" si="2"/>
        <v>2024</v>
      </c>
      <c r="D162" s="280" t="s">
        <v>241</v>
      </c>
      <c r="E162" s="281" t="s">
        <v>387</v>
      </c>
      <c r="F162" s="281" t="s">
        <v>245</v>
      </c>
      <c r="G162" s="282">
        <v>2.0</v>
      </c>
      <c r="H162" s="283" t="s">
        <v>13</v>
      </c>
    </row>
    <row r="163">
      <c r="A163" s="278">
        <v>45561.58418798611</v>
      </c>
      <c r="B163" s="279" t="str">
        <f t="shared" si="1"/>
        <v>September</v>
      </c>
      <c r="C163" s="292">
        <f t="shared" si="2"/>
        <v>2024</v>
      </c>
      <c r="D163" s="280" t="s">
        <v>241</v>
      </c>
      <c r="E163" s="281" t="s">
        <v>388</v>
      </c>
      <c r="F163" s="281" t="s">
        <v>245</v>
      </c>
      <c r="G163" s="282">
        <v>3.0</v>
      </c>
      <c r="H163" s="283" t="s">
        <v>13</v>
      </c>
    </row>
    <row r="164">
      <c r="A164" s="278">
        <v>45561.58760605324</v>
      </c>
      <c r="B164" s="279" t="str">
        <f t="shared" si="1"/>
        <v>September</v>
      </c>
      <c r="C164" s="292">
        <f t="shared" si="2"/>
        <v>2024</v>
      </c>
      <c r="D164" s="280" t="s">
        <v>241</v>
      </c>
      <c r="E164" s="281" t="s">
        <v>389</v>
      </c>
      <c r="F164" s="281" t="s">
        <v>245</v>
      </c>
      <c r="G164" s="282">
        <v>3.0</v>
      </c>
      <c r="H164" s="283" t="s">
        <v>13</v>
      </c>
    </row>
    <row r="165">
      <c r="A165" s="278">
        <v>45561.587790185185</v>
      </c>
      <c r="B165" s="279" t="str">
        <f t="shared" si="1"/>
        <v>September</v>
      </c>
      <c r="C165" s="292">
        <f t="shared" si="2"/>
        <v>2024</v>
      </c>
      <c r="D165" s="280" t="s">
        <v>241</v>
      </c>
      <c r="E165" s="281" t="s">
        <v>390</v>
      </c>
      <c r="F165" s="281" t="s">
        <v>245</v>
      </c>
      <c r="G165" s="282">
        <v>2.0</v>
      </c>
      <c r="H165" s="283" t="s">
        <v>13</v>
      </c>
    </row>
    <row r="166">
      <c r="A166" s="278">
        <v>45561.58796427083</v>
      </c>
      <c r="B166" s="279" t="str">
        <f t="shared" si="1"/>
        <v>September</v>
      </c>
      <c r="C166" s="292">
        <f t="shared" si="2"/>
        <v>2024</v>
      </c>
      <c r="D166" s="280" t="s">
        <v>241</v>
      </c>
      <c r="E166" s="281" t="s">
        <v>391</v>
      </c>
      <c r="F166" s="281" t="s">
        <v>245</v>
      </c>
      <c r="G166" s="282">
        <v>6.0</v>
      </c>
      <c r="H166" s="283" t="s">
        <v>13</v>
      </c>
    </row>
    <row r="167">
      <c r="A167" s="278">
        <v>45561.58818209491</v>
      </c>
      <c r="B167" s="279" t="str">
        <f t="shared" si="1"/>
        <v>September</v>
      </c>
      <c r="C167" s="292">
        <f t="shared" si="2"/>
        <v>2024</v>
      </c>
      <c r="D167" s="280" t="s">
        <v>241</v>
      </c>
      <c r="E167" s="293" t="s">
        <v>392</v>
      </c>
      <c r="F167" s="281" t="s">
        <v>245</v>
      </c>
      <c r="G167" s="282">
        <v>5.0</v>
      </c>
      <c r="H167" s="283" t="s">
        <v>13</v>
      </c>
    </row>
    <row r="168">
      <c r="A168" s="278">
        <v>45561.588328541664</v>
      </c>
      <c r="B168" s="279" t="str">
        <f t="shared" si="1"/>
        <v>September</v>
      </c>
      <c r="C168" s="292">
        <f t="shared" si="2"/>
        <v>2024</v>
      </c>
      <c r="D168" s="280" t="s">
        <v>241</v>
      </c>
      <c r="E168" s="281" t="s">
        <v>393</v>
      </c>
      <c r="F168" s="281" t="s">
        <v>245</v>
      </c>
      <c r="G168" s="282">
        <v>2.0</v>
      </c>
      <c r="H168" s="283" t="s">
        <v>13</v>
      </c>
    </row>
    <row r="169">
      <c r="A169" s="278">
        <v>45561.5884822338</v>
      </c>
      <c r="B169" s="279" t="str">
        <f t="shared" si="1"/>
        <v>September</v>
      </c>
      <c r="C169" s="292">
        <f t="shared" si="2"/>
        <v>2024</v>
      </c>
      <c r="D169" s="280" t="s">
        <v>241</v>
      </c>
      <c r="E169" s="281" t="s">
        <v>394</v>
      </c>
      <c r="F169" s="281" t="s">
        <v>245</v>
      </c>
      <c r="G169" s="282">
        <v>4.0</v>
      </c>
      <c r="H169" s="283" t="s">
        <v>13</v>
      </c>
    </row>
    <row r="170">
      <c r="A170" s="278">
        <v>45561.58875152778</v>
      </c>
      <c r="B170" s="279" t="str">
        <f t="shared" si="1"/>
        <v>September</v>
      </c>
      <c r="C170" s="292">
        <f t="shared" si="2"/>
        <v>2024</v>
      </c>
      <c r="D170" s="280" t="s">
        <v>241</v>
      </c>
      <c r="E170" s="281" t="s">
        <v>395</v>
      </c>
      <c r="F170" s="281" t="s">
        <v>245</v>
      </c>
      <c r="G170" s="282">
        <v>2.0</v>
      </c>
      <c r="H170" s="283" t="s">
        <v>13</v>
      </c>
    </row>
    <row r="171">
      <c r="A171" s="278">
        <v>45561.58893518518</v>
      </c>
      <c r="B171" s="279" t="str">
        <f t="shared" si="1"/>
        <v>September</v>
      </c>
      <c r="C171" s="292">
        <f t="shared" si="2"/>
        <v>2024</v>
      </c>
      <c r="D171" s="280" t="s">
        <v>241</v>
      </c>
      <c r="E171" s="281" t="s">
        <v>396</v>
      </c>
      <c r="F171" s="281" t="s">
        <v>245</v>
      </c>
      <c r="G171" s="282">
        <v>8.0</v>
      </c>
      <c r="H171" s="283" t="s">
        <v>13</v>
      </c>
    </row>
    <row r="172">
      <c r="A172" s="278">
        <v>45561.58908597223</v>
      </c>
      <c r="B172" s="279" t="str">
        <f t="shared" si="1"/>
        <v>September</v>
      </c>
      <c r="C172" s="292">
        <f t="shared" si="2"/>
        <v>2024</v>
      </c>
      <c r="D172" s="280" t="s">
        <v>241</v>
      </c>
      <c r="E172" s="281" t="s">
        <v>397</v>
      </c>
      <c r="F172" s="281" t="s">
        <v>245</v>
      </c>
      <c r="G172" s="282">
        <v>2.0</v>
      </c>
      <c r="H172" s="283" t="s">
        <v>13</v>
      </c>
    </row>
    <row r="173">
      <c r="A173" s="278">
        <v>45561.59000810185</v>
      </c>
      <c r="B173" s="279" t="str">
        <f t="shared" si="1"/>
        <v>September</v>
      </c>
      <c r="C173" s="292">
        <f t="shared" si="2"/>
        <v>2024</v>
      </c>
      <c r="D173" s="280" t="s">
        <v>241</v>
      </c>
      <c r="E173" s="281" t="s">
        <v>398</v>
      </c>
      <c r="F173" s="281" t="s">
        <v>245</v>
      </c>
      <c r="G173" s="282">
        <v>2.0</v>
      </c>
      <c r="H173" s="283" t="s">
        <v>15</v>
      </c>
    </row>
    <row r="174">
      <c r="A174" s="278">
        <v>45561.590181747684</v>
      </c>
      <c r="B174" s="279" t="str">
        <f t="shared" si="1"/>
        <v>September</v>
      </c>
      <c r="C174" s="292">
        <f t="shared" si="2"/>
        <v>2024</v>
      </c>
      <c r="D174" s="280" t="s">
        <v>241</v>
      </c>
      <c r="E174" s="281" t="s">
        <v>399</v>
      </c>
      <c r="F174" s="281" t="s">
        <v>245</v>
      </c>
      <c r="G174" s="282">
        <v>5.0</v>
      </c>
      <c r="H174" s="283" t="s">
        <v>15</v>
      </c>
    </row>
    <row r="175">
      <c r="A175" s="278">
        <v>45561.59038245371</v>
      </c>
      <c r="B175" s="279" t="str">
        <f t="shared" si="1"/>
        <v>September</v>
      </c>
      <c r="C175" s="292">
        <f t="shared" si="2"/>
        <v>2024</v>
      </c>
      <c r="D175" s="280" t="s">
        <v>241</v>
      </c>
      <c r="E175" s="281" t="s">
        <v>400</v>
      </c>
      <c r="F175" s="281" t="s">
        <v>245</v>
      </c>
      <c r="G175" s="282">
        <v>5.0</v>
      </c>
      <c r="H175" s="283" t="s">
        <v>15</v>
      </c>
    </row>
    <row r="176">
      <c r="A176" s="278">
        <v>45561.5906703588</v>
      </c>
      <c r="B176" s="279" t="str">
        <f t="shared" si="1"/>
        <v>September</v>
      </c>
      <c r="C176" s="292">
        <f t="shared" si="2"/>
        <v>2024</v>
      </c>
      <c r="D176" s="280" t="s">
        <v>241</v>
      </c>
      <c r="E176" s="281" t="s">
        <v>401</v>
      </c>
      <c r="F176" s="281" t="s">
        <v>245</v>
      </c>
      <c r="G176" s="282">
        <v>3.0</v>
      </c>
      <c r="H176" s="283" t="s">
        <v>15</v>
      </c>
    </row>
    <row r="177">
      <c r="A177" s="278">
        <v>45561.59083641204</v>
      </c>
      <c r="B177" s="279" t="str">
        <f t="shared" si="1"/>
        <v>September</v>
      </c>
      <c r="C177" s="292">
        <f t="shared" si="2"/>
        <v>2024</v>
      </c>
      <c r="D177" s="280" t="s">
        <v>241</v>
      </c>
      <c r="E177" s="281" t="s">
        <v>402</v>
      </c>
      <c r="F177" s="281" t="s">
        <v>245</v>
      </c>
      <c r="G177" s="282">
        <v>8.0</v>
      </c>
      <c r="H177" s="283" t="s">
        <v>15</v>
      </c>
    </row>
    <row r="178">
      <c r="A178" s="278">
        <v>45561.59144741898</v>
      </c>
      <c r="B178" s="279" t="str">
        <f t="shared" si="1"/>
        <v>September</v>
      </c>
      <c r="C178" s="292">
        <f t="shared" si="2"/>
        <v>2024</v>
      </c>
      <c r="D178" s="280" t="s">
        <v>241</v>
      </c>
      <c r="E178" s="281" t="s">
        <v>403</v>
      </c>
      <c r="F178" s="281" t="s">
        <v>245</v>
      </c>
      <c r="G178" s="282">
        <v>8.0</v>
      </c>
      <c r="H178" s="283" t="s">
        <v>15</v>
      </c>
    </row>
    <row r="179">
      <c r="A179" s="278">
        <v>45561.59161614583</v>
      </c>
      <c r="B179" s="279" t="str">
        <f t="shared" si="1"/>
        <v>September</v>
      </c>
      <c r="C179" s="292">
        <f t="shared" si="2"/>
        <v>2024</v>
      </c>
      <c r="D179" s="280" t="s">
        <v>241</v>
      </c>
      <c r="E179" s="281" t="s">
        <v>404</v>
      </c>
      <c r="F179" s="281" t="s">
        <v>245</v>
      </c>
      <c r="G179" s="282">
        <v>2.0</v>
      </c>
      <c r="H179" s="283" t="s">
        <v>15</v>
      </c>
    </row>
    <row r="180">
      <c r="A180" s="278">
        <v>45561.591769502316</v>
      </c>
      <c r="B180" s="279" t="str">
        <f t="shared" si="1"/>
        <v>September</v>
      </c>
      <c r="C180" s="292">
        <f t="shared" si="2"/>
        <v>2024</v>
      </c>
      <c r="D180" s="280" t="s">
        <v>241</v>
      </c>
      <c r="E180" s="281" t="s">
        <v>405</v>
      </c>
      <c r="F180" s="281" t="s">
        <v>245</v>
      </c>
      <c r="G180" s="282">
        <v>3.0</v>
      </c>
      <c r="H180" s="283" t="s">
        <v>15</v>
      </c>
    </row>
    <row r="181">
      <c r="A181" s="278">
        <v>45561.591922673615</v>
      </c>
      <c r="B181" s="279" t="str">
        <f t="shared" si="1"/>
        <v>September</v>
      </c>
      <c r="C181" s="292">
        <f t="shared" si="2"/>
        <v>2024</v>
      </c>
      <c r="D181" s="280" t="s">
        <v>241</v>
      </c>
      <c r="E181" s="281" t="s">
        <v>406</v>
      </c>
      <c r="F181" s="281" t="s">
        <v>245</v>
      </c>
      <c r="G181" s="282">
        <v>5.0</v>
      </c>
      <c r="H181" s="283" t="s">
        <v>15</v>
      </c>
    </row>
    <row r="182">
      <c r="A182" s="278">
        <v>45561.59209417824</v>
      </c>
      <c r="B182" s="279" t="str">
        <f t="shared" si="1"/>
        <v>September</v>
      </c>
      <c r="C182" s="292">
        <f t="shared" si="2"/>
        <v>2024</v>
      </c>
      <c r="D182" s="280" t="s">
        <v>241</v>
      </c>
      <c r="E182" s="281" t="s">
        <v>399</v>
      </c>
      <c r="F182" s="281" t="s">
        <v>245</v>
      </c>
      <c r="G182" s="282">
        <v>5.0</v>
      </c>
      <c r="H182" s="283" t="s">
        <v>15</v>
      </c>
    </row>
    <row r="183">
      <c r="A183" s="278">
        <v>45561.59229799769</v>
      </c>
      <c r="B183" s="279" t="str">
        <f t="shared" si="1"/>
        <v>September</v>
      </c>
      <c r="C183" s="292">
        <f t="shared" si="2"/>
        <v>2024</v>
      </c>
      <c r="D183" s="280" t="s">
        <v>241</v>
      </c>
      <c r="E183" s="281" t="s">
        <v>407</v>
      </c>
      <c r="F183" s="281" t="s">
        <v>245</v>
      </c>
      <c r="G183" s="282">
        <v>2.0</v>
      </c>
      <c r="H183" s="283" t="s">
        <v>15</v>
      </c>
    </row>
    <row r="184">
      <c r="A184" s="278">
        <v>45561.593641898144</v>
      </c>
      <c r="B184" s="279" t="str">
        <f t="shared" si="1"/>
        <v>September</v>
      </c>
      <c r="C184" s="292">
        <f t="shared" si="2"/>
        <v>2024</v>
      </c>
      <c r="D184" s="280" t="s">
        <v>241</v>
      </c>
      <c r="E184" s="281" t="s">
        <v>408</v>
      </c>
      <c r="F184" s="281" t="s">
        <v>245</v>
      </c>
      <c r="G184" s="282">
        <v>6.0</v>
      </c>
      <c r="H184" s="283" t="s">
        <v>15</v>
      </c>
    </row>
    <row r="185">
      <c r="A185" s="278">
        <v>45564.63271489584</v>
      </c>
      <c r="B185" s="279" t="str">
        <f t="shared" si="1"/>
        <v>September</v>
      </c>
      <c r="C185" s="292">
        <f t="shared" si="2"/>
        <v>2024</v>
      </c>
      <c r="D185" s="280" t="s">
        <v>241</v>
      </c>
      <c r="E185" s="281" t="s">
        <v>409</v>
      </c>
      <c r="F185" s="281" t="s">
        <v>25</v>
      </c>
      <c r="G185" s="282">
        <v>50.0</v>
      </c>
      <c r="H185" s="283" t="s">
        <v>11</v>
      </c>
    </row>
    <row r="186">
      <c r="A186" s="278">
        <v>45575.52898186343</v>
      </c>
      <c r="B186" s="279" t="str">
        <f t="shared" si="1"/>
        <v>October</v>
      </c>
      <c r="C186" s="292">
        <f t="shared" si="2"/>
        <v>2024</v>
      </c>
      <c r="D186" s="280" t="s">
        <v>241</v>
      </c>
      <c r="E186" s="281" t="s">
        <v>243</v>
      </c>
      <c r="F186" s="281" t="s">
        <v>25</v>
      </c>
      <c r="G186" s="282">
        <v>25.0</v>
      </c>
      <c r="H186" s="283" t="s">
        <v>13</v>
      </c>
    </row>
    <row r="187">
      <c r="A187" s="278">
        <v>45593.0</v>
      </c>
      <c r="B187" s="279" t="str">
        <f t="shared" si="1"/>
        <v>October</v>
      </c>
      <c r="C187" s="292">
        <f t="shared" si="2"/>
        <v>2024</v>
      </c>
      <c r="D187" s="280" t="s">
        <v>241</v>
      </c>
      <c r="E187" s="281" t="s">
        <v>410</v>
      </c>
      <c r="F187" s="281" t="s">
        <v>245</v>
      </c>
      <c r="G187" s="282">
        <v>5.0</v>
      </c>
      <c r="H187" s="283" t="s">
        <v>13</v>
      </c>
    </row>
    <row r="188">
      <c r="A188" s="278">
        <v>45593.0</v>
      </c>
      <c r="B188" s="279" t="str">
        <f t="shared" si="1"/>
        <v>October</v>
      </c>
      <c r="C188" s="292">
        <f t="shared" si="2"/>
        <v>2024</v>
      </c>
      <c r="D188" s="280" t="s">
        <v>241</v>
      </c>
      <c r="E188" s="281" t="s">
        <v>411</v>
      </c>
      <c r="F188" s="281" t="s">
        <v>245</v>
      </c>
      <c r="G188" s="282">
        <v>2.0</v>
      </c>
      <c r="H188" s="283" t="s">
        <v>13</v>
      </c>
    </row>
    <row r="189">
      <c r="A189" s="278">
        <v>45593.0</v>
      </c>
      <c r="B189" s="279" t="str">
        <f t="shared" si="1"/>
        <v>October</v>
      </c>
      <c r="C189" s="292">
        <f t="shared" si="2"/>
        <v>2024</v>
      </c>
      <c r="D189" s="280" t="s">
        <v>241</v>
      </c>
      <c r="E189" s="281" t="s">
        <v>411</v>
      </c>
      <c r="F189" s="281" t="s">
        <v>245</v>
      </c>
      <c r="G189" s="282">
        <v>4.0</v>
      </c>
      <c r="H189" s="283" t="s">
        <v>13</v>
      </c>
    </row>
    <row r="190">
      <c r="A190" s="278">
        <v>45593.0</v>
      </c>
      <c r="B190" s="279" t="str">
        <f t="shared" si="1"/>
        <v>October</v>
      </c>
      <c r="C190" s="292">
        <f t="shared" si="2"/>
        <v>2024</v>
      </c>
      <c r="D190" s="280" t="s">
        <v>241</v>
      </c>
      <c r="E190" s="281" t="s">
        <v>412</v>
      </c>
      <c r="F190" s="281" t="s">
        <v>245</v>
      </c>
      <c r="G190" s="282">
        <v>4.0</v>
      </c>
      <c r="H190" s="283" t="s">
        <v>13</v>
      </c>
    </row>
    <row r="191">
      <c r="A191" s="278">
        <v>45593.0</v>
      </c>
      <c r="B191" s="279" t="str">
        <f t="shared" si="1"/>
        <v>October</v>
      </c>
      <c r="C191" s="292">
        <f t="shared" si="2"/>
        <v>2024</v>
      </c>
      <c r="D191" s="280" t="s">
        <v>241</v>
      </c>
      <c r="E191" s="281" t="s">
        <v>413</v>
      </c>
      <c r="F191" s="281" t="s">
        <v>245</v>
      </c>
      <c r="G191" s="282">
        <v>3.0</v>
      </c>
      <c r="H191" s="283" t="s">
        <v>13</v>
      </c>
    </row>
    <row r="192">
      <c r="A192" s="278">
        <v>45593.0</v>
      </c>
      <c r="B192" s="279" t="str">
        <f t="shared" si="1"/>
        <v>October</v>
      </c>
      <c r="C192" s="292">
        <f t="shared" si="2"/>
        <v>2024</v>
      </c>
      <c r="D192" s="280" t="s">
        <v>241</v>
      </c>
      <c r="E192" s="281" t="s">
        <v>414</v>
      </c>
      <c r="F192" s="281" t="s">
        <v>245</v>
      </c>
      <c r="G192" s="282">
        <v>10.0</v>
      </c>
      <c r="H192" s="283" t="s">
        <v>13</v>
      </c>
    </row>
    <row r="193">
      <c r="A193" s="278">
        <v>45593.0</v>
      </c>
      <c r="B193" s="279" t="str">
        <f t="shared" si="1"/>
        <v>October</v>
      </c>
      <c r="C193" s="292">
        <f t="shared" si="2"/>
        <v>2024</v>
      </c>
      <c r="D193" s="280" t="s">
        <v>241</v>
      </c>
      <c r="E193" s="281" t="s">
        <v>415</v>
      </c>
      <c r="F193" s="281" t="s">
        <v>245</v>
      </c>
      <c r="G193" s="282">
        <v>2.0</v>
      </c>
      <c r="H193" s="283" t="s">
        <v>13</v>
      </c>
    </row>
    <row r="194">
      <c r="A194" s="278">
        <v>45593.0</v>
      </c>
      <c r="B194" s="279" t="str">
        <f t="shared" si="1"/>
        <v>October</v>
      </c>
      <c r="C194" s="292">
        <f t="shared" si="2"/>
        <v>2024</v>
      </c>
      <c r="D194" s="280" t="s">
        <v>241</v>
      </c>
      <c r="E194" s="281" t="s">
        <v>416</v>
      </c>
      <c r="F194" s="281" t="s">
        <v>245</v>
      </c>
      <c r="G194" s="282">
        <v>4.0</v>
      </c>
      <c r="H194" s="283" t="s">
        <v>13</v>
      </c>
    </row>
    <row r="195">
      <c r="A195" s="278">
        <v>45593.0</v>
      </c>
      <c r="B195" s="279" t="str">
        <f t="shared" si="1"/>
        <v>October</v>
      </c>
      <c r="C195" s="292">
        <f t="shared" si="2"/>
        <v>2024</v>
      </c>
      <c r="D195" s="280" t="s">
        <v>241</v>
      </c>
      <c r="E195" s="281" t="s">
        <v>417</v>
      </c>
      <c r="F195" s="281" t="s">
        <v>245</v>
      </c>
      <c r="G195" s="282">
        <v>8.0</v>
      </c>
      <c r="H195" s="283" t="s">
        <v>13</v>
      </c>
    </row>
    <row r="196">
      <c r="A196" s="278">
        <v>45593.0</v>
      </c>
      <c r="B196" s="279" t="str">
        <f t="shared" si="1"/>
        <v>October</v>
      </c>
      <c r="C196" s="292">
        <f t="shared" si="2"/>
        <v>2024</v>
      </c>
      <c r="D196" s="280" t="s">
        <v>241</v>
      </c>
      <c r="E196" s="281" t="s">
        <v>418</v>
      </c>
      <c r="F196" s="281" t="s">
        <v>245</v>
      </c>
      <c r="G196" s="282">
        <v>8.0</v>
      </c>
      <c r="H196" s="283" t="s">
        <v>13</v>
      </c>
    </row>
    <row r="197">
      <c r="A197" s="278">
        <v>45593.0</v>
      </c>
      <c r="B197" s="279" t="str">
        <f t="shared" si="1"/>
        <v>October</v>
      </c>
      <c r="C197" s="292">
        <f t="shared" si="2"/>
        <v>2024</v>
      </c>
      <c r="D197" s="280" t="s">
        <v>241</v>
      </c>
      <c r="E197" s="281" t="s">
        <v>419</v>
      </c>
      <c r="F197" s="281" t="s">
        <v>245</v>
      </c>
      <c r="G197" s="282">
        <v>3.0</v>
      </c>
      <c r="H197" s="283" t="s">
        <v>13</v>
      </c>
    </row>
    <row r="198">
      <c r="A198" s="278">
        <v>45593.0</v>
      </c>
      <c r="B198" s="279" t="str">
        <f t="shared" si="1"/>
        <v>October</v>
      </c>
      <c r="C198" s="292">
        <f t="shared" si="2"/>
        <v>2024</v>
      </c>
      <c r="D198" s="280" t="s">
        <v>241</v>
      </c>
      <c r="E198" s="281" t="s">
        <v>420</v>
      </c>
      <c r="F198" s="281" t="s">
        <v>245</v>
      </c>
      <c r="G198" s="282">
        <v>2.0</v>
      </c>
      <c r="H198" s="283" t="s">
        <v>13</v>
      </c>
    </row>
    <row r="199">
      <c r="A199" s="278">
        <v>45593.0</v>
      </c>
      <c r="B199" s="279" t="str">
        <f t="shared" si="1"/>
        <v>October</v>
      </c>
      <c r="C199" s="292">
        <f t="shared" si="2"/>
        <v>2024</v>
      </c>
      <c r="D199" s="280" t="s">
        <v>241</v>
      </c>
      <c r="E199" s="281" t="s">
        <v>421</v>
      </c>
      <c r="F199" s="281" t="s">
        <v>245</v>
      </c>
      <c r="G199" s="282">
        <v>3.0</v>
      </c>
      <c r="H199" s="283" t="s">
        <v>13</v>
      </c>
    </row>
    <row r="200">
      <c r="A200" s="278">
        <v>45593.0</v>
      </c>
      <c r="B200" s="279" t="str">
        <f t="shared" si="1"/>
        <v>October</v>
      </c>
      <c r="C200" s="292">
        <f t="shared" si="2"/>
        <v>2024</v>
      </c>
      <c r="D200" s="280" t="s">
        <v>241</v>
      </c>
      <c r="E200" s="281" t="s">
        <v>422</v>
      </c>
      <c r="F200" s="281" t="s">
        <v>245</v>
      </c>
      <c r="G200" s="282">
        <v>5.0</v>
      </c>
      <c r="H200" s="283" t="s">
        <v>13</v>
      </c>
    </row>
    <row r="201">
      <c r="A201" s="278">
        <v>45593.0</v>
      </c>
      <c r="B201" s="279" t="str">
        <f t="shared" si="1"/>
        <v>October</v>
      </c>
      <c r="C201" s="292">
        <f t="shared" si="2"/>
        <v>2024</v>
      </c>
      <c r="D201" s="280" t="s">
        <v>241</v>
      </c>
      <c r="E201" s="281" t="s">
        <v>423</v>
      </c>
      <c r="F201" s="281" t="s">
        <v>245</v>
      </c>
      <c r="G201" s="282">
        <v>5.0</v>
      </c>
      <c r="H201" s="283" t="s">
        <v>15</v>
      </c>
    </row>
    <row r="202">
      <c r="A202" s="278">
        <v>45593.0</v>
      </c>
      <c r="B202" s="279" t="str">
        <f t="shared" si="1"/>
        <v>October</v>
      </c>
      <c r="C202" s="292">
        <f t="shared" si="2"/>
        <v>2024</v>
      </c>
      <c r="D202" s="280" t="s">
        <v>241</v>
      </c>
      <c r="E202" s="281" t="s">
        <v>424</v>
      </c>
      <c r="F202" s="281" t="s">
        <v>245</v>
      </c>
      <c r="G202" s="282">
        <v>2.0</v>
      </c>
      <c r="H202" s="283" t="s">
        <v>19</v>
      </c>
    </row>
    <row r="203">
      <c r="A203" s="278">
        <v>45593.0</v>
      </c>
      <c r="B203" s="279" t="str">
        <f t="shared" si="1"/>
        <v>October</v>
      </c>
      <c r="C203" s="292">
        <f t="shared" si="2"/>
        <v>2024</v>
      </c>
      <c r="D203" s="280" t="s">
        <v>241</v>
      </c>
      <c r="E203" s="281" t="s">
        <v>425</v>
      </c>
      <c r="F203" s="281" t="s">
        <v>245</v>
      </c>
      <c r="G203" s="282">
        <v>10.0</v>
      </c>
      <c r="H203" s="283" t="s">
        <v>15</v>
      </c>
    </row>
    <row r="204">
      <c r="A204" s="278">
        <v>45593.0</v>
      </c>
      <c r="B204" s="279" t="str">
        <f t="shared" si="1"/>
        <v>October</v>
      </c>
      <c r="C204" s="292">
        <f t="shared" si="2"/>
        <v>2024</v>
      </c>
      <c r="D204" s="280" t="s">
        <v>241</v>
      </c>
      <c r="E204" s="281" t="s">
        <v>426</v>
      </c>
      <c r="F204" s="281" t="s">
        <v>245</v>
      </c>
      <c r="G204" s="282">
        <v>3.0</v>
      </c>
      <c r="H204" s="283" t="s">
        <v>15</v>
      </c>
    </row>
    <row r="205">
      <c r="A205" s="278">
        <v>45593.0</v>
      </c>
      <c r="B205" s="279" t="str">
        <f t="shared" si="1"/>
        <v>October</v>
      </c>
      <c r="C205" s="292">
        <f t="shared" si="2"/>
        <v>2024</v>
      </c>
      <c r="D205" s="280" t="s">
        <v>241</v>
      </c>
      <c r="E205" s="281" t="s">
        <v>427</v>
      </c>
      <c r="F205" s="281" t="s">
        <v>245</v>
      </c>
      <c r="G205" s="282">
        <v>2.0</v>
      </c>
      <c r="H205" s="283" t="s">
        <v>15</v>
      </c>
    </row>
    <row r="206">
      <c r="A206" s="278">
        <v>45593.0</v>
      </c>
      <c r="B206" s="279" t="str">
        <f t="shared" si="1"/>
        <v>October</v>
      </c>
      <c r="C206" s="292">
        <f t="shared" si="2"/>
        <v>2024</v>
      </c>
      <c r="D206" s="280" t="s">
        <v>241</v>
      </c>
      <c r="E206" s="281" t="s">
        <v>428</v>
      </c>
      <c r="F206" s="281" t="s">
        <v>245</v>
      </c>
      <c r="G206" s="282">
        <v>3.0</v>
      </c>
      <c r="H206" s="283" t="s">
        <v>15</v>
      </c>
    </row>
    <row r="207">
      <c r="A207" s="278">
        <v>45593.0</v>
      </c>
      <c r="B207" s="279" t="str">
        <f t="shared" si="1"/>
        <v>October</v>
      </c>
      <c r="C207" s="292">
        <f t="shared" si="2"/>
        <v>2024</v>
      </c>
      <c r="D207" s="280" t="s">
        <v>241</v>
      </c>
      <c r="E207" s="281" t="s">
        <v>429</v>
      </c>
      <c r="F207" s="281" t="s">
        <v>245</v>
      </c>
      <c r="G207" s="282">
        <v>2.0</v>
      </c>
      <c r="H207" s="283" t="s">
        <v>15</v>
      </c>
    </row>
    <row r="208">
      <c r="A208" s="278">
        <v>45593.0</v>
      </c>
      <c r="B208" s="279" t="str">
        <f t="shared" si="1"/>
        <v>October</v>
      </c>
      <c r="C208" s="292">
        <f t="shared" si="2"/>
        <v>2024</v>
      </c>
      <c r="D208" s="280" t="s">
        <v>241</v>
      </c>
      <c r="E208" s="281" t="s">
        <v>430</v>
      </c>
      <c r="F208" s="281" t="s">
        <v>245</v>
      </c>
      <c r="G208" s="282">
        <v>11.0</v>
      </c>
      <c r="H208" s="283" t="s">
        <v>19</v>
      </c>
    </row>
    <row r="209">
      <c r="A209" s="278">
        <v>45593.0</v>
      </c>
      <c r="B209" s="279" t="str">
        <f t="shared" si="1"/>
        <v>October</v>
      </c>
      <c r="C209" s="292">
        <f t="shared" si="2"/>
        <v>2024</v>
      </c>
      <c r="D209" s="280" t="s">
        <v>241</v>
      </c>
      <c r="E209" s="281" t="s">
        <v>411</v>
      </c>
      <c r="F209" s="281" t="s">
        <v>245</v>
      </c>
      <c r="G209" s="282">
        <v>2.0</v>
      </c>
      <c r="H209" s="283" t="s">
        <v>15</v>
      </c>
    </row>
    <row r="210">
      <c r="A210" s="278">
        <v>45593.0</v>
      </c>
      <c r="B210" s="279" t="str">
        <f t="shared" si="1"/>
        <v>October</v>
      </c>
      <c r="C210" s="292">
        <f t="shared" si="2"/>
        <v>2024</v>
      </c>
      <c r="D210" s="280" t="s">
        <v>241</v>
      </c>
      <c r="E210" s="281" t="s">
        <v>431</v>
      </c>
      <c r="F210" s="281" t="s">
        <v>245</v>
      </c>
      <c r="G210" s="282">
        <v>10.0</v>
      </c>
      <c r="H210" s="283" t="s">
        <v>15</v>
      </c>
    </row>
    <row r="211">
      <c r="A211" s="278">
        <v>45593.0</v>
      </c>
      <c r="B211" s="279" t="str">
        <f t="shared" si="1"/>
        <v>October</v>
      </c>
      <c r="C211" s="292">
        <f t="shared" si="2"/>
        <v>2024</v>
      </c>
      <c r="D211" s="280" t="s">
        <v>241</v>
      </c>
      <c r="E211" s="281" t="s">
        <v>411</v>
      </c>
      <c r="F211" s="281" t="s">
        <v>245</v>
      </c>
      <c r="G211" s="282">
        <v>5.0</v>
      </c>
      <c r="H211" s="283" t="s">
        <v>15</v>
      </c>
    </row>
    <row r="212">
      <c r="A212" s="278">
        <v>45593.0</v>
      </c>
      <c r="B212" s="279" t="str">
        <f t="shared" si="1"/>
        <v>October</v>
      </c>
      <c r="C212" s="292">
        <f t="shared" si="2"/>
        <v>2024</v>
      </c>
      <c r="D212" s="280" t="s">
        <v>241</v>
      </c>
      <c r="E212" s="281" t="s">
        <v>432</v>
      </c>
      <c r="F212" s="281" t="s">
        <v>245</v>
      </c>
      <c r="G212" s="282">
        <v>3.0</v>
      </c>
      <c r="H212" s="283" t="s">
        <v>15</v>
      </c>
    </row>
    <row r="213">
      <c r="A213" s="278">
        <v>45593.0</v>
      </c>
      <c r="B213" s="279" t="str">
        <f t="shared" si="1"/>
        <v>October</v>
      </c>
      <c r="C213" s="292">
        <f t="shared" si="2"/>
        <v>2024</v>
      </c>
      <c r="D213" s="280" t="s">
        <v>241</v>
      </c>
      <c r="E213" s="281" t="s">
        <v>433</v>
      </c>
      <c r="F213" s="281" t="s">
        <v>245</v>
      </c>
      <c r="G213" s="282">
        <v>1.0</v>
      </c>
      <c r="H213" s="283" t="s">
        <v>15</v>
      </c>
    </row>
    <row r="214">
      <c r="A214" s="278">
        <v>45593.0</v>
      </c>
      <c r="B214" s="279" t="str">
        <f t="shared" si="1"/>
        <v>October</v>
      </c>
      <c r="C214" s="292">
        <f t="shared" si="2"/>
        <v>2024</v>
      </c>
      <c r="D214" s="280" t="s">
        <v>241</v>
      </c>
      <c r="E214" s="281" t="s">
        <v>424</v>
      </c>
      <c r="F214" s="281" t="s">
        <v>245</v>
      </c>
      <c r="G214" s="282">
        <v>6.0</v>
      </c>
      <c r="H214" s="283" t="s">
        <v>19</v>
      </c>
    </row>
    <row r="215">
      <c r="A215" s="272">
        <v>45595.9942878588</v>
      </c>
      <c r="B215" s="273" t="str">
        <f t="shared" si="1"/>
        <v>October</v>
      </c>
      <c r="C215" s="294">
        <f t="shared" si="2"/>
        <v>2024</v>
      </c>
      <c r="D215" s="280" t="s">
        <v>241</v>
      </c>
      <c r="E215" s="281" t="s">
        <v>434</v>
      </c>
      <c r="F215" s="281" t="s">
        <v>245</v>
      </c>
      <c r="G215" s="282">
        <v>118.0</v>
      </c>
      <c r="H215" s="283" t="s">
        <v>17</v>
      </c>
    </row>
    <row r="216">
      <c r="A216" s="278">
        <v>45604.0</v>
      </c>
      <c r="B216" s="279" t="str">
        <f t="shared" si="1"/>
        <v>November</v>
      </c>
      <c r="C216" s="292">
        <f t="shared" si="2"/>
        <v>2024</v>
      </c>
      <c r="D216" s="280" t="s">
        <v>241</v>
      </c>
      <c r="E216" s="281" t="s">
        <v>435</v>
      </c>
      <c r="F216" s="281" t="s">
        <v>25</v>
      </c>
      <c r="G216" s="282">
        <v>50.0</v>
      </c>
      <c r="H216" s="283" t="s">
        <v>11</v>
      </c>
    </row>
    <row r="217">
      <c r="A217" s="278">
        <v>45603.0</v>
      </c>
      <c r="B217" s="279" t="str">
        <f t="shared" si="1"/>
        <v>November</v>
      </c>
      <c r="C217" s="292">
        <f t="shared" si="2"/>
        <v>2024</v>
      </c>
      <c r="D217" s="280" t="s">
        <v>241</v>
      </c>
      <c r="E217" s="281" t="s">
        <v>436</v>
      </c>
      <c r="F217" s="281" t="s">
        <v>25</v>
      </c>
      <c r="G217" s="282">
        <v>25.0</v>
      </c>
      <c r="H217" s="283" t="s">
        <v>13</v>
      </c>
    </row>
    <row r="218">
      <c r="A218" s="278">
        <v>45604.0</v>
      </c>
      <c r="B218" s="279" t="str">
        <f t="shared" si="1"/>
        <v>November</v>
      </c>
      <c r="C218" s="292">
        <f t="shared" si="2"/>
        <v>2024</v>
      </c>
      <c r="D218" s="280" t="s">
        <v>241</v>
      </c>
      <c r="E218" s="281" t="s">
        <v>437</v>
      </c>
      <c r="F218" s="281" t="s">
        <v>25</v>
      </c>
      <c r="G218" s="282">
        <v>50.0</v>
      </c>
      <c r="H218" s="283" t="s">
        <v>15</v>
      </c>
    </row>
    <row r="219">
      <c r="A219" s="278">
        <v>45604.0</v>
      </c>
      <c r="B219" s="279" t="str">
        <f t="shared" si="1"/>
        <v>November</v>
      </c>
      <c r="C219" s="292">
        <f t="shared" si="2"/>
        <v>2024</v>
      </c>
      <c r="D219" s="280" t="s">
        <v>241</v>
      </c>
      <c r="E219" s="281" t="s">
        <v>438</v>
      </c>
      <c r="F219" s="281" t="s">
        <v>25</v>
      </c>
      <c r="G219" s="282">
        <v>25.0</v>
      </c>
      <c r="H219" s="283" t="s">
        <v>15</v>
      </c>
    </row>
    <row r="220">
      <c r="A220" s="278">
        <v>45606.0</v>
      </c>
      <c r="B220" s="279" t="str">
        <f t="shared" si="1"/>
        <v>November</v>
      </c>
      <c r="C220" s="292">
        <f t="shared" si="2"/>
        <v>2024</v>
      </c>
      <c r="D220" s="280" t="s">
        <v>241</v>
      </c>
      <c r="E220" s="281" t="s">
        <v>439</v>
      </c>
      <c r="F220" s="281" t="s">
        <v>25</v>
      </c>
      <c r="G220" s="282">
        <v>10.0</v>
      </c>
      <c r="H220" s="283" t="s">
        <v>15</v>
      </c>
    </row>
    <row r="221">
      <c r="A221" s="278">
        <v>45626.72495577546</v>
      </c>
      <c r="B221" s="279" t="str">
        <f t="shared" si="1"/>
        <v>November</v>
      </c>
      <c r="C221" s="279">
        <f t="shared" si="2"/>
        <v>2024</v>
      </c>
      <c r="D221" s="280" t="s">
        <v>241</v>
      </c>
      <c r="E221" s="281" t="s">
        <v>64</v>
      </c>
      <c r="F221" s="281" t="s">
        <v>245</v>
      </c>
      <c r="G221" s="282">
        <v>0.0</v>
      </c>
      <c r="H221" s="283" t="s">
        <v>15</v>
      </c>
    </row>
    <row r="222">
      <c r="A222" s="278">
        <v>45627.67179582176</v>
      </c>
      <c r="B222" s="279" t="str">
        <f t="shared" si="1"/>
        <v>December</v>
      </c>
      <c r="C222" s="279">
        <f t="shared" si="2"/>
        <v>2024</v>
      </c>
      <c r="D222" s="280" t="s">
        <v>241</v>
      </c>
      <c r="E222" s="281" t="s">
        <v>440</v>
      </c>
      <c r="F222" s="281" t="s">
        <v>25</v>
      </c>
      <c r="G222" s="282">
        <v>25.0</v>
      </c>
      <c r="H222" s="283" t="s">
        <v>13</v>
      </c>
    </row>
    <row r="223">
      <c r="A223" s="278">
        <v>45643.0</v>
      </c>
      <c r="B223" s="279" t="str">
        <f t="shared" si="1"/>
        <v>December</v>
      </c>
      <c r="C223" s="279">
        <f t="shared" si="2"/>
        <v>2024</v>
      </c>
      <c r="D223" s="280" t="s">
        <v>241</v>
      </c>
      <c r="E223" s="281" t="s">
        <v>441</v>
      </c>
      <c r="F223" s="281" t="s">
        <v>320</v>
      </c>
      <c r="G223" s="282">
        <v>50.0</v>
      </c>
      <c r="H223" s="283" t="s">
        <v>15</v>
      </c>
    </row>
    <row r="224">
      <c r="A224" s="278">
        <v>45666.68954668981</v>
      </c>
      <c r="B224" s="279" t="str">
        <f t="shared" si="1"/>
        <v>January</v>
      </c>
      <c r="C224" s="279">
        <f t="shared" si="2"/>
        <v>2025</v>
      </c>
      <c r="D224" s="280" t="s">
        <v>241</v>
      </c>
      <c r="E224" s="281" t="s">
        <v>442</v>
      </c>
      <c r="F224" s="281" t="s">
        <v>25</v>
      </c>
      <c r="G224" s="282">
        <v>20.0</v>
      </c>
      <c r="H224" s="283" t="s">
        <v>11</v>
      </c>
    </row>
    <row r="225">
      <c r="A225" s="278">
        <v>45679.88305355324</v>
      </c>
      <c r="B225" s="279" t="str">
        <f t="shared" si="1"/>
        <v>January</v>
      </c>
      <c r="C225" s="279">
        <f t="shared" si="2"/>
        <v>2025</v>
      </c>
      <c r="D225" s="280" t="s">
        <v>241</v>
      </c>
      <c r="E225" s="281" t="s">
        <v>443</v>
      </c>
      <c r="F225" s="281" t="s">
        <v>24</v>
      </c>
      <c r="G225" s="282">
        <v>10.0</v>
      </c>
      <c r="H225" s="283" t="s">
        <v>15</v>
      </c>
    </row>
    <row r="226">
      <c r="A226" s="278">
        <v>45679.88405980324</v>
      </c>
      <c r="B226" s="279" t="str">
        <f t="shared" si="1"/>
        <v>January</v>
      </c>
      <c r="C226" s="279">
        <f t="shared" si="2"/>
        <v>2025</v>
      </c>
      <c r="D226" s="280" t="s">
        <v>241</v>
      </c>
      <c r="E226" s="281" t="s">
        <v>444</v>
      </c>
      <c r="F226" s="281" t="s">
        <v>25</v>
      </c>
      <c r="G226" s="282">
        <v>5.0</v>
      </c>
      <c r="H226" s="283" t="s">
        <v>17</v>
      </c>
    </row>
    <row r="227">
      <c r="A227" s="278">
        <v>45679.8845310301</v>
      </c>
      <c r="B227" s="279" t="str">
        <f t="shared" si="1"/>
        <v>January</v>
      </c>
      <c r="C227" s="279">
        <f t="shared" si="2"/>
        <v>2025</v>
      </c>
      <c r="D227" s="280" t="s">
        <v>241</v>
      </c>
      <c r="E227" s="281" t="s">
        <v>445</v>
      </c>
      <c r="F227" s="281" t="s">
        <v>24</v>
      </c>
      <c r="G227" s="282">
        <v>1.0</v>
      </c>
      <c r="H227" s="283" t="s">
        <v>13</v>
      </c>
    </row>
    <row r="228">
      <c r="A228" s="278">
        <v>45679.88482712963</v>
      </c>
      <c r="B228" s="279" t="str">
        <f t="shared" si="1"/>
        <v>January</v>
      </c>
      <c r="C228" s="279">
        <f t="shared" si="2"/>
        <v>2025</v>
      </c>
      <c r="D228" s="280" t="s">
        <v>241</v>
      </c>
      <c r="E228" s="281" t="s">
        <v>446</v>
      </c>
      <c r="F228" s="281" t="s">
        <v>24</v>
      </c>
      <c r="G228" s="282">
        <v>1.0</v>
      </c>
      <c r="H228" s="283" t="s">
        <v>15</v>
      </c>
    </row>
    <row r="229">
      <c r="A229" s="278">
        <v>45679.88558072917</v>
      </c>
      <c r="B229" s="279" t="str">
        <f t="shared" si="1"/>
        <v>January</v>
      </c>
      <c r="C229" s="279">
        <f t="shared" si="2"/>
        <v>2025</v>
      </c>
      <c r="D229" s="280" t="s">
        <v>241</v>
      </c>
      <c r="E229" s="281" t="s">
        <v>447</v>
      </c>
      <c r="F229" s="281" t="s">
        <v>25</v>
      </c>
      <c r="G229" s="282">
        <v>3.0</v>
      </c>
      <c r="H229" s="283" t="s">
        <v>17</v>
      </c>
    </row>
    <row r="230">
      <c r="A230" s="278">
        <v>45679.886221249995</v>
      </c>
      <c r="B230" s="279" t="str">
        <f t="shared" si="1"/>
        <v>January</v>
      </c>
      <c r="C230" s="279">
        <f t="shared" si="2"/>
        <v>2025</v>
      </c>
      <c r="D230" s="280" t="s">
        <v>241</v>
      </c>
      <c r="E230" s="281" t="s">
        <v>448</v>
      </c>
      <c r="F230" s="281" t="s">
        <v>24</v>
      </c>
      <c r="G230" s="282">
        <v>2.0</v>
      </c>
      <c r="H230" s="283" t="s">
        <v>17</v>
      </c>
    </row>
    <row r="231">
      <c r="A231" s="278">
        <v>45679.88745258102</v>
      </c>
      <c r="B231" s="279" t="str">
        <f t="shared" si="1"/>
        <v>January</v>
      </c>
      <c r="C231" s="279">
        <f t="shared" si="2"/>
        <v>2025</v>
      </c>
      <c r="D231" s="280" t="s">
        <v>241</v>
      </c>
      <c r="E231" s="281" t="s">
        <v>449</v>
      </c>
      <c r="F231" s="281" t="s">
        <v>24</v>
      </c>
      <c r="G231" s="282">
        <v>1.0</v>
      </c>
      <c r="H231" s="283" t="s">
        <v>17</v>
      </c>
    </row>
    <row r="232">
      <c r="A232" s="278">
        <v>45679.88791560185</v>
      </c>
      <c r="B232" s="279" t="str">
        <f t="shared" si="1"/>
        <v>January</v>
      </c>
      <c r="C232" s="279">
        <f t="shared" si="2"/>
        <v>2025</v>
      </c>
      <c r="D232" s="280" t="s">
        <v>241</v>
      </c>
      <c r="E232" s="281" t="s">
        <v>450</v>
      </c>
      <c r="F232" s="281" t="s">
        <v>24</v>
      </c>
      <c r="G232" s="282">
        <v>1.0</v>
      </c>
      <c r="H232" s="283" t="s">
        <v>17</v>
      </c>
    </row>
    <row r="233">
      <c r="A233" s="278">
        <v>45685.53738622685</v>
      </c>
      <c r="B233" s="279" t="str">
        <f t="shared" si="1"/>
        <v>January</v>
      </c>
      <c r="C233" s="279">
        <f t="shared" si="2"/>
        <v>2025</v>
      </c>
      <c r="D233" s="280" t="s">
        <v>241</v>
      </c>
      <c r="E233" s="281" t="s">
        <v>451</v>
      </c>
      <c r="F233" s="281" t="s">
        <v>25</v>
      </c>
      <c r="G233" s="282">
        <v>30.0</v>
      </c>
      <c r="H233" s="283" t="s">
        <v>15</v>
      </c>
    </row>
    <row r="234">
      <c r="A234" s="278">
        <v>45686.68506467593</v>
      </c>
      <c r="B234" s="279" t="str">
        <f t="shared" si="1"/>
        <v>January</v>
      </c>
      <c r="C234" s="292">
        <f t="shared" si="2"/>
        <v>2025</v>
      </c>
      <c r="D234" s="280" t="s">
        <v>241</v>
      </c>
      <c r="E234" s="281" t="s">
        <v>452</v>
      </c>
      <c r="F234" s="281" t="s">
        <v>245</v>
      </c>
      <c r="G234" s="282">
        <v>2.0</v>
      </c>
      <c r="H234" s="283" t="s">
        <v>15</v>
      </c>
    </row>
    <row r="235">
      <c r="A235" s="278">
        <v>45686.68634857639</v>
      </c>
      <c r="B235" s="279" t="str">
        <f t="shared" si="1"/>
        <v>January</v>
      </c>
      <c r="C235" s="292">
        <f t="shared" si="2"/>
        <v>2025</v>
      </c>
      <c r="D235" s="280" t="s">
        <v>241</v>
      </c>
      <c r="E235" s="281" t="s">
        <v>453</v>
      </c>
      <c r="F235" s="281" t="s">
        <v>245</v>
      </c>
      <c r="G235" s="282">
        <v>3.0</v>
      </c>
      <c r="H235" s="283" t="s">
        <v>15</v>
      </c>
    </row>
    <row r="236">
      <c r="A236" s="278">
        <v>45686.68655356481</v>
      </c>
      <c r="B236" s="279" t="str">
        <f t="shared" si="1"/>
        <v>January</v>
      </c>
      <c r="C236" s="292">
        <f t="shared" si="2"/>
        <v>2025</v>
      </c>
      <c r="D236" s="280" t="s">
        <v>241</v>
      </c>
      <c r="E236" s="281" t="s">
        <v>454</v>
      </c>
      <c r="F236" s="281" t="s">
        <v>245</v>
      </c>
      <c r="G236" s="282">
        <v>4.86</v>
      </c>
      <c r="H236" s="283" t="s">
        <v>15</v>
      </c>
    </row>
    <row r="237">
      <c r="A237" s="278">
        <v>45686.68673035879</v>
      </c>
      <c r="B237" s="279" t="str">
        <f t="shared" si="1"/>
        <v>January</v>
      </c>
      <c r="C237" s="292">
        <f t="shared" si="2"/>
        <v>2025</v>
      </c>
      <c r="D237" s="280" t="s">
        <v>241</v>
      </c>
      <c r="E237" s="281" t="s">
        <v>455</v>
      </c>
      <c r="F237" s="281" t="s">
        <v>245</v>
      </c>
      <c r="G237" s="282">
        <v>4.0</v>
      </c>
      <c r="H237" s="283" t="s">
        <v>15</v>
      </c>
    </row>
    <row r="238">
      <c r="A238" s="278">
        <v>45686.68716377315</v>
      </c>
      <c r="B238" s="279" t="str">
        <f t="shared" si="1"/>
        <v>January</v>
      </c>
      <c r="C238" s="292">
        <f t="shared" si="2"/>
        <v>2025</v>
      </c>
      <c r="D238" s="280" t="s">
        <v>241</v>
      </c>
      <c r="E238" s="281" t="s">
        <v>456</v>
      </c>
      <c r="F238" s="281" t="s">
        <v>245</v>
      </c>
      <c r="G238" s="282">
        <v>1.0</v>
      </c>
      <c r="H238" s="283" t="s">
        <v>15</v>
      </c>
    </row>
    <row r="239">
      <c r="A239" s="278">
        <v>45686.68740829861</v>
      </c>
      <c r="B239" s="279" t="str">
        <f t="shared" si="1"/>
        <v>January</v>
      </c>
      <c r="C239" s="292">
        <f t="shared" si="2"/>
        <v>2025</v>
      </c>
      <c r="D239" s="280" t="s">
        <v>241</v>
      </c>
      <c r="E239" s="281" t="s">
        <v>457</v>
      </c>
      <c r="F239" s="281" t="s">
        <v>245</v>
      </c>
      <c r="G239" s="282">
        <v>1.0</v>
      </c>
      <c r="H239" s="283" t="s">
        <v>15</v>
      </c>
    </row>
    <row r="240">
      <c r="A240" s="278">
        <v>45686.687796631944</v>
      </c>
      <c r="B240" s="279" t="str">
        <f t="shared" si="1"/>
        <v>January</v>
      </c>
      <c r="C240" s="292">
        <f t="shared" si="2"/>
        <v>2025</v>
      </c>
      <c r="D240" s="280" t="s">
        <v>241</v>
      </c>
      <c r="E240" s="281" t="s">
        <v>458</v>
      </c>
      <c r="F240" s="281" t="s">
        <v>245</v>
      </c>
      <c r="G240" s="282">
        <v>3.0</v>
      </c>
      <c r="H240" s="283" t="s">
        <v>15</v>
      </c>
    </row>
    <row r="241">
      <c r="A241" s="278">
        <v>45686.687967164355</v>
      </c>
      <c r="B241" s="279" t="str">
        <f t="shared" si="1"/>
        <v>January</v>
      </c>
      <c r="C241" s="292">
        <f t="shared" si="2"/>
        <v>2025</v>
      </c>
      <c r="D241" s="280" t="s">
        <v>241</v>
      </c>
      <c r="E241" s="281" t="s">
        <v>459</v>
      </c>
      <c r="F241" s="281" t="s">
        <v>245</v>
      </c>
      <c r="G241" s="282">
        <v>80.0</v>
      </c>
      <c r="H241" s="283" t="s">
        <v>19</v>
      </c>
    </row>
    <row r="242">
      <c r="A242" s="278">
        <v>45686.68860262731</v>
      </c>
      <c r="B242" s="279" t="str">
        <f t="shared" si="1"/>
        <v>January</v>
      </c>
      <c r="C242" s="292">
        <f t="shared" si="2"/>
        <v>2025</v>
      </c>
      <c r="D242" s="280" t="s">
        <v>241</v>
      </c>
      <c r="E242" s="281" t="s">
        <v>460</v>
      </c>
      <c r="F242" s="281" t="s">
        <v>245</v>
      </c>
      <c r="G242" s="282">
        <v>5.0</v>
      </c>
      <c r="H242" s="283" t="s">
        <v>13</v>
      </c>
    </row>
    <row r="243">
      <c r="A243" s="278">
        <v>45686.6959268287</v>
      </c>
      <c r="B243" s="279" t="str">
        <f t="shared" si="1"/>
        <v>January</v>
      </c>
      <c r="C243" s="292">
        <f t="shared" si="2"/>
        <v>2025</v>
      </c>
      <c r="D243" s="280" t="s">
        <v>241</v>
      </c>
      <c r="E243" s="281" t="s">
        <v>461</v>
      </c>
      <c r="F243" s="281" t="s">
        <v>245</v>
      </c>
      <c r="G243" s="282">
        <v>15.0</v>
      </c>
      <c r="H243" s="283" t="s">
        <v>13</v>
      </c>
    </row>
    <row r="244">
      <c r="A244" s="278">
        <v>45686.696247395834</v>
      </c>
      <c r="B244" s="279" t="str">
        <f t="shared" si="1"/>
        <v>January</v>
      </c>
      <c r="C244" s="292">
        <f t="shared" si="2"/>
        <v>2025</v>
      </c>
      <c r="D244" s="280" t="s">
        <v>241</v>
      </c>
      <c r="E244" s="281" t="s">
        <v>462</v>
      </c>
      <c r="F244" s="281" t="s">
        <v>245</v>
      </c>
      <c r="G244" s="282">
        <v>18.0</v>
      </c>
      <c r="H244" s="283" t="s">
        <v>13</v>
      </c>
    </row>
    <row r="245">
      <c r="A245" s="278">
        <v>45686.69664888889</v>
      </c>
      <c r="B245" s="279" t="str">
        <f t="shared" si="1"/>
        <v>January</v>
      </c>
      <c r="C245" s="292">
        <f t="shared" si="2"/>
        <v>2025</v>
      </c>
      <c r="D245" s="280" t="s">
        <v>241</v>
      </c>
      <c r="E245" s="281" t="s">
        <v>463</v>
      </c>
      <c r="F245" s="281" t="s">
        <v>245</v>
      </c>
      <c r="G245" s="282">
        <v>15.0</v>
      </c>
      <c r="H245" s="283" t="s">
        <v>13</v>
      </c>
    </row>
    <row r="246">
      <c r="A246" s="278">
        <v>45686.69694418981</v>
      </c>
      <c r="B246" s="279" t="str">
        <f t="shared" si="1"/>
        <v>January</v>
      </c>
      <c r="C246" s="292">
        <f t="shared" si="2"/>
        <v>2025</v>
      </c>
      <c r="D246" s="280" t="s">
        <v>241</v>
      </c>
      <c r="E246" s="281" t="s">
        <v>464</v>
      </c>
      <c r="F246" s="281" t="s">
        <v>245</v>
      </c>
      <c r="G246" s="282">
        <v>3.0</v>
      </c>
      <c r="H246" s="283" t="s">
        <v>13</v>
      </c>
    </row>
    <row r="247">
      <c r="A247" s="278">
        <v>45686.697127210646</v>
      </c>
      <c r="B247" s="279" t="str">
        <f t="shared" si="1"/>
        <v>January</v>
      </c>
      <c r="C247" s="292">
        <f t="shared" si="2"/>
        <v>2025</v>
      </c>
      <c r="D247" s="280" t="s">
        <v>241</v>
      </c>
      <c r="E247" s="281" t="s">
        <v>465</v>
      </c>
      <c r="F247" s="281" t="s">
        <v>245</v>
      </c>
      <c r="G247" s="282">
        <v>3.0</v>
      </c>
      <c r="H247" s="283" t="s">
        <v>13</v>
      </c>
    </row>
    <row r="248">
      <c r="A248" s="278">
        <v>45686.69726746528</v>
      </c>
      <c r="B248" s="279" t="str">
        <f t="shared" si="1"/>
        <v>January</v>
      </c>
      <c r="C248" s="292">
        <f t="shared" si="2"/>
        <v>2025</v>
      </c>
      <c r="D248" s="280" t="s">
        <v>241</v>
      </c>
      <c r="E248" s="281" t="s">
        <v>466</v>
      </c>
      <c r="F248" s="281" t="s">
        <v>245</v>
      </c>
      <c r="G248" s="282">
        <v>3.0</v>
      </c>
      <c r="H248" s="283" t="s">
        <v>13</v>
      </c>
    </row>
    <row r="249">
      <c r="A249" s="278">
        <v>45686.69749369213</v>
      </c>
      <c r="B249" s="279" t="str">
        <f t="shared" si="1"/>
        <v>January</v>
      </c>
      <c r="C249" s="292">
        <f t="shared" si="2"/>
        <v>2025</v>
      </c>
      <c r="D249" s="280" t="s">
        <v>241</v>
      </c>
      <c r="E249" s="281" t="s">
        <v>467</v>
      </c>
      <c r="F249" s="281" t="s">
        <v>245</v>
      </c>
      <c r="G249" s="282">
        <v>2.0</v>
      </c>
      <c r="H249" s="283" t="s">
        <v>13</v>
      </c>
    </row>
    <row r="250">
      <c r="A250" s="278">
        <v>45686.697808599536</v>
      </c>
      <c r="B250" s="279" t="str">
        <f t="shared" si="1"/>
        <v>January</v>
      </c>
      <c r="C250" s="292">
        <f t="shared" si="2"/>
        <v>2025</v>
      </c>
      <c r="D250" s="280" t="s">
        <v>241</v>
      </c>
      <c r="E250" s="281" t="s">
        <v>468</v>
      </c>
      <c r="F250" s="281" t="s">
        <v>245</v>
      </c>
      <c r="G250" s="282">
        <v>7.0</v>
      </c>
      <c r="H250" s="283" t="s">
        <v>13</v>
      </c>
    </row>
    <row r="251">
      <c r="A251" s="278">
        <v>45686.69801811343</v>
      </c>
      <c r="B251" s="279" t="str">
        <f t="shared" si="1"/>
        <v>January</v>
      </c>
      <c r="C251" s="292">
        <f t="shared" si="2"/>
        <v>2025</v>
      </c>
      <c r="D251" s="280" t="s">
        <v>241</v>
      </c>
      <c r="E251" s="281" t="s">
        <v>469</v>
      </c>
      <c r="F251" s="281" t="s">
        <v>245</v>
      </c>
      <c r="G251" s="282">
        <v>5.0</v>
      </c>
      <c r="H251" s="283" t="s">
        <v>13</v>
      </c>
    </row>
    <row r="252">
      <c r="A252" s="278">
        <v>45686.69817545138</v>
      </c>
      <c r="B252" s="279" t="str">
        <f t="shared" si="1"/>
        <v>January</v>
      </c>
      <c r="C252" s="292">
        <f t="shared" si="2"/>
        <v>2025</v>
      </c>
      <c r="D252" s="280" t="s">
        <v>241</v>
      </c>
      <c r="E252" s="281" t="s">
        <v>470</v>
      </c>
      <c r="F252" s="281" t="s">
        <v>245</v>
      </c>
      <c r="G252" s="282">
        <v>7.0</v>
      </c>
      <c r="H252" s="283" t="s">
        <v>13</v>
      </c>
    </row>
    <row r="253">
      <c r="A253" s="278">
        <v>45686.69833119213</v>
      </c>
      <c r="B253" s="279" t="str">
        <f t="shared" si="1"/>
        <v>January</v>
      </c>
      <c r="C253" s="292">
        <f t="shared" si="2"/>
        <v>2025</v>
      </c>
      <c r="D253" s="280" t="s">
        <v>241</v>
      </c>
      <c r="E253" s="281" t="s">
        <v>471</v>
      </c>
      <c r="F253" s="281" t="s">
        <v>245</v>
      </c>
      <c r="G253" s="282">
        <v>2.0</v>
      </c>
      <c r="H253" s="283" t="s">
        <v>13</v>
      </c>
    </row>
    <row r="254">
      <c r="A254" s="278">
        <v>45686.69861679398</v>
      </c>
      <c r="B254" s="279" t="str">
        <f t="shared" si="1"/>
        <v>January</v>
      </c>
      <c r="C254" s="292">
        <f t="shared" si="2"/>
        <v>2025</v>
      </c>
      <c r="D254" s="280" t="s">
        <v>241</v>
      </c>
      <c r="E254" s="281" t="s">
        <v>472</v>
      </c>
      <c r="F254" s="281" t="s">
        <v>245</v>
      </c>
      <c r="G254" s="282">
        <v>3.0</v>
      </c>
      <c r="H254" s="283" t="s">
        <v>13</v>
      </c>
    </row>
    <row r="255">
      <c r="A255" s="278">
        <v>45686.69881474537</v>
      </c>
      <c r="B255" s="279" t="str">
        <f t="shared" si="1"/>
        <v>January</v>
      </c>
      <c r="C255" s="292">
        <f t="shared" si="2"/>
        <v>2025</v>
      </c>
      <c r="D255" s="280" t="s">
        <v>241</v>
      </c>
      <c r="E255" s="281" t="s">
        <v>473</v>
      </c>
      <c r="F255" s="281" t="s">
        <v>245</v>
      </c>
      <c r="G255" s="282">
        <v>2.0</v>
      </c>
      <c r="H255" s="283" t="s">
        <v>13</v>
      </c>
    </row>
    <row r="256">
      <c r="A256" s="278">
        <v>45686.6989555787</v>
      </c>
      <c r="B256" s="279" t="str">
        <f t="shared" si="1"/>
        <v>January</v>
      </c>
      <c r="C256" s="292">
        <f t="shared" si="2"/>
        <v>2025</v>
      </c>
      <c r="D256" s="280" t="s">
        <v>241</v>
      </c>
      <c r="E256" s="281" t="s">
        <v>474</v>
      </c>
      <c r="F256" s="281" t="s">
        <v>245</v>
      </c>
      <c r="G256" s="282">
        <v>5.0</v>
      </c>
      <c r="H256" s="283" t="s">
        <v>13</v>
      </c>
    </row>
    <row r="257">
      <c r="A257" s="278">
        <v>45686.69909759259</v>
      </c>
      <c r="B257" s="279" t="str">
        <f t="shared" si="1"/>
        <v>January</v>
      </c>
      <c r="C257" s="292">
        <f t="shared" si="2"/>
        <v>2025</v>
      </c>
      <c r="D257" s="280" t="s">
        <v>241</v>
      </c>
      <c r="E257" s="281" t="s">
        <v>475</v>
      </c>
      <c r="F257" s="281" t="s">
        <v>245</v>
      </c>
      <c r="G257" s="282">
        <v>2.0</v>
      </c>
      <c r="H257" s="283" t="s">
        <v>13</v>
      </c>
    </row>
    <row r="258">
      <c r="A258" s="278">
        <v>45686.69926358796</v>
      </c>
      <c r="B258" s="279" t="str">
        <f t="shared" si="1"/>
        <v>January</v>
      </c>
      <c r="C258" s="292">
        <f t="shared" si="2"/>
        <v>2025</v>
      </c>
      <c r="D258" s="280" t="s">
        <v>241</v>
      </c>
      <c r="E258" s="281" t="s">
        <v>464</v>
      </c>
      <c r="F258" s="281" t="s">
        <v>245</v>
      </c>
      <c r="G258" s="282">
        <v>2.0</v>
      </c>
      <c r="H258" s="283" t="s">
        <v>13</v>
      </c>
    </row>
    <row r="259">
      <c r="A259" s="278">
        <v>45702.0</v>
      </c>
      <c r="B259" s="279" t="str">
        <f t="shared" si="1"/>
        <v>February</v>
      </c>
      <c r="C259" s="292">
        <f t="shared" si="2"/>
        <v>2025</v>
      </c>
      <c r="D259" s="280" t="s">
        <v>241</v>
      </c>
      <c r="E259" s="281" t="s">
        <v>476</v>
      </c>
      <c r="F259" s="281" t="s">
        <v>245</v>
      </c>
      <c r="G259" s="282">
        <v>20.0</v>
      </c>
      <c r="H259" s="283" t="s">
        <v>15</v>
      </c>
    </row>
    <row r="260">
      <c r="A260" s="278">
        <v>45702.0</v>
      </c>
      <c r="B260" s="279" t="str">
        <f t="shared" si="1"/>
        <v>February</v>
      </c>
      <c r="C260" s="292">
        <f t="shared" si="2"/>
        <v>2025</v>
      </c>
      <c r="D260" s="280" t="s">
        <v>241</v>
      </c>
      <c r="E260" s="281" t="s">
        <v>477</v>
      </c>
      <c r="F260" s="281" t="s">
        <v>245</v>
      </c>
      <c r="G260" s="282">
        <v>3.0</v>
      </c>
      <c r="H260" s="283" t="s">
        <v>15</v>
      </c>
    </row>
    <row r="261">
      <c r="A261" s="278">
        <v>45702.0</v>
      </c>
      <c r="B261" s="279" t="str">
        <f t="shared" si="1"/>
        <v>February</v>
      </c>
      <c r="C261" s="292">
        <f t="shared" si="2"/>
        <v>2025</v>
      </c>
      <c r="D261" s="280" t="s">
        <v>241</v>
      </c>
      <c r="E261" s="281" t="s">
        <v>478</v>
      </c>
      <c r="F261" s="281" t="s">
        <v>245</v>
      </c>
      <c r="G261" s="282">
        <v>24.0</v>
      </c>
      <c r="H261" s="283" t="s">
        <v>15</v>
      </c>
    </row>
    <row r="262">
      <c r="A262" s="278">
        <v>45702.0</v>
      </c>
      <c r="B262" s="279" t="str">
        <f t="shared" si="1"/>
        <v>February</v>
      </c>
      <c r="C262" s="292">
        <f t="shared" si="2"/>
        <v>2025</v>
      </c>
      <c r="D262" s="280" t="s">
        <v>241</v>
      </c>
      <c r="E262" s="281" t="s">
        <v>479</v>
      </c>
      <c r="F262" s="281" t="s">
        <v>245</v>
      </c>
      <c r="G262" s="282">
        <v>6.0</v>
      </c>
      <c r="H262" s="283" t="s">
        <v>15</v>
      </c>
    </row>
    <row r="263">
      <c r="A263" s="278">
        <v>45702.0</v>
      </c>
      <c r="B263" s="279" t="str">
        <f t="shared" si="1"/>
        <v>February</v>
      </c>
      <c r="C263" s="292">
        <f t="shared" si="2"/>
        <v>2025</v>
      </c>
      <c r="D263" s="280" t="s">
        <v>241</v>
      </c>
      <c r="E263" s="281" t="s">
        <v>480</v>
      </c>
      <c r="F263" s="281" t="s">
        <v>245</v>
      </c>
      <c r="G263" s="282">
        <v>2.92</v>
      </c>
      <c r="H263" s="283" t="s">
        <v>15</v>
      </c>
    </row>
    <row r="264">
      <c r="A264" s="278">
        <v>45702.0</v>
      </c>
      <c r="B264" s="279" t="str">
        <f t="shared" si="1"/>
        <v>February</v>
      </c>
      <c r="C264" s="292">
        <f t="shared" si="2"/>
        <v>2025</v>
      </c>
      <c r="D264" s="280" t="s">
        <v>241</v>
      </c>
      <c r="E264" s="281" t="s">
        <v>481</v>
      </c>
      <c r="F264" s="281" t="s">
        <v>245</v>
      </c>
      <c r="G264" s="282">
        <v>2.0</v>
      </c>
      <c r="H264" s="283" t="s">
        <v>15</v>
      </c>
    </row>
    <row r="265">
      <c r="A265" s="278">
        <v>45702.0</v>
      </c>
      <c r="B265" s="279" t="str">
        <f t="shared" si="1"/>
        <v>February</v>
      </c>
      <c r="C265" s="292">
        <f t="shared" si="2"/>
        <v>2025</v>
      </c>
      <c r="D265" s="280" t="s">
        <v>241</v>
      </c>
      <c r="E265" s="281" t="s">
        <v>482</v>
      </c>
      <c r="F265" s="281" t="s">
        <v>245</v>
      </c>
      <c r="G265" s="282">
        <v>171.0</v>
      </c>
      <c r="H265" s="283" t="s">
        <v>15</v>
      </c>
    </row>
    <row r="266">
      <c r="A266" s="278">
        <v>45702.0</v>
      </c>
      <c r="B266" s="279" t="str">
        <f t="shared" si="1"/>
        <v>February</v>
      </c>
      <c r="C266" s="292">
        <f t="shared" si="2"/>
        <v>2025</v>
      </c>
      <c r="D266" s="280" t="s">
        <v>241</v>
      </c>
      <c r="E266" s="281" t="s">
        <v>483</v>
      </c>
      <c r="F266" s="281" t="s">
        <v>245</v>
      </c>
      <c r="G266" s="282">
        <v>414.0</v>
      </c>
      <c r="H266" s="283" t="s">
        <v>17</v>
      </c>
    </row>
    <row r="267">
      <c r="A267" s="278">
        <v>45702.0</v>
      </c>
      <c r="B267" s="279" t="str">
        <f t="shared" si="1"/>
        <v>February</v>
      </c>
      <c r="C267" s="292">
        <f t="shared" si="2"/>
        <v>2025</v>
      </c>
      <c r="D267" s="280" t="s">
        <v>241</v>
      </c>
      <c r="E267" s="281" t="s">
        <v>484</v>
      </c>
      <c r="F267" s="281" t="s">
        <v>245</v>
      </c>
      <c r="G267" s="282">
        <v>20.0</v>
      </c>
      <c r="H267" s="283" t="s">
        <v>13</v>
      </c>
    </row>
    <row r="268">
      <c r="A268" s="278">
        <v>45702.0</v>
      </c>
      <c r="B268" s="279" t="str">
        <f t="shared" si="1"/>
        <v>February</v>
      </c>
      <c r="C268" s="292">
        <f t="shared" si="2"/>
        <v>2025</v>
      </c>
      <c r="D268" s="280" t="s">
        <v>241</v>
      </c>
      <c r="E268" s="281" t="s">
        <v>485</v>
      </c>
      <c r="F268" s="281" t="s">
        <v>245</v>
      </c>
      <c r="G268" s="282">
        <v>3.0</v>
      </c>
      <c r="H268" s="283" t="s">
        <v>13</v>
      </c>
    </row>
    <row r="269">
      <c r="A269" s="278">
        <v>45702.0</v>
      </c>
      <c r="B269" s="279" t="str">
        <f t="shared" si="1"/>
        <v>February</v>
      </c>
      <c r="C269" s="292">
        <f t="shared" si="2"/>
        <v>2025</v>
      </c>
      <c r="D269" s="280" t="s">
        <v>241</v>
      </c>
      <c r="E269" s="281" t="s">
        <v>486</v>
      </c>
      <c r="F269" s="281" t="s">
        <v>245</v>
      </c>
      <c r="G269" s="282">
        <v>20.0</v>
      </c>
      <c r="H269" s="283" t="s">
        <v>13</v>
      </c>
    </row>
    <row r="270">
      <c r="A270" s="278">
        <v>45702.0</v>
      </c>
      <c r="B270" s="279" t="str">
        <f t="shared" si="1"/>
        <v>February</v>
      </c>
      <c r="C270" s="292">
        <f t="shared" si="2"/>
        <v>2025</v>
      </c>
      <c r="D270" s="280" t="s">
        <v>241</v>
      </c>
      <c r="E270" s="281" t="s">
        <v>487</v>
      </c>
      <c r="F270" s="281" t="s">
        <v>245</v>
      </c>
      <c r="G270" s="282">
        <v>2.0</v>
      </c>
      <c r="H270" s="283" t="s">
        <v>13</v>
      </c>
    </row>
    <row r="271">
      <c r="A271" s="278">
        <v>45702.0</v>
      </c>
      <c r="B271" s="279" t="str">
        <f t="shared" si="1"/>
        <v>February</v>
      </c>
      <c r="C271" s="292">
        <f t="shared" si="2"/>
        <v>2025</v>
      </c>
      <c r="D271" s="280" t="s">
        <v>241</v>
      </c>
      <c r="E271" s="281" t="s">
        <v>488</v>
      </c>
      <c r="F271" s="281" t="s">
        <v>245</v>
      </c>
      <c r="G271" s="282">
        <v>2.0</v>
      </c>
      <c r="H271" s="283" t="s">
        <v>13</v>
      </c>
    </row>
    <row r="272">
      <c r="A272" s="278">
        <v>45702.0</v>
      </c>
      <c r="B272" s="279" t="str">
        <f t="shared" si="1"/>
        <v>February</v>
      </c>
      <c r="C272" s="292">
        <f t="shared" si="2"/>
        <v>2025</v>
      </c>
      <c r="D272" s="280" t="s">
        <v>241</v>
      </c>
      <c r="E272" s="281" t="s">
        <v>489</v>
      </c>
      <c r="F272" s="281" t="s">
        <v>245</v>
      </c>
      <c r="G272" s="282">
        <v>2.0</v>
      </c>
      <c r="H272" s="283" t="s">
        <v>13</v>
      </c>
    </row>
    <row r="273">
      <c r="A273" s="278">
        <v>45702.0</v>
      </c>
      <c r="B273" s="279" t="str">
        <f t="shared" si="1"/>
        <v>February</v>
      </c>
      <c r="C273" s="292">
        <f t="shared" si="2"/>
        <v>2025</v>
      </c>
      <c r="D273" s="280" t="s">
        <v>241</v>
      </c>
      <c r="E273" s="281" t="s">
        <v>490</v>
      </c>
      <c r="F273" s="281" t="s">
        <v>245</v>
      </c>
      <c r="G273" s="282">
        <v>5.0</v>
      </c>
      <c r="H273" s="283" t="s">
        <v>13</v>
      </c>
    </row>
    <row r="274">
      <c r="A274" s="278">
        <v>45702.0</v>
      </c>
      <c r="B274" s="279" t="str">
        <f t="shared" si="1"/>
        <v>February</v>
      </c>
      <c r="C274" s="292">
        <f t="shared" si="2"/>
        <v>2025</v>
      </c>
      <c r="D274" s="280" t="s">
        <v>241</v>
      </c>
      <c r="E274" s="281" t="s">
        <v>491</v>
      </c>
      <c r="F274" s="281" t="s">
        <v>245</v>
      </c>
      <c r="G274" s="282">
        <v>2.0</v>
      </c>
      <c r="H274" s="283" t="s">
        <v>13</v>
      </c>
    </row>
    <row r="275">
      <c r="A275" s="278">
        <v>45702.0</v>
      </c>
      <c r="B275" s="279" t="str">
        <f t="shared" si="1"/>
        <v>February</v>
      </c>
      <c r="C275" s="292">
        <f t="shared" si="2"/>
        <v>2025</v>
      </c>
      <c r="D275" s="280" t="s">
        <v>241</v>
      </c>
      <c r="E275" s="281" t="s">
        <v>492</v>
      </c>
      <c r="F275" s="281" t="s">
        <v>245</v>
      </c>
      <c r="G275" s="282">
        <v>2.0</v>
      </c>
      <c r="H275" s="283" t="s">
        <v>13</v>
      </c>
    </row>
    <row r="276">
      <c r="A276" s="278">
        <v>45702.0</v>
      </c>
      <c r="B276" s="279" t="str">
        <f t="shared" si="1"/>
        <v>February</v>
      </c>
      <c r="C276" s="292">
        <f t="shared" si="2"/>
        <v>2025</v>
      </c>
      <c r="D276" s="280" t="s">
        <v>241</v>
      </c>
      <c r="E276" s="281" t="s">
        <v>493</v>
      </c>
      <c r="F276" s="281" t="s">
        <v>245</v>
      </c>
      <c r="G276" s="282">
        <v>10.0</v>
      </c>
      <c r="H276" s="283" t="s">
        <v>13</v>
      </c>
    </row>
    <row r="277">
      <c r="A277" s="278">
        <v>45702.0</v>
      </c>
      <c r="B277" s="279" t="str">
        <f t="shared" si="1"/>
        <v>February</v>
      </c>
      <c r="C277" s="292">
        <f t="shared" si="2"/>
        <v>2025</v>
      </c>
      <c r="D277" s="280" t="s">
        <v>241</v>
      </c>
      <c r="E277" s="281" t="s">
        <v>494</v>
      </c>
      <c r="F277" s="281" t="s">
        <v>245</v>
      </c>
      <c r="G277" s="282">
        <v>8.0</v>
      </c>
      <c r="H277" s="283" t="s">
        <v>13</v>
      </c>
    </row>
    <row r="278">
      <c r="A278" s="278">
        <v>45702.0</v>
      </c>
      <c r="B278" s="279" t="str">
        <f t="shared" si="1"/>
        <v>February</v>
      </c>
      <c r="C278" s="292">
        <f t="shared" si="2"/>
        <v>2025</v>
      </c>
      <c r="D278" s="280" t="s">
        <v>241</v>
      </c>
      <c r="E278" s="281" t="s">
        <v>495</v>
      </c>
      <c r="F278" s="281" t="s">
        <v>245</v>
      </c>
      <c r="G278" s="282">
        <v>5.0</v>
      </c>
      <c r="H278" s="283" t="s">
        <v>13</v>
      </c>
    </row>
    <row r="279">
      <c r="A279" s="278">
        <v>45702.0</v>
      </c>
      <c r="B279" s="279" t="str">
        <f t="shared" si="1"/>
        <v>February</v>
      </c>
      <c r="C279" s="292">
        <f t="shared" si="2"/>
        <v>2025</v>
      </c>
      <c r="D279" s="280" t="s">
        <v>241</v>
      </c>
      <c r="E279" s="281" t="s">
        <v>496</v>
      </c>
      <c r="F279" s="281" t="s">
        <v>245</v>
      </c>
      <c r="G279" s="282">
        <v>2.0</v>
      </c>
      <c r="H279" s="283" t="s">
        <v>13</v>
      </c>
    </row>
    <row r="280">
      <c r="A280" s="278">
        <v>45702.0</v>
      </c>
      <c r="B280" s="279" t="str">
        <f t="shared" si="1"/>
        <v>February</v>
      </c>
      <c r="C280" s="292">
        <f t="shared" si="2"/>
        <v>2025</v>
      </c>
      <c r="D280" s="280" t="s">
        <v>241</v>
      </c>
      <c r="E280" s="281" t="s">
        <v>497</v>
      </c>
      <c r="F280" s="281" t="s">
        <v>245</v>
      </c>
      <c r="G280" s="282">
        <v>5.0</v>
      </c>
      <c r="H280" s="283" t="s">
        <v>13</v>
      </c>
    </row>
    <row r="281">
      <c r="A281" s="278">
        <v>45702.0</v>
      </c>
      <c r="B281" s="279" t="str">
        <f t="shared" si="1"/>
        <v>February</v>
      </c>
      <c r="C281" s="292">
        <f t="shared" si="2"/>
        <v>2025</v>
      </c>
      <c r="D281" s="280" t="s">
        <v>241</v>
      </c>
      <c r="E281" s="281" t="s">
        <v>498</v>
      </c>
      <c r="F281" s="281" t="s">
        <v>245</v>
      </c>
      <c r="G281" s="282">
        <v>8.0</v>
      </c>
      <c r="H281" s="283" t="s">
        <v>13</v>
      </c>
    </row>
    <row r="282">
      <c r="A282" s="278">
        <v>45702.0</v>
      </c>
      <c r="B282" s="279" t="str">
        <f t="shared" si="1"/>
        <v>February</v>
      </c>
      <c r="C282" s="292">
        <f t="shared" si="2"/>
        <v>2025</v>
      </c>
      <c r="D282" s="280" t="s">
        <v>241</v>
      </c>
      <c r="E282" s="281" t="s">
        <v>499</v>
      </c>
      <c r="F282" s="281" t="s">
        <v>245</v>
      </c>
      <c r="G282" s="282">
        <v>8.0</v>
      </c>
      <c r="H282" s="283" t="s">
        <v>13</v>
      </c>
    </row>
    <row r="283">
      <c r="A283" s="278">
        <v>45702.0</v>
      </c>
      <c r="B283" s="279" t="str">
        <f t="shared" si="1"/>
        <v>February</v>
      </c>
      <c r="C283" s="292">
        <f t="shared" si="2"/>
        <v>2025</v>
      </c>
      <c r="D283" s="280" t="s">
        <v>241</v>
      </c>
      <c r="E283" s="281" t="s">
        <v>500</v>
      </c>
      <c r="F283" s="281" t="s">
        <v>245</v>
      </c>
      <c r="G283" s="282">
        <v>2.0</v>
      </c>
      <c r="H283" s="283" t="s">
        <v>13</v>
      </c>
    </row>
    <row r="284">
      <c r="A284" s="278">
        <v>45702.0</v>
      </c>
      <c r="B284" s="279" t="str">
        <f t="shared" si="1"/>
        <v>February</v>
      </c>
      <c r="C284" s="292">
        <f t="shared" si="2"/>
        <v>2025</v>
      </c>
      <c r="D284" s="280" t="s">
        <v>241</v>
      </c>
      <c r="E284" s="281" t="s">
        <v>500</v>
      </c>
      <c r="F284" s="281" t="s">
        <v>245</v>
      </c>
      <c r="G284" s="282">
        <v>2.0</v>
      </c>
      <c r="H284" s="283" t="s">
        <v>13</v>
      </c>
    </row>
    <row r="285">
      <c r="A285" s="278">
        <v>45717.0</v>
      </c>
      <c r="B285" s="279" t="str">
        <f t="shared" si="1"/>
        <v>March</v>
      </c>
      <c r="C285" s="292">
        <f t="shared" si="2"/>
        <v>2025</v>
      </c>
      <c r="D285" s="280" t="s">
        <v>241</v>
      </c>
      <c r="E285" s="281" t="s">
        <v>501</v>
      </c>
      <c r="F285" s="281" t="s">
        <v>245</v>
      </c>
      <c r="G285" s="282">
        <v>5.0</v>
      </c>
      <c r="H285" s="283" t="s">
        <v>15</v>
      </c>
    </row>
    <row r="286">
      <c r="A286" s="278">
        <v>45728.961208912035</v>
      </c>
      <c r="B286" s="279" t="str">
        <f t="shared" si="1"/>
        <v>March</v>
      </c>
      <c r="C286" s="292">
        <f t="shared" si="2"/>
        <v>2025</v>
      </c>
      <c r="D286" s="280" t="s">
        <v>241</v>
      </c>
      <c r="E286" s="281" t="s">
        <v>502</v>
      </c>
      <c r="F286" s="281" t="s">
        <v>25</v>
      </c>
      <c r="G286" s="282">
        <v>5.0</v>
      </c>
      <c r="H286" s="283" t="s">
        <v>15</v>
      </c>
    </row>
    <row r="287">
      <c r="A287" s="278">
        <v>45728.961651412035</v>
      </c>
      <c r="B287" s="279" t="str">
        <f t="shared" si="1"/>
        <v>March</v>
      </c>
      <c r="C287" s="292">
        <f t="shared" si="2"/>
        <v>2025</v>
      </c>
      <c r="D287" s="280" t="s">
        <v>241</v>
      </c>
      <c r="E287" s="281" t="s">
        <v>503</v>
      </c>
      <c r="F287" s="281" t="s">
        <v>320</v>
      </c>
      <c r="G287" s="282">
        <v>150.0</v>
      </c>
      <c r="H287" s="283" t="s">
        <v>15</v>
      </c>
    </row>
    <row r="288">
      <c r="A288" s="278">
        <v>45733.63785868055</v>
      </c>
      <c r="B288" s="279" t="str">
        <f t="shared" si="1"/>
        <v>March</v>
      </c>
      <c r="C288" s="292">
        <f t="shared" si="2"/>
        <v>2025</v>
      </c>
      <c r="D288" s="280" t="s">
        <v>241</v>
      </c>
      <c r="E288" s="281" t="s">
        <v>504</v>
      </c>
      <c r="F288" s="281" t="s">
        <v>245</v>
      </c>
      <c r="G288" s="282">
        <v>20.0</v>
      </c>
      <c r="H288" s="283" t="s">
        <v>15</v>
      </c>
    </row>
    <row r="289">
      <c r="A289" s="278">
        <v>45735.63453563658</v>
      </c>
      <c r="B289" s="279" t="str">
        <f t="shared" si="1"/>
        <v>March</v>
      </c>
      <c r="C289" s="292">
        <f t="shared" si="2"/>
        <v>2025</v>
      </c>
      <c r="D289" s="280" t="s">
        <v>241</v>
      </c>
      <c r="E289" s="281" t="s">
        <v>505</v>
      </c>
      <c r="F289" s="281" t="s">
        <v>245</v>
      </c>
      <c r="G289" s="282">
        <v>3.0</v>
      </c>
      <c r="H289" s="283" t="s">
        <v>13</v>
      </c>
    </row>
    <row r="290">
      <c r="A290" s="278">
        <v>45735.634717395835</v>
      </c>
      <c r="B290" s="279" t="str">
        <f t="shared" si="1"/>
        <v>March</v>
      </c>
      <c r="C290" s="292">
        <f t="shared" si="2"/>
        <v>2025</v>
      </c>
      <c r="D290" s="280" t="s">
        <v>241</v>
      </c>
      <c r="E290" s="281" t="s">
        <v>506</v>
      </c>
      <c r="F290" s="281" t="s">
        <v>245</v>
      </c>
      <c r="G290" s="282">
        <v>23.0</v>
      </c>
      <c r="H290" s="283" t="s">
        <v>13</v>
      </c>
    </row>
    <row r="291">
      <c r="A291" s="278">
        <v>45735.634944895835</v>
      </c>
      <c r="B291" s="279" t="str">
        <f t="shared" si="1"/>
        <v>March</v>
      </c>
      <c r="C291" s="292">
        <f t="shared" si="2"/>
        <v>2025</v>
      </c>
      <c r="D291" s="280" t="s">
        <v>241</v>
      </c>
      <c r="E291" s="281" t="s">
        <v>507</v>
      </c>
      <c r="F291" s="281" t="s">
        <v>245</v>
      </c>
      <c r="G291" s="282">
        <v>6.0</v>
      </c>
      <c r="H291" s="283" t="s">
        <v>15</v>
      </c>
    </row>
    <row r="292">
      <c r="A292" s="278">
        <v>45735.63512086806</v>
      </c>
      <c r="B292" s="279" t="str">
        <f t="shared" si="1"/>
        <v>March</v>
      </c>
      <c r="C292" s="292">
        <f t="shared" si="2"/>
        <v>2025</v>
      </c>
      <c r="D292" s="280" t="s">
        <v>241</v>
      </c>
      <c r="E292" s="281" t="s">
        <v>508</v>
      </c>
      <c r="F292" s="281" t="s">
        <v>245</v>
      </c>
      <c r="G292" s="282">
        <v>3.0</v>
      </c>
      <c r="H292" s="283" t="s">
        <v>13</v>
      </c>
    </row>
    <row r="293">
      <c r="A293" s="278">
        <v>45735.63531967593</v>
      </c>
      <c r="B293" s="279" t="str">
        <f t="shared" si="1"/>
        <v>March</v>
      </c>
      <c r="C293" s="292">
        <f t="shared" si="2"/>
        <v>2025</v>
      </c>
      <c r="D293" s="280" t="s">
        <v>241</v>
      </c>
      <c r="E293" s="281" t="s">
        <v>509</v>
      </c>
      <c r="F293" s="281" t="s">
        <v>245</v>
      </c>
      <c r="G293" s="282">
        <v>4.0</v>
      </c>
      <c r="H293" s="283" t="s">
        <v>15</v>
      </c>
    </row>
    <row r="294">
      <c r="A294" s="278">
        <v>45735.6355142824</v>
      </c>
      <c r="B294" s="279" t="str">
        <f t="shared" si="1"/>
        <v>March</v>
      </c>
      <c r="C294" s="292">
        <f t="shared" si="2"/>
        <v>2025</v>
      </c>
      <c r="D294" s="280" t="s">
        <v>241</v>
      </c>
      <c r="E294" s="281" t="s">
        <v>510</v>
      </c>
      <c r="F294" s="281" t="s">
        <v>245</v>
      </c>
      <c r="G294" s="282">
        <v>3.0</v>
      </c>
      <c r="H294" s="283" t="s">
        <v>15</v>
      </c>
    </row>
    <row r="295">
      <c r="A295" s="278">
        <v>45735.63569202546</v>
      </c>
      <c r="B295" s="279" t="str">
        <f t="shared" si="1"/>
        <v>March</v>
      </c>
      <c r="C295" s="292">
        <f t="shared" si="2"/>
        <v>2025</v>
      </c>
      <c r="D295" s="280" t="s">
        <v>241</v>
      </c>
      <c r="E295" s="281" t="s">
        <v>511</v>
      </c>
      <c r="F295" s="281" t="s">
        <v>245</v>
      </c>
      <c r="G295" s="282">
        <v>3.0</v>
      </c>
      <c r="H295" s="283" t="s">
        <v>13</v>
      </c>
    </row>
    <row r="296">
      <c r="A296" s="278">
        <v>45735.63585707176</v>
      </c>
      <c r="B296" s="279" t="str">
        <f t="shared" si="1"/>
        <v>March</v>
      </c>
      <c r="C296" s="292">
        <f t="shared" si="2"/>
        <v>2025</v>
      </c>
      <c r="D296" s="280" t="s">
        <v>241</v>
      </c>
      <c r="E296" s="281" t="s">
        <v>512</v>
      </c>
      <c r="F296" s="281" t="s">
        <v>245</v>
      </c>
      <c r="G296" s="282">
        <v>2.0</v>
      </c>
      <c r="H296" s="283" t="s">
        <v>13</v>
      </c>
    </row>
    <row r="297">
      <c r="A297" s="278">
        <v>45735.63605584491</v>
      </c>
      <c r="B297" s="279" t="str">
        <f t="shared" si="1"/>
        <v>March</v>
      </c>
      <c r="C297" s="292">
        <f t="shared" si="2"/>
        <v>2025</v>
      </c>
      <c r="D297" s="280" t="s">
        <v>241</v>
      </c>
      <c r="E297" s="281" t="s">
        <v>513</v>
      </c>
      <c r="F297" s="281" t="s">
        <v>245</v>
      </c>
      <c r="G297" s="282">
        <v>3.0</v>
      </c>
      <c r="H297" s="283" t="s">
        <v>15</v>
      </c>
    </row>
    <row r="298">
      <c r="A298" s="278">
        <v>45735.636309629626</v>
      </c>
      <c r="B298" s="279" t="str">
        <f t="shared" si="1"/>
        <v>March</v>
      </c>
      <c r="C298" s="292">
        <f t="shared" si="2"/>
        <v>2025</v>
      </c>
      <c r="D298" s="280" t="s">
        <v>241</v>
      </c>
      <c r="E298" s="281" t="s">
        <v>514</v>
      </c>
      <c r="F298" s="281" t="s">
        <v>245</v>
      </c>
      <c r="G298" s="282">
        <v>2.0</v>
      </c>
      <c r="H298" s="283" t="s">
        <v>15</v>
      </c>
    </row>
    <row r="299">
      <c r="A299" s="278">
        <v>45735.636441979164</v>
      </c>
      <c r="B299" s="279" t="str">
        <f t="shared" si="1"/>
        <v>March</v>
      </c>
      <c r="C299" s="292">
        <f t="shared" si="2"/>
        <v>2025</v>
      </c>
      <c r="D299" s="280" t="s">
        <v>241</v>
      </c>
      <c r="E299" s="281" t="s">
        <v>515</v>
      </c>
      <c r="F299" s="281" t="s">
        <v>245</v>
      </c>
      <c r="G299" s="282">
        <v>12.0</v>
      </c>
      <c r="H299" s="283" t="s">
        <v>13</v>
      </c>
    </row>
    <row r="300">
      <c r="A300" s="278">
        <v>45735.63664506945</v>
      </c>
      <c r="B300" s="279" t="str">
        <f t="shared" si="1"/>
        <v>March</v>
      </c>
      <c r="C300" s="292">
        <f t="shared" si="2"/>
        <v>2025</v>
      </c>
      <c r="D300" s="280" t="s">
        <v>241</v>
      </c>
      <c r="E300" s="281" t="s">
        <v>516</v>
      </c>
      <c r="F300" s="281" t="s">
        <v>245</v>
      </c>
      <c r="G300" s="282">
        <v>10.0</v>
      </c>
      <c r="H300" s="283" t="s">
        <v>15</v>
      </c>
    </row>
    <row r="301">
      <c r="A301" s="278">
        <v>45735.63692310185</v>
      </c>
      <c r="B301" s="279" t="str">
        <f t="shared" si="1"/>
        <v>March</v>
      </c>
      <c r="C301" s="292">
        <f t="shared" si="2"/>
        <v>2025</v>
      </c>
      <c r="D301" s="280" t="s">
        <v>241</v>
      </c>
      <c r="E301" s="281" t="s">
        <v>517</v>
      </c>
      <c r="F301" s="281" t="s">
        <v>245</v>
      </c>
      <c r="G301" s="282">
        <v>8.0</v>
      </c>
      <c r="H301" s="283" t="s">
        <v>15</v>
      </c>
    </row>
    <row r="302">
      <c r="A302" s="278">
        <v>45735.63708777778</v>
      </c>
      <c r="B302" s="279" t="str">
        <f t="shared" si="1"/>
        <v>March</v>
      </c>
      <c r="C302" s="292">
        <f t="shared" si="2"/>
        <v>2025</v>
      </c>
      <c r="D302" s="280" t="s">
        <v>241</v>
      </c>
      <c r="E302" s="281" t="s">
        <v>252</v>
      </c>
      <c r="F302" s="281" t="s">
        <v>245</v>
      </c>
      <c r="G302" s="282">
        <v>3.0</v>
      </c>
      <c r="H302" s="283" t="s">
        <v>13</v>
      </c>
    </row>
    <row r="303">
      <c r="A303" s="278">
        <v>45735.64093208333</v>
      </c>
      <c r="B303" s="279" t="str">
        <f t="shared" si="1"/>
        <v>March</v>
      </c>
      <c r="C303" s="292">
        <f t="shared" si="2"/>
        <v>2025</v>
      </c>
      <c r="D303" s="280" t="s">
        <v>241</v>
      </c>
      <c r="E303" s="281" t="s">
        <v>518</v>
      </c>
      <c r="F303" s="281" t="s">
        <v>245</v>
      </c>
      <c r="G303" s="282">
        <v>328.0</v>
      </c>
      <c r="H303" s="283" t="s">
        <v>17</v>
      </c>
    </row>
    <row r="304">
      <c r="A304" s="278">
        <v>45735.64172834491</v>
      </c>
      <c r="B304" s="279" t="str">
        <f t="shared" si="1"/>
        <v>March</v>
      </c>
      <c r="C304" s="292">
        <f t="shared" si="2"/>
        <v>2025</v>
      </c>
      <c r="D304" s="280" t="s">
        <v>241</v>
      </c>
      <c r="E304" s="281" t="s">
        <v>519</v>
      </c>
      <c r="F304" s="281" t="s">
        <v>245</v>
      </c>
      <c r="G304" s="282">
        <v>26.0</v>
      </c>
      <c r="H304" s="283" t="s">
        <v>15</v>
      </c>
    </row>
    <row r="305">
      <c r="A305" s="278">
        <v>45763.0</v>
      </c>
      <c r="B305" s="279" t="str">
        <f t="shared" si="1"/>
        <v>April</v>
      </c>
      <c r="C305" s="292">
        <f t="shared" si="2"/>
        <v>2025</v>
      </c>
      <c r="D305" s="280" t="s">
        <v>241</v>
      </c>
      <c r="E305" s="281" t="s">
        <v>520</v>
      </c>
      <c r="F305" s="281" t="s">
        <v>245</v>
      </c>
      <c r="G305" s="282">
        <v>2.0</v>
      </c>
      <c r="H305" s="283" t="s">
        <v>13</v>
      </c>
    </row>
    <row r="306">
      <c r="A306" s="278">
        <v>45763.0</v>
      </c>
      <c r="B306" s="279" t="str">
        <f t="shared" si="1"/>
        <v>April</v>
      </c>
      <c r="C306" s="292">
        <f t="shared" si="2"/>
        <v>2025</v>
      </c>
      <c r="D306" s="280" t="s">
        <v>241</v>
      </c>
      <c r="E306" s="281" t="s">
        <v>521</v>
      </c>
      <c r="F306" s="281" t="s">
        <v>245</v>
      </c>
      <c r="G306" s="282">
        <v>10.0</v>
      </c>
      <c r="H306" s="283" t="s">
        <v>13</v>
      </c>
    </row>
    <row r="307">
      <c r="A307" s="278">
        <v>45763.0</v>
      </c>
      <c r="B307" s="279" t="str">
        <f t="shared" si="1"/>
        <v>April</v>
      </c>
      <c r="C307" s="292">
        <f t="shared" si="2"/>
        <v>2025</v>
      </c>
      <c r="D307" s="280" t="s">
        <v>241</v>
      </c>
      <c r="E307" s="281" t="s">
        <v>522</v>
      </c>
      <c r="F307" s="281" t="s">
        <v>245</v>
      </c>
      <c r="G307" s="282">
        <v>4.0</v>
      </c>
      <c r="H307" s="283" t="s">
        <v>15</v>
      </c>
    </row>
    <row r="308">
      <c r="A308" s="278">
        <v>45763.0</v>
      </c>
      <c r="B308" s="279" t="str">
        <f t="shared" si="1"/>
        <v>April</v>
      </c>
      <c r="C308" s="292">
        <f t="shared" si="2"/>
        <v>2025</v>
      </c>
      <c r="D308" s="280" t="s">
        <v>241</v>
      </c>
      <c r="E308" s="281" t="s">
        <v>523</v>
      </c>
      <c r="F308" s="281" t="s">
        <v>245</v>
      </c>
      <c r="G308" s="282">
        <v>6.0</v>
      </c>
      <c r="H308" s="283" t="s">
        <v>13</v>
      </c>
    </row>
    <row r="309">
      <c r="A309" s="278">
        <v>45763.0</v>
      </c>
      <c r="B309" s="279" t="str">
        <f t="shared" si="1"/>
        <v>April</v>
      </c>
      <c r="C309" s="292">
        <f t="shared" si="2"/>
        <v>2025</v>
      </c>
      <c r="D309" s="280" t="s">
        <v>241</v>
      </c>
      <c r="E309" s="281" t="s">
        <v>524</v>
      </c>
      <c r="F309" s="281" t="s">
        <v>245</v>
      </c>
      <c r="G309" s="282">
        <v>5.0</v>
      </c>
      <c r="H309" s="283" t="s">
        <v>13</v>
      </c>
    </row>
    <row r="310">
      <c r="A310" s="278">
        <v>45763.0</v>
      </c>
      <c r="B310" s="279" t="str">
        <f t="shared" si="1"/>
        <v>April</v>
      </c>
      <c r="C310" s="292">
        <f t="shared" si="2"/>
        <v>2025</v>
      </c>
      <c r="D310" s="280" t="s">
        <v>241</v>
      </c>
      <c r="E310" s="281" t="s">
        <v>525</v>
      </c>
      <c r="F310" s="281" t="s">
        <v>245</v>
      </c>
      <c r="G310" s="282">
        <v>3.0</v>
      </c>
      <c r="H310" s="283" t="s">
        <v>11</v>
      </c>
    </row>
    <row r="311">
      <c r="A311" s="278">
        <v>45763.0</v>
      </c>
      <c r="B311" s="279" t="str">
        <f t="shared" si="1"/>
        <v>April</v>
      </c>
      <c r="C311" s="292">
        <f t="shared" si="2"/>
        <v>2025</v>
      </c>
      <c r="D311" s="280" t="s">
        <v>241</v>
      </c>
      <c r="E311" s="281" t="s">
        <v>526</v>
      </c>
      <c r="F311" s="281" t="s">
        <v>245</v>
      </c>
      <c r="G311" s="282">
        <v>10.0</v>
      </c>
      <c r="H311" s="283" t="s">
        <v>15</v>
      </c>
    </row>
    <row r="312">
      <c r="A312" s="278">
        <v>45763.0</v>
      </c>
      <c r="B312" s="279" t="str">
        <f t="shared" si="1"/>
        <v>April</v>
      </c>
      <c r="C312" s="292">
        <f t="shared" si="2"/>
        <v>2025</v>
      </c>
      <c r="D312" s="280" t="s">
        <v>241</v>
      </c>
      <c r="E312" s="281" t="s">
        <v>527</v>
      </c>
      <c r="F312" s="281" t="s">
        <v>245</v>
      </c>
      <c r="G312" s="282">
        <v>3.0</v>
      </c>
      <c r="H312" s="283" t="s">
        <v>13</v>
      </c>
    </row>
    <row r="313">
      <c r="A313" s="278">
        <v>45763.0</v>
      </c>
      <c r="B313" s="279" t="str">
        <f t="shared" si="1"/>
        <v>April</v>
      </c>
      <c r="C313" s="292">
        <f t="shared" si="2"/>
        <v>2025</v>
      </c>
      <c r="D313" s="280" t="s">
        <v>241</v>
      </c>
      <c r="E313" s="281" t="s">
        <v>528</v>
      </c>
      <c r="F313" s="281" t="s">
        <v>245</v>
      </c>
      <c r="G313" s="282">
        <v>5.0</v>
      </c>
      <c r="H313" s="283" t="s">
        <v>13</v>
      </c>
    </row>
    <row r="314">
      <c r="A314" s="278">
        <v>45763.0</v>
      </c>
      <c r="B314" s="279" t="str">
        <f t="shared" si="1"/>
        <v>April</v>
      </c>
      <c r="C314" s="292">
        <f t="shared" si="2"/>
        <v>2025</v>
      </c>
      <c r="D314" s="280" t="s">
        <v>241</v>
      </c>
      <c r="E314" s="281" t="s">
        <v>525</v>
      </c>
      <c r="F314" s="281" t="s">
        <v>245</v>
      </c>
      <c r="G314" s="282">
        <v>3.0</v>
      </c>
      <c r="H314" s="283" t="s">
        <v>13</v>
      </c>
    </row>
    <row r="315">
      <c r="A315" s="278">
        <v>45763.0</v>
      </c>
      <c r="B315" s="279" t="str">
        <f t="shared" si="1"/>
        <v>April</v>
      </c>
      <c r="C315" s="292">
        <f t="shared" si="2"/>
        <v>2025</v>
      </c>
      <c r="D315" s="280" t="s">
        <v>241</v>
      </c>
      <c r="E315" s="281" t="s">
        <v>529</v>
      </c>
      <c r="F315" s="281" t="s">
        <v>245</v>
      </c>
      <c r="G315" s="282">
        <v>2.0</v>
      </c>
      <c r="H315" s="283" t="s">
        <v>13</v>
      </c>
    </row>
    <row r="316">
      <c r="A316" s="272">
        <v>45824.88902212963</v>
      </c>
      <c r="B316" s="273" t="str">
        <f t="shared" si="1"/>
        <v>June</v>
      </c>
      <c r="C316" s="294">
        <f t="shared" si="2"/>
        <v>2025</v>
      </c>
      <c r="D316" s="280" t="s">
        <v>241</v>
      </c>
      <c r="E316" s="281" t="s">
        <v>530</v>
      </c>
      <c r="F316" s="281" t="s">
        <v>24</v>
      </c>
      <c r="G316" s="282">
        <v>211.18</v>
      </c>
      <c r="H316" s="283" t="s">
        <v>15</v>
      </c>
    </row>
    <row r="317">
      <c r="A317" s="278">
        <v>45895.86670138889</v>
      </c>
      <c r="B317" s="279" t="str">
        <f t="shared" si="1"/>
        <v>August</v>
      </c>
      <c r="C317" s="292">
        <f t="shared" si="2"/>
        <v>2025</v>
      </c>
      <c r="D317" s="280" t="s">
        <v>241</v>
      </c>
      <c r="E317" s="281" t="s">
        <v>531</v>
      </c>
      <c r="F317" s="281" t="s">
        <v>245</v>
      </c>
      <c r="G317" s="282">
        <v>130.0</v>
      </c>
      <c r="H317" s="283" t="s">
        <v>15</v>
      </c>
    </row>
    <row r="318">
      <c r="A318" s="278">
        <v>45895.86864583333</v>
      </c>
      <c r="B318" s="279" t="str">
        <f t="shared" si="1"/>
        <v>August</v>
      </c>
      <c r="C318" s="292">
        <f t="shared" si="2"/>
        <v>2025</v>
      </c>
      <c r="D318" s="280" t="s">
        <v>241</v>
      </c>
      <c r="E318" s="281" t="s">
        <v>532</v>
      </c>
      <c r="F318" s="281" t="s">
        <v>245</v>
      </c>
      <c r="G318" s="282">
        <v>6.0</v>
      </c>
      <c r="H318" s="283" t="s">
        <v>15</v>
      </c>
    </row>
    <row r="319">
      <c r="A319" s="278">
        <v>45895.86923611111</v>
      </c>
      <c r="B319" s="279" t="str">
        <f t="shared" si="1"/>
        <v>August</v>
      </c>
      <c r="C319" s="292">
        <f t="shared" si="2"/>
        <v>2025</v>
      </c>
      <c r="D319" s="280" t="s">
        <v>241</v>
      </c>
      <c r="E319" s="281" t="s">
        <v>533</v>
      </c>
      <c r="F319" s="281" t="s">
        <v>245</v>
      </c>
      <c r="G319" s="282">
        <v>5.0</v>
      </c>
      <c r="H319" s="283" t="s">
        <v>15</v>
      </c>
    </row>
    <row r="320">
      <c r="A320" s="278">
        <v>45895.869675925926</v>
      </c>
      <c r="B320" s="279" t="str">
        <f t="shared" si="1"/>
        <v>August</v>
      </c>
      <c r="C320" s="292">
        <f t="shared" si="2"/>
        <v>2025</v>
      </c>
      <c r="D320" s="280" t="s">
        <v>241</v>
      </c>
      <c r="E320" s="281" t="s">
        <v>534</v>
      </c>
      <c r="F320" s="281" t="s">
        <v>245</v>
      </c>
      <c r="G320" s="282">
        <v>1.0</v>
      </c>
      <c r="H320" s="283" t="s">
        <v>15</v>
      </c>
    </row>
    <row r="321">
      <c r="A321" s="278">
        <v>45895.87012731482</v>
      </c>
      <c r="B321" s="279" t="str">
        <f t="shared" si="1"/>
        <v>August</v>
      </c>
      <c r="C321" s="292">
        <f t="shared" si="2"/>
        <v>2025</v>
      </c>
      <c r="D321" s="280" t="s">
        <v>241</v>
      </c>
      <c r="E321" s="281" t="s">
        <v>535</v>
      </c>
      <c r="F321" s="281" t="s">
        <v>245</v>
      </c>
      <c r="G321" s="282">
        <v>1.0</v>
      </c>
      <c r="H321" s="283" t="s">
        <v>15</v>
      </c>
    </row>
    <row r="322">
      <c r="A322" s="278">
        <v>45895.870462962965</v>
      </c>
      <c r="B322" s="279" t="str">
        <f t="shared" si="1"/>
        <v>August</v>
      </c>
      <c r="C322" s="292">
        <f t="shared" si="2"/>
        <v>2025</v>
      </c>
      <c r="D322" s="280" t="s">
        <v>241</v>
      </c>
      <c r="E322" s="281" t="s">
        <v>536</v>
      </c>
      <c r="F322" s="281" t="s">
        <v>245</v>
      </c>
      <c r="G322" s="282">
        <v>2.0</v>
      </c>
      <c r="H322" s="283" t="s">
        <v>15</v>
      </c>
    </row>
    <row r="323">
      <c r="A323" s="278">
        <v>45895.87097222222</v>
      </c>
      <c r="B323" s="279" t="str">
        <f t="shared" si="1"/>
        <v>August</v>
      </c>
      <c r="C323" s="292">
        <f t="shared" si="2"/>
        <v>2025</v>
      </c>
      <c r="D323" s="280" t="s">
        <v>241</v>
      </c>
      <c r="E323" s="281" t="s">
        <v>537</v>
      </c>
      <c r="F323" s="281" t="s">
        <v>245</v>
      </c>
      <c r="G323" s="282">
        <v>10.0</v>
      </c>
      <c r="H323" s="283" t="s">
        <v>15</v>
      </c>
    </row>
    <row r="324">
      <c r="A324" s="278">
        <v>45895.87148148148</v>
      </c>
      <c r="B324" s="279" t="str">
        <f t="shared" si="1"/>
        <v>August</v>
      </c>
      <c r="C324" s="292">
        <f t="shared" si="2"/>
        <v>2025</v>
      </c>
      <c r="D324" s="280" t="s">
        <v>241</v>
      </c>
      <c r="E324" s="281" t="s">
        <v>538</v>
      </c>
      <c r="F324" s="281" t="s">
        <v>25</v>
      </c>
      <c r="G324" s="282">
        <v>5.0</v>
      </c>
      <c r="H324" s="283" t="s">
        <v>15</v>
      </c>
    </row>
    <row r="325">
      <c r="A325" s="278">
        <v>45895.872349537036</v>
      </c>
      <c r="B325" s="279" t="str">
        <f t="shared" si="1"/>
        <v>August</v>
      </c>
      <c r="C325" s="292">
        <f t="shared" si="2"/>
        <v>2025</v>
      </c>
      <c r="D325" s="280" t="s">
        <v>241</v>
      </c>
      <c r="E325" s="281" t="s">
        <v>539</v>
      </c>
      <c r="F325" s="281" t="s">
        <v>245</v>
      </c>
      <c r="G325" s="282">
        <v>10.0</v>
      </c>
      <c r="H325" s="283" t="s">
        <v>15</v>
      </c>
    </row>
    <row r="326">
      <c r="A326" s="278">
        <v>45895.87306712963</v>
      </c>
      <c r="B326" s="279" t="str">
        <f t="shared" si="1"/>
        <v>August</v>
      </c>
      <c r="C326" s="292">
        <f t="shared" si="2"/>
        <v>2025</v>
      </c>
      <c r="D326" s="280" t="s">
        <v>241</v>
      </c>
      <c r="E326" s="281" t="s">
        <v>540</v>
      </c>
      <c r="F326" s="281" t="s">
        <v>245</v>
      </c>
      <c r="G326" s="282">
        <v>5.0</v>
      </c>
      <c r="H326" s="283" t="s">
        <v>15</v>
      </c>
    </row>
    <row r="327">
      <c r="A327" s="278">
        <v>45895.874756944446</v>
      </c>
      <c r="B327" s="279" t="str">
        <f t="shared" si="1"/>
        <v>August</v>
      </c>
      <c r="C327" s="292">
        <f t="shared" si="2"/>
        <v>2025</v>
      </c>
      <c r="D327" s="280" t="s">
        <v>241</v>
      </c>
      <c r="E327" s="281" t="s">
        <v>541</v>
      </c>
      <c r="F327" s="281" t="s">
        <v>245</v>
      </c>
      <c r="G327" s="282">
        <v>20.0</v>
      </c>
      <c r="H327" s="283" t="s">
        <v>13</v>
      </c>
    </row>
    <row r="328">
      <c r="A328" s="278">
        <v>45895.87521990741</v>
      </c>
      <c r="B328" s="279" t="str">
        <f t="shared" si="1"/>
        <v>August</v>
      </c>
      <c r="C328" s="292">
        <f t="shared" si="2"/>
        <v>2025</v>
      </c>
      <c r="D328" s="280" t="s">
        <v>241</v>
      </c>
      <c r="E328" s="281" t="s">
        <v>542</v>
      </c>
      <c r="F328" s="281" t="s">
        <v>245</v>
      </c>
      <c r="G328" s="282">
        <v>8.0</v>
      </c>
      <c r="H328" s="283" t="s">
        <v>13</v>
      </c>
    </row>
    <row r="329">
      <c r="A329" s="278">
        <v>45895.87552083333</v>
      </c>
      <c r="B329" s="279" t="str">
        <f t="shared" si="1"/>
        <v>August</v>
      </c>
      <c r="C329" s="292">
        <f t="shared" si="2"/>
        <v>2025</v>
      </c>
      <c r="D329" s="280" t="s">
        <v>241</v>
      </c>
      <c r="E329" s="281" t="s">
        <v>543</v>
      </c>
      <c r="F329" s="281" t="s">
        <v>245</v>
      </c>
      <c r="G329" s="282">
        <v>5.0</v>
      </c>
      <c r="H329" s="283" t="s">
        <v>13</v>
      </c>
    </row>
    <row r="330">
      <c r="A330" s="278">
        <v>45895.876064814816</v>
      </c>
      <c r="B330" s="279" t="str">
        <f t="shared" si="1"/>
        <v>August</v>
      </c>
      <c r="C330" s="292">
        <f t="shared" si="2"/>
        <v>2025</v>
      </c>
      <c r="D330" s="280" t="s">
        <v>241</v>
      </c>
      <c r="E330" s="281" t="s">
        <v>544</v>
      </c>
      <c r="F330" s="281" t="s">
        <v>245</v>
      </c>
      <c r="G330" s="282">
        <v>3.0</v>
      </c>
      <c r="H330" s="283" t="s">
        <v>13</v>
      </c>
    </row>
    <row r="331">
      <c r="A331" s="278">
        <v>45895.87636574074</v>
      </c>
      <c r="B331" s="279" t="str">
        <f t="shared" si="1"/>
        <v>August</v>
      </c>
      <c r="C331" s="292">
        <f t="shared" si="2"/>
        <v>2025</v>
      </c>
      <c r="D331" s="280" t="s">
        <v>241</v>
      </c>
      <c r="E331" s="281" t="s">
        <v>545</v>
      </c>
      <c r="F331" s="281" t="s">
        <v>245</v>
      </c>
      <c r="G331" s="282">
        <v>3.0</v>
      </c>
      <c r="H331" s="283" t="s">
        <v>13</v>
      </c>
    </row>
    <row r="332">
      <c r="A332" s="278">
        <v>45895.87668981482</v>
      </c>
      <c r="B332" s="279" t="str">
        <f t="shared" si="1"/>
        <v>August</v>
      </c>
      <c r="C332" s="292">
        <f t="shared" si="2"/>
        <v>2025</v>
      </c>
      <c r="D332" s="280" t="s">
        <v>241</v>
      </c>
      <c r="E332" s="281" t="s">
        <v>546</v>
      </c>
      <c r="F332" s="281" t="s">
        <v>245</v>
      </c>
      <c r="G332" s="282">
        <v>3.0</v>
      </c>
      <c r="H332" s="283" t="s">
        <v>13</v>
      </c>
    </row>
    <row r="333">
      <c r="A333" s="278">
        <v>45895.87704861111</v>
      </c>
      <c r="B333" s="279" t="str">
        <f t="shared" si="1"/>
        <v>August</v>
      </c>
      <c r="C333" s="292">
        <f t="shared" si="2"/>
        <v>2025</v>
      </c>
      <c r="D333" s="280" t="s">
        <v>241</v>
      </c>
      <c r="E333" s="281" t="s">
        <v>547</v>
      </c>
      <c r="F333" s="281" t="s">
        <v>245</v>
      </c>
      <c r="G333" s="282">
        <v>2.0</v>
      </c>
      <c r="H333" s="283" t="s">
        <v>13</v>
      </c>
    </row>
    <row r="334">
      <c r="A334" s="278">
        <v>45895.87731481482</v>
      </c>
      <c r="B334" s="279" t="str">
        <f t="shared" si="1"/>
        <v>August</v>
      </c>
      <c r="C334" s="292">
        <f t="shared" si="2"/>
        <v>2025</v>
      </c>
      <c r="D334" s="280" t="s">
        <v>241</v>
      </c>
      <c r="E334" s="281" t="s">
        <v>548</v>
      </c>
      <c r="F334" s="281" t="s">
        <v>245</v>
      </c>
      <c r="G334" s="282">
        <v>1.0</v>
      </c>
      <c r="H334" s="283" t="s">
        <v>13</v>
      </c>
    </row>
    <row r="335">
      <c r="A335" s="278">
        <v>45895.87758101852</v>
      </c>
      <c r="B335" s="279" t="str">
        <f t="shared" si="1"/>
        <v>August</v>
      </c>
      <c r="C335" s="292">
        <f t="shared" si="2"/>
        <v>2025</v>
      </c>
      <c r="D335" s="280" t="s">
        <v>241</v>
      </c>
      <c r="E335" s="281" t="s">
        <v>549</v>
      </c>
      <c r="F335" s="281" t="s">
        <v>245</v>
      </c>
      <c r="G335" s="282">
        <v>5.0</v>
      </c>
      <c r="H335" s="283" t="s">
        <v>13</v>
      </c>
    </row>
    <row r="336">
      <c r="A336" s="278">
        <v>45895.87787037037</v>
      </c>
      <c r="B336" s="279" t="str">
        <f t="shared" si="1"/>
        <v>August</v>
      </c>
      <c r="C336" s="292">
        <f t="shared" si="2"/>
        <v>2025</v>
      </c>
      <c r="D336" s="280" t="s">
        <v>241</v>
      </c>
      <c r="E336" s="281" t="s">
        <v>550</v>
      </c>
      <c r="F336" s="281" t="s">
        <v>245</v>
      </c>
      <c r="G336" s="282">
        <v>3.0</v>
      </c>
      <c r="H336" s="283" t="s">
        <v>13</v>
      </c>
    </row>
    <row r="337">
      <c r="A337" s="278">
        <v>45896.87944444444</v>
      </c>
      <c r="B337" s="279" t="str">
        <f t="shared" si="1"/>
        <v>August</v>
      </c>
      <c r="C337" s="292">
        <f t="shared" si="2"/>
        <v>2025</v>
      </c>
      <c r="D337" s="280" t="s">
        <v>241</v>
      </c>
      <c r="E337" s="281" t="s">
        <v>551</v>
      </c>
      <c r="F337" s="281" t="s">
        <v>25</v>
      </c>
      <c r="G337" s="282">
        <v>5.0</v>
      </c>
      <c r="H337" s="283" t="s">
        <v>13</v>
      </c>
    </row>
    <row r="338">
      <c r="A338" s="278">
        <v>45896.87981481481</v>
      </c>
      <c r="B338" s="279" t="str">
        <f t="shared" si="1"/>
        <v>August</v>
      </c>
      <c r="C338" s="292">
        <f t="shared" si="2"/>
        <v>2025</v>
      </c>
      <c r="D338" s="280" t="s">
        <v>241</v>
      </c>
      <c r="E338" s="281" t="s">
        <v>552</v>
      </c>
      <c r="F338" s="281" t="s">
        <v>25</v>
      </c>
      <c r="G338" s="282">
        <v>5.0</v>
      </c>
      <c r="H338" s="283" t="s">
        <v>13</v>
      </c>
    </row>
    <row r="339">
      <c r="A339" s="278">
        <v>45895.88195601852</v>
      </c>
      <c r="B339" s="279" t="str">
        <f t="shared" si="1"/>
        <v>August</v>
      </c>
      <c r="C339" s="292">
        <f t="shared" si="2"/>
        <v>2025</v>
      </c>
      <c r="D339" s="280" t="s">
        <v>241</v>
      </c>
      <c r="E339" s="281" t="s">
        <v>553</v>
      </c>
      <c r="F339" s="281" t="s">
        <v>245</v>
      </c>
      <c r="G339" s="282">
        <v>10.0</v>
      </c>
      <c r="H339" s="283" t="s">
        <v>11</v>
      </c>
    </row>
    <row r="340">
      <c r="A340" s="278">
        <v>45891.88266203704</v>
      </c>
      <c r="B340" s="279" t="str">
        <f t="shared" si="1"/>
        <v>August</v>
      </c>
      <c r="C340" s="292">
        <f t="shared" si="2"/>
        <v>2025</v>
      </c>
      <c r="D340" s="280" t="s">
        <v>241</v>
      </c>
      <c r="E340" s="281" t="s">
        <v>554</v>
      </c>
      <c r="F340" s="281" t="s">
        <v>25</v>
      </c>
      <c r="G340" s="282">
        <v>25.0</v>
      </c>
      <c r="H340" s="283" t="s">
        <v>11</v>
      </c>
    </row>
    <row r="341">
      <c r="A341" s="295">
        <v>45903.88367454861</v>
      </c>
      <c r="B341" s="296" t="str">
        <f t="shared" si="1"/>
        <v>September</v>
      </c>
      <c r="C341" s="297">
        <f t="shared" si="2"/>
        <v>2025</v>
      </c>
      <c r="D341" s="280" t="s">
        <v>241</v>
      </c>
      <c r="E341" s="281" t="s">
        <v>555</v>
      </c>
      <c r="F341" s="281" t="s">
        <v>25</v>
      </c>
      <c r="G341" s="282">
        <v>10.0</v>
      </c>
      <c r="H341" s="283" t="s">
        <v>11</v>
      </c>
    </row>
    <row r="342">
      <c r="A342" s="284">
        <v>45902.0</v>
      </c>
      <c r="B342" s="298" t="s">
        <v>556</v>
      </c>
      <c r="C342" s="298">
        <v>2025.0</v>
      </c>
      <c r="D342" s="299"/>
      <c r="E342" s="281" t="s">
        <v>557</v>
      </c>
      <c r="F342" s="281" t="s">
        <v>25</v>
      </c>
      <c r="G342" s="282">
        <v>24.25</v>
      </c>
      <c r="H342" s="283" t="s">
        <v>11</v>
      </c>
    </row>
    <row r="343">
      <c r="A343" s="284">
        <v>45916.0</v>
      </c>
      <c r="B343" s="298" t="s">
        <v>556</v>
      </c>
      <c r="C343" s="298">
        <v>2025.0</v>
      </c>
      <c r="D343" s="299"/>
      <c r="E343" s="281" t="s">
        <v>558</v>
      </c>
      <c r="F343" s="281" t="s">
        <v>25</v>
      </c>
      <c r="G343" s="282">
        <v>3.0</v>
      </c>
      <c r="H343" s="283" t="s">
        <v>13</v>
      </c>
    </row>
    <row r="344">
      <c r="A344" s="284">
        <v>45927.0</v>
      </c>
      <c r="B344" s="298" t="s">
        <v>556</v>
      </c>
      <c r="C344" s="298">
        <v>2025.0</v>
      </c>
      <c r="D344" s="299"/>
      <c r="E344" s="281" t="s">
        <v>559</v>
      </c>
      <c r="F344" s="281" t="s">
        <v>245</v>
      </c>
      <c r="G344" s="282">
        <v>25.0</v>
      </c>
      <c r="H344" s="283" t="s">
        <v>13</v>
      </c>
    </row>
    <row r="345">
      <c r="A345" s="284">
        <v>45825.0</v>
      </c>
      <c r="B345" s="298" t="s">
        <v>560</v>
      </c>
      <c r="C345" s="298">
        <v>2025.0</v>
      </c>
      <c r="D345" s="299"/>
      <c r="E345" s="281" t="s">
        <v>561</v>
      </c>
      <c r="F345" s="281" t="s">
        <v>25</v>
      </c>
      <c r="G345" s="282">
        <v>211.18</v>
      </c>
      <c r="H345" s="283" t="s">
        <v>15</v>
      </c>
    </row>
    <row r="346">
      <c r="A346" s="284">
        <v>45916.0</v>
      </c>
      <c r="B346" s="298" t="s">
        <v>556</v>
      </c>
      <c r="C346" s="298">
        <v>2025.0</v>
      </c>
      <c r="D346" s="299"/>
      <c r="E346" s="281" t="s">
        <v>562</v>
      </c>
      <c r="F346" s="281" t="s">
        <v>245</v>
      </c>
      <c r="G346" s="282">
        <v>4.0</v>
      </c>
      <c r="H346" s="283" t="s">
        <v>15</v>
      </c>
    </row>
    <row r="347">
      <c r="A347" s="284">
        <v>45916.0</v>
      </c>
      <c r="B347" s="298" t="s">
        <v>556</v>
      </c>
      <c r="C347" s="298">
        <v>2025.0</v>
      </c>
      <c r="D347" s="299"/>
      <c r="E347" s="281" t="s">
        <v>563</v>
      </c>
      <c r="F347" s="281" t="s">
        <v>245</v>
      </c>
      <c r="G347" s="282">
        <v>8.0</v>
      </c>
      <c r="H347" s="283" t="s">
        <v>15</v>
      </c>
    </row>
    <row r="348">
      <c r="A348" s="284">
        <v>45916.0</v>
      </c>
      <c r="B348" s="298" t="s">
        <v>556</v>
      </c>
      <c r="C348" s="298">
        <v>2025.0</v>
      </c>
      <c r="D348" s="299"/>
      <c r="E348" s="281" t="s">
        <v>564</v>
      </c>
      <c r="F348" s="281" t="s">
        <v>245</v>
      </c>
      <c r="G348" s="282">
        <v>4.0</v>
      </c>
      <c r="H348" s="283" t="s">
        <v>13</v>
      </c>
    </row>
    <row r="349">
      <c r="A349" s="284">
        <v>45916.0</v>
      </c>
      <c r="B349" s="298" t="s">
        <v>556</v>
      </c>
      <c r="C349" s="298">
        <v>2025.0</v>
      </c>
      <c r="D349" s="299"/>
      <c r="E349" s="281" t="s">
        <v>565</v>
      </c>
      <c r="F349" s="281" t="s">
        <v>245</v>
      </c>
      <c r="G349" s="282">
        <v>5.0</v>
      </c>
      <c r="H349" s="283" t="s">
        <v>13</v>
      </c>
    </row>
    <row r="350">
      <c r="A350" s="284">
        <v>45916.0</v>
      </c>
      <c r="B350" s="298" t="s">
        <v>556</v>
      </c>
      <c r="C350" s="298">
        <v>2025.0</v>
      </c>
      <c r="D350" s="299"/>
      <c r="E350" s="281" t="s">
        <v>566</v>
      </c>
      <c r="F350" s="281" t="s">
        <v>245</v>
      </c>
      <c r="G350" s="282">
        <v>5.0</v>
      </c>
      <c r="H350" s="283" t="s">
        <v>15</v>
      </c>
    </row>
    <row r="351">
      <c r="A351" s="284">
        <v>45916.0</v>
      </c>
      <c r="B351" s="298" t="s">
        <v>556</v>
      </c>
      <c r="C351" s="298">
        <v>2025.0</v>
      </c>
      <c r="D351" s="299"/>
      <c r="E351" s="281" t="s">
        <v>567</v>
      </c>
      <c r="F351" s="281" t="s">
        <v>25</v>
      </c>
      <c r="G351" s="282">
        <v>3.88</v>
      </c>
      <c r="H351" s="283" t="s">
        <v>11</v>
      </c>
    </row>
    <row r="352">
      <c r="A352" s="284">
        <v>45916.0</v>
      </c>
      <c r="B352" s="298" t="s">
        <v>556</v>
      </c>
      <c r="C352" s="298">
        <v>2025.0</v>
      </c>
      <c r="D352" s="299"/>
      <c r="E352" s="281" t="s">
        <v>568</v>
      </c>
      <c r="F352" s="281" t="s">
        <v>245</v>
      </c>
      <c r="G352" s="282">
        <v>2.0</v>
      </c>
      <c r="H352" s="283" t="s">
        <v>13</v>
      </c>
    </row>
    <row r="353">
      <c r="A353" s="284">
        <v>45916.0</v>
      </c>
      <c r="B353" s="298" t="s">
        <v>556</v>
      </c>
      <c r="C353" s="298">
        <v>2025.0</v>
      </c>
      <c r="D353" s="299"/>
      <c r="E353" s="281" t="s">
        <v>569</v>
      </c>
      <c r="F353" s="281" t="s">
        <v>245</v>
      </c>
      <c r="G353" s="282">
        <v>4.0</v>
      </c>
      <c r="H353" s="283" t="s">
        <v>15</v>
      </c>
    </row>
    <row r="354">
      <c r="A354" s="284">
        <v>45916.0</v>
      </c>
      <c r="B354" s="298" t="s">
        <v>556</v>
      </c>
      <c r="C354" s="298">
        <v>2025.0</v>
      </c>
      <c r="D354" s="299"/>
      <c r="E354" s="281" t="s">
        <v>570</v>
      </c>
      <c r="F354" s="281" t="s">
        <v>245</v>
      </c>
      <c r="G354" s="282">
        <v>3.0</v>
      </c>
      <c r="H354" s="283" t="s">
        <v>13</v>
      </c>
    </row>
    <row r="355">
      <c r="A355" s="284">
        <v>45916.0</v>
      </c>
      <c r="B355" s="298" t="s">
        <v>556</v>
      </c>
      <c r="C355" s="298">
        <v>2025.0</v>
      </c>
      <c r="D355" s="299"/>
      <c r="E355" s="281" t="s">
        <v>571</v>
      </c>
      <c r="F355" s="281" t="s">
        <v>245</v>
      </c>
      <c r="G355" s="282">
        <v>4.0</v>
      </c>
      <c r="H355" s="283" t="s">
        <v>13</v>
      </c>
    </row>
    <row r="356">
      <c r="A356" s="284">
        <v>45916.0</v>
      </c>
      <c r="B356" s="298" t="s">
        <v>556</v>
      </c>
      <c r="C356" s="298">
        <v>2025.0</v>
      </c>
      <c r="D356" s="299"/>
      <c r="E356" s="281" t="s">
        <v>572</v>
      </c>
      <c r="F356" s="281" t="s">
        <v>245</v>
      </c>
      <c r="G356" s="282">
        <v>2.0</v>
      </c>
      <c r="H356" s="283" t="s">
        <v>13</v>
      </c>
    </row>
    <row r="357">
      <c r="A357" s="284">
        <v>45916.0</v>
      </c>
      <c r="B357" s="298" t="s">
        <v>556</v>
      </c>
      <c r="C357" s="298">
        <v>2025.0</v>
      </c>
      <c r="D357" s="299"/>
      <c r="E357" s="281" t="s">
        <v>573</v>
      </c>
      <c r="F357" s="281" t="s">
        <v>245</v>
      </c>
      <c r="G357" s="282">
        <v>4.0</v>
      </c>
      <c r="H357" s="283" t="s">
        <v>15</v>
      </c>
    </row>
    <row r="358">
      <c r="A358" s="284">
        <v>45916.0</v>
      </c>
      <c r="B358" s="298" t="s">
        <v>556</v>
      </c>
      <c r="C358" s="298">
        <v>2025.0</v>
      </c>
      <c r="D358" s="299"/>
      <c r="E358" s="281" t="s">
        <v>574</v>
      </c>
      <c r="F358" s="281" t="s">
        <v>245</v>
      </c>
      <c r="G358" s="282">
        <v>1.0</v>
      </c>
      <c r="H358" s="283" t="s">
        <v>13</v>
      </c>
    </row>
    <row r="359">
      <c r="A359" s="284">
        <v>45916.0</v>
      </c>
      <c r="B359" s="298" t="s">
        <v>556</v>
      </c>
      <c r="C359" s="298">
        <v>2025.0</v>
      </c>
      <c r="D359" s="299"/>
      <c r="E359" s="281" t="s">
        <v>575</v>
      </c>
      <c r="F359" s="281" t="s">
        <v>245</v>
      </c>
      <c r="G359" s="282">
        <v>1.0</v>
      </c>
      <c r="H359" s="283" t="s">
        <v>13</v>
      </c>
    </row>
    <row r="360">
      <c r="A360" s="284">
        <v>45916.0</v>
      </c>
      <c r="B360" s="298" t="s">
        <v>556</v>
      </c>
      <c r="C360" s="298">
        <v>2025.0</v>
      </c>
      <c r="D360" s="299"/>
      <c r="E360" s="281" t="s">
        <v>576</v>
      </c>
      <c r="F360" s="281" t="s">
        <v>245</v>
      </c>
      <c r="G360" s="282">
        <v>2.0</v>
      </c>
      <c r="H360" s="283" t="s">
        <v>13</v>
      </c>
    </row>
    <row r="361">
      <c r="A361" s="284">
        <v>45916.0</v>
      </c>
      <c r="B361" s="298" t="s">
        <v>556</v>
      </c>
      <c r="C361" s="298">
        <v>2025.0</v>
      </c>
      <c r="D361" s="299"/>
      <c r="E361" s="281" t="s">
        <v>577</v>
      </c>
      <c r="F361" s="281" t="s">
        <v>245</v>
      </c>
      <c r="G361" s="282">
        <v>6.0</v>
      </c>
      <c r="H361" s="283" t="s">
        <v>15</v>
      </c>
    </row>
    <row r="362">
      <c r="A362" s="284">
        <v>45916.0</v>
      </c>
      <c r="B362" s="298" t="s">
        <v>556</v>
      </c>
      <c r="C362" s="298">
        <v>2025.0</v>
      </c>
      <c r="D362" s="299"/>
      <c r="E362" s="281" t="s">
        <v>578</v>
      </c>
      <c r="F362" s="281" t="s">
        <v>245</v>
      </c>
      <c r="G362" s="282">
        <v>12.0</v>
      </c>
      <c r="H362" s="283" t="s">
        <v>13</v>
      </c>
    </row>
    <row r="363">
      <c r="A363" s="284">
        <v>45916.0</v>
      </c>
      <c r="B363" s="298" t="s">
        <v>556</v>
      </c>
      <c r="C363" s="298">
        <v>2025.0</v>
      </c>
      <c r="D363" s="299"/>
      <c r="E363" s="281" t="s">
        <v>579</v>
      </c>
      <c r="F363" s="281" t="s">
        <v>245</v>
      </c>
      <c r="G363" s="282">
        <v>10.0</v>
      </c>
      <c r="H363" s="283" t="s">
        <v>13</v>
      </c>
    </row>
    <row r="364">
      <c r="A364" s="284">
        <v>45916.0</v>
      </c>
      <c r="B364" s="298" t="s">
        <v>556</v>
      </c>
      <c r="C364" s="298">
        <v>2025.0</v>
      </c>
      <c r="D364" s="299"/>
      <c r="E364" s="281" t="s">
        <v>580</v>
      </c>
      <c r="F364" s="281" t="s">
        <v>245</v>
      </c>
      <c r="G364" s="282">
        <v>4.0</v>
      </c>
      <c r="H364" s="283" t="s">
        <v>13</v>
      </c>
    </row>
    <row r="365">
      <c r="A365" s="284">
        <v>45933.0</v>
      </c>
      <c r="B365" s="298" t="s">
        <v>581</v>
      </c>
      <c r="C365" s="298">
        <v>2025.0</v>
      </c>
      <c r="D365" s="299"/>
      <c r="E365" s="281" t="s">
        <v>582</v>
      </c>
      <c r="F365" s="281" t="s">
        <v>25</v>
      </c>
      <c r="G365" s="282">
        <v>5.82</v>
      </c>
      <c r="H365" s="283" t="s">
        <v>11</v>
      </c>
    </row>
    <row r="366">
      <c r="A366" s="284">
        <v>45933.0</v>
      </c>
      <c r="B366" s="298" t="s">
        <v>581</v>
      </c>
      <c r="C366" s="298">
        <v>2025.0</v>
      </c>
      <c r="D366" s="299"/>
      <c r="E366" s="281" t="s">
        <v>583</v>
      </c>
      <c r="F366" s="281" t="s">
        <v>24</v>
      </c>
      <c r="G366" s="282">
        <v>3.0</v>
      </c>
      <c r="H366" s="283" t="s">
        <v>15</v>
      </c>
    </row>
    <row r="367">
      <c r="A367" s="284">
        <v>45933.0</v>
      </c>
      <c r="B367" s="298" t="s">
        <v>581</v>
      </c>
      <c r="C367" s="298">
        <v>2025.0</v>
      </c>
      <c r="D367" s="299"/>
      <c r="E367" s="281" t="s">
        <v>584</v>
      </c>
      <c r="F367" s="281" t="s">
        <v>25</v>
      </c>
      <c r="G367" s="282">
        <v>49.0</v>
      </c>
      <c r="H367" s="283" t="s">
        <v>15</v>
      </c>
    </row>
    <row r="368">
      <c r="A368" s="284">
        <v>45763.0</v>
      </c>
      <c r="B368" s="298" t="s">
        <v>585</v>
      </c>
      <c r="C368" s="298">
        <v>2025.0</v>
      </c>
      <c r="D368" s="299"/>
      <c r="E368" s="281" t="s">
        <v>567</v>
      </c>
      <c r="F368" s="281" t="s">
        <v>25</v>
      </c>
      <c r="G368" s="282">
        <v>1.94</v>
      </c>
      <c r="H368" s="283" t="s">
        <v>11</v>
      </c>
    </row>
    <row r="369">
      <c r="A369" s="284">
        <v>45895.0</v>
      </c>
      <c r="B369" s="298" t="s">
        <v>586</v>
      </c>
      <c r="C369" s="298">
        <v>2025.0</v>
      </c>
      <c r="D369" s="299"/>
      <c r="E369" s="281" t="s">
        <v>587</v>
      </c>
      <c r="F369" s="281" t="s">
        <v>245</v>
      </c>
      <c r="G369" s="282">
        <v>25.0</v>
      </c>
      <c r="H369" s="283" t="s">
        <v>15</v>
      </c>
    </row>
    <row r="370">
      <c r="A370" s="284">
        <v>45884.0</v>
      </c>
      <c r="B370" s="298" t="s">
        <v>586</v>
      </c>
      <c r="C370" s="298">
        <v>2025.0</v>
      </c>
      <c r="D370" s="299"/>
      <c r="E370" s="281" t="s">
        <v>588</v>
      </c>
      <c r="F370" s="281" t="s">
        <v>25</v>
      </c>
      <c r="G370" s="282">
        <v>36.77</v>
      </c>
      <c r="H370" s="283" t="s">
        <v>11</v>
      </c>
    </row>
    <row r="371">
      <c r="A371" s="284"/>
      <c r="B371" s="298"/>
      <c r="C371" s="298"/>
      <c r="D371" s="299"/>
      <c r="E371" s="281"/>
      <c r="F371" s="281"/>
      <c r="G371" s="282"/>
      <c r="H371" s="283"/>
    </row>
    <row r="372">
      <c r="A372" s="284"/>
      <c r="B372" s="298"/>
      <c r="C372" s="298"/>
      <c r="D372" s="299"/>
      <c r="E372" s="281"/>
      <c r="F372" s="281"/>
      <c r="G372" s="282"/>
      <c r="H372" s="283"/>
    </row>
    <row r="373">
      <c r="A373" s="284"/>
      <c r="B373" s="298"/>
      <c r="C373" s="298"/>
      <c r="D373" s="299"/>
      <c r="E373" s="281"/>
      <c r="F373" s="281"/>
      <c r="G373" s="282"/>
      <c r="H373" s="283"/>
    </row>
    <row r="374">
      <c r="A374" s="284"/>
      <c r="B374" s="298"/>
      <c r="C374" s="298"/>
      <c r="D374" s="299"/>
      <c r="E374" s="281"/>
      <c r="F374" s="281"/>
      <c r="G374" s="282"/>
      <c r="H374" s="283"/>
    </row>
    <row r="375">
      <c r="A375" s="284"/>
      <c r="B375" s="298"/>
      <c r="C375" s="298"/>
      <c r="D375" s="299"/>
      <c r="E375" s="281"/>
      <c r="F375" s="281"/>
      <c r="G375" s="282"/>
      <c r="H375" s="283"/>
    </row>
    <row r="376">
      <c r="A376" s="284"/>
      <c r="B376" s="298"/>
      <c r="C376" s="298"/>
      <c r="D376" s="299"/>
      <c r="E376" s="281"/>
      <c r="F376" s="281"/>
      <c r="G376" s="282"/>
      <c r="H376" s="283"/>
    </row>
    <row r="377">
      <c r="A377" s="284"/>
      <c r="B377" s="298"/>
      <c r="C377" s="298"/>
      <c r="D377" s="299"/>
      <c r="E377" s="281"/>
      <c r="F377" s="281"/>
      <c r="G377" s="282"/>
      <c r="H377" s="283"/>
    </row>
    <row r="378">
      <c r="A378" s="284"/>
      <c r="B378" s="298"/>
      <c r="C378" s="298"/>
      <c r="D378" s="299"/>
      <c r="E378" s="281"/>
      <c r="F378" s="281"/>
      <c r="G378" s="282"/>
      <c r="H378" s="283"/>
    </row>
    <row r="379">
      <c r="A379" s="284"/>
      <c r="B379" s="298"/>
      <c r="C379" s="298"/>
      <c r="D379" s="299"/>
      <c r="E379" s="281"/>
      <c r="F379" s="281"/>
      <c r="G379" s="282"/>
      <c r="H379" s="283"/>
    </row>
    <row r="380">
      <c r="A380" s="284"/>
      <c r="B380" s="298"/>
      <c r="C380" s="298"/>
      <c r="D380" s="299"/>
      <c r="E380" s="281"/>
      <c r="F380" s="281"/>
      <c r="G380" s="282"/>
      <c r="H380" s="283"/>
    </row>
    <row r="381">
      <c r="A381" s="284"/>
      <c r="B381" s="298"/>
      <c r="C381" s="298"/>
      <c r="D381" s="299"/>
      <c r="E381" s="281"/>
      <c r="F381" s="281"/>
      <c r="G381" s="282"/>
      <c r="H381" s="283"/>
    </row>
    <row r="382">
      <c r="A382" s="284"/>
      <c r="B382" s="298"/>
      <c r="C382" s="298"/>
      <c r="D382" s="299"/>
      <c r="E382" s="281"/>
      <c r="F382" s="281"/>
      <c r="G382" s="282"/>
      <c r="H382" s="283"/>
    </row>
    <row r="383">
      <c r="A383" s="284"/>
      <c r="B383" s="298"/>
      <c r="C383" s="298"/>
      <c r="D383" s="299"/>
      <c r="E383" s="281"/>
      <c r="F383" s="281"/>
      <c r="G383" s="282"/>
      <c r="H383" s="283"/>
    </row>
    <row r="384">
      <c r="A384" s="284"/>
      <c r="B384" s="298"/>
      <c r="C384" s="298"/>
      <c r="D384" s="299"/>
      <c r="E384" s="281"/>
      <c r="F384" s="281"/>
      <c r="G384" s="282"/>
      <c r="H384" s="283"/>
    </row>
    <row r="385">
      <c r="A385" s="284"/>
      <c r="B385" s="298"/>
      <c r="C385" s="298"/>
      <c r="D385" s="299"/>
      <c r="E385" s="281"/>
      <c r="F385" s="281"/>
      <c r="G385" s="282"/>
      <c r="H385" s="283"/>
    </row>
    <row r="386">
      <c r="A386" s="284"/>
      <c r="B386" s="298"/>
      <c r="C386" s="298"/>
      <c r="D386" s="299"/>
      <c r="E386" s="281"/>
      <c r="F386" s="281"/>
      <c r="G386" s="282"/>
      <c r="H386" s="283"/>
    </row>
    <row r="387">
      <c r="A387" s="284"/>
      <c r="B387" s="298"/>
      <c r="C387" s="298"/>
      <c r="D387" s="299"/>
      <c r="E387" s="281"/>
      <c r="F387" s="281"/>
      <c r="G387" s="282"/>
      <c r="H387" s="283"/>
    </row>
    <row r="388">
      <c r="A388" s="284"/>
      <c r="B388" s="298"/>
      <c r="C388" s="298"/>
      <c r="D388" s="299"/>
      <c r="E388" s="281"/>
      <c r="F388" s="281"/>
      <c r="G388" s="282"/>
      <c r="H388" s="283"/>
    </row>
    <row r="389">
      <c r="A389" s="284"/>
      <c r="B389" s="298"/>
      <c r="C389" s="298"/>
      <c r="D389" s="299"/>
      <c r="E389" s="281"/>
      <c r="F389" s="281"/>
      <c r="G389" s="282"/>
      <c r="H389" s="283"/>
    </row>
    <row r="390">
      <c r="A390" s="284"/>
      <c r="B390" s="298"/>
      <c r="C390" s="298"/>
      <c r="D390" s="299"/>
      <c r="E390" s="281"/>
      <c r="F390" s="281"/>
      <c r="G390" s="282"/>
      <c r="H390" s="283"/>
    </row>
    <row r="391">
      <c r="A391" s="284"/>
      <c r="B391" s="298"/>
      <c r="C391" s="298"/>
      <c r="D391" s="299"/>
      <c r="E391" s="281"/>
      <c r="F391" s="281"/>
      <c r="G391" s="282"/>
      <c r="H391" s="283"/>
    </row>
    <row r="392">
      <c r="A392" s="300"/>
      <c r="B392" s="285"/>
      <c r="C392" s="285"/>
      <c r="D392" s="299"/>
      <c r="E392" s="286"/>
      <c r="F392" s="286"/>
      <c r="G392" s="301"/>
      <c r="H392" s="302"/>
    </row>
    <row r="393">
      <c r="A393" s="300"/>
      <c r="B393" s="285"/>
      <c r="C393" s="285"/>
      <c r="D393" s="299"/>
      <c r="E393" s="286"/>
      <c r="F393" s="286"/>
      <c r="G393" s="301"/>
      <c r="H393" s="302"/>
    </row>
    <row r="394">
      <c r="A394" s="300"/>
      <c r="B394" s="285"/>
      <c r="C394" s="285"/>
      <c r="D394" s="299"/>
      <c r="E394" s="286"/>
      <c r="F394" s="286"/>
      <c r="G394" s="301"/>
      <c r="H394" s="302"/>
    </row>
    <row r="395">
      <c r="A395" s="300"/>
      <c r="B395" s="285"/>
      <c r="C395" s="285"/>
      <c r="D395" s="299"/>
      <c r="E395" s="286"/>
      <c r="F395" s="286"/>
      <c r="G395" s="301"/>
      <c r="H395" s="302"/>
    </row>
    <row r="396">
      <c r="A396" s="300"/>
      <c r="B396" s="285"/>
      <c r="C396" s="285"/>
      <c r="D396" s="299"/>
      <c r="E396" s="286"/>
      <c r="F396" s="286"/>
      <c r="G396" s="301"/>
      <c r="H396" s="302"/>
    </row>
    <row r="397">
      <c r="A397" s="300"/>
      <c r="B397" s="285"/>
      <c r="C397" s="285"/>
      <c r="D397" s="299"/>
      <c r="E397" s="286"/>
      <c r="F397" s="286"/>
      <c r="G397" s="301"/>
      <c r="H397" s="302"/>
    </row>
    <row r="398">
      <c r="A398" s="300"/>
      <c r="B398" s="285"/>
      <c r="C398" s="285"/>
      <c r="D398" s="299"/>
      <c r="E398" s="286"/>
      <c r="F398" s="286"/>
      <c r="G398" s="301"/>
      <c r="H398" s="302"/>
    </row>
    <row r="399">
      <c r="A399" s="300"/>
      <c r="B399" s="285"/>
      <c r="C399" s="285"/>
      <c r="D399" s="299"/>
      <c r="E399" s="286"/>
      <c r="F399" s="286"/>
      <c r="G399" s="301"/>
      <c r="H399" s="302"/>
    </row>
    <row r="400">
      <c r="A400" s="300"/>
      <c r="B400" s="285"/>
      <c r="C400" s="285"/>
      <c r="D400" s="299"/>
      <c r="E400" s="286"/>
      <c r="F400" s="286"/>
      <c r="G400" s="301"/>
      <c r="H400" s="302"/>
    </row>
    <row r="401">
      <c r="A401" s="300"/>
      <c r="B401" s="285"/>
      <c r="C401" s="285"/>
      <c r="D401" s="299"/>
      <c r="E401" s="286"/>
      <c r="F401" s="286"/>
      <c r="G401" s="301"/>
      <c r="H401" s="302"/>
    </row>
    <row r="402">
      <c r="A402" s="300"/>
      <c r="B402" s="285"/>
      <c r="C402" s="285"/>
      <c r="D402" s="299"/>
      <c r="E402" s="286"/>
      <c r="F402" s="286"/>
      <c r="G402" s="301"/>
      <c r="H402" s="302"/>
    </row>
    <row r="403">
      <c r="A403" s="300"/>
      <c r="B403" s="285"/>
      <c r="C403" s="285"/>
      <c r="D403" s="299"/>
      <c r="E403" s="286"/>
      <c r="F403" s="286"/>
      <c r="G403" s="301"/>
      <c r="H403" s="302"/>
    </row>
    <row r="404">
      <c r="A404" s="300"/>
      <c r="B404" s="285"/>
      <c r="C404" s="285"/>
      <c r="D404" s="299"/>
      <c r="E404" s="286"/>
      <c r="F404" s="286"/>
      <c r="G404" s="301"/>
      <c r="H404" s="302"/>
    </row>
    <row r="405">
      <c r="A405" s="300"/>
      <c r="B405" s="285"/>
      <c r="C405" s="285"/>
      <c r="D405" s="299"/>
      <c r="E405" s="286"/>
      <c r="F405" s="286"/>
      <c r="G405" s="301"/>
      <c r="H405" s="302"/>
    </row>
    <row r="406">
      <c r="A406" s="300"/>
      <c r="B406" s="285"/>
      <c r="C406" s="285"/>
      <c r="D406" s="299"/>
      <c r="E406" s="286"/>
      <c r="F406" s="286"/>
      <c r="G406" s="301"/>
      <c r="H406" s="302"/>
    </row>
    <row r="407">
      <c r="A407" s="300"/>
      <c r="B407" s="285"/>
      <c r="C407" s="285"/>
      <c r="D407" s="299"/>
      <c r="E407" s="286"/>
      <c r="F407" s="286"/>
      <c r="G407" s="301"/>
      <c r="H407" s="302"/>
    </row>
    <row r="408">
      <c r="A408" s="300"/>
      <c r="B408" s="285"/>
      <c r="C408" s="285"/>
      <c r="D408" s="299"/>
      <c r="E408" s="286"/>
      <c r="F408" s="286"/>
      <c r="G408" s="301"/>
      <c r="H408" s="302"/>
    </row>
    <row r="409">
      <c r="A409" s="300"/>
      <c r="B409" s="285"/>
      <c r="C409" s="285"/>
      <c r="D409" s="299"/>
      <c r="E409" s="286"/>
      <c r="F409" s="286"/>
      <c r="G409" s="301"/>
      <c r="H409" s="302"/>
    </row>
    <row r="410">
      <c r="A410" s="300"/>
      <c r="B410" s="285"/>
      <c r="C410" s="285"/>
      <c r="D410" s="299"/>
      <c r="E410" s="286"/>
      <c r="F410" s="286"/>
      <c r="G410" s="301"/>
      <c r="H410" s="302"/>
    </row>
    <row r="411">
      <c r="A411" s="300"/>
      <c r="B411" s="285"/>
      <c r="C411" s="285"/>
      <c r="D411" s="299"/>
      <c r="E411" s="286"/>
      <c r="F411" s="286"/>
      <c r="G411" s="301"/>
      <c r="H411" s="302"/>
    </row>
    <row r="412">
      <c r="A412" s="300"/>
      <c r="B412" s="285"/>
      <c r="C412" s="285"/>
      <c r="D412" s="299"/>
      <c r="E412" s="286"/>
      <c r="F412" s="286"/>
      <c r="G412" s="301"/>
      <c r="H412" s="302"/>
    </row>
    <row r="413">
      <c r="A413" s="300"/>
      <c r="B413" s="285"/>
      <c r="C413" s="285"/>
      <c r="D413" s="299"/>
      <c r="E413" s="286"/>
      <c r="F413" s="286"/>
      <c r="G413" s="301"/>
      <c r="H413" s="302"/>
    </row>
    <row r="414">
      <c r="A414" s="300"/>
      <c r="B414" s="285"/>
      <c r="C414" s="285"/>
      <c r="D414" s="299"/>
      <c r="E414" s="286"/>
      <c r="F414" s="286"/>
      <c r="G414" s="301"/>
      <c r="H414" s="302"/>
    </row>
    <row r="415">
      <c r="A415" s="300"/>
      <c r="B415" s="285"/>
      <c r="C415" s="285"/>
      <c r="D415" s="299"/>
      <c r="E415" s="286"/>
      <c r="F415" s="286"/>
      <c r="G415" s="301"/>
      <c r="H415" s="302"/>
    </row>
    <row r="416">
      <c r="A416" s="300"/>
      <c r="B416" s="285"/>
      <c r="C416" s="285"/>
      <c r="D416" s="299"/>
      <c r="E416" s="286"/>
      <c r="F416" s="286"/>
      <c r="G416" s="301"/>
      <c r="H416" s="302"/>
    </row>
    <row r="417">
      <c r="A417" s="300"/>
      <c r="B417" s="285"/>
      <c r="C417" s="285"/>
      <c r="D417" s="299"/>
      <c r="E417" s="286"/>
      <c r="F417" s="286"/>
      <c r="G417" s="301"/>
      <c r="H417" s="302"/>
    </row>
    <row r="418">
      <c r="A418" s="300"/>
      <c r="B418" s="285"/>
      <c r="C418" s="285"/>
      <c r="D418" s="299"/>
      <c r="E418" s="286"/>
      <c r="F418" s="286"/>
      <c r="G418" s="301"/>
      <c r="H418" s="302"/>
    </row>
    <row r="419">
      <c r="A419" s="300"/>
      <c r="B419" s="285"/>
      <c r="C419" s="285"/>
      <c r="D419" s="299"/>
      <c r="E419" s="286"/>
      <c r="F419" s="286"/>
      <c r="G419" s="301"/>
      <c r="H419" s="302"/>
    </row>
    <row r="420">
      <c r="A420" s="300"/>
      <c r="B420" s="285"/>
      <c r="C420" s="285"/>
      <c r="D420" s="299"/>
      <c r="E420" s="286"/>
      <c r="F420" s="286"/>
      <c r="G420" s="301"/>
      <c r="H420" s="302"/>
    </row>
    <row r="421">
      <c r="A421" s="300"/>
      <c r="B421" s="285"/>
      <c r="C421" s="285"/>
      <c r="D421" s="299"/>
      <c r="E421" s="286"/>
      <c r="F421" s="286"/>
      <c r="G421" s="301"/>
      <c r="H421" s="302"/>
    </row>
    <row r="422">
      <c r="A422" s="300"/>
      <c r="B422" s="285"/>
      <c r="C422" s="285"/>
      <c r="D422" s="299"/>
      <c r="E422" s="286"/>
      <c r="F422" s="286"/>
      <c r="G422" s="301"/>
      <c r="H422" s="302"/>
    </row>
    <row r="423">
      <c r="A423" s="300"/>
      <c r="B423" s="285"/>
      <c r="C423" s="285"/>
      <c r="D423" s="299"/>
      <c r="E423" s="286"/>
      <c r="F423" s="286"/>
      <c r="G423" s="301"/>
      <c r="H423" s="302"/>
    </row>
    <row r="424">
      <c r="A424" s="300"/>
      <c r="B424" s="285"/>
      <c r="C424" s="285"/>
      <c r="D424" s="299"/>
      <c r="E424" s="286"/>
      <c r="F424" s="286"/>
      <c r="G424" s="301"/>
      <c r="H424" s="302"/>
    </row>
    <row r="425">
      <c r="A425" s="300"/>
      <c r="B425" s="285"/>
      <c r="C425" s="285"/>
      <c r="D425" s="299"/>
      <c r="E425" s="286"/>
      <c r="F425" s="286"/>
      <c r="G425" s="301"/>
      <c r="H425" s="302"/>
    </row>
    <row r="426">
      <c r="A426" s="300"/>
      <c r="B426" s="285"/>
      <c r="C426" s="285"/>
      <c r="D426" s="299"/>
      <c r="E426" s="286"/>
      <c r="F426" s="286"/>
      <c r="G426" s="301"/>
      <c r="H426" s="302"/>
    </row>
    <row r="427">
      <c r="A427" s="300"/>
      <c r="B427" s="285"/>
      <c r="C427" s="285"/>
      <c r="D427" s="299"/>
      <c r="E427" s="286"/>
      <c r="F427" s="286"/>
      <c r="G427" s="301"/>
      <c r="H427" s="302"/>
    </row>
    <row r="428">
      <c r="A428" s="300"/>
      <c r="B428" s="285"/>
      <c r="C428" s="285"/>
      <c r="D428" s="299"/>
      <c r="E428" s="286"/>
      <c r="F428" s="286"/>
      <c r="G428" s="301"/>
      <c r="H428" s="302"/>
    </row>
    <row r="429">
      <c r="A429" s="300"/>
      <c r="B429" s="285"/>
      <c r="C429" s="285"/>
      <c r="D429" s="299"/>
      <c r="E429" s="286"/>
      <c r="F429" s="286"/>
      <c r="G429" s="301"/>
      <c r="H429" s="302"/>
    </row>
    <row r="430">
      <c r="A430" s="300"/>
      <c r="B430" s="285"/>
      <c r="C430" s="285"/>
      <c r="D430" s="299"/>
      <c r="E430" s="286"/>
      <c r="F430" s="286"/>
      <c r="G430" s="301"/>
      <c r="H430" s="302"/>
    </row>
    <row r="431">
      <c r="A431" s="300"/>
      <c r="B431" s="285"/>
      <c r="C431" s="285"/>
      <c r="D431" s="299"/>
      <c r="E431" s="286"/>
      <c r="F431" s="286"/>
      <c r="G431" s="301"/>
      <c r="H431" s="302"/>
    </row>
    <row r="432">
      <c r="A432" s="300"/>
      <c r="B432" s="285"/>
      <c r="C432" s="285"/>
      <c r="D432" s="299"/>
      <c r="E432" s="286"/>
      <c r="F432" s="286"/>
      <c r="G432" s="301"/>
      <c r="H432" s="302"/>
    </row>
    <row r="433">
      <c r="A433" s="300"/>
      <c r="B433" s="285"/>
      <c r="C433" s="285"/>
      <c r="D433" s="299"/>
      <c r="E433" s="286"/>
      <c r="F433" s="286"/>
      <c r="G433" s="301"/>
      <c r="H433" s="302"/>
    </row>
    <row r="434">
      <c r="A434" s="300"/>
      <c r="B434" s="285"/>
      <c r="C434" s="285"/>
      <c r="D434" s="299"/>
      <c r="E434" s="286"/>
      <c r="F434" s="286"/>
      <c r="G434" s="301"/>
      <c r="H434" s="302"/>
    </row>
    <row r="435">
      <c r="A435" s="300"/>
      <c r="B435" s="285"/>
      <c r="C435" s="285"/>
      <c r="D435" s="299"/>
      <c r="E435" s="286"/>
      <c r="F435" s="286"/>
      <c r="G435" s="301"/>
      <c r="H435" s="302"/>
    </row>
    <row r="436">
      <c r="A436" s="300"/>
      <c r="B436" s="285"/>
      <c r="C436" s="285"/>
      <c r="D436" s="299"/>
      <c r="E436" s="286"/>
      <c r="F436" s="286"/>
      <c r="G436" s="301"/>
      <c r="H436" s="302"/>
    </row>
    <row r="437">
      <c r="A437" s="300"/>
      <c r="B437" s="285"/>
      <c r="C437" s="285"/>
      <c r="D437" s="299"/>
      <c r="E437" s="286"/>
      <c r="F437" s="286"/>
      <c r="G437" s="301"/>
      <c r="H437" s="302"/>
    </row>
    <row r="438">
      <c r="A438" s="300"/>
      <c r="B438" s="285"/>
      <c r="C438" s="285"/>
      <c r="D438" s="299"/>
      <c r="E438" s="286"/>
      <c r="F438" s="286"/>
      <c r="G438" s="301"/>
      <c r="H438" s="302"/>
    </row>
    <row r="439">
      <c r="A439" s="300"/>
      <c r="B439" s="285"/>
      <c r="C439" s="285"/>
      <c r="D439" s="299"/>
      <c r="E439" s="286"/>
      <c r="F439" s="286"/>
      <c r="G439" s="301"/>
      <c r="H439" s="302"/>
    </row>
    <row r="440">
      <c r="A440" s="300"/>
      <c r="B440" s="285"/>
      <c r="C440" s="285"/>
      <c r="D440" s="299"/>
      <c r="E440" s="286"/>
      <c r="F440" s="286"/>
      <c r="G440" s="301"/>
      <c r="H440" s="302"/>
    </row>
    <row r="441">
      <c r="A441" s="300"/>
      <c r="B441" s="285"/>
      <c r="C441" s="285"/>
      <c r="D441" s="299"/>
      <c r="E441" s="286"/>
      <c r="F441" s="286"/>
      <c r="G441" s="301"/>
      <c r="H441" s="302"/>
    </row>
    <row r="442">
      <c r="A442" s="300"/>
      <c r="B442" s="285"/>
      <c r="C442" s="285"/>
      <c r="D442" s="299"/>
      <c r="E442" s="286"/>
      <c r="F442" s="286"/>
      <c r="G442" s="301"/>
      <c r="H442" s="302"/>
    </row>
    <row r="443">
      <c r="A443" s="300"/>
      <c r="B443" s="285"/>
      <c r="C443" s="285"/>
      <c r="D443" s="299"/>
      <c r="E443" s="286"/>
      <c r="F443" s="286"/>
      <c r="G443" s="301"/>
      <c r="H443" s="302"/>
    </row>
    <row r="444">
      <c r="A444" s="300"/>
      <c r="B444" s="285"/>
      <c r="C444" s="285"/>
      <c r="D444" s="299"/>
      <c r="E444" s="286"/>
      <c r="F444" s="286"/>
      <c r="G444" s="301"/>
      <c r="H444" s="302"/>
    </row>
    <row r="445">
      <c r="A445" s="300"/>
      <c r="B445" s="285"/>
      <c r="C445" s="285"/>
      <c r="D445" s="299"/>
      <c r="E445" s="286"/>
      <c r="F445" s="286"/>
      <c r="G445" s="301"/>
      <c r="H445" s="302"/>
    </row>
    <row r="446">
      <c r="A446" s="300"/>
      <c r="B446" s="285"/>
      <c r="C446" s="285"/>
      <c r="D446" s="299"/>
      <c r="E446" s="286"/>
      <c r="F446" s="286"/>
      <c r="G446" s="301"/>
      <c r="H446" s="302"/>
    </row>
    <row r="447">
      <c r="A447" s="300"/>
      <c r="B447" s="285"/>
      <c r="C447" s="285"/>
      <c r="D447" s="299"/>
      <c r="E447" s="286"/>
      <c r="F447" s="286"/>
      <c r="G447" s="301"/>
      <c r="H447" s="302"/>
    </row>
    <row r="448">
      <c r="A448" s="300"/>
      <c r="B448" s="285"/>
      <c r="C448" s="285"/>
      <c r="D448" s="299"/>
      <c r="E448" s="286"/>
      <c r="F448" s="286"/>
      <c r="G448" s="301"/>
      <c r="H448" s="302"/>
    </row>
    <row r="449">
      <c r="A449" s="300"/>
      <c r="B449" s="285"/>
      <c r="C449" s="285"/>
      <c r="D449" s="299"/>
      <c r="E449" s="286"/>
      <c r="F449" s="286"/>
      <c r="G449" s="301"/>
      <c r="H449" s="302"/>
    </row>
    <row r="450">
      <c r="A450" s="300"/>
      <c r="B450" s="285"/>
      <c r="C450" s="285"/>
      <c r="D450" s="299"/>
      <c r="E450" s="286"/>
      <c r="F450" s="286"/>
      <c r="G450" s="301"/>
      <c r="H450" s="302"/>
    </row>
    <row r="451">
      <c r="A451" s="300"/>
      <c r="B451" s="285"/>
      <c r="C451" s="285"/>
      <c r="D451" s="299"/>
      <c r="E451" s="286"/>
      <c r="F451" s="286"/>
      <c r="G451" s="301"/>
      <c r="H451" s="302"/>
    </row>
    <row r="452">
      <c r="A452" s="300"/>
      <c r="B452" s="285"/>
      <c r="C452" s="285"/>
      <c r="D452" s="299"/>
      <c r="E452" s="286"/>
      <c r="F452" s="286"/>
      <c r="G452" s="301"/>
      <c r="H452" s="302"/>
    </row>
    <row r="453">
      <c r="A453" s="300"/>
      <c r="B453" s="285"/>
      <c r="C453" s="285"/>
      <c r="D453" s="299"/>
      <c r="E453" s="286"/>
      <c r="F453" s="286"/>
      <c r="G453" s="301"/>
      <c r="H453" s="302"/>
    </row>
    <row r="454">
      <c r="A454" s="300"/>
      <c r="B454" s="285"/>
      <c r="C454" s="285"/>
      <c r="D454" s="299"/>
      <c r="E454" s="286"/>
      <c r="F454" s="286"/>
      <c r="G454" s="301"/>
      <c r="H454" s="302"/>
    </row>
    <row r="455">
      <c r="A455" s="300"/>
      <c r="B455" s="285"/>
      <c r="C455" s="285"/>
      <c r="D455" s="299"/>
      <c r="E455" s="286"/>
      <c r="F455" s="286"/>
      <c r="G455" s="301"/>
      <c r="H455" s="302"/>
    </row>
    <row r="456">
      <c r="A456" s="300"/>
      <c r="B456" s="285"/>
      <c r="C456" s="285"/>
      <c r="D456" s="299"/>
      <c r="E456" s="286"/>
      <c r="F456" s="286"/>
      <c r="G456" s="301"/>
      <c r="H456" s="302"/>
    </row>
    <row r="457">
      <c r="A457" s="300"/>
      <c r="B457" s="285"/>
      <c r="C457" s="285"/>
      <c r="D457" s="299"/>
      <c r="E457" s="286"/>
      <c r="F457" s="286"/>
      <c r="G457" s="301"/>
      <c r="H457" s="302"/>
    </row>
    <row r="458">
      <c r="A458" s="300"/>
      <c r="B458" s="285"/>
      <c r="C458" s="285"/>
      <c r="D458" s="299"/>
      <c r="E458" s="286"/>
      <c r="F458" s="286"/>
      <c r="G458" s="301"/>
      <c r="H458" s="302"/>
    </row>
    <row r="459">
      <c r="A459" s="300"/>
      <c r="B459" s="285"/>
      <c r="C459" s="285"/>
      <c r="D459" s="299"/>
      <c r="E459" s="286"/>
      <c r="F459" s="286"/>
      <c r="G459" s="301"/>
      <c r="H459" s="302"/>
    </row>
    <row r="460">
      <c r="A460" s="300"/>
      <c r="B460" s="285"/>
      <c r="C460" s="285"/>
      <c r="D460" s="299"/>
      <c r="E460" s="286"/>
      <c r="F460" s="286"/>
      <c r="G460" s="301"/>
      <c r="H460" s="302"/>
    </row>
    <row r="461">
      <c r="A461" s="300"/>
      <c r="B461" s="285"/>
      <c r="C461" s="285"/>
      <c r="D461" s="299"/>
      <c r="E461" s="286"/>
      <c r="F461" s="286"/>
      <c r="G461" s="301"/>
      <c r="H461" s="302"/>
    </row>
    <row r="462">
      <c r="A462" s="300"/>
      <c r="B462" s="285"/>
      <c r="C462" s="285"/>
      <c r="D462" s="299"/>
      <c r="E462" s="286"/>
      <c r="F462" s="286"/>
      <c r="G462" s="301"/>
      <c r="H462" s="302"/>
    </row>
    <row r="463">
      <c r="A463" s="300"/>
      <c r="B463" s="285"/>
      <c r="C463" s="285"/>
      <c r="D463" s="299"/>
      <c r="E463" s="286"/>
      <c r="F463" s="286"/>
      <c r="G463" s="301"/>
      <c r="H463" s="302"/>
    </row>
    <row r="464">
      <c r="A464" s="300"/>
      <c r="B464" s="285"/>
      <c r="C464" s="285"/>
      <c r="D464" s="299"/>
      <c r="E464" s="286"/>
      <c r="F464" s="286"/>
      <c r="G464" s="301"/>
      <c r="H464" s="302"/>
    </row>
    <row r="465">
      <c r="A465" s="300"/>
      <c r="B465" s="285"/>
      <c r="C465" s="285"/>
      <c r="D465" s="299"/>
      <c r="E465" s="286"/>
      <c r="F465" s="286"/>
      <c r="G465" s="301"/>
      <c r="H465" s="302"/>
    </row>
    <row r="466">
      <c r="A466" s="300"/>
      <c r="B466" s="285"/>
      <c r="C466" s="285"/>
      <c r="D466" s="299"/>
      <c r="E466" s="286"/>
      <c r="F466" s="286"/>
      <c r="G466" s="301"/>
      <c r="H466" s="302"/>
    </row>
    <row r="467">
      <c r="A467" s="300"/>
      <c r="B467" s="285"/>
      <c r="C467" s="285"/>
      <c r="D467" s="299"/>
      <c r="E467" s="286"/>
      <c r="F467" s="286"/>
      <c r="G467" s="301"/>
      <c r="H467" s="302"/>
    </row>
    <row r="468">
      <c r="A468" s="300"/>
      <c r="B468" s="285"/>
      <c r="C468" s="285"/>
      <c r="D468" s="299"/>
      <c r="E468" s="286"/>
      <c r="F468" s="286"/>
      <c r="G468" s="301"/>
      <c r="H468" s="302"/>
    </row>
    <row r="469">
      <c r="A469" s="300"/>
      <c r="B469" s="285"/>
      <c r="C469" s="285"/>
      <c r="D469" s="299"/>
      <c r="E469" s="286"/>
      <c r="F469" s="286"/>
      <c r="G469" s="301"/>
      <c r="H469" s="302"/>
    </row>
    <row r="470">
      <c r="A470" s="300"/>
      <c r="B470" s="285"/>
      <c r="C470" s="285"/>
      <c r="D470" s="299"/>
      <c r="E470" s="286"/>
      <c r="F470" s="286"/>
      <c r="G470" s="301"/>
      <c r="H470" s="302"/>
    </row>
    <row r="471">
      <c r="A471" s="300"/>
      <c r="B471" s="285"/>
      <c r="C471" s="285"/>
      <c r="D471" s="299"/>
      <c r="E471" s="286"/>
      <c r="F471" s="286"/>
      <c r="G471" s="301"/>
      <c r="H471" s="302"/>
    </row>
    <row r="472">
      <c r="A472" s="300"/>
      <c r="B472" s="285"/>
      <c r="C472" s="285"/>
      <c r="D472" s="299"/>
      <c r="E472" s="286"/>
      <c r="F472" s="286"/>
      <c r="G472" s="301"/>
      <c r="H472" s="302"/>
    </row>
    <row r="473">
      <c r="A473" s="300"/>
      <c r="B473" s="285"/>
      <c r="C473" s="285"/>
      <c r="D473" s="299"/>
      <c r="E473" s="286"/>
      <c r="F473" s="286"/>
      <c r="G473" s="301"/>
      <c r="H473" s="302"/>
    </row>
    <row r="474">
      <c r="A474" s="300"/>
      <c r="B474" s="285"/>
      <c r="C474" s="285"/>
      <c r="D474" s="299"/>
      <c r="E474" s="286"/>
      <c r="F474" s="286"/>
      <c r="G474" s="301"/>
      <c r="H474" s="302"/>
    </row>
    <row r="475">
      <c r="A475" s="300"/>
      <c r="B475" s="285"/>
      <c r="C475" s="285"/>
      <c r="D475" s="299"/>
      <c r="E475" s="286"/>
      <c r="F475" s="286"/>
      <c r="G475" s="301"/>
      <c r="H475" s="302"/>
    </row>
    <row r="476">
      <c r="A476" s="300"/>
      <c r="B476" s="285"/>
      <c r="C476" s="285"/>
      <c r="D476" s="299"/>
      <c r="E476" s="286"/>
      <c r="F476" s="286"/>
      <c r="G476" s="301"/>
      <c r="H476" s="302"/>
    </row>
    <row r="477">
      <c r="A477" s="300"/>
      <c r="B477" s="285"/>
      <c r="C477" s="285"/>
      <c r="D477" s="299"/>
      <c r="E477" s="286"/>
      <c r="F477" s="286"/>
      <c r="G477" s="301"/>
      <c r="H477" s="302"/>
    </row>
    <row r="478">
      <c r="A478" s="300"/>
      <c r="B478" s="285"/>
      <c r="C478" s="285"/>
      <c r="D478" s="299"/>
      <c r="E478" s="286"/>
      <c r="F478" s="286"/>
      <c r="G478" s="301"/>
      <c r="H478" s="302"/>
    </row>
    <row r="479">
      <c r="A479" s="300"/>
      <c r="B479" s="285"/>
      <c r="C479" s="285"/>
      <c r="D479" s="299"/>
      <c r="E479" s="286"/>
      <c r="F479" s="286"/>
      <c r="G479" s="301"/>
      <c r="H479" s="302"/>
    </row>
    <row r="480">
      <c r="A480" s="300"/>
      <c r="B480" s="285"/>
      <c r="C480" s="285"/>
      <c r="D480" s="299"/>
      <c r="E480" s="286"/>
      <c r="F480" s="286"/>
      <c r="G480" s="301"/>
      <c r="H480" s="302"/>
    </row>
    <row r="481">
      <c r="A481" s="300"/>
      <c r="B481" s="285"/>
      <c r="C481" s="285"/>
      <c r="D481" s="299"/>
      <c r="E481" s="286"/>
      <c r="F481" s="286"/>
      <c r="G481" s="301"/>
      <c r="H481" s="302"/>
    </row>
    <row r="482">
      <c r="A482" s="300"/>
      <c r="B482" s="285"/>
      <c r="C482" s="285"/>
      <c r="D482" s="299"/>
      <c r="E482" s="286"/>
      <c r="F482" s="286"/>
      <c r="G482" s="301"/>
      <c r="H482" s="302"/>
    </row>
    <row r="483">
      <c r="A483" s="300"/>
      <c r="B483" s="285"/>
      <c r="C483" s="285"/>
      <c r="D483" s="299"/>
      <c r="E483" s="286"/>
      <c r="F483" s="286"/>
      <c r="G483" s="301"/>
      <c r="H483" s="302"/>
    </row>
    <row r="484">
      <c r="A484" s="300"/>
      <c r="B484" s="285"/>
      <c r="C484" s="285"/>
      <c r="D484" s="299"/>
      <c r="E484" s="286"/>
      <c r="F484" s="286"/>
      <c r="G484" s="301"/>
      <c r="H484" s="302"/>
    </row>
    <row r="485">
      <c r="A485" s="300"/>
      <c r="B485" s="285"/>
      <c r="C485" s="285"/>
      <c r="D485" s="299"/>
      <c r="E485" s="286"/>
      <c r="F485" s="286"/>
      <c r="G485" s="301"/>
      <c r="H485" s="302"/>
    </row>
    <row r="486">
      <c r="A486" s="300"/>
      <c r="B486" s="285"/>
      <c r="C486" s="285"/>
      <c r="D486" s="299"/>
      <c r="E486" s="286"/>
      <c r="F486" s="286"/>
      <c r="G486" s="301"/>
      <c r="H486" s="302"/>
    </row>
    <row r="487">
      <c r="A487" s="300"/>
      <c r="B487" s="285"/>
      <c r="C487" s="285"/>
      <c r="D487" s="299"/>
      <c r="E487" s="286"/>
      <c r="F487" s="286"/>
      <c r="G487" s="301"/>
      <c r="H487" s="302"/>
    </row>
    <row r="488">
      <c r="A488" s="300"/>
      <c r="B488" s="285"/>
      <c r="C488" s="285"/>
      <c r="D488" s="299"/>
      <c r="E488" s="286"/>
      <c r="F488" s="286"/>
      <c r="G488" s="301"/>
      <c r="H488" s="302"/>
    </row>
    <row r="489">
      <c r="A489" s="300"/>
      <c r="B489" s="285"/>
      <c r="C489" s="285"/>
      <c r="D489" s="299"/>
      <c r="E489" s="286"/>
      <c r="F489" s="286"/>
      <c r="G489" s="301"/>
      <c r="H489" s="302"/>
    </row>
    <row r="490">
      <c r="A490" s="300"/>
      <c r="B490" s="285"/>
      <c r="C490" s="285"/>
      <c r="D490" s="299"/>
      <c r="E490" s="286"/>
      <c r="F490" s="286"/>
      <c r="G490" s="301"/>
      <c r="H490" s="302"/>
    </row>
    <row r="491">
      <c r="A491" s="300"/>
      <c r="B491" s="285"/>
      <c r="C491" s="285"/>
      <c r="D491" s="299"/>
      <c r="E491" s="286"/>
      <c r="F491" s="286"/>
      <c r="G491" s="301"/>
      <c r="H491" s="302"/>
    </row>
    <row r="492">
      <c r="A492" s="300"/>
      <c r="B492" s="285"/>
      <c r="C492" s="285"/>
      <c r="D492" s="299"/>
      <c r="E492" s="286"/>
      <c r="F492" s="286"/>
      <c r="G492" s="301"/>
      <c r="H492" s="302"/>
    </row>
    <row r="493">
      <c r="A493" s="300"/>
      <c r="B493" s="285"/>
      <c r="C493" s="285"/>
      <c r="D493" s="299"/>
      <c r="E493" s="286"/>
      <c r="F493" s="286"/>
      <c r="G493" s="301"/>
      <c r="H493" s="302"/>
    </row>
    <row r="494">
      <c r="A494" s="300"/>
      <c r="B494" s="285"/>
      <c r="C494" s="285"/>
      <c r="D494" s="299"/>
      <c r="E494" s="286"/>
      <c r="F494" s="286"/>
      <c r="G494" s="301"/>
      <c r="H494" s="302"/>
    </row>
    <row r="495">
      <c r="A495" s="300"/>
      <c r="B495" s="285"/>
      <c r="C495" s="285"/>
      <c r="D495" s="299"/>
      <c r="E495" s="286"/>
      <c r="F495" s="286"/>
      <c r="G495" s="301"/>
      <c r="H495" s="302"/>
    </row>
    <row r="496">
      <c r="A496" s="300"/>
      <c r="B496" s="285"/>
      <c r="C496" s="285"/>
      <c r="D496" s="299"/>
      <c r="E496" s="286"/>
      <c r="F496" s="286"/>
      <c r="G496" s="301"/>
      <c r="H496" s="302"/>
    </row>
    <row r="497">
      <c r="A497" s="300"/>
      <c r="B497" s="285"/>
      <c r="C497" s="285"/>
      <c r="D497" s="299"/>
      <c r="E497" s="286"/>
      <c r="F497" s="286"/>
      <c r="G497" s="301"/>
      <c r="H497" s="302"/>
    </row>
    <row r="498">
      <c r="A498" s="300"/>
      <c r="B498" s="285"/>
      <c r="C498" s="285"/>
      <c r="D498" s="299"/>
      <c r="E498" s="286"/>
      <c r="F498" s="286"/>
      <c r="G498" s="301"/>
      <c r="H498" s="302"/>
    </row>
    <row r="499">
      <c r="A499" s="300"/>
      <c r="B499" s="285"/>
      <c r="C499" s="285"/>
      <c r="D499" s="299"/>
      <c r="E499" s="286"/>
      <c r="F499" s="286"/>
      <c r="G499" s="301"/>
      <c r="H499" s="302"/>
    </row>
    <row r="500">
      <c r="A500" s="300"/>
      <c r="B500" s="285"/>
      <c r="C500" s="285"/>
      <c r="D500" s="299"/>
      <c r="E500" s="286"/>
      <c r="F500" s="286"/>
      <c r="G500" s="301"/>
      <c r="H500" s="302"/>
    </row>
    <row r="501">
      <c r="A501" s="300"/>
      <c r="B501" s="285"/>
      <c r="C501" s="285"/>
      <c r="D501" s="299"/>
      <c r="E501" s="286"/>
      <c r="F501" s="286"/>
      <c r="G501" s="301"/>
      <c r="H501" s="302"/>
    </row>
    <row r="502">
      <c r="A502" s="300"/>
      <c r="B502" s="285"/>
      <c r="C502" s="285"/>
      <c r="D502" s="299"/>
      <c r="E502" s="286"/>
      <c r="F502" s="286"/>
      <c r="G502" s="301"/>
      <c r="H502" s="302"/>
    </row>
    <row r="503">
      <c r="A503" s="300"/>
      <c r="B503" s="285"/>
      <c r="C503" s="285"/>
      <c r="D503" s="299"/>
      <c r="E503" s="286"/>
      <c r="F503" s="286"/>
      <c r="G503" s="301"/>
      <c r="H503" s="302"/>
    </row>
    <row r="504">
      <c r="A504" s="300"/>
      <c r="B504" s="285"/>
      <c r="C504" s="285"/>
      <c r="D504" s="299"/>
      <c r="E504" s="286"/>
      <c r="F504" s="286"/>
      <c r="G504" s="301"/>
      <c r="H504" s="302"/>
    </row>
    <row r="505">
      <c r="A505" s="300"/>
      <c r="B505" s="285"/>
      <c r="C505" s="285"/>
      <c r="D505" s="299"/>
      <c r="E505" s="286"/>
      <c r="F505" s="286"/>
      <c r="G505" s="301"/>
      <c r="H505" s="302"/>
    </row>
    <row r="506">
      <c r="A506" s="300"/>
      <c r="B506" s="285"/>
      <c r="C506" s="285"/>
      <c r="D506" s="299"/>
      <c r="E506" s="286"/>
      <c r="F506" s="286"/>
      <c r="G506" s="301"/>
      <c r="H506" s="302"/>
    </row>
    <row r="507">
      <c r="A507" s="300"/>
      <c r="B507" s="285"/>
      <c r="C507" s="285"/>
      <c r="D507" s="299"/>
      <c r="E507" s="286"/>
      <c r="F507" s="286"/>
      <c r="G507" s="301"/>
      <c r="H507" s="302"/>
    </row>
    <row r="508">
      <c r="A508" s="300"/>
      <c r="B508" s="285"/>
      <c r="C508" s="285"/>
      <c r="D508" s="299"/>
      <c r="E508" s="286"/>
      <c r="F508" s="286"/>
      <c r="G508" s="301"/>
      <c r="H508" s="302"/>
    </row>
    <row r="509">
      <c r="A509" s="300"/>
      <c r="B509" s="285"/>
      <c r="C509" s="285"/>
      <c r="D509" s="299"/>
      <c r="E509" s="286"/>
      <c r="F509" s="286"/>
      <c r="G509" s="301"/>
      <c r="H509" s="302"/>
    </row>
    <row r="510">
      <c r="A510" s="300"/>
      <c r="B510" s="285"/>
      <c r="C510" s="285"/>
      <c r="D510" s="299"/>
      <c r="E510" s="286"/>
      <c r="F510" s="286"/>
      <c r="G510" s="301"/>
      <c r="H510" s="302"/>
    </row>
    <row r="511">
      <c r="A511" s="300"/>
      <c r="B511" s="285"/>
      <c r="C511" s="285"/>
      <c r="D511" s="299"/>
      <c r="E511" s="286"/>
      <c r="F511" s="286"/>
      <c r="G511" s="301"/>
      <c r="H511" s="302"/>
    </row>
    <row r="512">
      <c r="A512" s="300"/>
      <c r="B512" s="285"/>
      <c r="C512" s="285"/>
      <c r="D512" s="299"/>
      <c r="E512" s="286"/>
      <c r="F512" s="286"/>
      <c r="G512" s="301"/>
      <c r="H512" s="302"/>
    </row>
    <row r="513">
      <c r="A513" s="300"/>
      <c r="B513" s="285"/>
      <c r="C513" s="285"/>
      <c r="D513" s="299"/>
      <c r="E513" s="286"/>
      <c r="F513" s="286"/>
      <c r="G513" s="301"/>
      <c r="H513" s="302"/>
    </row>
    <row r="514">
      <c r="A514" s="300"/>
      <c r="B514" s="285"/>
      <c r="C514" s="285"/>
      <c r="D514" s="299"/>
      <c r="E514" s="286"/>
      <c r="F514" s="286"/>
      <c r="G514" s="301"/>
      <c r="H514" s="302"/>
    </row>
    <row r="515">
      <c r="A515" s="300"/>
      <c r="B515" s="285"/>
      <c r="C515" s="285"/>
      <c r="D515" s="299"/>
      <c r="E515" s="286"/>
      <c r="F515" s="286"/>
      <c r="G515" s="301"/>
      <c r="H515" s="302"/>
    </row>
    <row r="516">
      <c r="A516" s="300"/>
      <c r="B516" s="285"/>
      <c r="C516" s="285"/>
      <c r="D516" s="299"/>
      <c r="E516" s="286"/>
      <c r="F516" s="286"/>
      <c r="G516" s="301"/>
      <c r="H516" s="302"/>
    </row>
    <row r="517">
      <c r="A517" s="300"/>
      <c r="B517" s="285"/>
      <c r="C517" s="285"/>
      <c r="D517" s="299"/>
      <c r="E517" s="286"/>
      <c r="F517" s="286"/>
      <c r="G517" s="301"/>
      <c r="H517" s="302"/>
    </row>
    <row r="518">
      <c r="A518" s="300"/>
      <c r="B518" s="285"/>
      <c r="C518" s="285"/>
      <c r="D518" s="299"/>
      <c r="E518" s="286"/>
      <c r="F518" s="286"/>
      <c r="G518" s="301"/>
      <c r="H518" s="302"/>
    </row>
    <row r="519">
      <c r="A519" s="300"/>
      <c r="B519" s="285"/>
      <c r="C519" s="285"/>
      <c r="D519" s="299"/>
      <c r="E519" s="286"/>
      <c r="F519" s="286"/>
      <c r="G519" s="301"/>
      <c r="H519" s="302"/>
    </row>
    <row r="520">
      <c r="A520" s="300"/>
      <c r="B520" s="285"/>
      <c r="C520" s="285"/>
      <c r="D520" s="299"/>
      <c r="E520" s="286"/>
      <c r="F520" s="286"/>
      <c r="G520" s="301"/>
      <c r="H520" s="302"/>
    </row>
    <row r="521">
      <c r="A521" s="300"/>
      <c r="B521" s="285"/>
      <c r="C521" s="285"/>
      <c r="D521" s="299"/>
      <c r="E521" s="286"/>
      <c r="F521" s="286"/>
      <c r="G521" s="301"/>
      <c r="H521" s="302"/>
    </row>
    <row r="522">
      <c r="A522" s="300"/>
      <c r="B522" s="285"/>
      <c r="C522" s="285"/>
      <c r="D522" s="299"/>
      <c r="E522" s="286"/>
      <c r="F522" s="286"/>
      <c r="G522" s="301"/>
      <c r="H522" s="302"/>
    </row>
    <row r="523">
      <c r="A523" s="300"/>
      <c r="B523" s="285"/>
      <c r="C523" s="285"/>
      <c r="D523" s="299"/>
      <c r="E523" s="286"/>
      <c r="F523" s="286"/>
      <c r="G523" s="301"/>
      <c r="H523" s="302"/>
    </row>
    <row r="524">
      <c r="A524" s="300"/>
      <c r="B524" s="285"/>
      <c r="C524" s="285"/>
      <c r="D524" s="299"/>
      <c r="E524" s="286"/>
      <c r="F524" s="286"/>
      <c r="G524" s="301"/>
      <c r="H524" s="302"/>
    </row>
    <row r="525">
      <c r="A525" s="300"/>
      <c r="B525" s="285"/>
      <c r="C525" s="285"/>
      <c r="D525" s="299"/>
      <c r="E525" s="286"/>
      <c r="F525" s="286"/>
      <c r="G525" s="301"/>
      <c r="H525" s="302"/>
    </row>
    <row r="526">
      <c r="A526" s="300"/>
      <c r="B526" s="285"/>
      <c r="C526" s="285"/>
      <c r="D526" s="299"/>
      <c r="E526" s="286"/>
      <c r="F526" s="286"/>
      <c r="G526" s="301"/>
      <c r="H526" s="302"/>
    </row>
    <row r="527">
      <c r="A527" s="300"/>
      <c r="B527" s="285"/>
      <c r="C527" s="285"/>
      <c r="D527" s="299"/>
      <c r="E527" s="286"/>
      <c r="F527" s="286"/>
      <c r="G527" s="301"/>
      <c r="H527" s="302"/>
    </row>
    <row r="528">
      <c r="A528" s="300"/>
      <c r="B528" s="285"/>
      <c r="C528" s="285"/>
      <c r="D528" s="299"/>
      <c r="E528" s="286"/>
      <c r="F528" s="286"/>
      <c r="G528" s="301"/>
      <c r="H528" s="302"/>
    </row>
    <row r="529">
      <c r="A529" s="300"/>
      <c r="B529" s="285"/>
      <c r="C529" s="285"/>
      <c r="D529" s="299"/>
      <c r="E529" s="286"/>
      <c r="F529" s="286"/>
      <c r="G529" s="301"/>
      <c r="H529" s="302"/>
    </row>
    <row r="530">
      <c r="A530" s="300"/>
      <c r="B530" s="285"/>
      <c r="C530" s="285"/>
      <c r="D530" s="299"/>
      <c r="E530" s="286"/>
      <c r="F530" s="286"/>
      <c r="G530" s="301"/>
      <c r="H530" s="302"/>
    </row>
    <row r="531">
      <c r="A531" s="300"/>
      <c r="B531" s="285"/>
      <c r="C531" s="285"/>
      <c r="D531" s="299"/>
      <c r="E531" s="286"/>
      <c r="F531" s="286"/>
      <c r="G531" s="301"/>
      <c r="H531" s="302"/>
    </row>
    <row r="532">
      <c r="A532" s="300"/>
      <c r="B532" s="285"/>
      <c r="C532" s="285"/>
      <c r="D532" s="299"/>
      <c r="E532" s="286"/>
      <c r="F532" s="286"/>
      <c r="G532" s="301"/>
      <c r="H532" s="302"/>
    </row>
    <row r="533">
      <c r="A533" s="300"/>
      <c r="B533" s="285"/>
      <c r="C533" s="285"/>
      <c r="D533" s="299"/>
      <c r="E533" s="286"/>
      <c r="F533" s="286"/>
      <c r="G533" s="301"/>
      <c r="H533" s="302"/>
    </row>
    <row r="534">
      <c r="A534" s="300"/>
      <c r="B534" s="285"/>
      <c r="C534" s="285"/>
      <c r="D534" s="299"/>
      <c r="E534" s="286"/>
      <c r="F534" s="286"/>
      <c r="G534" s="301"/>
      <c r="H534" s="302"/>
    </row>
    <row r="535">
      <c r="A535" s="300"/>
      <c r="B535" s="285"/>
      <c r="C535" s="285"/>
      <c r="D535" s="299"/>
      <c r="E535" s="286"/>
      <c r="F535" s="286"/>
      <c r="G535" s="301"/>
      <c r="H535" s="302"/>
    </row>
    <row r="536">
      <c r="A536" s="300"/>
      <c r="B536" s="285"/>
      <c r="C536" s="285"/>
      <c r="D536" s="299"/>
      <c r="E536" s="286"/>
      <c r="F536" s="286"/>
      <c r="G536" s="301"/>
      <c r="H536" s="302"/>
    </row>
    <row r="537">
      <c r="A537" s="300"/>
      <c r="B537" s="285"/>
      <c r="C537" s="285"/>
      <c r="D537" s="299"/>
      <c r="E537" s="286"/>
      <c r="F537" s="286"/>
      <c r="G537" s="301"/>
      <c r="H537" s="302"/>
    </row>
    <row r="538">
      <c r="A538" s="300"/>
      <c r="B538" s="285"/>
      <c r="C538" s="285"/>
      <c r="D538" s="299"/>
      <c r="E538" s="286"/>
      <c r="F538" s="286"/>
      <c r="G538" s="301"/>
      <c r="H538" s="302"/>
    </row>
    <row r="539">
      <c r="A539" s="300"/>
      <c r="B539" s="285"/>
      <c r="C539" s="285"/>
      <c r="D539" s="299"/>
      <c r="E539" s="286"/>
      <c r="F539" s="286"/>
      <c r="G539" s="301"/>
      <c r="H539" s="302"/>
    </row>
    <row r="540">
      <c r="A540" s="300"/>
      <c r="B540" s="285"/>
      <c r="C540" s="285"/>
      <c r="D540" s="299"/>
      <c r="E540" s="286"/>
      <c r="F540" s="286"/>
      <c r="G540" s="301"/>
      <c r="H540" s="302"/>
    </row>
    <row r="541">
      <c r="A541" s="300"/>
      <c r="B541" s="285"/>
      <c r="C541" s="285"/>
      <c r="D541" s="299"/>
      <c r="E541" s="286"/>
      <c r="F541" s="286"/>
      <c r="G541" s="301"/>
      <c r="H541" s="302"/>
    </row>
    <row r="542">
      <c r="A542" s="300"/>
      <c r="B542" s="285"/>
      <c r="C542" s="285"/>
      <c r="D542" s="299"/>
      <c r="E542" s="286"/>
      <c r="F542" s="286"/>
      <c r="G542" s="301"/>
      <c r="H542" s="302"/>
    </row>
    <row r="543">
      <c r="A543" s="300"/>
      <c r="B543" s="285"/>
      <c r="C543" s="285"/>
      <c r="D543" s="299"/>
      <c r="E543" s="286"/>
      <c r="F543" s="286"/>
      <c r="G543" s="301"/>
      <c r="H543" s="302"/>
    </row>
    <row r="544">
      <c r="A544" s="300"/>
      <c r="B544" s="285"/>
      <c r="C544" s="285"/>
      <c r="D544" s="299"/>
      <c r="E544" s="286"/>
      <c r="F544" s="286"/>
      <c r="G544" s="301"/>
      <c r="H544" s="302"/>
    </row>
    <row r="545">
      <c r="A545" s="300"/>
      <c r="B545" s="285"/>
      <c r="C545" s="285"/>
      <c r="D545" s="299"/>
      <c r="E545" s="286"/>
      <c r="F545" s="286"/>
      <c r="G545" s="301"/>
      <c r="H545" s="302"/>
    </row>
    <row r="546">
      <c r="A546" s="300"/>
      <c r="B546" s="285"/>
      <c r="C546" s="285"/>
      <c r="D546" s="299"/>
      <c r="E546" s="286"/>
      <c r="F546" s="286"/>
      <c r="G546" s="301"/>
      <c r="H546" s="302"/>
    </row>
    <row r="547">
      <c r="A547" s="300"/>
      <c r="B547" s="285"/>
      <c r="C547" s="285"/>
      <c r="D547" s="299"/>
      <c r="E547" s="286"/>
      <c r="F547" s="286"/>
      <c r="G547" s="301"/>
      <c r="H547" s="302"/>
    </row>
    <row r="548">
      <c r="A548" s="300"/>
      <c r="B548" s="285"/>
      <c r="C548" s="285"/>
      <c r="D548" s="299"/>
      <c r="E548" s="286"/>
      <c r="F548" s="286"/>
      <c r="G548" s="301"/>
      <c r="H548" s="302"/>
    </row>
    <row r="549">
      <c r="A549" s="300"/>
      <c r="B549" s="285"/>
      <c r="C549" s="285"/>
      <c r="D549" s="299"/>
      <c r="E549" s="286"/>
      <c r="F549" s="286"/>
      <c r="G549" s="301"/>
      <c r="H549" s="302"/>
    </row>
    <row r="550">
      <c r="A550" s="300"/>
      <c r="B550" s="285"/>
      <c r="C550" s="285"/>
      <c r="D550" s="299"/>
      <c r="E550" s="286"/>
      <c r="F550" s="286"/>
      <c r="G550" s="301"/>
      <c r="H550" s="302"/>
    </row>
    <row r="551">
      <c r="A551" s="300"/>
      <c r="B551" s="285"/>
      <c r="C551" s="285"/>
      <c r="D551" s="299"/>
      <c r="E551" s="286"/>
      <c r="F551" s="286"/>
      <c r="G551" s="301"/>
      <c r="H551" s="302"/>
    </row>
    <row r="552">
      <c r="A552" s="300"/>
      <c r="B552" s="285"/>
      <c r="C552" s="285"/>
      <c r="D552" s="299"/>
      <c r="E552" s="286"/>
      <c r="F552" s="286"/>
      <c r="G552" s="301"/>
      <c r="H552" s="302"/>
    </row>
    <row r="553">
      <c r="A553" s="300"/>
      <c r="B553" s="285"/>
      <c r="C553" s="285"/>
      <c r="D553" s="299"/>
      <c r="E553" s="286"/>
      <c r="F553" s="286"/>
      <c r="G553" s="301"/>
      <c r="H553" s="302"/>
    </row>
    <row r="554">
      <c r="A554" s="300"/>
      <c r="B554" s="285"/>
      <c r="C554" s="285"/>
      <c r="D554" s="299"/>
      <c r="E554" s="286"/>
      <c r="F554" s="286"/>
      <c r="G554" s="301"/>
      <c r="H554" s="302"/>
    </row>
    <row r="555">
      <c r="A555" s="300"/>
      <c r="B555" s="285"/>
      <c r="C555" s="285"/>
      <c r="D555" s="299"/>
      <c r="E555" s="286"/>
      <c r="F555" s="286"/>
      <c r="G555" s="301"/>
      <c r="H555" s="302"/>
    </row>
    <row r="556">
      <c r="A556" s="300"/>
      <c r="B556" s="285"/>
      <c r="C556" s="285"/>
      <c r="D556" s="299"/>
      <c r="E556" s="286"/>
      <c r="F556" s="286"/>
      <c r="G556" s="301"/>
      <c r="H556" s="302"/>
    </row>
    <row r="557">
      <c r="A557" s="300"/>
      <c r="B557" s="285"/>
      <c r="C557" s="285"/>
      <c r="D557" s="299"/>
      <c r="E557" s="286"/>
      <c r="F557" s="286"/>
      <c r="G557" s="301"/>
      <c r="H557" s="302"/>
    </row>
    <row r="558">
      <c r="A558" s="300"/>
      <c r="B558" s="285"/>
      <c r="C558" s="285"/>
      <c r="D558" s="299"/>
      <c r="E558" s="286"/>
      <c r="F558" s="286"/>
      <c r="G558" s="301"/>
      <c r="H558" s="302"/>
    </row>
    <row r="559">
      <c r="A559" s="300"/>
      <c r="B559" s="285"/>
      <c r="C559" s="285"/>
      <c r="D559" s="299"/>
      <c r="E559" s="286"/>
      <c r="F559" s="286"/>
      <c r="G559" s="301"/>
      <c r="H559" s="302"/>
    </row>
    <row r="560">
      <c r="A560" s="300"/>
      <c r="B560" s="285"/>
      <c r="C560" s="285"/>
      <c r="D560" s="299"/>
      <c r="E560" s="286"/>
      <c r="F560" s="286"/>
      <c r="G560" s="301"/>
      <c r="H560" s="302"/>
    </row>
    <row r="561">
      <c r="A561" s="300"/>
      <c r="B561" s="285"/>
      <c r="C561" s="285"/>
      <c r="D561" s="299"/>
      <c r="E561" s="286"/>
      <c r="F561" s="286"/>
      <c r="G561" s="301"/>
      <c r="H561" s="302"/>
    </row>
    <row r="562">
      <c r="A562" s="300"/>
      <c r="B562" s="285"/>
      <c r="C562" s="285"/>
      <c r="D562" s="299"/>
      <c r="E562" s="286"/>
      <c r="F562" s="286"/>
      <c r="G562" s="301"/>
      <c r="H562" s="302"/>
    </row>
    <row r="563">
      <c r="A563" s="300"/>
      <c r="B563" s="285"/>
      <c r="C563" s="285"/>
      <c r="D563" s="299"/>
      <c r="E563" s="286"/>
      <c r="F563" s="286"/>
      <c r="G563" s="301"/>
      <c r="H563" s="302"/>
    </row>
    <row r="564">
      <c r="A564" s="300"/>
      <c r="B564" s="285"/>
      <c r="C564" s="285"/>
      <c r="D564" s="299"/>
      <c r="E564" s="286"/>
      <c r="F564" s="286"/>
      <c r="G564" s="301"/>
      <c r="H564" s="302"/>
    </row>
    <row r="565">
      <c r="A565" s="300"/>
      <c r="B565" s="285"/>
      <c r="C565" s="285"/>
      <c r="D565" s="299"/>
      <c r="E565" s="286"/>
      <c r="F565" s="286"/>
      <c r="G565" s="301"/>
      <c r="H565" s="302"/>
    </row>
    <row r="566">
      <c r="A566" s="300"/>
      <c r="B566" s="285"/>
      <c r="C566" s="285"/>
      <c r="D566" s="299"/>
      <c r="E566" s="286"/>
      <c r="F566" s="286"/>
      <c r="G566" s="301"/>
      <c r="H566" s="302"/>
    </row>
    <row r="567">
      <c r="A567" s="300"/>
      <c r="B567" s="285"/>
      <c r="C567" s="285"/>
      <c r="D567" s="299"/>
      <c r="E567" s="286"/>
      <c r="F567" s="286"/>
      <c r="G567" s="301"/>
      <c r="H567" s="302"/>
    </row>
    <row r="568">
      <c r="A568" s="300"/>
      <c r="B568" s="285"/>
      <c r="C568" s="285"/>
      <c r="D568" s="299"/>
      <c r="E568" s="286"/>
      <c r="F568" s="286"/>
      <c r="G568" s="301"/>
      <c r="H568" s="302"/>
    </row>
    <row r="569">
      <c r="A569" s="300"/>
      <c r="B569" s="285"/>
      <c r="C569" s="285"/>
      <c r="D569" s="299"/>
      <c r="E569" s="286"/>
      <c r="F569" s="286"/>
      <c r="G569" s="301"/>
      <c r="H569" s="302"/>
    </row>
    <row r="570">
      <c r="A570" s="300"/>
      <c r="B570" s="285"/>
      <c r="C570" s="285"/>
      <c r="D570" s="299"/>
      <c r="E570" s="286"/>
      <c r="F570" s="286"/>
      <c r="G570" s="301"/>
      <c r="H570" s="302"/>
    </row>
    <row r="571">
      <c r="A571" s="300"/>
      <c r="B571" s="285"/>
      <c r="C571" s="285"/>
      <c r="D571" s="299"/>
      <c r="E571" s="286"/>
      <c r="F571" s="286"/>
      <c r="G571" s="301"/>
      <c r="H571" s="302"/>
    </row>
    <row r="572">
      <c r="A572" s="300"/>
      <c r="B572" s="285"/>
      <c r="C572" s="285"/>
      <c r="D572" s="299"/>
      <c r="E572" s="286"/>
      <c r="F572" s="286"/>
      <c r="G572" s="301"/>
      <c r="H572" s="302"/>
    </row>
    <row r="573">
      <c r="A573" s="300"/>
      <c r="B573" s="285"/>
      <c r="C573" s="285"/>
      <c r="D573" s="299"/>
      <c r="E573" s="286"/>
      <c r="F573" s="286"/>
      <c r="G573" s="301"/>
      <c r="H573" s="302"/>
    </row>
    <row r="574">
      <c r="A574" s="300"/>
      <c r="B574" s="285"/>
      <c r="C574" s="285"/>
      <c r="D574" s="299"/>
      <c r="E574" s="286"/>
      <c r="F574" s="286"/>
      <c r="G574" s="301"/>
      <c r="H574" s="302"/>
    </row>
    <row r="575">
      <c r="A575" s="300"/>
      <c r="B575" s="285"/>
      <c r="C575" s="285"/>
      <c r="D575" s="299"/>
      <c r="E575" s="286"/>
      <c r="F575" s="286"/>
      <c r="G575" s="301"/>
      <c r="H575" s="302"/>
    </row>
    <row r="576">
      <c r="A576" s="300"/>
      <c r="B576" s="285"/>
      <c r="C576" s="285"/>
      <c r="D576" s="299"/>
      <c r="E576" s="286"/>
      <c r="F576" s="286"/>
      <c r="G576" s="301"/>
      <c r="H576" s="302"/>
    </row>
    <row r="577">
      <c r="A577" s="300"/>
      <c r="B577" s="285"/>
      <c r="C577" s="285"/>
      <c r="D577" s="299"/>
      <c r="E577" s="286"/>
      <c r="F577" s="286"/>
      <c r="G577" s="301"/>
      <c r="H577" s="302"/>
    </row>
    <row r="578">
      <c r="A578" s="300"/>
      <c r="B578" s="285"/>
      <c r="C578" s="285"/>
      <c r="D578" s="299"/>
      <c r="E578" s="286"/>
      <c r="F578" s="286"/>
      <c r="G578" s="301"/>
      <c r="H578" s="302"/>
    </row>
    <row r="579">
      <c r="A579" s="300"/>
      <c r="B579" s="285"/>
      <c r="C579" s="285"/>
      <c r="D579" s="299"/>
      <c r="E579" s="286"/>
      <c r="F579" s="286"/>
      <c r="G579" s="301"/>
      <c r="H579" s="302"/>
    </row>
    <row r="580">
      <c r="A580" s="300"/>
      <c r="B580" s="285"/>
      <c r="C580" s="285"/>
      <c r="D580" s="299"/>
      <c r="E580" s="286"/>
      <c r="F580" s="286"/>
      <c r="G580" s="301"/>
      <c r="H580" s="302"/>
    </row>
    <row r="581">
      <c r="A581" s="300"/>
      <c r="B581" s="285"/>
      <c r="C581" s="285"/>
      <c r="D581" s="299"/>
      <c r="E581" s="286"/>
      <c r="F581" s="286"/>
      <c r="G581" s="301"/>
      <c r="H581" s="302"/>
    </row>
    <row r="582">
      <c r="A582" s="300"/>
      <c r="B582" s="285"/>
      <c r="C582" s="285"/>
      <c r="D582" s="299"/>
      <c r="E582" s="286"/>
      <c r="F582" s="286"/>
      <c r="G582" s="301"/>
      <c r="H582" s="302"/>
    </row>
    <row r="583">
      <c r="A583" s="300"/>
      <c r="B583" s="285"/>
      <c r="C583" s="285"/>
      <c r="D583" s="299"/>
      <c r="E583" s="286"/>
      <c r="F583" s="286"/>
      <c r="G583" s="301"/>
      <c r="H583" s="302"/>
    </row>
    <row r="584">
      <c r="A584" s="300"/>
      <c r="B584" s="285"/>
      <c r="C584" s="285"/>
      <c r="D584" s="299"/>
      <c r="E584" s="286"/>
      <c r="F584" s="286"/>
      <c r="G584" s="301"/>
      <c r="H584" s="302"/>
    </row>
    <row r="585">
      <c r="A585" s="300"/>
      <c r="B585" s="285"/>
      <c r="C585" s="285"/>
      <c r="D585" s="299"/>
      <c r="E585" s="286"/>
      <c r="F585" s="286"/>
      <c r="G585" s="301"/>
      <c r="H585" s="302"/>
    </row>
    <row r="586">
      <c r="A586" s="300"/>
      <c r="B586" s="285"/>
      <c r="C586" s="285"/>
      <c r="D586" s="299"/>
      <c r="E586" s="286"/>
      <c r="F586" s="286"/>
      <c r="G586" s="301"/>
      <c r="H586" s="302"/>
    </row>
    <row r="587">
      <c r="A587" s="300"/>
      <c r="B587" s="285"/>
      <c r="C587" s="285"/>
      <c r="D587" s="299"/>
      <c r="E587" s="286"/>
      <c r="F587" s="286"/>
      <c r="G587" s="301"/>
      <c r="H587" s="302"/>
    </row>
    <row r="588">
      <c r="A588" s="300"/>
      <c r="B588" s="285"/>
      <c r="C588" s="285"/>
      <c r="D588" s="299"/>
      <c r="E588" s="286"/>
      <c r="F588" s="286"/>
      <c r="G588" s="301"/>
      <c r="H588" s="302"/>
    </row>
    <row r="589">
      <c r="A589" s="300"/>
      <c r="B589" s="285"/>
      <c r="C589" s="285"/>
      <c r="D589" s="299"/>
      <c r="E589" s="286"/>
      <c r="F589" s="286"/>
      <c r="G589" s="301"/>
      <c r="H589" s="302"/>
    </row>
    <row r="590">
      <c r="A590" s="300"/>
      <c r="B590" s="285"/>
      <c r="C590" s="285"/>
      <c r="D590" s="299"/>
      <c r="E590" s="286"/>
      <c r="F590" s="286"/>
      <c r="G590" s="301"/>
      <c r="H590" s="302"/>
    </row>
    <row r="591">
      <c r="A591" s="300"/>
      <c r="B591" s="285"/>
      <c r="C591" s="285"/>
      <c r="D591" s="299"/>
      <c r="E591" s="286"/>
      <c r="F591" s="286"/>
      <c r="G591" s="301"/>
      <c r="H591" s="302"/>
    </row>
    <row r="592">
      <c r="A592" s="300"/>
      <c r="B592" s="285"/>
      <c r="C592" s="285"/>
      <c r="D592" s="299"/>
      <c r="E592" s="286"/>
      <c r="F592" s="286"/>
      <c r="G592" s="301"/>
      <c r="H592" s="302"/>
    </row>
    <row r="593">
      <c r="A593" s="300"/>
      <c r="B593" s="285"/>
      <c r="C593" s="285"/>
      <c r="D593" s="299"/>
      <c r="E593" s="286"/>
      <c r="F593" s="286"/>
      <c r="G593" s="301"/>
      <c r="H593" s="302"/>
    </row>
    <row r="594">
      <c r="A594" s="300"/>
      <c r="B594" s="285"/>
      <c r="C594" s="285"/>
      <c r="D594" s="299"/>
      <c r="E594" s="286"/>
      <c r="F594" s="286"/>
      <c r="G594" s="301"/>
      <c r="H594" s="302"/>
    </row>
    <row r="595">
      <c r="A595" s="300"/>
      <c r="B595" s="285"/>
      <c r="C595" s="285"/>
      <c r="D595" s="299"/>
      <c r="E595" s="286"/>
      <c r="F595" s="286"/>
      <c r="G595" s="301"/>
      <c r="H595" s="302"/>
    </row>
    <row r="596">
      <c r="A596" s="300"/>
      <c r="B596" s="285"/>
      <c r="C596" s="285"/>
      <c r="D596" s="299"/>
      <c r="E596" s="286"/>
      <c r="F596" s="286"/>
      <c r="G596" s="301"/>
      <c r="H596" s="302"/>
    </row>
    <row r="597">
      <c r="A597" s="300"/>
      <c r="B597" s="285"/>
      <c r="C597" s="285"/>
      <c r="D597" s="299"/>
      <c r="E597" s="286"/>
      <c r="F597" s="286"/>
      <c r="G597" s="301"/>
      <c r="H597" s="302"/>
    </row>
    <row r="598">
      <c r="A598" s="300"/>
      <c r="B598" s="285"/>
      <c r="C598" s="285"/>
      <c r="D598" s="299"/>
      <c r="E598" s="286"/>
      <c r="F598" s="286"/>
      <c r="G598" s="301"/>
      <c r="H598" s="302"/>
    </row>
    <row r="599">
      <c r="A599" s="300"/>
      <c r="B599" s="285"/>
      <c r="C599" s="285"/>
      <c r="D599" s="299"/>
      <c r="E599" s="286"/>
      <c r="F599" s="286"/>
      <c r="G599" s="301"/>
      <c r="H599" s="302"/>
    </row>
    <row r="600">
      <c r="A600" s="300"/>
      <c r="B600" s="285"/>
      <c r="C600" s="285"/>
      <c r="D600" s="299"/>
      <c r="E600" s="286"/>
      <c r="F600" s="286"/>
      <c r="G600" s="301"/>
      <c r="H600" s="302"/>
    </row>
    <row r="601">
      <c r="A601" s="300"/>
      <c r="B601" s="285"/>
      <c r="C601" s="285"/>
      <c r="D601" s="299"/>
      <c r="E601" s="286"/>
      <c r="F601" s="286"/>
      <c r="G601" s="301"/>
      <c r="H601" s="302"/>
    </row>
    <row r="602">
      <c r="A602" s="300"/>
      <c r="B602" s="285"/>
      <c r="C602" s="285"/>
      <c r="D602" s="299"/>
      <c r="E602" s="286"/>
      <c r="F602" s="286"/>
      <c r="G602" s="301"/>
      <c r="H602" s="302"/>
    </row>
    <row r="603">
      <c r="A603" s="300"/>
      <c r="B603" s="285"/>
      <c r="C603" s="285"/>
      <c r="D603" s="299"/>
      <c r="E603" s="286"/>
      <c r="F603" s="286"/>
      <c r="G603" s="301"/>
      <c r="H603" s="302"/>
    </row>
    <row r="604">
      <c r="A604" s="300"/>
      <c r="B604" s="285"/>
      <c r="C604" s="285"/>
      <c r="D604" s="299"/>
      <c r="E604" s="286"/>
      <c r="F604" s="286"/>
      <c r="G604" s="301"/>
      <c r="H604" s="302"/>
    </row>
    <row r="605">
      <c r="A605" s="300"/>
      <c r="B605" s="285"/>
      <c r="C605" s="285"/>
      <c r="D605" s="299"/>
      <c r="E605" s="286"/>
      <c r="F605" s="286"/>
      <c r="G605" s="301"/>
      <c r="H605" s="302"/>
    </row>
    <row r="606">
      <c r="A606" s="300"/>
      <c r="B606" s="285"/>
      <c r="C606" s="285"/>
      <c r="D606" s="299"/>
      <c r="E606" s="286"/>
      <c r="F606" s="286"/>
      <c r="G606" s="301"/>
      <c r="H606" s="302"/>
    </row>
    <row r="607">
      <c r="A607" s="300"/>
      <c r="B607" s="285"/>
      <c r="C607" s="285"/>
      <c r="D607" s="299"/>
      <c r="E607" s="286"/>
      <c r="F607" s="286"/>
      <c r="G607" s="301"/>
      <c r="H607" s="302"/>
    </row>
    <row r="608">
      <c r="A608" s="300"/>
      <c r="B608" s="285"/>
      <c r="C608" s="285"/>
      <c r="D608" s="299"/>
      <c r="E608" s="286"/>
      <c r="F608" s="286"/>
      <c r="G608" s="301"/>
      <c r="H608" s="302"/>
    </row>
    <row r="609">
      <c r="A609" s="300"/>
      <c r="B609" s="285"/>
      <c r="C609" s="285"/>
      <c r="D609" s="299"/>
      <c r="E609" s="286"/>
      <c r="F609" s="286"/>
      <c r="G609" s="301"/>
      <c r="H609" s="302"/>
    </row>
    <row r="610">
      <c r="A610" s="300"/>
      <c r="B610" s="285"/>
      <c r="C610" s="285"/>
      <c r="D610" s="299"/>
      <c r="E610" s="286"/>
      <c r="F610" s="286"/>
      <c r="G610" s="301"/>
      <c r="H610" s="302"/>
    </row>
    <row r="611">
      <c r="A611" s="300"/>
      <c r="B611" s="285"/>
      <c r="C611" s="285"/>
      <c r="D611" s="299"/>
      <c r="E611" s="286"/>
      <c r="F611" s="286"/>
      <c r="G611" s="301"/>
      <c r="H611" s="302"/>
    </row>
    <row r="612">
      <c r="A612" s="300"/>
      <c r="B612" s="285"/>
      <c r="C612" s="285"/>
      <c r="D612" s="299"/>
      <c r="E612" s="286"/>
      <c r="F612" s="286"/>
      <c r="G612" s="301"/>
      <c r="H612" s="302"/>
    </row>
    <row r="613">
      <c r="A613" s="300"/>
      <c r="B613" s="285"/>
      <c r="C613" s="285"/>
      <c r="D613" s="299"/>
      <c r="E613" s="286"/>
      <c r="F613" s="286"/>
      <c r="G613" s="301"/>
      <c r="H613" s="302"/>
    </row>
    <row r="614">
      <c r="A614" s="300"/>
      <c r="B614" s="285"/>
      <c r="C614" s="285"/>
      <c r="D614" s="299"/>
      <c r="E614" s="286"/>
      <c r="F614" s="286"/>
      <c r="G614" s="301"/>
      <c r="H614" s="302"/>
    </row>
    <row r="615">
      <c r="A615" s="300"/>
      <c r="B615" s="285"/>
      <c r="C615" s="285"/>
      <c r="D615" s="299"/>
      <c r="E615" s="286"/>
      <c r="F615" s="286"/>
      <c r="G615" s="301"/>
      <c r="H615" s="302"/>
    </row>
    <row r="616">
      <c r="A616" s="300"/>
      <c r="B616" s="285"/>
      <c r="C616" s="285"/>
      <c r="D616" s="299"/>
      <c r="E616" s="286"/>
      <c r="F616" s="286"/>
      <c r="G616" s="301"/>
      <c r="H616" s="302"/>
    </row>
    <row r="617">
      <c r="A617" s="300"/>
      <c r="B617" s="285"/>
      <c r="C617" s="285"/>
      <c r="D617" s="299"/>
      <c r="E617" s="286"/>
      <c r="F617" s="286"/>
      <c r="G617" s="301"/>
      <c r="H617" s="302"/>
    </row>
    <row r="618">
      <c r="A618" s="300"/>
      <c r="B618" s="285"/>
      <c r="C618" s="285"/>
      <c r="D618" s="299"/>
      <c r="E618" s="286"/>
      <c r="F618" s="286"/>
      <c r="G618" s="301"/>
      <c r="H618" s="302"/>
    </row>
    <row r="619">
      <c r="A619" s="300"/>
      <c r="B619" s="285"/>
      <c r="C619" s="285"/>
      <c r="D619" s="299"/>
      <c r="E619" s="286"/>
      <c r="F619" s="286"/>
      <c r="G619" s="301"/>
      <c r="H619" s="302"/>
    </row>
    <row r="620">
      <c r="A620" s="300"/>
      <c r="B620" s="285"/>
      <c r="C620" s="285"/>
      <c r="D620" s="299"/>
      <c r="E620" s="286"/>
      <c r="F620" s="286"/>
      <c r="G620" s="301"/>
      <c r="H620" s="302"/>
    </row>
    <row r="621">
      <c r="A621" s="300"/>
      <c r="B621" s="285"/>
      <c r="C621" s="285"/>
      <c r="D621" s="299"/>
      <c r="E621" s="286"/>
      <c r="F621" s="286"/>
      <c r="G621" s="301"/>
      <c r="H621" s="302"/>
    </row>
    <row r="622">
      <c r="A622" s="300"/>
      <c r="B622" s="285"/>
      <c r="C622" s="285"/>
      <c r="D622" s="299"/>
      <c r="E622" s="286"/>
      <c r="F622" s="286"/>
      <c r="G622" s="301"/>
      <c r="H622" s="302"/>
    </row>
    <row r="623">
      <c r="A623" s="300"/>
      <c r="B623" s="285"/>
      <c r="C623" s="285"/>
      <c r="D623" s="299"/>
      <c r="E623" s="286"/>
      <c r="F623" s="286"/>
      <c r="G623" s="301"/>
      <c r="H623" s="302"/>
    </row>
    <row r="624">
      <c r="A624" s="300"/>
      <c r="B624" s="285"/>
      <c r="C624" s="285"/>
      <c r="D624" s="299"/>
      <c r="E624" s="286"/>
      <c r="F624" s="286"/>
      <c r="G624" s="301"/>
      <c r="H624" s="302"/>
    </row>
    <row r="625">
      <c r="A625" s="300"/>
      <c r="B625" s="285"/>
      <c r="C625" s="285"/>
      <c r="D625" s="299"/>
      <c r="E625" s="286"/>
      <c r="F625" s="286"/>
      <c r="G625" s="301"/>
      <c r="H625" s="302"/>
    </row>
    <row r="626">
      <c r="A626" s="300"/>
      <c r="B626" s="285"/>
      <c r="C626" s="285"/>
      <c r="D626" s="299"/>
      <c r="E626" s="286"/>
      <c r="F626" s="286"/>
      <c r="G626" s="301"/>
      <c r="H626" s="302"/>
    </row>
    <row r="627">
      <c r="A627" s="300"/>
      <c r="B627" s="285"/>
      <c r="C627" s="285"/>
      <c r="D627" s="299"/>
      <c r="E627" s="286"/>
      <c r="F627" s="286"/>
      <c r="G627" s="301"/>
      <c r="H627" s="302"/>
    </row>
    <row r="628">
      <c r="A628" s="300"/>
      <c r="B628" s="285"/>
      <c r="C628" s="285"/>
      <c r="D628" s="299"/>
      <c r="E628" s="286"/>
      <c r="F628" s="286"/>
      <c r="G628" s="301"/>
      <c r="H628" s="302"/>
    </row>
    <row r="629">
      <c r="A629" s="300"/>
      <c r="B629" s="285"/>
      <c r="C629" s="285"/>
      <c r="D629" s="299"/>
      <c r="E629" s="286"/>
      <c r="F629" s="286"/>
      <c r="G629" s="301"/>
      <c r="H629" s="302"/>
    </row>
    <row r="630">
      <c r="A630" s="300"/>
      <c r="B630" s="285"/>
      <c r="C630" s="285"/>
      <c r="D630" s="299"/>
      <c r="E630" s="286"/>
      <c r="F630" s="286"/>
      <c r="G630" s="301"/>
      <c r="H630" s="302"/>
    </row>
    <row r="631">
      <c r="A631" s="300"/>
      <c r="B631" s="285"/>
      <c r="C631" s="285"/>
      <c r="D631" s="299"/>
      <c r="E631" s="286"/>
      <c r="F631" s="286"/>
      <c r="G631" s="301"/>
      <c r="H631" s="302"/>
    </row>
    <row r="632">
      <c r="A632" s="300"/>
      <c r="B632" s="285"/>
      <c r="C632" s="285"/>
      <c r="D632" s="299"/>
      <c r="E632" s="286"/>
      <c r="F632" s="286"/>
      <c r="G632" s="301"/>
      <c r="H632" s="302"/>
    </row>
    <row r="633">
      <c r="A633" s="300"/>
      <c r="B633" s="285"/>
      <c r="C633" s="285"/>
      <c r="D633" s="299"/>
      <c r="E633" s="286"/>
      <c r="F633" s="286"/>
      <c r="G633" s="301"/>
      <c r="H633" s="302"/>
    </row>
    <row r="634">
      <c r="A634" s="300"/>
      <c r="B634" s="285"/>
      <c r="C634" s="285"/>
      <c r="D634" s="299"/>
      <c r="E634" s="286"/>
      <c r="F634" s="286"/>
      <c r="G634" s="301"/>
      <c r="H634" s="302"/>
    </row>
    <row r="635">
      <c r="A635" s="300"/>
      <c r="B635" s="285"/>
      <c r="C635" s="285"/>
      <c r="D635" s="299"/>
      <c r="E635" s="286"/>
      <c r="F635" s="286"/>
      <c r="G635" s="301"/>
      <c r="H635" s="302"/>
    </row>
    <row r="636">
      <c r="A636" s="300"/>
      <c r="B636" s="285"/>
      <c r="C636" s="285"/>
      <c r="D636" s="299"/>
      <c r="E636" s="286"/>
      <c r="F636" s="286"/>
      <c r="G636" s="301"/>
      <c r="H636" s="302"/>
    </row>
    <row r="637">
      <c r="A637" s="300"/>
      <c r="B637" s="285"/>
      <c r="C637" s="285"/>
      <c r="D637" s="299"/>
      <c r="E637" s="286"/>
      <c r="F637" s="286"/>
      <c r="G637" s="301"/>
      <c r="H637" s="302"/>
    </row>
    <row r="638">
      <c r="A638" s="300"/>
      <c r="B638" s="285"/>
      <c r="C638" s="285"/>
      <c r="D638" s="299"/>
      <c r="E638" s="286"/>
      <c r="F638" s="286"/>
      <c r="G638" s="301"/>
      <c r="H638" s="302"/>
    </row>
    <row r="639">
      <c r="A639" s="300"/>
      <c r="B639" s="285"/>
      <c r="C639" s="285"/>
      <c r="D639" s="299"/>
      <c r="E639" s="286"/>
      <c r="F639" s="286"/>
      <c r="G639" s="301"/>
      <c r="H639" s="302"/>
    </row>
    <row r="640">
      <c r="A640" s="300"/>
      <c r="B640" s="285"/>
      <c r="C640" s="285"/>
      <c r="D640" s="299"/>
      <c r="E640" s="286"/>
      <c r="F640" s="286"/>
      <c r="G640" s="301"/>
      <c r="H640" s="302"/>
    </row>
    <row r="641">
      <c r="A641" s="300"/>
      <c r="B641" s="285"/>
      <c r="C641" s="285"/>
      <c r="D641" s="299"/>
      <c r="E641" s="286"/>
      <c r="F641" s="286"/>
      <c r="G641" s="301"/>
      <c r="H641" s="302"/>
    </row>
    <row r="642">
      <c r="A642" s="300"/>
      <c r="B642" s="285"/>
      <c r="C642" s="285"/>
      <c r="D642" s="299"/>
      <c r="E642" s="286"/>
      <c r="F642" s="286"/>
      <c r="G642" s="301"/>
      <c r="H642" s="302"/>
    </row>
    <row r="643">
      <c r="A643" s="300"/>
      <c r="B643" s="285"/>
      <c r="C643" s="285"/>
      <c r="D643" s="299"/>
      <c r="E643" s="286"/>
      <c r="F643" s="286"/>
      <c r="G643" s="301"/>
      <c r="H643" s="302"/>
    </row>
    <row r="644">
      <c r="A644" s="300"/>
      <c r="B644" s="285"/>
      <c r="C644" s="285"/>
      <c r="D644" s="299"/>
      <c r="E644" s="286"/>
      <c r="F644" s="286"/>
      <c r="G644" s="301"/>
      <c r="H644" s="302"/>
    </row>
    <row r="645">
      <c r="A645" s="300"/>
      <c r="B645" s="285"/>
      <c r="C645" s="285"/>
      <c r="D645" s="299"/>
      <c r="E645" s="286"/>
      <c r="F645" s="286"/>
      <c r="G645" s="301"/>
      <c r="H645" s="302"/>
    </row>
    <row r="646">
      <c r="A646" s="300"/>
      <c r="B646" s="285"/>
      <c r="C646" s="285"/>
      <c r="D646" s="299"/>
      <c r="E646" s="286"/>
      <c r="F646" s="286"/>
      <c r="G646" s="301"/>
      <c r="H646" s="302"/>
    </row>
    <row r="647">
      <c r="A647" s="300"/>
      <c r="B647" s="285"/>
      <c r="C647" s="285"/>
      <c r="D647" s="299"/>
      <c r="E647" s="286"/>
      <c r="F647" s="286"/>
      <c r="G647" s="301"/>
      <c r="H647" s="302"/>
    </row>
    <row r="648">
      <c r="A648" s="300"/>
      <c r="B648" s="285"/>
      <c r="C648" s="285"/>
      <c r="D648" s="299"/>
      <c r="E648" s="286"/>
      <c r="F648" s="286"/>
      <c r="G648" s="301"/>
      <c r="H648" s="302"/>
    </row>
    <row r="649">
      <c r="A649" s="300"/>
      <c r="B649" s="285"/>
      <c r="C649" s="285"/>
      <c r="D649" s="299"/>
      <c r="E649" s="286"/>
      <c r="F649" s="286"/>
      <c r="G649" s="301"/>
      <c r="H649" s="302"/>
    </row>
    <row r="650">
      <c r="A650" s="300"/>
      <c r="B650" s="285"/>
      <c r="C650" s="285"/>
      <c r="D650" s="299"/>
      <c r="E650" s="286"/>
      <c r="F650" s="286"/>
      <c r="G650" s="301"/>
      <c r="H650" s="302"/>
    </row>
    <row r="651">
      <c r="A651" s="300"/>
      <c r="B651" s="285"/>
      <c r="C651" s="285"/>
      <c r="D651" s="299"/>
      <c r="E651" s="286"/>
      <c r="F651" s="286"/>
      <c r="G651" s="301"/>
      <c r="H651" s="302"/>
    </row>
    <row r="652">
      <c r="A652" s="300"/>
      <c r="B652" s="285"/>
      <c r="C652" s="285"/>
      <c r="D652" s="299"/>
      <c r="E652" s="286"/>
      <c r="F652" s="286"/>
      <c r="G652" s="301"/>
      <c r="H652" s="302"/>
    </row>
    <row r="653">
      <c r="A653" s="300"/>
      <c r="B653" s="285"/>
      <c r="C653" s="285"/>
      <c r="D653" s="299"/>
      <c r="E653" s="286"/>
      <c r="F653" s="286"/>
      <c r="G653" s="301"/>
      <c r="H653" s="302"/>
    </row>
    <row r="654">
      <c r="A654" s="300"/>
      <c r="B654" s="285"/>
      <c r="C654" s="285"/>
      <c r="D654" s="299"/>
      <c r="E654" s="286"/>
      <c r="F654" s="286"/>
      <c r="G654" s="301"/>
      <c r="H654" s="302"/>
    </row>
    <row r="655">
      <c r="A655" s="300"/>
      <c r="B655" s="285"/>
      <c r="C655" s="285"/>
      <c r="D655" s="299"/>
      <c r="E655" s="286"/>
      <c r="F655" s="286"/>
      <c r="G655" s="301"/>
      <c r="H655" s="302"/>
    </row>
    <row r="656">
      <c r="A656" s="300"/>
      <c r="B656" s="285"/>
      <c r="C656" s="285"/>
      <c r="D656" s="299"/>
      <c r="E656" s="286"/>
      <c r="F656" s="286"/>
      <c r="G656" s="301"/>
      <c r="H656" s="302"/>
    </row>
    <row r="657">
      <c r="A657" s="300"/>
      <c r="B657" s="285"/>
      <c r="C657" s="285"/>
      <c r="D657" s="299"/>
      <c r="E657" s="286"/>
      <c r="F657" s="286"/>
      <c r="G657" s="301"/>
      <c r="H657" s="302"/>
    </row>
    <row r="658">
      <c r="A658" s="300"/>
      <c r="B658" s="285"/>
      <c r="C658" s="285"/>
      <c r="D658" s="299"/>
      <c r="E658" s="286"/>
      <c r="F658" s="286"/>
      <c r="G658" s="301"/>
      <c r="H658" s="302"/>
    </row>
    <row r="659">
      <c r="A659" s="300"/>
      <c r="B659" s="285"/>
      <c r="C659" s="285"/>
      <c r="D659" s="299"/>
      <c r="E659" s="286"/>
      <c r="F659" s="286"/>
      <c r="G659" s="301"/>
      <c r="H659" s="302"/>
    </row>
    <row r="660">
      <c r="A660" s="300"/>
      <c r="B660" s="285"/>
      <c r="C660" s="285"/>
      <c r="D660" s="299"/>
      <c r="E660" s="286"/>
      <c r="F660" s="286"/>
      <c r="G660" s="301"/>
      <c r="H660" s="302"/>
    </row>
    <row r="661">
      <c r="A661" s="300"/>
      <c r="B661" s="285"/>
      <c r="C661" s="285"/>
      <c r="D661" s="299"/>
      <c r="E661" s="286"/>
      <c r="F661" s="286"/>
      <c r="G661" s="301"/>
      <c r="H661" s="302"/>
    </row>
    <row r="662">
      <c r="A662" s="300"/>
      <c r="B662" s="285"/>
      <c r="C662" s="285"/>
      <c r="D662" s="299"/>
      <c r="E662" s="286"/>
      <c r="F662" s="286"/>
      <c r="G662" s="301"/>
      <c r="H662" s="302"/>
    </row>
    <row r="663">
      <c r="A663" s="300"/>
      <c r="B663" s="285"/>
      <c r="C663" s="285"/>
      <c r="D663" s="299"/>
      <c r="E663" s="286"/>
      <c r="F663" s="286"/>
      <c r="G663" s="301"/>
      <c r="H663" s="302"/>
    </row>
    <row r="664">
      <c r="A664" s="300"/>
      <c r="B664" s="285"/>
      <c r="C664" s="285"/>
      <c r="D664" s="299"/>
      <c r="E664" s="286"/>
      <c r="F664" s="286"/>
      <c r="G664" s="301"/>
      <c r="H664" s="302"/>
    </row>
    <row r="665">
      <c r="A665" s="300"/>
      <c r="B665" s="285"/>
      <c r="C665" s="285"/>
      <c r="D665" s="299"/>
      <c r="E665" s="286"/>
      <c r="F665" s="286"/>
      <c r="G665" s="301"/>
      <c r="H665" s="302"/>
    </row>
    <row r="666">
      <c r="A666" s="300"/>
      <c r="B666" s="285"/>
      <c r="C666" s="285"/>
      <c r="D666" s="299"/>
      <c r="E666" s="286"/>
      <c r="F666" s="286"/>
      <c r="G666" s="301"/>
      <c r="H666" s="302"/>
    </row>
    <row r="667">
      <c r="A667" s="300"/>
      <c r="B667" s="285"/>
      <c r="C667" s="285"/>
      <c r="D667" s="299"/>
      <c r="E667" s="286"/>
      <c r="F667" s="286"/>
      <c r="G667" s="301"/>
      <c r="H667" s="302"/>
    </row>
    <row r="668">
      <c r="A668" s="300"/>
      <c r="B668" s="285"/>
      <c r="C668" s="285"/>
      <c r="D668" s="299"/>
      <c r="E668" s="286"/>
      <c r="F668" s="286"/>
      <c r="G668" s="301"/>
      <c r="H668" s="302"/>
    </row>
    <row r="669">
      <c r="A669" s="300"/>
      <c r="B669" s="285"/>
      <c r="C669" s="285"/>
      <c r="D669" s="299"/>
      <c r="E669" s="286"/>
      <c r="F669" s="286"/>
      <c r="G669" s="301"/>
      <c r="H669" s="302"/>
    </row>
    <row r="670">
      <c r="A670" s="300"/>
      <c r="B670" s="285"/>
      <c r="C670" s="285"/>
      <c r="D670" s="299"/>
      <c r="E670" s="286"/>
      <c r="F670" s="286"/>
      <c r="G670" s="301"/>
      <c r="H670" s="302"/>
    </row>
    <row r="671">
      <c r="A671" s="300"/>
      <c r="B671" s="285"/>
      <c r="C671" s="285"/>
      <c r="D671" s="299"/>
      <c r="E671" s="286"/>
      <c r="F671" s="286"/>
      <c r="G671" s="301"/>
      <c r="H671" s="302"/>
    </row>
    <row r="672">
      <c r="A672" s="300"/>
      <c r="B672" s="285"/>
      <c r="C672" s="285"/>
      <c r="D672" s="299"/>
      <c r="E672" s="286"/>
      <c r="F672" s="286"/>
      <c r="G672" s="301"/>
      <c r="H672" s="302"/>
    </row>
    <row r="673">
      <c r="A673" s="300"/>
      <c r="B673" s="285"/>
      <c r="C673" s="285"/>
      <c r="D673" s="299"/>
      <c r="E673" s="286"/>
      <c r="F673" s="286"/>
      <c r="G673" s="301"/>
      <c r="H673" s="302"/>
    </row>
    <row r="674">
      <c r="A674" s="300"/>
      <c r="B674" s="285"/>
      <c r="C674" s="285"/>
      <c r="D674" s="299"/>
      <c r="E674" s="286"/>
      <c r="F674" s="286"/>
      <c r="G674" s="301"/>
      <c r="H674" s="302"/>
    </row>
    <row r="675">
      <c r="A675" s="300"/>
      <c r="B675" s="285"/>
      <c r="C675" s="285"/>
      <c r="D675" s="299"/>
      <c r="E675" s="286"/>
      <c r="F675" s="286"/>
      <c r="G675" s="301"/>
      <c r="H675" s="302"/>
    </row>
    <row r="676">
      <c r="A676" s="300"/>
      <c r="B676" s="285"/>
      <c r="C676" s="285"/>
      <c r="D676" s="299"/>
      <c r="E676" s="286"/>
      <c r="F676" s="286"/>
      <c r="G676" s="301"/>
      <c r="H676" s="302"/>
    </row>
    <row r="677">
      <c r="A677" s="300"/>
      <c r="B677" s="285"/>
      <c r="C677" s="285"/>
      <c r="D677" s="299"/>
      <c r="E677" s="286"/>
      <c r="F677" s="286"/>
      <c r="G677" s="301"/>
      <c r="H677" s="302"/>
    </row>
    <row r="678">
      <c r="A678" s="300"/>
      <c r="B678" s="285"/>
      <c r="C678" s="285"/>
      <c r="D678" s="299"/>
      <c r="E678" s="286"/>
      <c r="F678" s="286"/>
      <c r="G678" s="301"/>
      <c r="H678" s="302"/>
    </row>
    <row r="679">
      <c r="A679" s="300"/>
      <c r="B679" s="285"/>
      <c r="C679" s="285"/>
      <c r="D679" s="299"/>
      <c r="E679" s="286"/>
      <c r="F679" s="286"/>
      <c r="G679" s="301"/>
      <c r="H679" s="302"/>
    </row>
    <row r="680">
      <c r="A680" s="300"/>
      <c r="B680" s="285"/>
      <c r="C680" s="285"/>
      <c r="D680" s="299"/>
      <c r="E680" s="286"/>
      <c r="F680" s="286"/>
      <c r="G680" s="301"/>
      <c r="H680" s="302"/>
    </row>
    <row r="681">
      <c r="A681" s="300"/>
      <c r="B681" s="285"/>
      <c r="C681" s="285"/>
      <c r="D681" s="299"/>
      <c r="E681" s="286"/>
      <c r="F681" s="286"/>
      <c r="G681" s="301"/>
      <c r="H681" s="302"/>
    </row>
    <row r="682">
      <c r="A682" s="300"/>
      <c r="B682" s="285"/>
      <c r="C682" s="285"/>
      <c r="D682" s="299"/>
      <c r="E682" s="286"/>
      <c r="F682" s="286"/>
      <c r="G682" s="301"/>
      <c r="H682" s="302"/>
    </row>
    <row r="683">
      <c r="A683" s="300"/>
      <c r="B683" s="285"/>
      <c r="C683" s="285"/>
      <c r="D683" s="299"/>
      <c r="E683" s="286"/>
      <c r="F683" s="286"/>
      <c r="G683" s="301"/>
      <c r="H683" s="302"/>
    </row>
    <row r="684">
      <c r="A684" s="300"/>
      <c r="B684" s="285"/>
      <c r="C684" s="285"/>
      <c r="D684" s="299"/>
      <c r="E684" s="286"/>
      <c r="F684" s="286"/>
      <c r="G684" s="301"/>
      <c r="H684" s="302"/>
    </row>
    <row r="685">
      <c r="A685" s="300"/>
      <c r="B685" s="285"/>
      <c r="C685" s="285"/>
      <c r="D685" s="299"/>
      <c r="E685" s="286"/>
      <c r="F685" s="286"/>
      <c r="G685" s="301"/>
      <c r="H685" s="302"/>
    </row>
    <row r="686">
      <c r="A686" s="300"/>
      <c r="B686" s="285"/>
      <c r="C686" s="285"/>
      <c r="D686" s="299"/>
      <c r="E686" s="286"/>
      <c r="F686" s="286"/>
      <c r="G686" s="301"/>
      <c r="H686" s="302"/>
    </row>
    <row r="687">
      <c r="A687" s="300"/>
      <c r="B687" s="285"/>
      <c r="C687" s="285"/>
      <c r="D687" s="299"/>
      <c r="E687" s="286"/>
      <c r="F687" s="286"/>
      <c r="G687" s="301"/>
      <c r="H687" s="302"/>
    </row>
    <row r="688">
      <c r="A688" s="300"/>
      <c r="B688" s="285"/>
      <c r="C688" s="285"/>
      <c r="D688" s="299"/>
      <c r="E688" s="286"/>
      <c r="F688" s="286"/>
      <c r="G688" s="301"/>
      <c r="H688" s="302"/>
    </row>
    <row r="689">
      <c r="A689" s="300"/>
      <c r="B689" s="285"/>
      <c r="C689" s="285"/>
      <c r="D689" s="299"/>
      <c r="E689" s="286"/>
      <c r="F689" s="286"/>
      <c r="G689" s="301"/>
      <c r="H689" s="302"/>
    </row>
    <row r="690">
      <c r="A690" s="300"/>
      <c r="B690" s="285"/>
      <c r="C690" s="285"/>
      <c r="D690" s="299"/>
      <c r="E690" s="286"/>
      <c r="F690" s="286"/>
      <c r="G690" s="301"/>
      <c r="H690" s="302"/>
    </row>
    <row r="691">
      <c r="A691" s="300"/>
      <c r="B691" s="285"/>
      <c r="C691" s="285"/>
      <c r="D691" s="299"/>
      <c r="E691" s="286"/>
      <c r="F691" s="286"/>
      <c r="G691" s="301"/>
      <c r="H691" s="302"/>
    </row>
    <row r="692">
      <c r="A692" s="300"/>
      <c r="B692" s="285"/>
      <c r="C692" s="285"/>
      <c r="D692" s="299"/>
      <c r="E692" s="286"/>
      <c r="F692" s="286"/>
      <c r="G692" s="301"/>
      <c r="H692" s="302"/>
    </row>
    <row r="693">
      <c r="A693" s="300"/>
      <c r="B693" s="285"/>
      <c r="C693" s="285"/>
      <c r="D693" s="299"/>
      <c r="E693" s="286"/>
      <c r="F693" s="286"/>
      <c r="G693" s="301"/>
      <c r="H693" s="302"/>
    </row>
    <row r="694">
      <c r="A694" s="300"/>
      <c r="B694" s="285"/>
      <c r="C694" s="285"/>
      <c r="D694" s="299"/>
      <c r="E694" s="286"/>
      <c r="F694" s="286"/>
      <c r="G694" s="301"/>
      <c r="H694" s="302"/>
    </row>
    <row r="695">
      <c r="A695" s="300"/>
      <c r="B695" s="285"/>
      <c r="C695" s="285"/>
      <c r="D695" s="299"/>
      <c r="E695" s="286"/>
      <c r="F695" s="286"/>
      <c r="G695" s="301"/>
      <c r="H695" s="302"/>
    </row>
    <row r="696">
      <c r="A696" s="300"/>
      <c r="B696" s="285"/>
      <c r="C696" s="285"/>
      <c r="D696" s="299"/>
      <c r="E696" s="286"/>
      <c r="F696" s="286"/>
      <c r="G696" s="301"/>
      <c r="H696" s="302"/>
    </row>
    <row r="697">
      <c r="A697" s="300"/>
      <c r="B697" s="285"/>
      <c r="C697" s="285"/>
      <c r="D697" s="299"/>
      <c r="E697" s="286"/>
      <c r="F697" s="286"/>
      <c r="G697" s="301"/>
      <c r="H697" s="302"/>
    </row>
    <row r="698">
      <c r="A698" s="300"/>
      <c r="B698" s="285"/>
      <c r="C698" s="285"/>
      <c r="D698" s="299"/>
      <c r="E698" s="286"/>
      <c r="F698" s="286"/>
      <c r="G698" s="301"/>
      <c r="H698" s="302"/>
    </row>
    <row r="699">
      <c r="A699" s="300"/>
      <c r="B699" s="285"/>
      <c r="C699" s="285"/>
      <c r="D699" s="299"/>
      <c r="E699" s="286"/>
      <c r="F699" s="286"/>
      <c r="G699" s="301"/>
      <c r="H699" s="302"/>
    </row>
    <row r="700">
      <c r="A700" s="300"/>
      <c r="B700" s="285"/>
      <c r="C700" s="285"/>
      <c r="D700" s="299"/>
      <c r="E700" s="286"/>
      <c r="F700" s="286"/>
      <c r="G700" s="301"/>
      <c r="H700" s="302"/>
    </row>
    <row r="701">
      <c r="A701" s="300"/>
      <c r="B701" s="285"/>
      <c r="C701" s="285"/>
      <c r="D701" s="299"/>
      <c r="E701" s="286"/>
      <c r="F701" s="286"/>
      <c r="G701" s="301"/>
      <c r="H701" s="302"/>
    </row>
    <row r="702">
      <c r="A702" s="300"/>
      <c r="B702" s="285"/>
      <c r="C702" s="285"/>
      <c r="D702" s="299"/>
      <c r="E702" s="286"/>
      <c r="F702" s="286"/>
      <c r="G702" s="301"/>
      <c r="H702" s="302"/>
    </row>
    <row r="703">
      <c r="A703" s="300"/>
      <c r="B703" s="285"/>
      <c r="C703" s="285"/>
      <c r="D703" s="299"/>
      <c r="E703" s="286"/>
      <c r="F703" s="286"/>
      <c r="G703" s="301"/>
      <c r="H703" s="302"/>
    </row>
    <row r="704">
      <c r="A704" s="300"/>
      <c r="B704" s="285"/>
      <c r="C704" s="285"/>
      <c r="D704" s="299"/>
      <c r="E704" s="286"/>
      <c r="F704" s="286"/>
      <c r="G704" s="301"/>
      <c r="H704" s="302"/>
    </row>
    <row r="705">
      <c r="A705" s="300"/>
      <c r="B705" s="285"/>
      <c r="C705" s="285"/>
      <c r="D705" s="299"/>
      <c r="E705" s="286"/>
      <c r="F705" s="286"/>
      <c r="G705" s="301"/>
      <c r="H705" s="302"/>
    </row>
    <row r="706">
      <c r="A706" s="300"/>
      <c r="B706" s="285"/>
      <c r="C706" s="285"/>
      <c r="D706" s="299"/>
      <c r="E706" s="286"/>
      <c r="F706" s="286"/>
      <c r="G706" s="301"/>
      <c r="H706" s="302"/>
    </row>
    <row r="707">
      <c r="A707" s="300"/>
      <c r="B707" s="285"/>
      <c r="C707" s="285"/>
      <c r="D707" s="299"/>
      <c r="E707" s="286"/>
      <c r="F707" s="286"/>
      <c r="G707" s="301"/>
      <c r="H707" s="302"/>
    </row>
    <row r="708">
      <c r="A708" s="300"/>
      <c r="B708" s="285"/>
      <c r="C708" s="285"/>
      <c r="D708" s="299"/>
      <c r="E708" s="286"/>
      <c r="F708" s="286"/>
      <c r="G708" s="301"/>
      <c r="H708" s="302"/>
    </row>
    <row r="709">
      <c r="A709" s="300"/>
      <c r="B709" s="285"/>
      <c r="C709" s="285"/>
      <c r="D709" s="299"/>
      <c r="E709" s="286"/>
      <c r="F709" s="286"/>
      <c r="G709" s="301"/>
      <c r="H709" s="302"/>
    </row>
    <row r="710">
      <c r="A710" s="300"/>
      <c r="B710" s="285"/>
      <c r="C710" s="285"/>
      <c r="D710" s="299"/>
      <c r="E710" s="286"/>
      <c r="F710" s="286"/>
      <c r="G710" s="301"/>
      <c r="H710" s="302"/>
    </row>
    <row r="711">
      <c r="A711" s="300"/>
      <c r="B711" s="285"/>
      <c r="C711" s="285"/>
      <c r="D711" s="299"/>
      <c r="E711" s="286"/>
      <c r="F711" s="286"/>
      <c r="G711" s="301"/>
      <c r="H711" s="302"/>
    </row>
    <row r="712">
      <c r="A712" s="300"/>
      <c r="B712" s="285"/>
      <c r="C712" s="285"/>
      <c r="D712" s="299"/>
      <c r="E712" s="286"/>
      <c r="F712" s="286"/>
      <c r="G712" s="301"/>
      <c r="H712" s="302"/>
    </row>
    <row r="713">
      <c r="A713" s="300"/>
      <c r="B713" s="285"/>
      <c r="C713" s="285"/>
      <c r="D713" s="299"/>
      <c r="E713" s="286"/>
      <c r="F713" s="286"/>
      <c r="G713" s="301"/>
      <c r="H713" s="302"/>
    </row>
    <row r="714">
      <c r="A714" s="300"/>
      <c r="B714" s="285"/>
      <c r="C714" s="285"/>
      <c r="D714" s="299"/>
      <c r="E714" s="286"/>
      <c r="F714" s="286"/>
      <c r="G714" s="301"/>
      <c r="H714" s="302"/>
    </row>
    <row r="715">
      <c r="A715" s="300"/>
      <c r="B715" s="285"/>
      <c r="C715" s="285"/>
      <c r="D715" s="299"/>
      <c r="E715" s="286"/>
      <c r="F715" s="286"/>
      <c r="G715" s="301"/>
      <c r="H715" s="302"/>
    </row>
    <row r="716">
      <c r="A716" s="300"/>
      <c r="B716" s="285"/>
      <c r="C716" s="285"/>
      <c r="D716" s="299"/>
      <c r="E716" s="286"/>
      <c r="F716" s="286"/>
      <c r="G716" s="301"/>
      <c r="H716" s="302"/>
    </row>
    <row r="717">
      <c r="A717" s="300"/>
      <c r="B717" s="285"/>
      <c r="C717" s="285"/>
      <c r="D717" s="299"/>
      <c r="E717" s="286"/>
      <c r="F717" s="286"/>
      <c r="G717" s="301"/>
      <c r="H717" s="302"/>
    </row>
    <row r="718">
      <c r="A718" s="300"/>
      <c r="B718" s="285"/>
      <c r="C718" s="285"/>
      <c r="D718" s="299"/>
      <c r="E718" s="286"/>
      <c r="F718" s="286"/>
      <c r="G718" s="301"/>
      <c r="H718" s="302"/>
    </row>
    <row r="719">
      <c r="A719" s="300"/>
      <c r="B719" s="285"/>
      <c r="C719" s="285"/>
      <c r="D719" s="299"/>
      <c r="E719" s="286"/>
      <c r="F719" s="286"/>
      <c r="G719" s="301"/>
      <c r="H719" s="302"/>
    </row>
    <row r="720">
      <c r="A720" s="300"/>
      <c r="B720" s="285"/>
      <c r="C720" s="285"/>
      <c r="D720" s="299"/>
      <c r="E720" s="286"/>
      <c r="F720" s="286"/>
      <c r="G720" s="301"/>
      <c r="H720" s="302"/>
    </row>
    <row r="721">
      <c r="A721" s="300"/>
      <c r="B721" s="285"/>
      <c r="C721" s="285"/>
      <c r="D721" s="299"/>
      <c r="E721" s="286"/>
      <c r="F721" s="286"/>
      <c r="G721" s="301"/>
      <c r="H721" s="302"/>
    </row>
    <row r="722">
      <c r="A722" s="300"/>
      <c r="B722" s="285"/>
      <c r="C722" s="285"/>
      <c r="D722" s="299"/>
      <c r="E722" s="286"/>
      <c r="F722" s="286"/>
      <c r="G722" s="301"/>
      <c r="H722" s="302"/>
    </row>
    <row r="723">
      <c r="A723" s="300"/>
      <c r="B723" s="285"/>
      <c r="C723" s="285"/>
      <c r="D723" s="299"/>
      <c r="E723" s="286"/>
      <c r="F723" s="286"/>
      <c r="G723" s="301"/>
      <c r="H723" s="302"/>
    </row>
    <row r="724">
      <c r="A724" s="300"/>
      <c r="B724" s="285"/>
      <c r="C724" s="285"/>
      <c r="D724" s="299"/>
      <c r="E724" s="286"/>
      <c r="F724" s="286"/>
      <c r="G724" s="301"/>
      <c r="H724" s="302"/>
    </row>
    <row r="725">
      <c r="A725" s="300"/>
      <c r="B725" s="285"/>
      <c r="C725" s="285"/>
      <c r="D725" s="299"/>
      <c r="E725" s="286"/>
      <c r="F725" s="286"/>
      <c r="G725" s="301"/>
      <c r="H725" s="302"/>
    </row>
    <row r="726">
      <c r="A726" s="300"/>
      <c r="B726" s="285"/>
      <c r="C726" s="285"/>
      <c r="D726" s="299"/>
      <c r="E726" s="286"/>
      <c r="F726" s="286"/>
      <c r="G726" s="301"/>
      <c r="H726" s="302"/>
    </row>
    <row r="727">
      <c r="A727" s="300"/>
      <c r="B727" s="285"/>
      <c r="C727" s="285"/>
      <c r="D727" s="299"/>
      <c r="E727" s="286"/>
      <c r="F727" s="286"/>
      <c r="G727" s="301"/>
      <c r="H727" s="302"/>
    </row>
    <row r="728">
      <c r="A728" s="300"/>
      <c r="B728" s="285"/>
      <c r="C728" s="285"/>
      <c r="D728" s="299"/>
      <c r="E728" s="286"/>
      <c r="F728" s="286"/>
      <c r="G728" s="301"/>
      <c r="H728" s="302"/>
    </row>
    <row r="729">
      <c r="A729" s="300"/>
      <c r="B729" s="285"/>
      <c r="C729" s="285"/>
      <c r="D729" s="299"/>
      <c r="E729" s="286"/>
      <c r="F729" s="286"/>
      <c r="G729" s="301"/>
      <c r="H729" s="302"/>
    </row>
    <row r="730">
      <c r="A730" s="300"/>
      <c r="B730" s="285"/>
      <c r="C730" s="285"/>
      <c r="D730" s="299"/>
      <c r="E730" s="286"/>
      <c r="F730" s="286"/>
      <c r="G730" s="301"/>
      <c r="H730" s="302"/>
    </row>
    <row r="731">
      <c r="A731" s="300"/>
      <c r="B731" s="285"/>
      <c r="C731" s="285"/>
      <c r="D731" s="299"/>
      <c r="E731" s="286"/>
      <c r="F731" s="286"/>
      <c r="G731" s="301"/>
      <c r="H731" s="302"/>
    </row>
    <row r="732">
      <c r="A732" s="300"/>
      <c r="B732" s="285"/>
      <c r="C732" s="285"/>
      <c r="D732" s="299"/>
      <c r="E732" s="286"/>
      <c r="F732" s="286"/>
      <c r="G732" s="301"/>
      <c r="H732" s="302"/>
    </row>
    <row r="733">
      <c r="A733" s="300"/>
      <c r="B733" s="285"/>
      <c r="C733" s="285"/>
      <c r="D733" s="299"/>
      <c r="E733" s="286"/>
      <c r="F733" s="286"/>
      <c r="G733" s="301"/>
      <c r="H733" s="302"/>
    </row>
    <row r="734">
      <c r="A734" s="300"/>
      <c r="B734" s="285"/>
      <c r="C734" s="285"/>
      <c r="D734" s="299"/>
      <c r="E734" s="286"/>
      <c r="F734" s="286"/>
      <c r="G734" s="301"/>
      <c r="H734" s="302"/>
    </row>
    <row r="735">
      <c r="A735" s="300"/>
      <c r="B735" s="285"/>
      <c r="C735" s="285"/>
      <c r="D735" s="299"/>
      <c r="E735" s="286"/>
      <c r="F735" s="286"/>
      <c r="G735" s="301"/>
      <c r="H735" s="302"/>
    </row>
    <row r="736">
      <c r="A736" s="300"/>
      <c r="B736" s="285"/>
      <c r="C736" s="285"/>
      <c r="D736" s="299"/>
      <c r="E736" s="286"/>
      <c r="F736" s="286"/>
      <c r="G736" s="301"/>
      <c r="H736" s="302"/>
    </row>
    <row r="737">
      <c r="A737" s="300"/>
      <c r="B737" s="285"/>
      <c r="C737" s="285"/>
      <c r="D737" s="299"/>
      <c r="E737" s="286"/>
      <c r="F737" s="286"/>
      <c r="G737" s="301"/>
      <c r="H737" s="302"/>
    </row>
    <row r="738">
      <c r="A738" s="300"/>
      <c r="B738" s="285"/>
      <c r="C738" s="285"/>
      <c r="D738" s="299"/>
      <c r="E738" s="286"/>
      <c r="F738" s="286"/>
      <c r="G738" s="301"/>
      <c r="H738" s="302"/>
    </row>
    <row r="739">
      <c r="A739" s="300"/>
      <c r="B739" s="285"/>
      <c r="C739" s="285"/>
      <c r="D739" s="299"/>
      <c r="E739" s="286"/>
      <c r="F739" s="286"/>
      <c r="G739" s="301"/>
      <c r="H739" s="302"/>
    </row>
    <row r="740">
      <c r="A740" s="300"/>
      <c r="B740" s="285"/>
      <c r="C740" s="285"/>
      <c r="D740" s="299"/>
      <c r="E740" s="286"/>
      <c r="F740" s="286"/>
      <c r="G740" s="301"/>
      <c r="H740" s="302"/>
    </row>
    <row r="741">
      <c r="A741" s="300"/>
      <c r="B741" s="285"/>
      <c r="C741" s="285"/>
      <c r="D741" s="299"/>
      <c r="E741" s="286"/>
      <c r="F741" s="286"/>
      <c r="G741" s="301"/>
      <c r="H741" s="302"/>
    </row>
    <row r="742">
      <c r="A742" s="300"/>
      <c r="B742" s="285"/>
      <c r="C742" s="285"/>
      <c r="D742" s="299"/>
      <c r="E742" s="286"/>
      <c r="F742" s="286"/>
      <c r="G742" s="301"/>
      <c r="H742" s="302"/>
    </row>
    <row r="743">
      <c r="A743" s="300"/>
      <c r="B743" s="285"/>
      <c r="C743" s="285"/>
      <c r="D743" s="299"/>
      <c r="E743" s="286"/>
      <c r="F743" s="286"/>
      <c r="G743" s="301"/>
      <c r="H743" s="302"/>
    </row>
    <row r="744">
      <c r="A744" s="300"/>
      <c r="B744" s="285"/>
      <c r="C744" s="285"/>
      <c r="D744" s="299"/>
      <c r="E744" s="286"/>
      <c r="F744" s="286"/>
      <c r="G744" s="301"/>
      <c r="H744" s="302"/>
    </row>
    <row r="745">
      <c r="A745" s="300"/>
      <c r="B745" s="285"/>
      <c r="C745" s="285"/>
      <c r="D745" s="299"/>
      <c r="E745" s="286"/>
      <c r="F745" s="286"/>
      <c r="G745" s="301"/>
      <c r="H745" s="302"/>
    </row>
    <row r="746">
      <c r="A746" s="300"/>
      <c r="B746" s="285"/>
      <c r="C746" s="285"/>
      <c r="D746" s="299"/>
      <c r="E746" s="286"/>
      <c r="F746" s="286"/>
      <c r="G746" s="301"/>
      <c r="H746" s="302"/>
    </row>
    <row r="747">
      <c r="A747" s="300"/>
      <c r="B747" s="285"/>
      <c r="C747" s="285"/>
      <c r="D747" s="299"/>
      <c r="E747" s="286"/>
      <c r="F747" s="286"/>
      <c r="G747" s="301"/>
      <c r="H747" s="302"/>
    </row>
    <row r="748">
      <c r="A748" s="300"/>
      <c r="B748" s="285"/>
      <c r="C748" s="285"/>
      <c r="D748" s="299"/>
      <c r="E748" s="286"/>
      <c r="F748" s="286"/>
      <c r="G748" s="301"/>
      <c r="H748" s="302"/>
    </row>
    <row r="749">
      <c r="A749" s="300"/>
      <c r="B749" s="285"/>
      <c r="C749" s="285"/>
      <c r="D749" s="299"/>
      <c r="E749" s="286"/>
      <c r="F749" s="286"/>
      <c r="G749" s="301"/>
      <c r="H749" s="302"/>
    </row>
    <row r="750">
      <c r="A750" s="300"/>
      <c r="B750" s="285"/>
      <c r="C750" s="285"/>
      <c r="D750" s="299"/>
      <c r="E750" s="286"/>
      <c r="F750" s="286"/>
      <c r="G750" s="301"/>
      <c r="H750" s="302"/>
    </row>
    <row r="751">
      <c r="A751" s="300"/>
      <c r="B751" s="285"/>
      <c r="C751" s="285"/>
      <c r="D751" s="299"/>
      <c r="E751" s="286"/>
      <c r="F751" s="286"/>
      <c r="G751" s="301"/>
      <c r="H751" s="302"/>
    </row>
    <row r="752">
      <c r="A752" s="300"/>
      <c r="B752" s="285"/>
      <c r="C752" s="285"/>
      <c r="D752" s="299"/>
      <c r="E752" s="286"/>
      <c r="F752" s="286"/>
      <c r="G752" s="301"/>
      <c r="H752" s="302"/>
    </row>
    <row r="753">
      <c r="A753" s="300"/>
      <c r="B753" s="285"/>
      <c r="C753" s="285"/>
      <c r="D753" s="299"/>
      <c r="E753" s="286"/>
      <c r="F753" s="286"/>
      <c r="G753" s="301"/>
      <c r="H753" s="302"/>
    </row>
    <row r="754">
      <c r="A754" s="300"/>
      <c r="B754" s="285"/>
      <c r="C754" s="285"/>
      <c r="D754" s="299"/>
      <c r="E754" s="286"/>
      <c r="F754" s="286"/>
      <c r="G754" s="301"/>
      <c r="H754" s="302"/>
    </row>
    <row r="755">
      <c r="A755" s="300"/>
      <c r="B755" s="285"/>
      <c r="C755" s="285"/>
      <c r="D755" s="299"/>
      <c r="E755" s="286"/>
      <c r="F755" s="286"/>
      <c r="G755" s="301"/>
      <c r="H755" s="302"/>
    </row>
    <row r="756">
      <c r="A756" s="300"/>
      <c r="B756" s="285"/>
      <c r="C756" s="285"/>
      <c r="D756" s="299"/>
      <c r="E756" s="286"/>
      <c r="F756" s="286"/>
      <c r="G756" s="301"/>
      <c r="H756" s="302"/>
    </row>
    <row r="757">
      <c r="A757" s="300"/>
      <c r="B757" s="285"/>
      <c r="C757" s="285"/>
      <c r="D757" s="299"/>
      <c r="E757" s="286"/>
      <c r="F757" s="286"/>
      <c r="G757" s="301"/>
      <c r="H757" s="302"/>
    </row>
    <row r="758">
      <c r="A758" s="300"/>
      <c r="B758" s="285"/>
      <c r="C758" s="285"/>
      <c r="D758" s="299"/>
      <c r="E758" s="286"/>
      <c r="F758" s="286"/>
      <c r="G758" s="301"/>
      <c r="H758" s="302"/>
    </row>
    <row r="759">
      <c r="A759" s="300"/>
      <c r="B759" s="285"/>
      <c r="C759" s="285"/>
      <c r="D759" s="299"/>
      <c r="E759" s="286"/>
      <c r="F759" s="286"/>
      <c r="G759" s="301"/>
      <c r="H759" s="302"/>
    </row>
    <row r="760">
      <c r="A760" s="300"/>
      <c r="B760" s="285"/>
      <c r="C760" s="285"/>
      <c r="D760" s="299"/>
      <c r="E760" s="286"/>
      <c r="F760" s="286"/>
      <c r="G760" s="301"/>
      <c r="H760" s="302"/>
    </row>
    <row r="761">
      <c r="A761" s="300"/>
      <c r="B761" s="285"/>
      <c r="C761" s="285"/>
      <c r="D761" s="299"/>
      <c r="E761" s="286"/>
      <c r="F761" s="286"/>
      <c r="G761" s="301"/>
      <c r="H761" s="302"/>
    </row>
    <row r="762">
      <c r="A762" s="300"/>
      <c r="B762" s="285"/>
      <c r="C762" s="285"/>
      <c r="D762" s="299"/>
      <c r="E762" s="286"/>
      <c r="F762" s="286"/>
      <c r="G762" s="301"/>
      <c r="H762" s="302"/>
    </row>
    <row r="763">
      <c r="A763" s="300"/>
      <c r="B763" s="285"/>
      <c r="C763" s="285"/>
      <c r="D763" s="299"/>
      <c r="E763" s="286"/>
      <c r="F763" s="286"/>
      <c r="G763" s="301"/>
      <c r="H763" s="302"/>
    </row>
    <row r="764">
      <c r="A764" s="300"/>
      <c r="B764" s="285"/>
      <c r="C764" s="285"/>
      <c r="D764" s="299"/>
      <c r="E764" s="286"/>
      <c r="F764" s="286"/>
      <c r="G764" s="301"/>
      <c r="H764" s="302"/>
    </row>
    <row r="765">
      <c r="A765" s="300"/>
      <c r="B765" s="285"/>
      <c r="C765" s="285"/>
      <c r="D765" s="299"/>
      <c r="E765" s="286"/>
      <c r="F765" s="286"/>
      <c r="G765" s="301"/>
      <c r="H765" s="302"/>
    </row>
    <row r="766">
      <c r="A766" s="300"/>
      <c r="B766" s="285"/>
      <c r="C766" s="285"/>
      <c r="D766" s="299"/>
      <c r="E766" s="286"/>
      <c r="F766" s="286"/>
      <c r="G766" s="301"/>
      <c r="H766" s="302"/>
    </row>
    <row r="767">
      <c r="A767" s="300"/>
      <c r="B767" s="285"/>
      <c r="C767" s="285"/>
      <c r="D767" s="299"/>
      <c r="E767" s="286"/>
      <c r="F767" s="286"/>
      <c r="G767" s="301"/>
      <c r="H767" s="302"/>
    </row>
    <row r="768">
      <c r="A768" s="300"/>
      <c r="B768" s="285"/>
      <c r="C768" s="285"/>
      <c r="D768" s="299"/>
      <c r="E768" s="286"/>
      <c r="F768" s="286"/>
      <c r="G768" s="301"/>
      <c r="H768" s="302"/>
    </row>
    <row r="769">
      <c r="A769" s="300"/>
      <c r="B769" s="285"/>
      <c r="C769" s="285"/>
      <c r="D769" s="299"/>
      <c r="E769" s="286"/>
      <c r="F769" s="286"/>
      <c r="G769" s="301"/>
      <c r="H769" s="302"/>
    </row>
    <row r="770">
      <c r="A770" s="300"/>
      <c r="B770" s="285"/>
      <c r="C770" s="285"/>
      <c r="D770" s="299"/>
      <c r="E770" s="286"/>
      <c r="F770" s="286"/>
      <c r="G770" s="301"/>
      <c r="H770" s="302"/>
    </row>
    <row r="771">
      <c r="A771" s="300"/>
      <c r="B771" s="285"/>
      <c r="C771" s="285"/>
      <c r="D771" s="299"/>
      <c r="E771" s="286"/>
      <c r="F771" s="286"/>
      <c r="G771" s="301"/>
      <c r="H771" s="302"/>
    </row>
    <row r="772">
      <c r="A772" s="300"/>
      <c r="B772" s="285"/>
      <c r="C772" s="285"/>
      <c r="D772" s="299"/>
      <c r="E772" s="286"/>
      <c r="F772" s="286"/>
      <c r="G772" s="301"/>
      <c r="H772" s="302"/>
    </row>
    <row r="773">
      <c r="A773" s="300"/>
      <c r="B773" s="285"/>
      <c r="C773" s="285"/>
      <c r="D773" s="299"/>
      <c r="E773" s="286"/>
      <c r="F773" s="286"/>
      <c r="G773" s="301"/>
      <c r="H773" s="302"/>
    </row>
    <row r="774">
      <c r="A774" s="300"/>
      <c r="B774" s="285"/>
      <c r="C774" s="285"/>
      <c r="D774" s="299"/>
      <c r="E774" s="286"/>
      <c r="F774" s="286"/>
      <c r="G774" s="301"/>
      <c r="H774" s="302"/>
    </row>
    <row r="775">
      <c r="A775" s="300"/>
      <c r="B775" s="285"/>
      <c r="C775" s="285"/>
      <c r="D775" s="299"/>
      <c r="E775" s="286"/>
      <c r="F775" s="286"/>
      <c r="G775" s="301"/>
      <c r="H775" s="302"/>
    </row>
    <row r="776">
      <c r="A776" s="300"/>
      <c r="B776" s="285"/>
      <c r="C776" s="285"/>
      <c r="D776" s="299"/>
      <c r="E776" s="286"/>
      <c r="F776" s="286"/>
      <c r="G776" s="301"/>
      <c r="H776" s="302"/>
    </row>
    <row r="777">
      <c r="A777" s="300"/>
      <c r="B777" s="285"/>
      <c r="C777" s="285"/>
      <c r="D777" s="299"/>
      <c r="E777" s="286"/>
      <c r="F777" s="286"/>
      <c r="G777" s="301"/>
      <c r="H777" s="302"/>
    </row>
    <row r="778">
      <c r="A778" s="300"/>
      <c r="B778" s="285"/>
      <c r="C778" s="285"/>
      <c r="D778" s="299"/>
      <c r="E778" s="286"/>
      <c r="F778" s="286"/>
      <c r="G778" s="301"/>
      <c r="H778" s="302"/>
    </row>
    <row r="779">
      <c r="A779" s="300"/>
      <c r="B779" s="285"/>
      <c r="C779" s="285"/>
      <c r="D779" s="299"/>
      <c r="E779" s="286"/>
      <c r="F779" s="286"/>
      <c r="G779" s="301"/>
      <c r="H779" s="302"/>
    </row>
    <row r="780">
      <c r="A780" s="300"/>
      <c r="B780" s="285"/>
      <c r="C780" s="285"/>
      <c r="D780" s="299"/>
      <c r="E780" s="286"/>
      <c r="F780" s="286"/>
      <c r="G780" s="301"/>
      <c r="H780" s="302"/>
    </row>
    <row r="781">
      <c r="A781" s="300"/>
      <c r="B781" s="285"/>
      <c r="C781" s="285"/>
      <c r="D781" s="299"/>
      <c r="E781" s="286"/>
      <c r="F781" s="286"/>
      <c r="G781" s="301"/>
      <c r="H781" s="302"/>
    </row>
    <row r="782">
      <c r="A782" s="300"/>
      <c r="B782" s="285"/>
      <c r="C782" s="285"/>
      <c r="D782" s="299"/>
      <c r="E782" s="286"/>
      <c r="F782" s="286"/>
      <c r="G782" s="301"/>
      <c r="H782" s="302"/>
    </row>
    <row r="783">
      <c r="A783" s="300"/>
      <c r="B783" s="285"/>
      <c r="C783" s="285"/>
      <c r="D783" s="299"/>
      <c r="E783" s="286"/>
      <c r="F783" s="286"/>
      <c r="G783" s="301"/>
      <c r="H783" s="302"/>
    </row>
    <row r="784">
      <c r="A784" s="300"/>
      <c r="B784" s="285"/>
      <c r="C784" s="285"/>
      <c r="D784" s="299"/>
      <c r="E784" s="286"/>
      <c r="F784" s="286"/>
      <c r="G784" s="301"/>
      <c r="H784" s="302"/>
    </row>
    <row r="785">
      <c r="A785" s="300"/>
      <c r="B785" s="285"/>
      <c r="C785" s="285"/>
      <c r="D785" s="299"/>
      <c r="E785" s="286"/>
      <c r="F785" s="286"/>
      <c r="G785" s="301"/>
      <c r="H785" s="302"/>
    </row>
    <row r="786">
      <c r="A786" s="300"/>
      <c r="B786" s="285"/>
      <c r="C786" s="285"/>
      <c r="D786" s="299"/>
      <c r="E786" s="286"/>
      <c r="F786" s="286"/>
      <c r="G786" s="301"/>
      <c r="H786" s="302"/>
    </row>
    <row r="787">
      <c r="A787" s="300"/>
      <c r="B787" s="285"/>
      <c r="C787" s="285"/>
      <c r="D787" s="299"/>
      <c r="E787" s="286"/>
      <c r="F787" s="286"/>
      <c r="G787" s="301"/>
      <c r="H787" s="302"/>
    </row>
    <row r="788">
      <c r="A788" s="300"/>
      <c r="B788" s="285"/>
      <c r="C788" s="285"/>
      <c r="D788" s="299"/>
      <c r="E788" s="286"/>
      <c r="F788" s="286"/>
      <c r="G788" s="301"/>
      <c r="H788" s="302"/>
    </row>
    <row r="789">
      <c r="A789" s="300"/>
      <c r="B789" s="285"/>
      <c r="C789" s="285"/>
      <c r="D789" s="299"/>
      <c r="E789" s="286"/>
      <c r="F789" s="286"/>
      <c r="G789" s="301"/>
      <c r="H789" s="302"/>
    </row>
    <row r="790">
      <c r="A790" s="300"/>
      <c r="B790" s="285"/>
      <c r="C790" s="285"/>
      <c r="D790" s="299"/>
      <c r="E790" s="286"/>
      <c r="F790" s="286"/>
      <c r="G790" s="301"/>
      <c r="H790" s="302"/>
    </row>
    <row r="791">
      <c r="A791" s="300"/>
      <c r="B791" s="285"/>
      <c r="C791" s="285"/>
      <c r="D791" s="299"/>
      <c r="E791" s="286"/>
      <c r="F791" s="286"/>
      <c r="G791" s="301"/>
      <c r="H791" s="302"/>
    </row>
    <row r="792">
      <c r="A792" s="300"/>
      <c r="B792" s="285"/>
      <c r="C792" s="285"/>
      <c r="D792" s="299"/>
      <c r="E792" s="286"/>
      <c r="F792" s="286"/>
      <c r="G792" s="301"/>
      <c r="H792" s="302"/>
    </row>
    <row r="793">
      <c r="A793" s="300"/>
      <c r="B793" s="285"/>
      <c r="C793" s="285"/>
      <c r="D793" s="299"/>
      <c r="E793" s="286"/>
      <c r="F793" s="286"/>
      <c r="G793" s="301"/>
      <c r="H793" s="302"/>
    </row>
    <row r="794">
      <c r="A794" s="300"/>
      <c r="B794" s="285"/>
      <c r="C794" s="285"/>
      <c r="D794" s="299"/>
      <c r="E794" s="286"/>
      <c r="F794" s="286"/>
      <c r="G794" s="301"/>
      <c r="H794" s="302"/>
    </row>
    <row r="795">
      <c r="A795" s="300"/>
      <c r="B795" s="285"/>
      <c r="C795" s="285"/>
      <c r="D795" s="299"/>
      <c r="E795" s="286"/>
      <c r="F795" s="286"/>
      <c r="G795" s="301"/>
      <c r="H795" s="302"/>
    </row>
    <row r="796">
      <c r="A796" s="300"/>
      <c r="B796" s="285"/>
      <c r="C796" s="285"/>
      <c r="D796" s="299"/>
      <c r="E796" s="286"/>
      <c r="F796" s="286"/>
      <c r="G796" s="301"/>
      <c r="H796" s="302"/>
    </row>
    <row r="797">
      <c r="A797" s="300"/>
      <c r="B797" s="285"/>
      <c r="C797" s="285"/>
      <c r="D797" s="299"/>
      <c r="E797" s="286"/>
      <c r="F797" s="286"/>
      <c r="G797" s="301"/>
      <c r="H797" s="302"/>
    </row>
    <row r="798">
      <c r="A798" s="300"/>
      <c r="B798" s="285"/>
      <c r="C798" s="285"/>
      <c r="D798" s="299"/>
      <c r="E798" s="286"/>
      <c r="F798" s="286"/>
      <c r="G798" s="301"/>
      <c r="H798" s="302"/>
    </row>
    <row r="799">
      <c r="A799" s="300"/>
      <c r="B799" s="285"/>
      <c r="C799" s="285"/>
      <c r="D799" s="299"/>
      <c r="E799" s="286"/>
      <c r="F799" s="286"/>
      <c r="G799" s="301"/>
      <c r="H799" s="302"/>
    </row>
    <row r="800">
      <c r="A800" s="300"/>
      <c r="B800" s="285"/>
      <c r="C800" s="285"/>
      <c r="D800" s="299"/>
      <c r="E800" s="286"/>
      <c r="F800" s="286"/>
      <c r="G800" s="301"/>
      <c r="H800" s="302"/>
    </row>
    <row r="801">
      <c r="A801" s="300"/>
      <c r="B801" s="285"/>
      <c r="C801" s="285"/>
      <c r="D801" s="299"/>
      <c r="E801" s="286"/>
      <c r="F801" s="286"/>
      <c r="G801" s="301"/>
      <c r="H801" s="302"/>
    </row>
    <row r="802">
      <c r="A802" s="300"/>
      <c r="B802" s="285"/>
      <c r="C802" s="285"/>
      <c r="D802" s="299"/>
      <c r="E802" s="286"/>
      <c r="F802" s="286"/>
      <c r="G802" s="301"/>
      <c r="H802" s="302"/>
    </row>
    <row r="803">
      <c r="A803" s="300"/>
      <c r="B803" s="285"/>
      <c r="C803" s="285"/>
      <c r="D803" s="299"/>
      <c r="E803" s="286"/>
      <c r="F803" s="286"/>
      <c r="G803" s="301"/>
      <c r="H803" s="302"/>
    </row>
    <row r="804">
      <c r="A804" s="300"/>
      <c r="B804" s="285"/>
      <c r="C804" s="285"/>
      <c r="D804" s="299"/>
      <c r="E804" s="286"/>
      <c r="F804" s="286"/>
      <c r="G804" s="301"/>
      <c r="H804" s="302"/>
    </row>
    <row r="805">
      <c r="A805" s="300"/>
      <c r="B805" s="285"/>
      <c r="C805" s="285"/>
      <c r="D805" s="299"/>
      <c r="E805" s="286"/>
      <c r="F805" s="286"/>
      <c r="G805" s="301"/>
      <c r="H805" s="302"/>
    </row>
    <row r="806">
      <c r="A806" s="300"/>
      <c r="B806" s="285"/>
      <c r="C806" s="285"/>
      <c r="D806" s="299"/>
      <c r="E806" s="286"/>
      <c r="F806" s="286"/>
      <c r="G806" s="301"/>
      <c r="H806" s="302"/>
    </row>
    <row r="807">
      <c r="A807" s="300"/>
      <c r="B807" s="285"/>
      <c r="C807" s="285"/>
      <c r="D807" s="299"/>
      <c r="E807" s="286"/>
      <c r="F807" s="286"/>
      <c r="G807" s="301"/>
      <c r="H807" s="302"/>
    </row>
    <row r="808">
      <c r="A808" s="300"/>
      <c r="B808" s="285"/>
      <c r="C808" s="285"/>
      <c r="D808" s="299"/>
      <c r="E808" s="286"/>
      <c r="F808" s="286"/>
      <c r="G808" s="301"/>
      <c r="H808" s="302"/>
    </row>
    <row r="809">
      <c r="A809" s="300"/>
      <c r="B809" s="285"/>
      <c r="C809" s="285"/>
      <c r="D809" s="299"/>
      <c r="E809" s="286"/>
      <c r="F809" s="286"/>
      <c r="G809" s="301"/>
      <c r="H809" s="302"/>
    </row>
    <row r="810">
      <c r="A810" s="300"/>
      <c r="B810" s="285"/>
      <c r="C810" s="285"/>
      <c r="D810" s="299"/>
      <c r="E810" s="286"/>
      <c r="F810" s="286"/>
      <c r="G810" s="301"/>
      <c r="H810" s="302"/>
    </row>
    <row r="811">
      <c r="A811" s="300"/>
      <c r="B811" s="285"/>
      <c r="C811" s="285"/>
      <c r="D811" s="299"/>
      <c r="E811" s="286"/>
      <c r="F811" s="286"/>
      <c r="G811" s="301"/>
      <c r="H811" s="302"/>
    </row>
    <row r="812">
      <c r="A812" s="300"/>
      <c r="B812" s="285"/>
      <c r="C812" s="285"/>
      <c r="D812" s="299"/>
      <c r="E812" s="286"/>
      <c r="F812" s="286"/>
      <c r="G812" s="301"/>
      <c r="H812" s="302"/>
    </row>
    <row r="813">
      <c r="A813" s="300"/>
      <c r="B813" s="285"/>
      <c r="C813" s="285"/>
      <c r="D813" s="299"/>
      <c r="E813" s="286"/>
      <c r="F813" s="286"/>
      <c r="G813" s="301"/>
      <c r="H813" s="302"/>
    </row>
    <row r="814">
      <c r="A814" s="300"/>
      <c r="B814" s="285"/>
      <c r="C814" s="285"/>
      <c r="D814" s="299"/>
      <c r="E814" s="286"/>
      <c r="F814" s="286"/>
      <c r="G814" s="301"/>
      <c r="H814" s="302"/>
    </row>
    <row r="815">
      <c r="A815" s="300"/>
      <c r="B815" s="285"/>
      <c r="C815" s="285"/>
      <c r="D815" s="299"/>
      <c r="E815" s="286"/>
      <c r="F815" s="286"/>
      <c r="G815" s="301"/>
      <c r="H815" s="302"/>
    </row>
    <row r="816">
      <c r="A816" s="300"/>
      <c r="B816" s="285"/>
      <c r="C816" s="285"/>
      <c r="D816" s="299"/>
      <c r="E816" s="286"/>
      <c r="F816" s="286"/>
      <c r="G816" s="301"/>
      <c r="H816" s="302"/>
    </row>
    <row r="817">
      <c r="A817" s="300"/>
      <c r="B817" s="285"/>
      <c r="C817" s="285"/>
      <c r="D817" s="299"/>
      <c r="E817" s="286"/>
      <c r="F817" s="286"/>
      <c r="G817" s="301"/>
      <c r="H817" s="302"/>
    </row>
    <row r="818">
      <c r="A818" s="300"/>
      <c r="B818" s="285"/>
      <c r="C818" s="285"/>
      <c r="D818" s="299"/>
      <c r="E818" s="286"/>
      <c r="F818" s="286"/>
      <c r="G818" s="301"/>
      <c r="H818" s="302"/>
    </row>
    <row r="819">
      <c r="A819" s="300"/>
      <c r="B819" s="285"/>
      <c r="C819" s="285"/>
      <c r="D819" s="299"/>
      <c r="E819" s="286"/>
      <c r="F819" s="286"/>
      <c r="G819" s="301"/>
      <c r="H819" s="302"/>
    </row>
    <row r="820">
      <c r="A820" s="300"/>
      <c r="B820" s="285"/>
      <c r="C820" s="285"/>
      <c r="D820" s="299"/>
      <c r="E820" s="286"/>
      <c r="F820" s="286"/>
      <c r="G820" s="301"/>
      <c r="H820" s="302"/>
    </row>
    <row r="821">
      <c r="A821" s="300"/>
      <c r="B821" s="285"/>
      <c r="C821" s="285"/>
      <c r="D821" s="299"/>
      <c r="E821" s="286"/>
      <c r="F821" s="286"/>
      <c r="G821" s="301"/>
      <c r="H821" s="302"/>
    </row>
    <row r="822">
      <c r="A822" s="300"/>
      <c r="B822" s="285"/>
      <c r="C822" s="285"/>
      <c r="D822" s="299"/>
      <c r="E822" s="286"/>
      <c r="F822" s="286"/>
      <c r="G822" s="301"/>
      <c r="H822" s="302"/>
    </row>
    <row r="823">
      <c r="A823" s="300"/>
      <c r="B823" s="285"/>
      <c r="C823" s="285"/>
      <c r="D823" s="299"/>
      <c r="E823" s="286"/>
      <c r="F823" s="286"/>
      <c r="G823" s="301"/>
      <c r="H823" s="302"/>
    </row>
    <row r="824">
      <c r="A824" s="300"/>
      <c r="B824" s="285"/>
      <c r="C824" s="285"/>
      <c r="D824" s="299"/>
      <c r="E824" s="286"/>
      <c r="F824" s="286"/>
      <c r="G824" s="301"/>
      <c r="H824" s="302"/>
    </row>
    <row r="825">
      <c r="A825" s="300"/>
      <c r="B825" s="285"/>
      <c r="C825" s="285"/>
      <c r="D825" s="299"/>
      <c r="E825" s="286"/>
      <c r="F825" s="286"/>
      <c r="G825" s="301"/>
      <c r="H825" s="302"/>
    </row>
    <row r="826">
      <c r="A826" s="300"/>
      <c r="B826" s="285"/>
      <c r="C826" s="285"/>
      <c r="D826" s="299"/>
      <c r="E826" s="286"/>
      <c r="F826" s="286"/>
      <c r="G826" s="301"/>
      <c r="H826" s="302"/>
    </row>
    <row r="827">
      <c r="A827" s="300"/>
      <c r="B827" s="285"/>
      <c r="C827" s="285"/>
      <c r="D827" s="299"/>
      <c r="E827" s="286"/>
      <c r="F827" s="286"/>
      <c r="G827" s="301"/>
      <c r="H827" s="302"/>
    </row>
    <row r="828">
      <c r="A828" s="300"/>
      <c r="B828" s="285"/>
      <c r="C828" s="285"/>
      <c r="D828" s="299"/>
      <c r="E828" s="286"/>
      <c r="F828" s="286"/>
      <c r="G828" s="301"/>
      <c r="H828" s="302"/>
    </row>
    <row r="829">
      <c r="A829" s="300"/>
      <c r="B829" s="285"/>
      <c r="C829" s="285"/>
      <c r="D829" s="299"/>
      <c r="E829" s="286"/>
      <c r="F829" s="286"/>
      <c r="G829" s="301"/>
      <c r="H829" s="302"/>
    </row>
    <row r="830">
      <c r="A830" s="300"/>
      <c r="B830" s="285"/>
      <c r="C830" s="285"/>
      <c r="D830" s="299"/>
      <c r="E830" s="286"/>
      <c r="F830" s="286"/>
      <c r="G830" s="301"/>
      <c r="H830" s="302"/>
    </row>
    <row r="831">
      <c r="A831" s="300"/>
      <c r="B831" s="285"/>
      <c r="C831" s="285"/>
      <c r="D831" s="299"/>
      <c r="E831" s="286"/>
      <c r="F831" s="286"/>
      <c r="G831" s="301"/>
      <c r="H831" s="302"/>
    </row>
    <row r="832">
      <c r="A832" s="300"/>
      <c r="B832" s="285"/>
      <c r="C832" s="285"/>
      <c r="D832" s="299"/>
      <c r="E832" s="286"/>
      <c r="F832" s="286"/>
      <c r="G832" s="301"/>
      <c r="H832" s="302"/>
    </row>
    <row r="833">
      <c r="A833" s="300"/>
      <c r="B833" s="285"/>
      <c r="C833" s="285"/>
      <c r="D833" s="299"/>
      <c r="E833" s="286"/>
      <c r="F833" s="286"/>
      <c r="G833" s="301"/>
      <c r="H833" s="302"/>
    </row>
    <row r="834">
      <c r="A834" s="300"/>
      <c r="B834" s="285"/>
      <c r="C834" s="285"/>
      <c r="D834" s="299"/>
      <c r="E834" s="286"/>
      <c r="F834" s="286"/>
      <c r="G834" s="301"/>
      <c r="H834" s="302"/>
    </row>
    <row r="835">
      <c r="A835" s="300"/>
      <c r="B835" s="285"/>
      <c r="C835" s="285"/>
      <c r="D835" s="299"/>
      <c r="E835" s="286"/>
      <c r="F835" s="286"/>
      <c r="G835" s="301"/>
      <c r="H835" s="302"/>
    </row>
    <row r="836">
      <c r="A836" s="300"/>
      <c r="B836" s="285"/>
      <c r="C836" s="285"/>
      <c r="D836" s="299"/>
      <c r="E836" s="286"/>
      <c r="F836" s="286"/>
      <c r="G836" s="301"/>
      <c r="H836" s="302"/>
    </row>
    <row r="837">
      <c r="A837" s="300"/>
      <c r="B837" s="285"/>
      <c r="C837" s="285"/>
      <c r="D837" s="299"/>
      <c r="E837" s="286"/>
      <c r="F837" s="286"/>
      <c r="G837" s="301"/>
      <c r="H837" s="302"/>
    </row>
    <row r="838">
      <c r="A838" s="300"/>
      <c r="B838" s="285"/>
      <c r="C838" s="285"/>
      <c r="D838" s="299"/>
      <c r="E838" s="286"/>
      <c r="F838" s="286"/>
      <c r="G838" s="301"/>
      <c r="H838" s="302"/>
    </row>
    <row r="839">
      <c r="A839" s="300"/>
      <c r="B839" s="285"/>
      <c r="C839" s="285"/>
      <c r="D839" s="299"/>
      <c r="E839" s="286"/>
      <c r="F839" s="286"/>
      <c r="G839" s="301"/>
      <c r="H839" s="302"/>
    </row>
    <row r="840">
      <c r="A840" s="300"/>
      <c r="B840" s="285"/>
      <c r="C840" s="285"/>
      <c r="D840" s="299"/>
      <c r="E840" s="286"/>
      <c r="F840" s="286"/>
      <c r="G840" s="301"/>
      <c r="H840" s="302"/>
    </row>
    <row r="841">
      <c r="A841" s="300"/>
      <c r="B841" s="285"/>
      <c r="C841" s="285"/>
      <c r="D841" s="299"/>
      <c r="E841" s="286"/>
      <c r="F841" s="286"/>
      <c r="G841" s="301"/>
      <c r="H841" s="302"/>
    </row>
    <row r="842">
      <c r="A842" s="300"/>
      <c r="B842" s="285"/>
      <c r="C842" s="285"/>
      <c r="D842" s="299"/>
      <c r="E842" s="286"/>
      <c r="F842" s="286"/>
      <c r="G842" s="301"/>
      <c r="H842" s="302"/>
    </row>
    <row r="843">
      <c r="A843" s="300"/>
      <c r="B843" s="285"/>
      <c r="C843" s="285"/>
      <c r="D843" s="299"/>
      <c r="E843" s="286"/>
      <c r="F843" s="286"/>
      <c r="G843" s="301"/>
      <c r="H843" s="302"/>
    </row>
    <row r="844">
      <c r="A844" s="300"/>
      <c r="B844" s="285"/>
      <c r="C844" s="285"/>
      <c r="D844" s="299"/>
      <c r="E844" s="286"/>
      <c r="F844" s="286"/>
      <c r="G844" s="301"/>
      <c r="H844" s="302"/>
    </row>
    <row r="845">
      <c r="A845" s="300"/>
      <c r="B845" s="285"/>
      <c r="C845" s="285"/>
      <c r="D845" s="299"/>
      <c r="E845" s="286"/>
      <c r="F845" s="286"/>
      <c r="G845" s="301"/>
      <c r="H845" s="302"/>
    </row>
    <row r="846">
      <c r="A846" s="300"/>
      <c r="B846" s="285"/>
      <c r="C846" s="285"/>
      <c r="D846" s="299"/>
      <c r="E846" s="286"/>
      <c r="F846" s="286"/>
      <c r="G846" s="301"/>
      <c r="H846" s="302"/>
    </row>
    <row r="847">
      <c r="A847" s="300"/>
      <c r="B847" s="285"/>
      <c r="C847" s="285"/>
      <c r="D847" s="299"/>
      <c r="E847" s="286"/>
      <c r="F847" s="286"/>
      <c r="G847" s="301"/>
      <c r="H847" s="302"/>
    </row>
    <row r="848">
      <c r="A848" s="300"/>
      <c r="B848" s="285"/>
      <c r="C848" s="285"/>
      <c r="D848" s="299"/>
      <c r="E848" s="286"/>
      <c r="F848" s="286"/>
      <c r="G848" s="301"/>
      <c r="H848" s="302"/>
    </row>
    <row r="849">
      <c r="A849" s="300"/>
      <c r="B849" s="285"/>
      <c r="C849" s="285"/>
      <c r="D849" s="299"/>
      <c r="E849" s="286"/>
      <c r="F849" s="286"/>
      <c r="G849" s="301"/>
      <c r="H849" s="302"/>
    </row>
    <row r="850">
      <c r="A850" s="300"/>
      <c r="B850" s="285"/>
      <c r="C850" s="285"/>
      <c r="D850" s="299"/>
      <c r="E850" s="286"/>
      <c r="F850" s="286"/>
      <c r="G850" s="301"/>
      <c r="H850" s="302"/>
    </row>
    <row r="851">
      <c r="A851" s="300"/>
      <c r="B851" s="285"/>
      <c r="C851" s="285"/>
      <c r="D851" s="299"/>
      <c r="E851" s="286"/>
      <c r="F851" s="286"/>
      <c r="G851" s="301"/>
      <c r="H851" s="302"/>
    </row>
    <row r="852">
      <c r="A852" s="300"/>
      <c r="B852" s="285"/>
      <c r="C852" s="285"/>
      <c r="D852" s="299"/>
      <c r="E852" s="286"/>
      <c r="F852" s="286"/>
      <c r="G852" s="301"/>
      <c r="H852" s="302"/>
    </row>
    <row r="853">
      <c r="A853" s="300"/>
      <c r="B853" s="285"/>
      <c r="C853" s="285"/>
      <c r="D853" s="299"/>
      <c r="E853" s="286"/>
      <c r="F853" s="286"/>
      <c r="G853" s="301"/>
      <c r="H853" s="302"/>
    </row>
    <row r="854">
      <c r="A854" s="300"/>
      <c r="B854" s="285"/>
      <c r="C854" s="285"/>
      <c r="D854" s="299"/>
      <c r="E854" s="286"/>
      <c r="F854" s="286"/>
      <c r="G854" s="301"/>
      <c r="H854" s="302"/>
    </row>
    <row r="855">
      <c r="A855" s="300"/>
      <c r="B855" s="285"/>
      <c r="C855" s="285"/>
      <c r="D855" s="299"/>
      <c r="E855" s="286"/>
      <c r="F855" s="286"/>
      <c r="G855" s="301"/>
      <c r="H855" s="302"/>
    </row>
    <row r="856">
      <c r="A856" s="300"/>
      <c r="B856" s="285"/>
      <c r="C856" s="285"/>
      <c r="D856" s="299"/>
      <c r="E856" s="286"/>
      <c r="F856" s="286"/>
      <c r="G856" s="301"/>
      <c r="H856" s="302"/>
    </row>
    <row r="857">
      <c r="A857" s="300"/>
      <c r="B857" s="285"/>
      <c r="C857" s="285"/>
      <c r="D857" s="299"/>
      <c r="E857" s="286"/>
      <c r="F857" s="286"/>
      <c r="G857" s="301"/>
      <c r="H857" s="302"/>
    </row>
    <row r="858">
      <c r="A858" s="300"/>
      <c r="B858" s="285"/>
      <c r="C858" s="285"/>
      <c r="D858" s="299"/>
      <c r="E858" s="286"/>
      <c r="F858" s="286"/>
      <c r="G858" s="301"/>
      <c r="H858" s="302"/>
    </row>
    <row r="859">
      <c r="A859" s="300"/>
      <c r="B859" s="285"/>
      <c r="C859" s="285"/>
      <c r="D859" s="299"/>
      <c r="E859" s="286"/>
      <c r="F859" s="286"/>
      <c r="G859" s="301"/>
      <c r="H859" s="302"/>
    </row>
    <row r="860">
      <c r="A860" s="300"/>
      <c r="B860" s="285"/>
      <c r="C860" s="285"/>
      <c r="D860" s="299"/>
      <c r="E860" s="286"/>
      <c r="F860" s="286"/>
      <c r="G860" s="301"/>
      <c r="H860" s="302"/>
    </row>
    <row r="861">
      <c r="A861" s="300"/>
      <c r="B861" s="285"/>
      <c r="C861" s="285"/>
      <c r="D861" s="299"/>
      <c r="E861" s="286"/>
      <c r="F861" s="286"/>
      <c r="G861" s="301"/>
      <c r="H861" s="302"/>
    </row>
    <row r="862">
      <c r="A862" s="300"/>
      <c r="B862" s="285"/>
      <c r="C862" s="285"/>
      <c r="D862" s="299"/>
      <c r="E862" s="286"/>
      <c r="F862" s="286"/>
      <c r="G862" s="301"/>
      <c r="H862" s="302"/>
    </row>
    <row r="863">
      <c r="A863" s="300"/>
      <c r="B863" s="285"/>
      <c r="C863" s="285"/>
      <c r="D863" s="299"/>
      <c r="E863" s="286"/>
      <c r="F863" s="286"/>
      <c r="G863" s="301"/>
      <c r="H863" s="302"/>
    </row>
    <row r="864">
      <c r="A864" s="300"/>
      <c r="B864" s="285"/>
      <c r="C864" s="285"/>
      <c r="D864" s="299"/>
      <c r="E864" s="286"/>
      <c r="F864" s="286"/>
      <c r="G864" s="301"/>
      <c r="H864" s="302"/>
    </row>
    <row r="865">
      <c r="A865" s="300"/>
      <c r="B865" s="285"/>
      <c r="C865" s="285"/>
      <c r="D865" s="299"/>
      <c r="E865" s="286"/>
      <c r="F865" s="286"/>
      <c r="G865" s="301"/>
      <c r="H865" s="302"/>
    </row>
    <row r="866">
      <c r="A866" s="300"/>
      <c r="B866" s="285"/>
      <c r="C866" s="285"/>
      <c r="D866" s="299"/>
      <c r="E866" s="286"/>
      <c r="F866" s="286"/>
      <c r="G866" s="301"/>
      <c r="H866" s="302"/>
    </row>
    <row r="867">
      <c r="A867" s="300"/>
      <c r="B867" s="285"/>
      <c r="C867" s="285"/>
      <c r="D867" s="299"/>
      <c r="E867" s="286"/>
      <c r="F867" s="286"/>
      <c r="G867" s="301"/>
      <c r="H867" s="302"/>
    </row>
    <row r="868">
      <c r="A868" s="300"/>
      <c r="B868" s="285"/>
      <c r="C868" s="285"/>
      <c r="D868" s="299"/>
      <c r="E868" s="286"/>
      <c r="F868" s="286"/>
      <c r="G868" s="301"/>
      <c r="H868" s="302"/>
    </row>
    <row r="869">
      <c r="A869" s="300"/>
      <c r="B869" s="285"/>
      <c r="C869" s="285"/>
      <c r="D869" s="299"/>
      <c r="E869" s="286"/>
      <c r="F869" s="286"/>
      <c r="G869" s="301"/>
      <c r="H869" s="302"/>
    </row>
    <row r="870">
      <c r="A870" s="300"/>
      <c r="B870" s="285"/>
      <c r="C870" s="285"/>
      <c r="D870" s="299"/>
      <c r="E870" s="286"/>
      <c r="F870" s="286"/>
      <c r="G870" s="301"/>
      <c r="H870" s="302"/>
    </row>
    <row r="871">
      <c r="A871" s="300"/>
      <c r="B871" s="285"/>
      <c r="C871" s="285"/>
      <c r="D871" s="299"/>
      <c r="E871" s="286"/>
      <c r="F871" s="286"/>
      <c r="G871" s="301"/>
      <c r="H871" s="302"/>
    </row>
    <row r="872">
      <c r="A872" s="300"/>
      <c r="B872" s="285"/>
      <c r="C872" s="285"/>
      <c r="D872" s="299"/>
      <c r="E872" s="286"/>
      <c r="F872" s="286"/>
      <c r="G872" s="301"/>
      <c r="H872" s="302"/>
    </row>
    <row r="873">
      <c r="A873" s="300"/>
      <c r="B873" s="285"/>
      <c r="C873" s="285"/>
      <c r="D873" s="299"/>
      <c r="E873" s="286"/>
      <c r="F873" s="286"/>
      <c r="G873" s="301"/>
      <c r="H873" s="302"/>
    </row>
    <row r="874">
      <c r="A874" s="300"/>
      <c r="B874" s="285"/>
      <c r="C874" s="285"/>
      <c r="D874" s="299"/>
      <c r="E874" s="286"/>
      <c r="F874" s="286"/>
      <c r="G874" s="301"/>
      <c r="H874" s="302"/>
    </row>
    <row r="875">
      <c r="A875" s="300"/>
      <c r="B875" s="285"/>
      <c r="C875" s="285"/>
      <c r="D875" s="299"/>
      <c r="E875" s="286"/>
      <c r="F875" s="286"/>
      <c r="G875" s="301"/>
      <c r="H875" s="302"/>
    </row>
    <row r="876">
      <c r="A876" s="300"/>
      <c r="B876" s="285"/>
      <c r="C876" s="285"/>
      <c r="D876" s="299"/>
      <c r="E876" s="286"/>
      <c r="F876" s="286"/>
      <c r="G876" s="301"/>
      <c r="H876" s="302"/>
    </row>
    <row r="877">
      <c r="A877" s="300"/>
      <c r="B877" s="285"/>
      <c r="C877" s="285"/>
      <c r="D877" s="299"/>
      <c r="E877" s="286"/>
      <c r="F877" s="286"/>
      <c r="G877" s="301"/>
      <c r="H877" s="302"/>
    </row>
    <row r="878">
      <c r="A878" s="300"/>
      <c r="B878" s="285"/>
      <c r="C878" s="285"/>
      <c r="D878" s="299"/>
      <c r="E878" s="286"/>
      <c r="F878" s="286"/>
      <c r="G878" s="301"/>
      <c r="H878" s="302"/>
    </row>
    <row r="879">
      <c r="A879" s="300"/>
      <c r="B879" s="285"/>
      <c r="C879" s="285"/>
      <c r="D879" s="299"/>
      <c r="E879" s="286"/>
      <c r="F879" s="286"/>
      <c r="G879" s="301"/>
      <c r="H879" s="302"/>
    </row>
    <row r="880">
      <c r="A880" s="300"/>
      <c r="B880" s="285"/>
      <c r="C880" s="285"/>
      <c r="D880" s="299"/>
      <c r="E880" s="286"/>
      <c r="F880" s="286"/>
      <c r="G880" s="301"/>
      <c r="H880" s="302"/>
    </row>
    <row r="881">
      <c r="A881" s="300"/>
      <c r="B881" s="285"/>
      <c r="C881" s="285"/>
      <c r="D881" s="299"/>
      <c r="E881" s="286"/>
      <c r="F881" s="286"/>
      <c r="G881" s="301"/>
      <c r="H881" s="302"/>
    </row>
    <row r="882">
      <c r="A882" s="300"/>
      <c r="B882" s="285"/>
      <c r="C882" s="285"/>
      <c r="D882" s="299"/>
      <c r="E882" s="286"/>
      <c r="F882" s="286"/>
      <c r="G882" s="301"/>
      <c r="H882" s="302"/>
    </row>
    <row r="883">
      <c r="A883" s="300"/>
      <c r="B883" s="285"/>
      <c r="C883" s="285"/>
      <c r="D883" s="299"/>
      <c r="E883" s="286"/>
      <c r="F883" s="286"/>
      <c r="G883" s="301"/>
      <c r="H883" s="302"/>
    </row>
    <row r="884">
      <c r="A884" s="300"/>
      <c r="B884" s="285"/>
      <c r="C884" s="285"/>
      <c r="D884" s="299"/>
      <c r="E884" s="286"/>
      <c r="F884" s="286"/>
      <c r="G884" s="301"/>
      <c r="H884" s="302"/>
    </row>
    <row r="885">
      <c r="A885" s="300"/>
      <c r="B885" s="285"/>
      <c r="C885" s="285"/>
      <c r="D885" s="299"/>
      <c r="E885" s="286"/>
      <c r="F885" s="286"/>
      <c r="G885" s="301"/>
      <c r="H885" s="302"/>
    </row>
    <row r="886">
      <c r="A886" s="300"/>
      <c r="B886" s="285"/>
      <c r="C886" s="285"/>
      <c r="D886" s="299"/>
      <c r="E886" s="286"/>
      <c r="F886" s="286"/>
      <c r="G886" s="301"/>
      <c r="H886" s="302"/>
    </row>
    <row r="887">
      <c r="A887" s="300"/>
      <c r="B887" s="285"/>
      <c r="C887" s="285"/>
      <c r="D887" s="299"/>
      <c r="E887" s="286"/>
      <c r="F887" s="286"/>
      <c r="G887" s="301"/>
      <c r="H887" s="302"/>
    </row>
    <row r="888">
      <c r="A888" s="300"/>
      <c r="B888" s="285"/>
      <c r="C888" s="285"/>
      <c r="D888" s="299"/>
      <c r="E888" s="286"/>
      <c r="F888" s="286"/>
      <c r="G888" s="301"/>
      <c r="H888" s="302"/>
    </row>
    <row r="889">
      <c r="A889" s="300"/>
      <c r="B889" s="285"/>
      <c r="C889" s="285"/>
      <c r="D889" s="299"/>
      <c r="E889" s="286"/>
      <c r="F889" s="286"/>
      <c r="G889" s="301"/>
      <c r="H889" s="302"/>
    </row>
    <row r="890">
      <c r="A890" s="300"/>
      <c r="B890" s="285"/>
      <c r="C890" s="285"/>
      <c r="D890" s="299"/>
      <c r="E890" s="286"/>
      <c r="F890" s="286"/>
      <c r="G890" s="301"/>
      <c r="H890" s="302"/>
    </row>
    <row r="891">
      <c r="A891" s="300"/>
      <c r="B891" s="285"/>
      <c r="C891" s="285"/>
      <c r="D891" s="299"/>
      <c r="E891" s="286"/>
      <c r="F891" s="286"/>
      <c r="G891" s="301"/>
      <c r="H891" s="302"/>
    </row>
    <row r="892">
      <c r="A892" s="300"/>
      <c r="B892" s="285"/>
      <c r="C892" s="285"/>
      <c r="D892" s="299"/>
      <c r="E892" s="286"/>
      <c r="F892" s="286"/>
      <c r="G892" s="301"/>
      <c r="H892" s="302"/>
    </row>
    <row r="893">
      <c r="A893" s="300"/>
      <c r="B893" s="285"/>
      <c r="C893" s="285"/>
      <c r="D893" s="299"/>
      <c r="E893" s="286"/>
      <c r="F893" s="286"/>
      <c r="G893" s="301"/>
      <c r="H893" s="302"/>
    </row>
    <row r="894">
      <c r="A894" s="300"/>
      <c r="B894" s="285"/>
      <c r="C894" s="285"/>
      <c r="D894" s="299"/>
      <c r="E894" s="286"/>
      <c r="F894" s="286"/>
      <c r="G894" s="301"/>
      <c r="H894" s="302"/>
    </row>
    <row r="895">
      <c r="A895" s="300"/>
      <c r="B895" s="285"/>
      <c r="C895" s="285"/>
      <c r="D895" s="299"/>
      <c r="E895" s="286"/>
      <c r="F895" s="286"/>
      <c r="G895" s="301"/>
      <c r="H895" s="302"/>
    </row>
    <row r="896">
      <c r="A896" s="300"/>
      <c r="B896" s="285"/>
      <c r="C896" s="285"/>
      <c r="D896" s="299"/>
      <c r="E896" s="286"/>
      <c r="F896" s="286"/>
      <c r="G896" s="301"/>
      <c r="H896" s="302"/>
    </row>
    <row r="897">
      <c r="A897" s="300"/>
      <c r="B897" s="285"/>
      <c r="C897" s="285"/>
      <c r="D897" s="299"/>
      <c r="E897" s="286"/>
      <c r="F897" s="286"/>
      <c r="G897" s="301"/>
      <c r="H897" s="302"/>
    </row>
    <row r="898">
      <c r="A898" s="300"/>
      <c r="B898" s="285"/>
      <c r="C898" s="285"/>
      <c r="D898" s="299"/>
      <c r="E898" s="286"/>
      <c r="F898" s="286"/>
      <c r="G898" s="301"/>
      <c r="H898" s="302"/>
    </row>
    <row r="899">
      <c r="A899" s="300"/>
      <c r="B899" s="285"/>
      <c r="C899" s="285"/>
      <c r="D899" s="299"/>
      <c r="E899" s="286"/>
      <c r="F899" s="286"/>
      <c r="G899" s="301"/>
      <c r="H899" s="302"/>
    </row>
    <row r="900">
      <c r="A900" s="300"/>
      <c r="B900" s="285"/>
      <c r="C900" s="285"/>
      <c r="D900" s="299"/>
      <c r="E900" s="286"/>
      <c r="F900" s="286"/>
      <c r="G900" s="301"/>
      <c r="H900" s="302"/>
    </row>
    <row r="901">
      <c r="A901" s="300"/>
      <c r="B901" s="285"/>
      <c r="C901" s="285"/>
      <c r="D901" s="299"/>
      <c r="E901" s="286"/>
      <c r="F901" s="286"/>
      <c r="G901" s="301"/>
      <c r="H901" s="302"/>
    </row>
    <row r="902">
      <c r="A902" s="300"/>
      <c r="B902" s="285"/>
      <c r="C902" s="285"/>
      <c r="D902" s="299"/>
      <c r="E902" s="286"/>
      <c r="F902" s="286"/>
      <c r="G902" s="301"/>
      <c r="H902" s="302"/>
    </row>
    <row r="903">
      <c r="A903" s="300"/>
      <c r="B903" s="285"/>
      <c r="C903" s="285"/>
      <c r="D903" s="299"/>
      <c r="E903" s="286"/>
      <c r="F903" s="286"/>
      <c r="G903" s="301"/>
      <c r="H903" s="302"/>
    </row>
    <row r="904">
      <c r="A904" s="300"/>
      <c r="B904" s="285"/>
      <c r="C904" s="285"/>
      <c r="D904" s="299"/>
      <c r="E904" s="286"/>
      <c r="F904" s="286"/>
      <c r="G904" s="301"/>
      <c r="H904" s="302"/>
    </row>
    <row r="905">
      <c r="A905" s="300"/>
      <c r="B905" s="285"/>
      <c r="C905" s="285"/>
      <c r="D905" s="299"/>
      <c r="E905" s="286"/>
      <c r="F905" s="286"/>
      <c r="G905" s="301"/>
      <c r="H905" s="302"/>
    </row>
    <row r="906">
      <c r="A906" s="300"/>
      <c r="B906" s="285"/>
      <c r="C906" s="285"/>
      <c r="D906" s="299"/>
      <c r="E906" s="286"/>
      <c r="F906" s="286"/>
      <c r="G906" s="301"/>
      <c r="H906" s="302"/>
    </row>
    <row r="907">
      <c r="A907" s="300"/>
      <c r="B907" s="285"/>
      <c r="C907" s="285"/>
      <c r="D907" s="299"/>
      <c r="E907" s="286"/>
      <c r="F907" s="286"/>
      <c r="G907" s="301"/>
      <c r="H907" s="302"/>
    </row>
    <row r="908">
      <c r="A908" s="300"/>
      <c r="B908" s="285"/>
      <c r="C908" s="285"/>
      <c r="D908" s="299"/>
      <c r="E908" s="286"/>
      <c r="F908" s="286"/>
      <c r="G908" s="301"/>
      <c r="H908" s="302"/>
    </row>
    <row r="909">
      <c r="A909" s="300"/>
      <c r="B909" s="285"/>
      <c r="C909" s="285"/>
      <c r="D909" s="299"/>
      <c r="E909" s="286"/>
      <c r="F909" s="286"/>
      <c r="G909" s="301"/>
      <c r="H909" s="302"/>
    </row>
    <row r="910">
      <c r="A910" s="300"/>
      <c r="B910" s="285"/>
      <c r="C910" s="285"/>
      <c r="D910" s="299"/>
      <c r="E910" s="286"/>
      <c r="F910" s="286"/>
      <c r="G910" s="301"/>
      <c r="H910" s="302"/>
    </row>
    <row r="911">
      <c r="A911" s="300"/>
      <c r="B911" s="285"/>
      <c r="C911" s="285"/>
      <c r="D911" s="299"/>
      <c r="E911" s="286"/>
      <c r="F911" s="286"/>
      <c r="G911" s="301"/>
      <c r="H911" s="302"/>
    </row>
    <row r="912">
      <c r="A912" s="300"/>
      <c r="B912" s="285"/>
      <c r="C912" s="285"/>
      <c r="D912" s="299"/>
      <c r="E912" s="286"/>
      <c r="F912" s="286"/>
      <c r="G912" s="301"/>
      <c r="H912" s="302"/>
    </row>
    <row r="913">
      <c r="A913" s="300"/>
      <c r="B913" s="285"/>
      <c r="C913" s="285"/>
      <c r="D913" s="299"/>
      <c r="E913" s="286"/>
      <c r="F913" s="286"/>
      <c r="G913" s="301"/>
      <c r="H913" s="302"/>
    </row>
    <row r="914">
      <c r="A914" s="300"/>
      <c r="B914" s="285"/>
      <c r="C914" s="285"/>
      <c r="D914" s="299"/>
      <c r="E914" s="286"/>
      <c r="F914" s="286"/>
      <c r="G914" s="301"/>
      <c r="H914" s="302"/>
    </row>
    <row r="915">
      <c r="A915" s="300"/>
      <c r="B915" s="285"/>
      <c r="C915" s="285"/>
      <c r="D915" s="299"/>
      <c r="E915" s="286"/>
      <c r="F915" s="286"/>
      <c r="G915" s="301"/>
      <c r="H915" s="302"/>
    </row>
    <row r="916">
      <c r="A916" s="300"/>
      <c r="B916" s="285"/>
      <c r="C916" s="285"/>
      <c r="D916" s="299"/>
      <c r="E916" s="286"/>
      <c r="F916" s="286"/>
      <c r="G916" s="301"/>
      <c r="H916" s="302"/>
    </row>
    <row r="917">
      <c r="A917" s="300"/>
      <c r="B917" s="285"/>
      <c r="C917" s="285"/>
      <c r="D917" s="299"/>
      <c r="E917" s="286"/>
      <c r="F917" s="286"/>
      <c r="G917" s="301"/>
      <c r="H917" s="302"/>
    </row>
    <row r="918">
      <c r="A918" s="300"/>
      <c r="B918" s="285"/>
      <c r="C918" s="285"/>
      <c r="D918" s="299"/>
      <c r="E918" s="286"/>
      <c r="F918" s="286"/>
      <c r="G918" s="301"/>
      <c r="H918" s="302"/>
    </row>
    <row r="919">
      <c r="A919" s="300"/>
      <c r="B919" s="285"/>
      <c r="C919" s="285"/>
      <c r="D919" s="299"/>
      <c r="E919" s="286"/>
      <c r="F919" s="286"/>
      <c r="G919" s="301"/>
      <c r="H919" s="302"/>
    </row>
    <row r="920">
      <c r="A920" s="300"/>
      <c r="B920" s="285"/>
      <c r="C920" s="285"/>
      <c r="D920" s="299"/>
      <c r="E920" s="286"/>
      <c r="F920" s="286"/>
      <c r="G920" s="301"/>
      <c r="H920" s="302"/>
    </row>
    <row r="921">
      <c r="A921" s="300"/>
      <c r="B921" s="285"/>
      <c r="C921" s="285"/>
      <c r="D921" s="299"/>
      <c r="E921" s="286"/>
      <c r="F921" s="286"/>
      <c r="G921" s="301"/>
      <c r="H921" s="302"/>
    </row>
    <row r="922">
      <c r="A922" s="300"/>
      <c r="B922" s="285"/>
      <c r="C922" s="285"/>
      <c r="D922" s="299"/>
      <c r="E922" s="286"/>
      <c r="F922" s="286"/>
      <c r="G922" s="301"/>
      <c r="H922" s="302"/>
    </row>
    <row r="923">
      <c r="A923" s="300"/>
      <c r="B923" s="285"/>
      <c r="C923" s="285"/>
      <c r="D923" s="299"/>
      <c r="E923" s="286"/>
      <c r="F923" s="286"/>
      <c r="G923" s="301"/>
      <c r="H923" s="302"/>
    </row>
    <row r="924">
      <c r="A924" s="300"/>
      <c r="B924" s="285"/>
      <c r="C924" s="285"/>
      <c r="D924" s="299"/>
      <c r="E924" s="286"/>
      <c r="F924" s="286"/>
      <c r="G924" s="301"/>
      <c r="H924" s="302"/>
    </row>
    <row r="925">
      <c r="A925" s="300"/>
      <c r="B925" s="285"/>
      <c r="C925" s="285"/>
      <c r="D925" s="299"/>
      <c r="E925" s="286"/>
      <c r="F925" s="286"/>
      <c r="G925" s="301"/>
      <c r="H925" s="302"/>
    </row>
    <row r="926">
      <c r="A926" s="300"/>
      <c r="B926" s="285"/>
      <c r="C926" s="285"/>
      <c r="D926" s="299"/>
      <c r="E926" s="286"/>
      <c r="F926" s="286"/>
      <c r="G926" s="301"/>
      <c r="H926" s="302"/>
    </row>
    <row r="927">
      <c r="A927" s="300"/>
      <c r="B927" s="285"/>
      <c r="C927" s="285"/>
      <c r="D927" s="299"/>
      <c r="E927" s="286"/>
      <c r="F927" s="286"/>
      <c r="G927" s="301"/>
      <c r="H927" s="302"/>
    </row>
    <row r="928">
      <c r="A928" s="300"/>
      <c r="B928" s="285"/>
      <c r="C928" s="285"/>
      <c r="D928" s="299"/>
      <c r="E928" s="286"/>
      <c r="F928" s="286"/>
      <c r="G928" s="301"/>
      <c r="H928" s="302"/>
    </row>
    <row r="929">
      <c r="A929" s="300"/>
      <c r="B929" s="285"/>
      <c r="C929" s="285"/>
      <c r="D929" s="299"/>
      <c r="E929" s="286"/>
      <c r="F929" s="286"/>
      <c r="G929" s="301"/>
      <c r="H929" s="302"/>
    </row>
    <row r="930">
      <c r="A930" s="300"/>
      <c r="B930" s="285"/>
      <c r="C930" s="285"/>
      <c r="D930" s="299"/>
      <c r="E930" s="286"/>
      <c r="F930" s="286"/>
      <c r="G930" s="301"/>
      <c r="H930" s="302"/>
    </row>
    <row r="931">
      <c r="A931" s="300"/>
      <c r="B931" s="285"/>
      <c r="C931" s="285"/>
      <c r="D931" s="299"/>
      <c r="E931" s="286"/>
      <c r="F931" s="286"/>
      <c r="G931" s="301"/>
      <c r="H931" s="302"/>
    </row>
    <row r="932">
      <c r="A932" s="300"/>
      <c r="B932" s="285"/>
      <c r="C932" s="285"/>
      <c r="D932" s="299"/>
      <c r="E932" s="286"/>
      <c r="F932" s="286"/>
      <c r="G932" s="301"/>
      <c r="H932" s="302"/>
    </row>
    <row r="933">
      <c r="A933" s="300"/>
      <c r="B933" s="285"/>
      <c r="C933" s="285"/>
      <c r="D933" s="299"/>
      <c r="E933" s="286"/>
      <c r="F933" s="286"/>
      <c r="G933" s="301"/>
      <c r="H933" s="302"/>
    </row>
    <row r="934">
      <c r="A934" s="300"/>
      <c r="B934" s="285"/>
      <c r="C934" s="285"/>
      <c r="D934" s="299"/>
      <c r="E934" s="286"/>
      <c r="F934" s="286"/>
      <c r="G934" s="301"/>
      <c r="H934" s="302"/>
    </row>
    <row r="935">
      <c r="A935" s="300"/>
      <c r="B935" s="285"/>
      <c r="C935" s="285"/>
      <c r="D935" s="299"/>
      <c r="E935" s="286"/>
      <c r="F935" s="286"/>
      <c r="G935" s="301"/>
      <c r="H935" s="302"/>
    </row>
    <row r="936">
      <c r="A936" s="300"/>
      <c r="B936" s="285"/>
      <c r="C936" s="285"/>
      <c r="D936" s="299"/>
      <c r="E936" s="286"/>
      <c r="F936" s="286"/>
      <c r="G936" s="301"/>
      <c r="H936" s="302"/>
    </row>
    <row r="937">
      <c r="A937" s="300"/>
      <c r="B937" s="285"/>
      <c r="C937" s="285"/>
      <c r="D937" s="299"/>
      <c r="E937" s="286"/>
      <c r="F937" s="286"/>
      <c r="G937" s="301"/>
      <c r="H937" s="302"/>
    </row>
    <row r="938">
      <c r="A938" s="300"/>
      <c r="B938" s="285"/>
      <c r="C938" s="285"/>
      <c r="D938" s="299"/>
      <c r="E938" s="286"/>
      <c r="F938" s="286"/>
      <c r="G938" s="301"/>
      <c r="H938" s="302"/>
    </row>
    <row r="939">
      <c r="A939" s="300"/>
      <c r="B939" s="285"/>
      <c r="C939" s="285"/>
      <c r="D939" s="299"/>
      <c r="E939" s="286"/>
      <c r="F939" s="286"/>
      <c r="G939" s="301"/>
      <c r="H939" s="302"/>
    </row>
    <row r="940">
      <c r="A940" s="300"/>
      <c r="B940" s="285"/>
      <c r="C940" s="285"/>
      <c r="D940" s="299"/>
      <c r="E940" s="286"/>
      <c r="F940" s="286"/>
      <c r="G940" s="301"/>
      <c r="H940" s="302"/>
    </row>
    <row r="941">
      <c r="A941" s="300"/>
      <c r="B941" s="285"/>
      <c r="C941" s="285"/>
      <c r="D941" s="299"/>
      <c r="E941" s="286"/>
      <c r="F941" s="286"/>
      <c r="G941" s="301"/>
      <c r="H941" s="302"/>
    </row>
    <row r="942">
      <c r="A942" s="300"/>
      <c r="B942" s="285"/>
      <c r="C942" s="285"/>
      <c r="D942" s="299"/>
      <c r="E942" s="286"/>
      <c r="F942" s="286"/>
      <c r="G942" s="301"/>
      <c r="H942" s="302"/>
    </row>
    <row r="943">
      <c r="A943" s="300"/>
      <c r="B943" s="285"/>
      <c r="C943" s="285"/>
      <c r="D943" s="299"/>
      <c r="E943" s="286"/>
      <c r="F943" s="286"/>
      <c r="G943" s="301"/>
      <c r="H943" s="302"/>
    </row>
    <row r="944">
      <c r="A944" s="300"/>
      <c r="B944" s="285"/>
      <c r="C944" s="285"/>
      <c r="D944" s="299"/>
      <c r="E944" s="286"/>
      <c r="F944" s="286"/>
      <c r="G944" s="301"/>
      <c r="H944" s="302"/>
    </row>
    <row r="945">
      <c r="A945" s="300"/>
      <c r="B945" s="285"/>
      <c r="C945" s="285"/>
      <c r="D945" s="299"/>
      <c r="E945" s="286"/>
      <c r="F945" s="286"/>
      <c r="G945" s="301"/>
      <c r="H945" s="302"/>
    </row>
    <row r="946">
      <c r="A946" s="300"/>
      <c r="B946" s="285"/>
      <c r="C946" s="285"/>
      <c r="D946" s="299"/>
      <c r="E946" s="286"/>
      <c r="F946" s="286"/>
      <c r="G946" s="301"/>
      <c r="H946" s="302"/>
    </row>
    <row r="947">
      <c r="A947" s="300"/>
      <c r="B947" s="285"/>
      <c r="C947" s="285"/>
      <c r="D947" s="299"/>
      <c r="E947" s="286"/>
      <c r="F947" s="286"/>
      <c r="G947" s="301"/>
      <c r="H947" s="302"/>
    </row>
    <row r="948">
      <c r="A948" s="300"/>
      <c r="B948" s="285"/>
      <c r="C948" s="285"/>
      <c r="D948" s="299"/>
      <c r="E948" s="286"/>
      <c r="F948" s="286"/>
      <c r="G948" s="301"/>
      <c r="H948" s="302"/>
    </row>
    <row r="949">
      <c r="A949" s="300"/>
      <c r="B949" s="285"/>
      <c r="C949" s="285"/>
      <c r="D949" s="299"/>
      <c r="E949" s="286"/>
      <c r="F949" s="286"/>
      <c r="G949" s="301"/>
      <c r="H949" s="302"/>
    </row>
    <row r="950">
      <c r="A950" s="300"/>
      <c r="B950" s="285"/>
      <c r="C950" s="285"/>
      <c r="D950" s="299"/>
      <c r="E950" s="286"/>
      <c r="F950" s="286"/>
      <c r="G950" s="301"/>
      <c r="H950" s="302"/>
    </row>
    <row r="951">
      <c r="A951" s="300"/>
      <c r="B951" s="285"/>
      <c r="C951" s="285"/>
      <c r="D951" s="299"/>
      <c r="E951" s="286"/>
      <c r="F951" s="286"/>
      <c r="G951" s="301"/>
      <c r="H951" s="302"/>
    </row>
    <row r="952">
      <c r="A952" s="300"/>
      <c r="B952" s="285"/>
      <c r="C952" s="285"/>
      <c r="D952" s="299"/>
      <c r="E952" s="286"/>
      <c r="F952" s="286"/>
      <c r="G952" s="301"/>
      <c r="H952" s="302"/>
    </row>
    <row r="953">
      <c r="A953" s="300"/>
      <c r="B953" s="285"/>
      <c r="C953" s="285"/>
      <c r="D953" s="299"/>
      <c r="E953" s="286"/>
      <c r="F953" s="286"/>
      <c r="G953" s="301"/>
      <c r="H953" s="302"/>
    </row>
    <row r="954">
      <c r="A954" s="300"/>
      <c r="B954" s="285"/>
      <c r="C954" s="285"/>
      <c r="D954" s="299"/>
      <c r="E954" s="286"/>
      <c r="F954" s="286"/>
      <c r="G954" s="301"/>
      <c r="H954" s="302"/>
    </row>
    <row r="955">
      <c r="A955" s="300"/>
      <c r="B955" s="285"/>
      <c r="C955" s="285"/>
      <c r="D955" s="299"/>
      <c r="E955" s="286"/>
      <c r="F955" s="286"/>
      <c r="G955" s="301"/>
      <c r="H955" s="302"/>
    </row>
    <row r="956">
      <c r="A956" s="300"/>
      <c r="B956" s="285"/>
      <c r="C956" s="285"/>
      <c r="D956" s="299"/>
      <c r="E956" s="286"/>
      <c r="F956" s="286"/>
      <c r="G956" s="301"/>
      <c r="H956" s="302"/>
    </row>
    <row r="957">
      <c r="A957" s="300"/>
      <c r="B957" s="285"/>
      <c r="C957" s="285"/>
      <c r="D957" s="299"/>
      <c r="E957" s="286"/>
      <c r="F957" s="286"/>
      <c r="G957" s="301"/>
      <c r="H957" s="302"/>
    </row>
    <row r="958">
      <c r="A958" s="300"/>
      <c r="B958" s="285"/>
      <c r="C958" s="285"/>
      <c r="D958" s="299"/>
      <c r="E958" s="286"/>
      <c r="F958" s="286"/>
      <c r="G958" s="301"/>
      <c r="H958" s="302"/>
    </row>
    <row r="959">
      <c r="A959" s="300"/>
      <c r="B959" s="285"/>
      <c r="C959" s="285"/>
      <c r="D959" s="299"/>
      <c r="E959" s="286"/>
      <c r="F959" s="286"/>
      <c r="G959" s="301"/>
      <c r="H959" s="302"/>
    </row>
    <row r="960">
      <c r="A960" s="300"/>
      <c r="B960" s="285"/>
      <c r="C960" s="285"/>
      <c r="D960" s="299"/>
      <c r="E960" s="286"/>
      <c r="F960" s="286"/>
      <c r="G960" s="301"/>
      <c r="H960" s="302"/>
    </row>
    <row r="961">
      <c r="A961" s="300"/>
      <c r="B961" s="285"/>
      <c r="C961" s="285"/>
      <c r="D961" s="299"/>
      <c r="E961" s="286"/>
      <c r="F961" s="286"/>
      <c r="G961" s="301"/>
      <c r="H961" s="302"/>
    </row>
    <row r="962">
      <c r="A962" s="300"/>
      <c r="B962" s="285"/>
      <c r="C962" s="285"/>
      <c r="D962" s="299"/>
      <c r="E962" s="286"/>
      <c r="F962" s="286"/>
      <c r="G962" s="301"/>
      <c r="H962" s="302"/>
    </row>
    <row r="963">
      <c r="A963" s="300"/>
      <c r="B963" s="285"/>
      <c r="C963" s="285"/>
      <c r="D963" s="299"/>
      <c r="E963" s="286"/>
      <c r="F963" s="286"/>
      <c r="G963" s="301"/>
      <c r="H963" s="302"/>
    </row>
    <row r="964">
      <c r="A964" s="300"/>
      <c r="B964" s="285"/>
      <c r="C964" s="285"/>
      <c r="D964" s="299"/>
      <c r="E964" s="286"/>
      <c r="F964" s="286"/>
      <c r="G964" s="301"/>
      <c r="H964" s="302"/>
    </row>
    <row r="965">
      <c r="A965" s="300"/>
      <c r="B965" s="285"/>
      <c r="C965" s="285"/>
      <c r="D965" s="299"/>
      <c r="E965" s="286"/>
      <c r="F965" s="286"/>
      <c r="G965" s="301"/>
      <c r="H965" s="302"/>
    </row>
    <row r="966">
      <c r="A966" s="300"/>
      <c r="B966" s="285"/>
      <c r="C966" s="285"/>
      <c r="D966" s="299"/>
      <c r="E966" s="286"/>
      <c r="F966" s="286"/>
      <c r="G966" s="301"/>
      <c r="H966" s="302"/>
    </row>
    <row r="967">
      <c r="A967" s="300"/>
      <c r="B967" s="285"/>
      <c r="C967" s="285"/>
      <c r="D967" s="299"/>
      <c r="E967" s="286"/>
      <c r="F967" s="286"/>
      <c r="G967" s="301"/>
      <c r="H967" s="302"/>
    </row>
    <row r="968">
      <c r="A968" s="300"/>
      <c r="B968" s="285"/>
      <c r="C968" s="285"/>
      <c r="D968" s="299"/>
      <c r="E968" s="286"/>
      <c r="F968" s="286"/>
      <c r="G968" s="301"/>
      <c r="H968" s="302"/>
    </row>
    <row r="969">
      <c r="A969" s="300"/>
      <c r="B969" s="285"/>
      <c r="C969" s="285"/>
      <c r="D969" s="299"/>
      <c r="E969" s="286"/>
      <c r="F969" s="286"/>
      <c r="G969" s="301"/>
      <c r="H969" s="302"/>
    </row>
    <row r="970">
      <c r="A970" s="300"/>
      <c r="B970" s="285"/>
      <c r="C970" s="285"/>
      <c r="D970" s="299"/>
      <c r="E970" s="286"/>
      <c r="F970" s="286"/>
      <c r="G970" s="301"/>
      <c r="H970" s="302"/>
    </row>
    <row r="971">
      <c r="A971" s="300"/>
      <c r="B971" s="285"/>
      <c r="C971" s="285"/>
      <c r="D971" s="299"/>
      <c r="E971" s="286"/>
      <c r="F971" s="286"/>
      <c r="G971" s="301"/>
      <c r="H971" s="302"/>
    </row>
    <row r="972">
      <c r="A972" s="300"/>
      <c r="B972" s="285"/>
      <c r="C972" s="285"/>
      <c r="D972" s="299"/>
      <c r="E972" s="286"/>
      <c r="F972" s="286"/>
      <c r="G972" s="301"/>
      <c r="H972" s="302"/>
    </row>
    <row r="973">
      <c r="A973" s="300"/>
      <c r="B973" s="285"/>
      <c r="C973" s="285"/>
      <c r="D973" s="299"/>
      <c r="E973" s="286"/>
      <c r="F973" s="286"/>
      <c r="G973" s="301"/>
      <c r="H973" s="302"/>
    </row>
    <row r="974">
      <c r="A974" s="300"/>
      <c r="B974" s="285"/>
      <c r="C974" s="285"/>
      <c r="D974" s="299"/>
      <c r="E974" s="286"/>
      <c r="F974" s="286"/>
      <c r="G974" s="301"/>
      <c r="H974" s="302"/>
    </row>
    <row r="975">
      <c r="A975" s="300"/>
      <c r="B975" s="285"/>
      <c r="C975" s="285"/>
      <c r="D975" s="299"/>
      <c r="E975" s="286"/>
      <c r="F975" s="286"/>
      <c r="G975" s="301"/>
      <c r="H975" s="302"/>
    </row>
    <row r="976">
      <c r="A976" s="300"/>
      <c r="B976" s="285"/>
      <c r="C976" s="285"/>
      <c r="D976" s="299"/>
      <c r="E976" s="286"/>
      <c r="F976" s="286"/>
      <c r="G976" s="301"/>
      <c r="H976" s="302"/>
    </row>
    <row r="977">
      <c r="A977" s="300"/>
      <c r="B977" s="285"/>
      <c r="C977" s="285"/>
      <c r="D977" s="299"/>
      <c r="E977" s="286"/>
      <c r="F977" s="286"/>
      <c r="G977" s="301"/>
      <c r="H977" s="302"/>
    </row>
    <row r="978">
      <c r="A978" s="300"/>
      <c r="B978" s="285"/>
      <c r="C978" s="285"/>
      <c r="D978" s="299"/>
      <c r="E978" s="286"/>
      <c r="F978" s="286"/>
      <c r="G978" s="301"/>
      <c r="H978" s="302"/>
    </row>
    <row r="979">
      <c r="A979" s="300"/>
      <c r="B979" s="285"/>
      <c r="C979" s="285"/>
      <c r="D979" s="299"/>
      <c r="E979" s="286"/>
      <c r="F979" s="286"/>
      <c r="G979" s="301"/>
      <c r="H979" s="302"/>
    </row>
    <row r="980">
      <c r="A980" s="300"/>
      <c r="B980" s="285"/>
      <c r="C980" s="285"/>
      <c r="D980" s="299"/>
      <c r="E980" s="286"/>
      <c r="F980" s="286"/>
      <c r="G980" s="301"/>
      <c r="H980" s="302"/>
    </row>
    <row r="981">
      <c r="A981" s="300"/>
      <c r="B981" s="285"/>
      <c r="C981" s="285"/>
      <c r="D981" s="299"/>
      <c r="E981" s="286"/>
      <c r="F981" s="286"/>
      <c r="G981" s="301"/>
      <c r="H981" s="302"/>
    </row>
    <row r="982">
      <c r="A982" s="300"/>
      <c r="B982" s="285"/>
      <c r="C982" s="285"/>
      <c r="D982" s="299"/>
      <c r="E982" s="286"/>
      <c r="F982" s="286"/>
      <c r="G982" s="301"/>
      <c r="H982" s="302"/>
    </row>
    <row r="983">
      <c r="A983" s="300"/>
      <c r="B983" s="285"/>
      <c r="C983" s="285"/>
      <c r="D983" s="299"/>
      <c r="E983" s="286"/>
      <c r="F983" s="286"/>
      <c r="G983" s="301"/>
      <c r="H983" s="302"/>
    </row>
    <row r="984">
      <c r="A984" s="300"/>
      <c r="B984" s="285"/>
      <c r="C984" s="285"/>
      <c r="D984" s="299"/>
      <c r="E984" s="286"/>
      <c r="F984" s="286"/>
      <c r="G984" s="301"/>
      <c r="H984" s="302"/>
    </row>
    <row r="985">
      <c r="A985" s="300"/>
      <c r="B985" s="285"/>
      <c r="C985" s="285"/>
      <c r="D985" s="299"/>
      <c r="E985" s="286"/>
      <c r="F985" s="286"/>
      <c r="G985" s="301"/>
      <c r="H985" s="302"/>
    </row>
    <row r="986">
      <c r="A986" s="300"/>
      <c r="B986" s="285"/>
      <c r="C986" s="285"/>
      <c r="D986" s="299"/>
      <c r="E986" s="286"/>
      <c r="F986" s="286"/>
      <c r="G986" s="301"/>
      <c r="H986" s="302"/>
    </row>
    <row r="987">
      <c r="A987" s="300"/>
      <c r="B987" s="285"/>
      <c r="C987" s="285"/>
      <c r="D987" s="299"/>
      <c r="E987" s="286"/>
      <c r="F987" s="286"/>
      <c r="G987" s="301"/>
      <c r="H987" s="302"/>
    </row>
    <row r="988">
      <c r="A988" s="300"/>
      <c r="B988" s="285"/>
      <c r="C988" s="285"/>
      <c r="D988" s="299"/>
      <c r="E988" s="286"/>
      <c r="F988" s="286"/>
      <c r="G988" s="301"/>
      <c r="H988" s="302"/>
    </row>
    <row r="989">
      <c r="A989" s="300"/>
      <c r="B989" s="285"/>
      <c r="C989" s="285"/>
      <c r="D989" s="299"/>
      <c r="E989" s="286"/>
      <c r="F989" s="286"/>
      <c r="G989" s="301"/>
      <c r="H989" s="302"/>
    </row>
    <row r="990">
      <c r="A990" s="300"/>
      <c r="B990" s="285"/>
      <c r="C990" s="285"/>
      <c r="D990" s="299"/>
      <c r="E990" s="286"/>
      <c r="F990" s="286"/>
      <c r="G990" s="301"/>
      <c r="H990" s="302"/>
    </row>
    <row r="991">
      <c r="A991" s="300"/>
      <c r="B991" s="285"/>
      <c r="C991" s="285"/>
      <c r="D991" s="299"/>
      <c r="E991" s="286"/>
      <c r="F991" s="286"/>
      <c r="G991" s="301"/>
      <c r="H991" s="302"/>
    </row>
    <row r="992">
      <c r="A992" s="300"/>
      <c r="B992" s="285"/>
      <c r="C992" s="285"/>
      <c r="D992" s="299"/>
      <c r="E992" s="286"/>
      <c r="F992" s="286"/>
      <c r="G992" s="301"/>
      <c r="H992" s="302"/>
    </row>
    <row r="993">
      <c r="A993" s="300"/>
      <c r="B993" s="285"/>
      <c r="C993" s="285"/>
      <c r="D993" s="299"/>
      <c r="E993" s="286"/>
      <c r="F993" s="286"/>
      <c r="G993" s="301"/>
      <c r="H993" s="302"/>
    </row>
    <row r="994">
      <c r="A994" s="300"/>
      <c r="B994" s="285"/>
      <c r="C994" s="285"/>
      <c r="D994" s="299"/>
      <c r="E994" s="286"/>
      <c r="F994" s="286"/>
      <c r="G994" s="301"/>
      <c r="H994" s="302"/>
    </row>
    <row r="995">
      <c r="A995" s="300"/>
      <c r="B995" s="285"/>
      <c r="C995" s="285"/>
      <c r="D995" s="299"/>
      <c r="E995" s="286"/>
      <c r="F995" s="286"/>
      <c r="G995" s="301"/>
      <c r="H995" s="302"/>
    </row>
    <row r="996">
      <c r="A996" s="300"/>
      <c r="B996" s="285"/>
      <c r="C996" s="285"/>
      <c r="D996" s="299"/>
      <c r="E996" s="286"/>
      <c r="F996" s="286"/>
      <c r="G996" s="301"/>
      <c r="H996" s="302"/>
    </row>
    <row r="997">
      <c r="A997" s="300"/>
      <c r="B997" s="285"/>
      <c r="C997" s="285"/>
      <c r="D997" s="299"/>
      <c r="E997" s="286"/>
      <c r="F997" s="286"/>
      <c r="G997" s="301"/>
      <c r="H997" s="302"/>
    </row>
    <row r="998">
      <c r="A998" s="300"/>
      <c r="B998" s="285"/>
      <c r="C998" s="285"/>
      <c r="D998" s="299"/>
      <c r="E998" s="286"/>
      <c r="F998" s="286"/>
      <c r="G998" s="301"/>
      <c r="H998" s="302"/>
    </row>
    <row r="999">
      <c r="A999" s="300"/>
      <c r="B999" s="285"/>
      <c r="C999" s="285"/>
      <c r="D999" s="299"/>
      <c r="E999" s="286"/>
      <c r="F999" s="286"/>
      <c r="G999" s="301"/>
      <c r="H999" s="302"/>
    </row>
    <row r="1000">
      <c r="A1000" s="300"/>
      <c r="B1000" s="285"/>
      <c r="C1000" s="285"/>
      <c r="D1000" s="299"/>
      <c r="E1000" s="286"/>
      <c r="F1000" s="286"/>
      <c r="G1000" s="301"/>
      <c r="H1000" s="302"/>
    </row>
    <row r="1001">
      <c r="A1001" s="300"/>
      <c r="B1001" s="285"/>
      <c r="C1001" s="285"/>
      <c r="D1001" s="299"/>
      <c r="E1001" s="286"/>
      <c r="F1001" s="286"/>
      <c r="G1001" s="301"/>
      <c r="H1001" s="302"/>
    </row>
    <row r="1002">
      <c r="A1002" s="300"/>
      <c r="B1002" s="285"/>
      <c r="C1002" s="285"/>
      <c r="D1002" s="299"/>
      <c r="E1002" s="286"/>
      <c r="F1002" s="286"/>
      <c r="G1002" s="301"/>
      <c r="H1002" s="302"/>
    </row>
    <row r="1003">
      <c r="A1003" s="300"/>
      <c r="B1003" s="285"/>
      <c r="C1003" s="285"/>
      <c r="D1003" s="299"/>
      <c r="E1003" s="286"/>
      <c r="F1003" s="286"/>
      <c r="G1003" s="301"/>
      <c r="H1003" s="302"/>
    </row>
    <row r="1004">
      <c r="A1004" s="300"/>
      <c r="B1004" s="285"/>
      <c r="C1004" s="285"/>
      <c r="D1004" s="299"/>
      <c r="E1004" s="286"/>
      <c r="F1004" s="286"/>
      <c r="G1004" s="301"/>
      <c r="H1004" s="302"/>
    </row>
    <row r="1005">
      <c r="A1005" s="300"/>
      <c r="B1005" s="285"/>
      <c r="C1005" s="285"/>
      <c r="D1005" s="299"/>
      <c r="E1005" s="286"/>
      <c r="F1005" s="286"/>
      <c r="G1005" s="301"/>
      <c r="H1005" s="302"/>
    </row>
    <row r="1006">
      <c r="A1006" s="300"/>
      <c r="B1006" s="285"/>
      <c r="C1006" s="285"/>
      <c r="D1006" s="299"/>
      <c r="E1006" s="286"/>
      <c r="F1006" s="286"/>
      <c r="G1006" s="301"/>
      <c r="H1006" s="302"/>
    </row>
    <row r="1007">
      <c r="A1007" s="300"/>
      <c r="B1007" s="285"/>
      <c r="C1007" s="285"/>
      <c r="D1007" s="299"/>
      <c r="E1007" s="286"/>
      <c r="F1007" s="286"/>
      <c r="G1007" s="301"/>
      <c r="H1007" s="302"/>
    </row>
    <row r="1008">
      <c r="A1008" s="300"/>
      <c r="B1008" s="285"/>
      <c r="C1008" s="285"/>
      <c r="D1008" s="299"/>
      <c r="E1008" s="286"/>
      <c r="F1008" s="286"/>
      <c r="G1008" s="301"/>
      <c r="H1008" s="302"/>
    </row>
    <row r="1009">
      <c r="A1009" s="300"/>
      <c r="B1009" s="285"/>
      <c r="C1009" s="285"/>
      <c r="D1009" s="299"/>
      <c r="E1009" s="286"/>
      <c r="F1009" s="286"/>
      <c r="G1009" s="301"/>
      <c r="H1009" s="302"/>
    </row>
    <row r="1010">
      <c r="A1010" s="300"/>
      <c r="B1010" s="285"/>
      <c r="C1010" s="285"/>
      <c r="D1010" s="299"/>
      <c r="E1010" s="286"/>
      <c r="F1010" s="286"/>
      <c r="G1010" s="301"/>
      <c r="H1010" s="302"/>
    </row>
    <row r="1011">
      <c r="A1011" s="300"/>
      <c r="B1011" s="285"/>
      <c r="C1011" s="285"/>
      <c r="D1011" s="299"/>
      <c r="E1011" s="286"/>
      <c r="F1011" s="286"/>
      <c r="G1011" s="301"/>
      <c r="H1011" s="302"/>
    </row>
    <row r="1012">
      <c r="A1012" s="300"/>
      <c r="B1012" s="285"/>
      <c r="C1012" s="285"/>
      <c r="D1012" s="299"/>
      <c r="E1012" s="286"/>
      <c r="F1012" s="286"/>
      <c r="G1012" s="301"/>
      <c r="H1012" s="302"/>
    </row>
    <row r="1013">
      <c r="A1013" s="300"/>
      <c r="B1013" s="285"/>
      <c r="C1013" s="285"/>
      <c r="D1013" s="299"/>
      <c r="E1013" s="286"/>
      <c r="F1013" s="286"/>
      <c r="G1013" s="301"/>
      <c r="H1013" s="302"/>
    </row>
    <row r="1014">
      <c r="A1014" s="300"/>
      <c r="B1014" s="285"/>
      <c r="C1014" s="285"/>
      <c r="D1014" s="299"/>
      <c r="E1014" s="286"/>
      <c r="F1014" s="286"/>
      <c r="G1014" s="301"/>
      <c r="H1014" s="302"/>
    </row>
    <row r="1015">
      <c r="A1015" s="300"/>
      <c r="B1015" s="285"/>
      <c r="C1015" s="285"/>
      <c r="D1015" s="299"/>
      <c r="E1015" s="286"/>
      <c r="F1015" s="286"/>
      <c r="G1015" s="301"/>
      <c r="H1015" s="302"/>
    </row>
    <row r="1016">
      <c r="A1016" s="300"/>
      <c r="B1016" s="285"/>
      <c r="C1016" s="285"/>
      <c r="D1016" s="299"/>
      <c r="E1016" s="286"/>
      <c r="F1016" s="286"/>
      <c r="G1016" s="301"/>
      <c r="H1016" s="302"/>
    </row>
    <row r="1017">
      <c r="A1017" s="300"/>
      <c r="B1017" s="285"/>
      <c r="C1017" s="285"/>
      <c r="D1017" s="299"/>
      <c r="E1017" s="286"/>
      <c r="F1017" s="286"/>
      <c r="G1017" s="301"/>
      <c r="H1017" s="302"/>
    </row>
    <row r="1018">
      <c r="A1018" s="300"/>
      <c r="B1018" s="285"/>
      <c r="C1018" s="285"/>
      <c r="D1018" s="299"/>
      <c r="E1018" s="286"/>
      <c r="F1018" s="286"/>
      <c r="G1018" s="301"/>
      <c r="H1018" s="302"/>
    </row>
    <row r="1019">
      <c r="A1019" s="300"/>
      <c r="B1019" s="285"/>
      <c r="C1019" s="285"/>
      <c r="D1019" s="299"/>
      <c r="E1019" s="286"/>
      <c r="F1019" s="286"/>
      <c r="G1019" s="301"/>
      <c r="H1019" s="302"/>
    </row>
    <row r="1020">
      <c r="A1020" s="300"/>
      <c r="B1020" s="285"/>
      <c r="C1020" s="285"/>
      <c r="D1020" s="299"/>
      <c r="E1020" s="286"/>
      <c r="F1020" s="286"/>
      <c r="G1020" s="301"/>
      <c r="H1020" s="302"/>
    </row>
    <row r="1021">
      <c r="A1021" s="300"/>
      <c r="B1021" s="285"/>
      <c r="C1021" s="285"/>
      <c r="D1021" s="299"/>
      <c r="E1021" s="286"/>
      <c r="F1021" s="286"/>
      <c r="G1021" s="301"/>
      <c r="H1021" s="302"/>
    </row>
    <row r="1022">
      <c r="A1022" s="300"/>
      <c r="B1022" s="285"/>
      <c r="C1022" s="285"/>
      <c r="D1022" s="299"/>
      <c r="E1022" s="286"/>
      <c r="F1022" s="286"/>
      <c r="G1022" s="301"/>
      <c r="H1022" s="302"/>
    </row>
    <row r="1023">
      <c r="A1023" s="300"/>
      <c r="B1023" s="285"/>
      <c r="C1023" s="285"/>
      <c r="D1023" s="299"/>
      <c r="E1023" s="286"/>
      <c r="F1023" s="286"/>
      <c r="G1023" s="301"/>
      <c r="H1023" s="302"/>
    </row>
    <row r="1024">
      <c r="A1024" s="300"/>
      <c r="B1024" s="285"/>
      <c r="C1024" s="285"/>
      <c r="D1024" s="299"/>
      <c r="E1024" s="286"/>
      <c r="F1024" s="286"/>
      <c r="G1024" s="301"/>
      <c r="H1024" s="302"/>
    </row>
    <row r="1025">
      <c r="A1025" s="300"/>
      <c r="B1025" s="285"/>
      <c r="C1025" s="285"/>
      <c r="D1025" s="299"/>
      <c r="E1025" s="286"/>
      <c r="F1025" s="286"/>
      <c r="G1025" s="301"/>
      <c r="H1025" s="302"/>
    </row>
    <row r="1026">
      <c r="A1026" s="300"/>
      <c r="B1026" s="285"/>
      <c r="C1026" s="285"/>
      <c r="D1026" s="299"/>
      <c r="E1026" s="286"/>
      <c r="F1026" s="286"/>
      <c r="G1026" s="301"/>
      <c r="H1026" s="302"/>
    </row>
    <row r="1027">
      <c r="A1027" s="300"/>
      <c r="B1027" s="285"/>
      <c r="C1027" s="285"/>
      <c r="D1027" s="299"/>
      <c r="E1027" s="286"/>
      <c r="F1027" s="286"/>
      <c r="G1027" s="301"/>
      <c r="H1027" s="302"/>
    </row>
    <row r="1028">
      <c r="A1028" s="300"/>
      <c r="B1028" s="285"/>
      <c r="C1028" s="285"/>
      <c r="D1028" s="299"/>
      <c r="E1028" s="286"/>
      <c r="F1028" s="286"/>
      <c r="G1028" s="301"/>
      <c r="H1028" s="302"/>
    </row>
    <row r="1029">
      <c r="A1029" s="300"/>
      <c r="B1029" s="285"/>
      <c r="C1029" s="285"/>
      <c r="D1029" s="299"/>
      <c r="E1029" s="286"/>
      <c r="F1029" s="286"/>
      <c r="G1029" s="301"/>
      <c r="H1029" s="302"/>
    </row>
    <row r="1030">
      <c r="A1030" s="300"/>
      <c r="B1030" s="285"/>
      <c r="C1030" s="285"/>
      <c r="D1030" s="299"/>
      <c r="E1030" s="286"/>
      <c r="F1030" s="286"/>
      <c r="G1030" s="301"/>
      <c r="H1030" s="302"/>
    </row>
    <row r="1031">
      <c r="A1031" s="300"/>
      <c r="B1031" s="285"/>
      <c r="C1031" s="285"/>
      <c r="D1031" s="299"/>
      <c r="E1031" s="286"/>
      <c r="F1031" s="286"/>
      <c r="G1031" s="301"/>
      <c r="H1031" s="302"/>
    </row>
    <row r="1032">
      <c r="A1032" s="300"/>
      <c r="B1032" s="285"/>
      <c r="C1032" s="285"/>
      <c r="D1032" s="299"/>
      <c r="E1032" s="286"/>
      <c r="F1032" s="286"/>
      <c r="G1032" s="301"/>
      <c r="H1032" s="302"/>
    </row>
    <row r="1033">
      <c r="A1033" s="300"/>
      <c r="B1033" s="285"/>
      <c r="C1033" s="285"/>
      <c r="D1033" s="299"/>
      <c r="E1033" s="286"/>
      <c r="F1033" s="286"/>
      <c r="G1033" s="301"/>
      <c r="H1033" s="302"/>
    </row>
    <row r="1034">
      <c r="A1034" s="300"/>
      <c r="B1034" s="285"/>
      <c r="C1034" s="285"/>
      <c r="D1034" s="299"/>
      <c r="E1034" s="286"/>
      <c r="F1034" s="286"/>
      <c r="G1034" s="301"/>
      <c r="H1034" s="302"/>
    </row>
    <row r="1035">
      <c r="A1035" s="300"/>
      <c r="B1035" s="285"/>
      <c r="C1035" s="285"/>
      <c r="D1035" s="299"/>
      <c r="E1035" s="286"/>
      <c r="F1035" s="286"/>
      <c r="G1035" s="301"/>
      <c r="H1035" s="302"/>
    </row>
    <row r="1036">
      <c r="A1036" s="300"/>
      <c r="B1036" s="285"/>
      <c r="C1036" s="285"/>
      <c r="D1036" s="299"/>
      <c r="E1036" s="286"/>
      <c r="F1036" s="286"/>
      <c r="G1036" s="301"/>
      <c r="H1036" s="302"/>
    </row>
    <row r="1037">
      <c r="A1037" s="300"/>
      <c r="B1037" s="285"/>
      <c r="C1037" s="285"/>
      <c r="D1037" s="299"/>
      <c r="E1037" s="286"/>
      <c r="F1037" s="286"/>
      <c r="G1037" s="301"/>
      <c r="H1037" s="302"/>
    </row>
    <row r="1038">
      <c r="A1038" s="300"/>
      <c r="B1038" s="285"/>
      <c r="C1038" s="285"/>
      <c r="D1038" s="299"/>
      <c r="E1038" s="286"/>
      <c r="F1038" s="286"/>
      <c r="G1038" s="301"/>
      <c r="H1038" s="302"/>
    </row>
    <row r="1039">
      <c r="A1039" s="300"/>
      <c r="B1039" s="285"/>
      <c r="C1039" s="285"/>
      <c r="D1039" s="299"/>
      <c r="E1039" s="286"/>
      <c r="F1039" s="286"/>
      <c r="G1039" s="301"/>
      <c r="H1039" s="302"/>
    </row>
    <row r="1040">
      <c r="A1040" s="300"/>
      <c r="B1040" s="285"/>
      <c r="C1040" s="285"/>
      <c r="D1040" s="299"/>
      <c r="E1040" s="286"/>
      <c r="F1040" s="286"/>
      <c r="G1040" s="301"/>
      <c r="H1040" s="302"/>
    </row>
    <row r="1041">
      <c r="A1041" s="300"/>
      <c r="B1041" s="285"/>
      <c r="C1041" s="285"/>
      <c r="D1041" s="299"/>
      <c r="E1041" s="286"/>
      <c r="F1041" s="286"/>
      <c r="G1041" s="301"/>
      <c r="H1041" s="302"/>
    </row>
    <row r="1042">
      <c r="A1042" s="300"/>
      <c r="B1042" s="285"/>
      <c r="C1042" s="285"/>
      <c r="D1042" s="299"/>
      <c r="E1042" s="286"/>
      <c r="F1042" s="286"/>
      <c r="G1042" s="301"/>
      <c r="H1042" s="302"/>
    </row>
    <row r="1043">
      <c r="A1043" s="300"/>
      <c r="B1043" s="285"/>
      <c r="C1043" s="285"/>
      <c r="D1043" s="299"/>
      <c r="E1043" s="286"/>
      <c r="F1043" s="286"/>
      <c r="G1043" s="301"/>
      <c r="H1043" s="302"/>
    </row>
    <row r="1044">
      <c r="A1044" s="300"/>
      <c r="B1044" s="285"/>
      <c r="C1044" s="285"/>
      <c r="D1044" s="299"/>
      <c r="E1044" s="286"/>
      <c r="F1044" s="286"/>
      <c r="G1044" s="301"/>
      <c r="H1044" s="302"/>
    </row>
    <row r="1045">
      <c r="A1045" s="300"/>
      <c r="B1045" s="285"/>
      <c r="C1045" s="285"/>
      <c r="D1045" s="299"/>
      <c r="E1045" s="286"/>
      <c r="F1045" s="286"/>
      <c r="G1045" s="301"/>
      <c r="H1045" s="302"/>
    </row>
    <row r="1046">
      <c r="A1046" s="300"/>
      <c r="B1046" s="285"/>
      <c r="C1046" s="285"/>
      <c r="D1046" s="299"/>
      <c r="E1046" s="286"/>
      <c r="F1046" s="286"/>
      <c r="G1046" s="301"/>
      <c r="H1046" s="302"/>
    </row>
    <row r="1047">
      <c r="A1047" s="300"/>
      <c r="B1047" s="285"/>
      <c r="C1047" s="285"/>
      <c r="D1047" s="299"/>
      <c r="E1047" s="286"/>
      <c r="F1047" s="286"/>
      <c r="G1047" s="301"/>
      <c r="H1047" s="302"/>
    </row>
    <row r="1048">
      <c r="A1048" s="300"/>
      <c r="B1048" s="285"/>
      <c r="C1048" s="285"/>
      <c r="D1048" s="299"/>
      <c r="E1048" s="286"/>
      <c r="F1048" s="286"/>
      <c r="G1048" s="301"/>
      <c r="H1048" s="302"/>
    </row>
    <row r="1049">
      <c r="A1049" s="300"/>
      <c r="B1049" s="285"/>
      <c r="C1049" s="285"/>
      <c r="D1049" s="299"/>
      <c r="E1049" s="286"/>
      <c r="F1049" s="286"/>
      <c r="G1049" s="301"/>
      <c r="H1049" s="302"/>
    </row>
    <row r="1050">
      <c r="A1050" s="300"/>
      <c r="B1050" s="285"/>
      <c r="C1050" s="285"/>
      <c r="D1050" s="299"/>
      <c r="E1050" s="286"/>
      <c r="F1050" s="286"/>
      <c r="G1050" s="301"/>
      <c r="H1050" s="302"/>
    </row>
    <row r="1051">
      <c r="A1051" s="300"/>
      <c r="B1051" s="285"/>
      <c r="C1051" s="285"/>
      <c r="D1051" s="299"/>
      <c r="E1051" s="286"/>
      <c r="F1051" s="286"/>
      <c r="G1051" s="301"/>
      <c r="H1051" s="302"/>
    </row>
    <row r="1052">
      <c r="A1052" s="300"/>
      <c r="B1052" s="285"/>
      <c r="C1052" s="285"/>
      <c r="D1052" s="299"/>
      <c r="E1052" s="286"/>
      <c r="F1052" s="286"/>
      <c r="G1052" s="301"/>
      <c r="H1052" s="302"/>
    </row>
    <row r="1053">
      <c r="A1053" s="300"/>
      <c r="B1053" s="285"/>
      <c r="C1053" s="285"/>
      <c r="D1053" s="299"/>
      <c r="E1053" s="286"/>
      <c r="F1053" s="286"/>
      <c r="G1053" s="301"/>
      <c r="H1053" s="302"/>
    </row>
    <row r="1054">
      <c r="A1054" s="300"/>
      <c r="B1054" s="285"/>
      <c r="C1054" s="285"/>
      <c r="D1054" s="299"/>
      <c r="E1054" s="286"/>
      <c r="F1054" s="286"/>
      <c r="G1054" s="301"/>
      <c r="H1054" s="302"/>
    </row>
    <row r="1055">
      <c r="A1055" s="300"/>
      <c r="B1055" s="285"/>
      <c r="C1055" s="285"/>
      <c r="D1055" s="299"/>
      <c r="E1055" s="286"/>
      <c r="F1055" s="286"/>
      <c r="G1055" s="301"/>
      <c r="H1055" s="302"/>
    </row>
    <row r="1056">
      <c r="A1056" s="300"/>
      <c r="B1056" s="285"/>
      <c r="C1056" s="285"/>
      <c r="D1056" s="299"/>
      <c r="E1056" s="286"/>
      <c r="F1056" s="286"/>
      <c r="G1056" s="301"/>
      <c r="H1056" s="302"/>
    </row>
    <row r="1057">
      <c r="A1057" s="300"/>
      <c r="B1057" s="285"/>
      <c r="C1057" s="285"/>
      <c r="D1057" s="299"/>
      <c r="E1057" s="286"/>
      <c r="F1057" s="286"/>
      <c r="G1057" s="301"/>
      <c r="H1057" s="302"/>
    </row>
    <row r="1058">
      <c r="A1058" s="300"/>
      <c r="B1058" s="285"/>
      <c r="C1058" s="285"/>
      <c r="D1058" s="299"/>
      <c r="E1058" s="286"/>
      <c r="F1058" s="286"/>
      <c r="G1058" s="301"/>
      <c r="H1058" s="302"/>
    </row>
    <row r="1059">
      <c r="A1059" s="300"/>
      <c r="B1059" s="285"/>
      <c r="C1059" s="285"/>
      <c r="D1059" s="299"/>
      <c r="E1059" s="286"/>
      <c r="F1059" s="286"/>
      <c r="G1059" s="301"/>
      <c r="H1059" s="302"/>
    </row>
    <row r="1060">
      <c r="A1060" s="300"/>
      <c r="B1060" s="285"/>
      <c r="C1060" s="285"/>
      <c r="D1060" s="299"/>
      <c r="E1060" s="286"/>
      <c r="F1060" s="286"/>
      <c r="G1060" s="301"/>
      <c r="H1060" s="302"/>
    </row>
    <row r="1061">
      <c r="A1061" s="300"/>
      <c r="B1061" s="285"/>
      <c r="C1061" s="285"/>
      <c r="D1061" s="299"/>
      <c r="E1061" s="286"/>
      <c r="F1061" s="286"/>
      <c r="G1061" s="301"/>
      <c r="H1061" s="302"/>
    </row>
    <row r="1062">
      <c r="A1062" s="300"/>
      <c r="B1062" s="285"/>
      <c r="C1062" s="285"/>
      <c r="D1062" s="299"/>
      <c r="E1062" s="286"/>
      <c r="F1062" s="286"/>
      <c r="G1062" s="301"/>
      <c r="H1062" s="302"/>
    </row>
    <row r="1063">
      <c r="A1063" s="300"/>
      <c r="B1063" s="285"/>
      <c r="C1063" s="285"/>
      <c r="D1063" s="299"/>
      <c r="E1063" s="286"/>
      <c r="F1063" s="286"/>
      <c r="G1063" s="301"/>
      <c r="H1063" s="302"/>
    </row>
    <row r="1064">
      <c r="A1064" s="300"/>
      <c r="B1064" s="285"/>
      <c r="C1064" s="285"/>
      <c r="D1064" s="299"/>
      <c r="E1064" s="286"/>
      <c r="F1064" s="286"/>
      <c r="G1064" s="301"/>
      <c r="H1064" s="302"/>
    </row>
    <row r="1065">
      <c r="A1065" s="300"/>
      <c r="B1065" s="285"/>
      <c r="C1065" s="285"/>
      <c r="D1065" s="299"/>
      <c r="E1065" s="286"/>
      <c r="F1065" s="286"/>
      <c r="G1065" s="301"/>
      <c r="H1065" s="302"/>
    </row>
    <row r="1066">
      <c r="A1066" s="300"/>
      <c r="B1066" s="285"/>
      <c r="C1066" s="285"/>
      <c r="D1066" s="299"/>
      <c r="E1066" s="286"/>
      <c r="F1066" s="286"/>
      <c r="G1066" s="301"/>
      <c r="H1066" s="302"/>
    </row>
    <row r="1067">
      <c r="A1067" s="300"/>
      <c r="B1067" s="285"/>
      <c r="C1067" s="285"/>
      <c r="D1067" s="299"/>
      <c r="E1067" s="286"/>
      <c r="F1067" s="286"/>
      <c r="G1067" s="301"/>
      <c r="H1067" s="302"/>
    </row>
    <row r="1068">
      <c r="A1068" s="300"/>
      <c r="B1068" s="285"/>
      <c r="C1068" s="285"/>
      <c r="D1068" s="299"/>
      <c r="E1068" s="286"/>
      <c r="F1068" s="286"/>
      <c r="G1068" s="301"/>
      <c r="H1068" s="302"/>
    </row>
    <row r="1069">
      <c r="A1069" s="300"/>
      <c r="B1069" s="285"/>
      <c r="C1069" s="285"/>
      <c r="D1069" s="299"/>
      <c r="E1069" s="286"/>
      <c r="F1069" s="286"/>
      <c r="G1069" s="301"/>
      <c r="H1069" s="302"/>
    </row>
    <row r="1070">
      <c r="A1070" s="300"/>
      <c r="B1070" s="285"/>
      <c r="C1070" s="285"/>
      <c r="D1070" s="299"/>
      <c r="E1070" s="286"/>
      <c r="F1070" s="286"/>
      <c r="G1070" s="301"/>
      <c r="H1070" s="302"/>
    </row>
    <row r="1071">
      <c r="A1071" s="300"/>
      <c r="B1071" s="285"/>
      <c r="C1071" s="285"/>
      <c r="D1071" s="299"/>
      <c r="E1071" s="286"/>
      <c r="F1071" s="286"/>
      <c r="G1071" s="301"/>
      <c r="H1071" s="302"/>
    </row>
    <row r="1072">
      <c r="A1072" s="300"/>
      <c r="B1072" s="285"/>
      <c r="C1072" s="285"/>
      <c r="D1072" s="299"/>
      <c r="E1072" s="286"/>
      <c r="F1072" s="286"/>
      <c r="G1072" s="301"/>
      <c r="H1072" s="302"/>
    </row>
    <row r="1073">
      <c r="A1073" s="300"/>
      <c r="B1073" s="285"/>
      <c r="C1073" s="285"/>
      <c r="D1073" s="299"/>
      <c r="E1073" s="286"/>
      <c r="F1073" s="286"/>
      <c r="G1073" s="301"/>
      <c r="H1073" s="302"/>
    </row>
    <row r="1074">
      <c r="A1074" s="300"/>
      <c r="B1074" s="285"/>
      <c r="C1074" s="285"/>
      <c r="D1074" s="299"/>
      <c r="E1074" s="286"/>
      <c r="F1074" s="286"/>
      <c r="G1074" s="301"/>
      <c r="H1074" s="302"/>
    </row>
    <row r="1075">
      <c r="A1075" s="300"/>
      <c r="B1075" s="285"/>
      <c r="C1075" s="285"/>
      <c r="D1075" s="299"/>
      <c r="E1075" s="286"/>
      <c r="F1075" s="286"/>
      <c r="G1075" s="301"/>
      <c r="H1075" s="302"/>
    </row>
    <row r="1076">
      <c r="A1076" s="300"/>
      <c r="B1076" s="285"/>
      <c r="C1076" s="285"/>
      <c r="D1076" s="299"/>
      <c r="E1076" s="286"/>
      <c r="F1076" s="286"/>
      <c r="G1076" s="301"/>
      <c r="H1076" s="302"/>
    </row>
    <row r="1077">
      <c r="A1077" s="300"/>
      <c r="B1077" s="285"/>
      <c r="C1077" s="285"/>
      <c r="D1077" s="299"/>
      <c r="E1077" s="286"/>
      <c r="F1077" s="286"/>
      <c r="G1077" s="301"/>
      <c r="H1077" s="302"/>
    </row>
    <row r="1078">
      <c r="A1078" s="300"/>
      <c r="B1078" s="285"/>
      <c r="C1078" s="285"/>
      <c r="D1078" s="299"/>
      <c r="E1078" s="286"/>
      <c r="F1078" s="286"/>
      <c r="G1078" s="301"/>
      <c r="H1078" s="302"/>
    </row>
    <row r="1079">
      <c r="A1079" s="300"/>
      <c r="B1079" s="285"/>
      <c r="C1079" s="285"/>
      <c r="D1079" s="299"/>
      <c r="E1079" s="286"/>
      <c r="F1079" s="286"/>
      <c r="G1079" s="301"/>
      <c r="H1079" s="302"/>
    </row>
    <row r="1080">
      <c r="A1080" s="300"/>
      <c r="B1080" s="285"/>
      <c r="C1080" s="285"/>
      <c r="D1080" s="299"/>
      <c r="E1080" s="286"/>
      <c r="F1080" s="286"/>
      <c r="G1080" s="301"/>
      <c r="H1080" s="302"/>
    </row>
    <row r="1081">
      <c r="A1081" s="300"/>
      <c r="B1081" s="285"/>
      <c r="C1081" s="285"/>
      <c r="D1081" s="299"/>
      <c r="E1081" s="286"/>
      <c r="F1081" s="286"/>
      <c r="G1081" s="301"/>
      <c r="H1081" s="302"/>
    </row>
    <row r="1082">
      <c r="A1082" s="300"/>
      <c r="B1082" s="285"/>
      <c r="C1082" s="285"/>
      <c r="D1082" s="299"/>
      <c r="E1082" s="286"/>
      <c r="F1082" s="286"/>
      <c r="G1082" s="301"/>
      <c r="H1082" s="302"/>
    </row>
    <row r="1083">
      <c r="A1083" s="300"/>
      <c r="B1083" s="285"/>
      <c r="C1083" s="285"/>
      <c r="D1083" s="299"/>
      <c r="E1083" s="286"/>
      <c r="F1083" s="286"/>
      <c r="G1083" s="301"/>
      <c r="H1083" s="302"/>
    </row>
    <row r="1084">
      <c r="A1084" s="300"/>
      <c r="B1084" s="285"/>
      <c r="C1084" s="285"/>
      <c r="D1084" s="299"/>
      <c r="E1084" s="286"/>
      <c r="F1084" s="286"/>
      <c r="G1084" s="301"/>
      <c r="H1084" s="302"/>
    </row>
    <row r="1085">
      <c r="A1085" s="300"/>
      <c r="B1085" s="285"/>
      <c r="C1085" s="285"/>
      <c r="D1085" s="299"/>
      <c r="E1085" s="286"/>
      <c r="F1085" s="286"/>
      <c r="G1085" s="301"/>
      <c r="H1085" s="302"/>
    </row>
    <row r="1086">
      <c r="A1086" s="300"/>
      <c r="B1086" s="285"/>
      <c r="C1086" s="285"/>
      <c r="D1086" s="299"/>
      <c r="E1086" s="286"/>
      <c r="F1086" s="286"/>
      <c r="G1086" s="301"/>
      <c r="H1086" s="302"/>
    </row>
    <row r="1087">
      <c r="A1087" s="300"/>
      <c r="B1087" s="285"/>
      <c r="C1087" s="285"/>
      <c r="D1087" s="299"/>
      <c r="E1087" s="286"/>
      <c r="F1087" s="286"/>
      <c r="G1087" s="301"/>
      <c r="H1087" s="302"/>
    </row>
    <row r="1088">
      <c r="A1088" s="300"/>
      <c r="B1088" s="285"/>
      <c r="C1088" s="285"/>
      <c r="D1088" s="299"/>
      <c r="E1088" s="286"/>
      <c r="F1088" s="286"/>
      <c r="G1088" s="301"/>
      <c r="H1088" s="302"/>
    </row>
    <row r="1089">
      <c r="A1089" s="300"/>
      <c r="B1089" s="285"/>
      <c r="C1089" s="285"/>
      <c r="D1089" s="299"/>
      <c r="E1089" s="286"/>
      <c r="F1089" s="286"/>
      <c r="G1089" s="301"/>
      <c r="H1089" s="302"/>
    </row>
    <row r="1090">
      <c r="A1090" s="300"/>
      <c r="B1090" s="285"/>
      <c r="C1090" s="285"/>
      <c r="D1090" s="299"/>
      <c r="E1090" s="286"/>
      <c r="F1090" s="286"/>
      <c r="G1090" s="301"/>
      <c r="H1090" s="302"/>
    </row>
    <row r="1091">
      <c r="A1091" s="300"/>
      <c r="B1091" s="285"/>
      <c r="C1091" s="285"/>
      <c r="D1091" s="299"/>
      <c r="E1091" s="286"/>
      <c r="F1091" s="286"/>
      <c r="G1091" s="301"/>
      <c r="H1091" s="302"/>
    </row>
    <row r="1092">
      <c r="A1092" s="300"/>
      <c r="B1092" s="285"/>
      <c r="C1092" s="285"/>
      <c r="D1092" s="299"/>
      <c r="E1092" s="286"/>
      <c r="F1092" s="286"/>
      <c r="G1092" s="301"/>
      <c r="H1092" s="302"/>
    </row>
    <row r="1093">
      <c r="A1093" s="300"/>
      <c r="B1093" s="285"/>
      <c r="C1093" s="285"/>
      <c r="D1093" s="299"/>
      <c r="E1093" s="286"/>
      <c r="F1093" s="286"/>
      <c r="G1093" s="301"/>
      <c r="H1093" s="302"/>
    </row>
    <row r="1094">
      <c r="A1094" s="300"/>
      <c r="B1094" s="285"/>
      <c r="C1094" s="285"/>
      <c r="D1094" s="299"/>
      <c r="E1094" s="286"/>
      <c r="F1094" s="286"/>
      <c r="G1094" s="301"/>
      <c r="H1094" s="302"/>
    </row>
    <row r="1095">
      <c r="A1095" s="300"/>
      <c r="B1095" s="285"/>
      <c r="C1095" s="285"/>
      <c r="D1095" s="299"/>
      <c r="E1095" s="286"/>
      <c r="F1095" s="286"/>
      <c r="G1095" s="301"/>
      <c r="H1095" s="302"/>
    </row>
    <row r="1096">
      <c r="A1096" s="300"/>
      <c r="B1096" s="285"/>
      <c r="C1096" s="285"/>
      <c r="D1096" s="299"/>
      <c r="E1096" s="286"/>
      <c r="F1096" s="286"/>
      <c r="G1096" s="301"/>
      <c r="H1096" s="302"/>
    </row>
    <row r="1097">
      <c r="A1097" s="300"/>
      <c r="B1097" s="285"/>
      <c r="C1097" s="285"/>
      <c r="D1097" s="299"/>
      <c r="E1097" s="286"/>
      <c r="F1097" s="286"/>
      <c r="G1097" s="301"/>
      <c r="H1097" s="302"/>
    </row>
    <row r="1098">
      <c r="A1098" s="300"/>
      <c r="B1098" s="285"/>
      <c r="C1098" s="285"/>
      <c r="D1098" s="299"/>
      <c r="E1098" s="286"/>
      <c r="F1098" s="286"/>
      <c r="G1098" s="301"/>
      <c r="H1098" s="302"/>
    </row>
    <row r="1099">
      <c r="A1099" s="300"/>
      <c r="B1099" s="285"/>
      <c r="C1099" s="285"/>
      <c r="D1099" s="299"/>
      <c r="E1099" s="286"/>
      <c r="F1099" s="286"/>
      <c r="G1099" s="301"/>
      <c r="H1099" s="302"/>
    </row>
    <row r="1100">
      <c r="A1100" s="300"/>
      <c r="B1100" s="285"/>
      <c r="C1100" s="285"/>
      <c r="D1100" s="299"/>
      <c r="E1100" s="286"/>
      <c r="F1100" s="286"/>
      <c r="G1100" s="301"/>
      <c r="H1100" s="302"/>
    </row>
    <row r="1101">
      <c r="A1101" s="300"/>
      <c r="B1101" s="285"/>
      <c r="C1101" s="285"/>
      <c r="D1101" s="299"/>
      <c r="E1101" s="286"/>
      <c r="F1101" s="286"/>
      <c r="G1101" s="301"/>
      <c r="H1101" s="302"/>
    </row>
    <row r="1102">
      <c r="A1102" s="300"/>
      <c r="B1102" s="285"/>
      <c r="C1102" s="285"/>
      <c r="D1102" s="299"/>
      <c r="E1102" s="286"/>
      <c r="F1102" s="286"/>
      <c r="G1102" s="301"/>
      <c r="H1102" s="302"/>
    </row>
    <row r="1103">
      <c r="A1103" s="300"/>
      <c r="B1103" s="285"/>
      <c r="C1103" s="285"/>
      <c r="D1103" s="299"/>
      <c r="E1103" s="286"/>
      <c r="F1103" s="286"/>
      <c r="G1103" s="301"/>
      <c r="H1103" s="302"/>
    </row>
    <row r="1104">
      <c r="A1104" s="300"/>
      <c r="B1104" s="285"/>
      <c r="C1104" s="285"/>
      <c r="D1104" s="299"/>
      <c r="E1104" s="286"/>
      <c r="F1104" s="286"/>
      <c r="G1104" s="301"/>
      <c r="H1104" s="302"/>
    </row>
    <row r="1105">
      <c r="A1105" s="300"/>
      <c r="B1105" s="285"/>
      <c r="C1105" s="285"/>
      <c r="D1105" s="299"/>
      <c r="E1105" s="286"/>
      <c r="F1105" s="286"/>
      <c r="G1105" s="301"/>
      <c r="H1105" s="302"/>
    </row>
    <row r="1106">
      <c r="A1106" s="300"/>
      <c r="B1106" s="285"/>
      <c r="C1106" s="285"/>
      <c r="D1106" s="299"/>
      <c r="E1106" s="286"/>
      <c r="F1106" s="286"/>
      <c r="G1106" s="301"/>
      <c r="H1106" s="302"/>
    </row>
    <row r="1107">
      <c r="A1107" s="300"/>
      <c r="B1107" s="285"/>
      <c r="C1107" s="285"/>
      <c r="D1107" s="299"/>
      <c r="E1107" s="286"/>
      <c r="F1107" s="286"/>
      <c r="G1107" s="301"/>
      <c r="H1107" s="302"/>
    </row>
    <row r="1108">
      <c r="A1108" s="300"/>
      <c r="B1108" s="285"/>
      <c r="C1108" s="285"/>
      <c r="D1108" s="299"/>
      <c r="E1108" s="286"/>
      <c r="F1108" s="286"/>
      <c r="G1108" s="301"/>
      <c r="H1108" s="302"/>
    </row>
    <row r="1109">
      <c r="A1109" s="300"/>
      <c r="B1109" s="285"/>
      <c r="C1109" s="285"/>
      <c r="D1109" s="299"/>
      <c r="E1109" s="286"/>
      <c r="F1109" s="286"/>
      <c r="G1109" s="301"/>
      <c r="H1109" s="302"/>
    </row>
    <row r="1110">
      <c r="A1110" s="300"/>
      <c r="B1110" s="285"/>
      <c r="C1110" s="285"/>
      <c r="D1110" s="299"/>
      <c r="E1110" s="286"/>
      <c r="F1110" s="286"/>
      <c r="G1110" s="301"/>
      <c r="H1110" s="302"/>
    </row>
    <row r="1111">
      <c r="A1111" s="300"/>
      <c r="B1111" s="285"/>
      <c r="C1111" s="285"/>
      <c r="D1111" s="299"/>
      <c r="E1111" s="286"/>
      <c r="F1111" s="286"/>
      <c r="G1111" s="301"/>
      <c r="H1111" s="302"/>
    </row>
    <row r="1112">
      <c r="A1112" s="300"/>
      <c r="B1112" s="285"/>
      <c r="C1112" s="285"/>
      <c r="D1112" s="299"/>
      <c r="E1112" s="286"/>
      <c r="F1112" s="286"/>
      <c r="G1112" s="301"/>
      <c r="H1112" s="302"/>
    </row>
    <row r="1113">
      <c r="A1113" s="300"/>
      <c r="B1113" s="285"/>
      <c r="C1113" s="285"/>
      <c r="D1113" s="299"/>
      <c r="E1113" s="286"/>
      <c r="F1113" s="286"/>
      <c r="G1113" s="301"/>
      <c r="H1113" s="302"/>
    </row>
    <row r="1114">
      <c r="A1114" s="300"/>
      <c r="B1114" s="285"/>
      <c r="C1114" s="285"/>
      <c r="D1114" s="299"/>
      <c r="E1114" s="286"/>
      <c r="F1114" s="286"/>
      <c r="G1114" s="301"/>
      <c r="H1114" s="302"/>
    </row>
    <row r="1115">
      <c r="A1115" s="300"/>
      <c r="B1115" s="285"/>
      <c r="C1115" s="285"/>
      <c r="D1115" s="299"/>
      <c r="E1115" s="286"/>
      <c r="F1115" s="286"/>
      <c r="G1115" s="301"/>
      <c r="H1115" s="302"/>
    </row>
    <row r="1116">
      <c r="A1116" s="300"/>
      <c r="B1116" s="285"/>
      <c r="C1116" s="285"/>
      <c r="D1116" s="299"/>
      <c r="E1116" s="286"/>
      <c r="F1116" s="286"/>
      <c r="G1116" s="301"/>
      <c r="H1116" s="302"/>
    </row>
    <row r="1117">
      <c r="A1117" s="300"/>
      <c r="B1117" s="285"/>
      <c r="C1117" s="285"/>
      <c r="D1117" s="299"/>
      <c r="E1117" s="286"/>
      <c r="F1117" s="286"/>
      <c r="G1117" s="301"/>
      <c r="H1117" s="302"/>
    </row>
    <row r="1118">
      <c r="A1118" s="300"/>
      <c r="B1118" s="285"/>
      <c r="C1118" s="285"/>
      <c r="D1118" s="299"/>
      <c r="E1118" s="286"/>
      <c r="F1118" s="286"/>
      <c r="G1118" s="301"/>
      <c r="H1118" s="302"/>
    </row>
    <row r="1119">
      <c r="A1119" s="300"/>
      <c r="B1119" s="285"/>
      <c r="C1119" s="285"/>
      <c r="D1119" s="299"/>
      <c r="E1119" s="286"/>
      <c r="F1119" s="286"/>
      <c r="G1119" s="301"/>
      <c r="H1119" s="302"/>
    </row>
    <row r="1120">
      <c r="A1120" s="300"/>
      <c r="B1120" s="285"/>
      <c r="C1120" s="285"/>
      <c r="D1120" s="299"/>
      <c r="E1120" s="286"/>
      <c r="F1120" s="286"/>
      <c r="G1120" s="301"/>
      <c r="H1120" s="302"/>
    </row>
    <row r="1121">
      <c r="A1121" s="300"/>
      <c r="B1121" s="285"/>
      <c r="C1121" s="285"/>
      <c r="D1121" s="299"/>
      <c r="E1121" s="286"/>
      <c r="F1121" s="286"/>
      <c r="G1121" s="301"/>
      <c r="H1121" s="302"/>
    </row>
    <row r="1122">
      <c r="A1122" s="300"/>
      <c r="B1122" s="285"/>
      <c r="C1122" s="285"/>
      <c r="D1122" s="299"/>
      <c r="E1122" s="286"/>
      <c r="F1122" s="286"/>
      <c r="G1122" s="301"/>
      <c r="H1122" s="302"/>
    </row>
    <row r="1123">
      <c r="A1123" s="300"/>
      <c r="B1123" s="285"/>
      <c r="C1123" s="285"/>
      <c r="D1123" s="299"/>
      <c r="E1123" s="286"/>
      <c r="F1123" s="286"/>
      <c r="G1123" s="301"/>
      <c r="H1123" s="302"/>
    </row>
    <row r="1124">
      <c r="A1124" s="300"/>
      <c r="B1124" s="285"/>
      <c r="C1124" s="285"/>
      <c r="D1124" s="299"/>
      <c r="E1124" s="286"/>
      <c r="F1124" s="286"/>
      <c r="G1124" s="301"/>
      <c r="H1124" s="302"/>
    </row>
    <row r="1125">
      <c r="A1125" s="300"/>
      <c r="B1125" s="285"/>
      <c r="C1125" s="285"/>
      <c r="D1125" s="299"/>
      <c r="E1125" s="286"/>
      <c r="F1125" s="286"/>
      <c r="G1125" s="301"/>
      <c r="H1125" s="302"/>
    </row>
    <row r="1126">
      <c r="A1126" s="300"/>
      <c r="B1126" s="285"/>
      <c r="C1126" s="285"/>
      <c r="D1126" s="299"/>
      <c r="E1126" s="286"/>
      <c r="F1126" s="286"/>
      <c r="G1126" s="301"/>
      <c r="H1126" s="302"/>
    </row>
    <row r="1127">
      <c r="A1127" s="300"/>
      <c r="B1127" s="285"/>
      <c r="C1127" s="285"/>
      <c r="D1127" s="299"/>
      <c r="E1127" s="286"/>
      <c r="F1127" s="286"/>
      <c r="G1127" s="301"/>
      <c r="H1127" s="302"/>
    </row>
    <row r="1128">
      <c r="A1128" s="300"/>
      <c r="B1128" s="285"/>
      <c r="C1128" s="285"/>
      <c r="D1128" s="299"/>
      <c r="E1128" s="286"/>
      <c r="F1128" s="286"/>
      <c r="G1128" s="301"/>
      <c r="H1128" s="302"/>
    </row>
    <row r="1129">
      <c r="A1129" s="300"/>
      <c r="B1129" s="285"/>
      <c r="C1129" s="285"/>
      <c r="D1129" s="299"/>
      <c r="E1129" s="286"/>
      <c r="F1129" s="286"/>
      <c r="G1129" s="301"/>
      <c r="H1129" s="302"/>
    </row>
    <row r="1130">
      <c r="A1130" s="300"/>
      <c r="B1130" s="285"/>
      <c r="C1130" s="285"/>
      <c r="D1130" s="299"/>
      <c r="E1130" s="286"/>
      <c r="F1130" s="286"/>
      <c r="G1130" s="301"/>
      <c r="H1130" s="302"/>
    </row>
    <row r="1131">
      <c r="A1131" s="300"/>
      <c r="B1131" s="285"/>
      <c r="C1131" s="285"/>
      <c r="D1131" s="299"/>
      <c r="E1131" s="286"/>
      <c r="F1131" s="286"/>
      <c r="G1131" s="301"/>
      <c r="H1131" s="302"/>
    </row>
    <row r="1132">
      <c r="A1132" s="300"/>
      <c r="B1132" s="285"/>
      <c r="C1132" s="285"/>
      <c r="D1132" s="299"/>
      <c r="E1132" s="286"/>
      <c r="F1132" s="286"/>
      <c r="G1132" s="301"/>
      <c r="H1132" s="302"/>
    </row>
    <row r="1133">
      <c r="A1133" s="300"/>
      <c r="B1133" s="285"/>
      <c r="C1133" s="285"/>
      <c r="D1133" s="299"/>
      <c r="E1133" s="286"/>
      <c r="F1133" s="286"/>
      <c r="G1133" s="301"/>
      <c r="H1133" s="302"/>
    </row>
    <row r="1134">
      <c r="A1134" s="300"/>
      <c r="B1134" s="285"/>
      <c r="C1134" s="285"/>
      <c r="D1134" s="299"/>
      <c r="E1134" s="286"/>
      <c r="F1134" s="286"/>
      <c r="G1134" s="301"/>
      <c r="H1134" s="302"/>
    </row>
    <row r="1135">
      <c r="A1135" s="300"/>
      <c r="B1135" s="285"/>
      <c r="C1135" s="285"/>
      <c r="D1135" s="299"/>
      <c r="E1135" s="286"/>
      <c r="F1135" s="286"/>
      <c r="G1135" s="301"/>
      <c r="H1135" s="302"/>
    </row>
    <row r="1136">
      <c r="A1136" s="300"/>
      <c r="B1136" s="285"/>
      <c r="C1136" s="285"/>
      <c r="D1136" s="299"/>
      <c r="E1136" s="286"/>
      <c r="F1136" s="286"/>
      <c r="G1136" s="301"/>
      <c r="H1136" s="302"/>
    </row>
    <row r="1137">
      <c r="A1137" s="300"/>
      <c r="B1137" s="285"/>
      <c r="C1137" s="285"/>
      <c r="D1137" s="299"/>
      <c r="E1137" s="286"/>
      <c r="F1137" s="286"/>
      <c r="G1137" s="301"/>
      <c r="H1137" s="302"/>
    </row>
    <row r="1138">
      <c r="A1138" s="300"/>
      <c r="B1138" s="285"/>
      <c r="C1138" s="285"/>
      <c r="D1138" s="299"/>
      <c r="E1138" s="286"/>
      <c r="F1138" s="286"/>
      <c r="G1138" s="301"/>
      <c r="H1138" s="302"/>
    </row>
    <row r="1139">
      <c r="A1139" s="300"/>
      <c r="B1139" s="285"/>
      <c r="C1139" s="285"/>
      <c r="D1139" s="299"/>
      <c r="E1139" s="286"/>
      <c r="F1139" s="286"/>
      <c r="G1139" s="301"/>
      <c r="H1139" s="302"/>
    </row>
    <row r="1140">
      <c r="A1140" s="300"/>
      <c r="B1140" s="285"/>
      <c r="C1140" s="285"/>
      <c r="D1140" s="299"/>
      <c r="E1140" s="286"/>
      <c r="F1140" s="286"/>
      <c r="G1140" s="301"/>
      <c r="H1140" s="302"/>
    </row>
    <row r="1141">
      <c r="A1141" s="300"/>
      <c r="B1141" s="285"/>
      <c r="C1141" s="285"/>
      <c r="D1141" s="299"/>
      <c r="E1141" s="286"/>
      <c r="F1141" s="286"/>
      <c r="G1141" s="301"/>
      <c r="H1141" s="302"/>
    </row>
    <row r="1142">
      <c r="A1142" s="300"/>
      <c r="B1142" s="285"/>
      <c r="C1142" s="285"/>
      <c r="D1142" s="299"/>
      <c r="E1142" s="286"/>
      <c r="F1142" s="286"/>
      <c r="G1142" s="301"/>
      <c r="H1142" s="302"/>
    </row>
    <row r="1143">
      <c r="A1143" s="300"/>
      <c r="B1143" s="285"/>
      <c r="C1143" s="285"/>
      <c r="D1143" s="299"/>
      <c r="E1143" s="286"/>
      <c r="F1143" s="286"/>
      <c r="G1143" s="301"/>
      <c r="H1143" s="302"/>
    </row>
    <row r="1144">
      <c r="A1144" s="300"/>
      <c r="B1144" s="285"/>
      <c r="C1144" s="285"/>
      <c r="D1144" s="299"/>
      <c r="E1144" s="286"/>
      <c r="F1144" s="286"/>
      <c r="G1144" s="301"/>
      <c r="H1144" s="302"/>
    </row>
    <row r="1145">
      <c r="A1145" s="300"/>
      <c r="B1145" s="285"/>
      <c r="C1145" s="285"/>
      <c r="D1145" s="299"/>
      <c r="E1145" s="286"/>
      <c r="F1145" s="286"/>
      <c r="G1145" s="301"/>
      <c r="H1145" s="302"/>
    </row>
    <row r="1146">
      <c r="A1146" s="300"/>
      <c r="B1146" s="285"/>
      <c r="C1146" s="285"/>
      <c r="D1146" s="299"/>
      <c r="E1146" s="286"/>
      <c r="F1146" s="286"/>
      <c r="G1146" s="301"/>
      <c r="H1146" s="302"/>
    </row>
    <row r="1147">
      <c r="A1147" s="300"/>
      <c r="B1147" s="285"/>
      <c r="C1147" s="285"/>
      <c r="D1147" s="299"/>
      <c r="E1147" s="286"/>
      <c r="F1147" s="286"/>
      <c r="G1147" s="301"/>
      <c r="H1147" s="302"/>
    </row>
    <row r="1148">
      <c r="A1148" s="300"/>
      <c r="B1148" s="285"/>
      <c r="C1148" s="285"/>
      <c r="D1148" s="299"/>
      <c r="E1148" s="286"/>
      <c r="F1148" s="286"/>
      <c r="G1148" s="301"/>
      <c r="H1148" s="302"/>
    </row>
    <row r="1149">
      <c r="A1149" s="300"/>
      <c r="B1149" s="285"/>
      <c r="C1149" s="285"/>
      <c r="D1149" s="299"/>
      <c r="E1149" s="286"/>
      <c r="F1149" s="286"/>
      <c r="G1149" s="301"/>
      <c r="H1149" s="302"/>
    </row>
    <row r="1150">
      <c r="A1150" s="300"/>
      <c r="B1150" s="285"/>
      <c r="C1150" s="285"/>
      <c r="D1150" s="299"/>
      <c r="E1150" s="286"/>
      <c r="F1150" s="286"/>
      <c r="G1150" s="301"/>
      <c r="H1150" s="302"/>
    </row>
    <row r="1151">
      <c r="A1151" s="300"/>
      <c r="B1151" s="285"/>
      <c r="C1151" s="285"/>
      <c r="D1151" s="299"/>
      <c r="E1151" s="286"/>
      <c r="F1151" s="286"/>
      <c r="G1151" s="301"/>
      <c r="H1151" s="302"/>
    </row>
    <row r="1152">
      <c r="A1152" s="300"/>
      <c r="B1152" s="285"/>
      <c r="C1152" s="285"/>
      <c r="D1152" s="299"/>
      <c r="E1152" s="286"/>
      <c r="F1152" s="286"/>
      <c r="G1152" s="301"/>
      <c r="H1152" s="302"/>
    </row>
    <row r="1153">
      <c r="A1153" s="300"/>
      <c r="B1153" s="285"/>
      <c r="C1153" s="285"/>
      <c r="D1153" s="299"/>
      <c r="E1153" s="286"/>
      <c r="F1153" s="286"/>
      <c r="G1153" s="301"/>
      <c r="H1153" s="302"/>
    </row>
    <row r="1154">
      <c r="A1154" s="300"/>
      <c r="B1154" s="285"/>
      <c r="C1154" s="285"/>
      <c r="D1154" s="299"/>
      <c r="E1154" s="286"/>
      <c r="F1154" s="286"/>
      <c r="G1154" s="301"/>
      <c r="H1154" s="302"/>
    </row>
    <row r="1155">
      <c r="A1155" s="300"/>
      <c r="B1155" s="285"/>
      <c r="C1155" s="285"/>
      <c r="D1155" s="299"/>
      <c r="E1155" s="286"/>
      <c r="F1155" s="286"/>
      <c r="G1155" s="301"/>
      <c r="H1155" s="302"/>
    </row>
    <row r="1156">
      <c r="A1156" s="300"/>
      <c r="B1156" s="285"/>
      <c r="C1156" s="285"/>
      <c r="D1156" s="299"/>
      <c r="E1156" s="286"/>
      <c r="F1156" s="286"/>
      <c r="G1156" s="301"/>
      <c r="H1156" s="302"/>
    </row>
    <row r="1157">
      <c r="A1157" s="300"/>
      <c r="B1157" s="285"/>
      <c r="C1157" s="285"/>
      <c r="D1157" s="299"/>
      <c r="E1157" s="286"/>
      <c r="F1157" s="286"/>
      <c r="G1157" s="301"/>
      <c r="H1157" s="302"/>
    </row>
    <row r="1158">
      <c r="A1158" s="300"/>
      <c r="B1158" s="285"/>
      <c r="C1158" s="285"/>
      <c r="D1158" s="299"/>
      <c r="E1158" s="286"/>
      <c r="F1158" s="286"/>
      <c r="G1158" s="301"/>
      <c r="H1158" s="302"/>
    </row>
    <row r="1159">
      <c r="A1159" s="300"/>
      <c r="B1159" s="285"/>
      <c r="C1159" s="285"/>
      <c r="D1159" s="299"/>
      <c r="E1159" s="286"/>
      <c r="F1159" s="286"/>
      <c r="G1159" s="301"/>
      <c r="H1159" s="302"/>
    </row>
    <row r="1160">
      <c r="A1160" s="300"/>
      <c r="B1160" s="285"/>
      <c r="C1160" s="285"/>
      <c r="D1160" s="299"/>
      <c r="E1160" s="286"/>
      <c r="F1160" s="286"/>
      <c r="G1160" s="301"/>
      <c r="H1160" s="302"/>
    </row>
    <row r="1161">
      <c r="A1161" s="300"/>
      <c r="B1161" s="285"/>
      <c r="C1161" s="285"/>
      <c r="D1161" s="299"/>
      <c r="E1161" s="286"/>
      <c r="F1161" s="286"/>
      <c r="G1161" s="301"/>
      <c r="H1161" s="302"/>
    </row>
    <row r="1162">
      <c r="A1162" s="300"/>
      <c r="B1162" s="285"/>
      <c r="C1162" s="285"/>
      <c r="D1162" s="299"/>
      <c r="E1162" s="286"/>
      <c r="F1162" s="286"/>
      <c r="G1162" s="301"/>
      <c r="H1162" s="302"/>
    </row>
    <row r="1163">
      <c r="A1163" s="300"/>
      <c r="B1163" s="285"/>
      <c r="C1163" s="285"/>
      <c r="D1163" s="299"/>
      <c r="E1163" s="286"/>
      <c r="F1163" s="286"/>
      <c r="G1163" s="301"/>
      <c r="H1163" s="302"/>
    </row>
    <row r="1164">
      <c r="A1164" s="300"/>
      <c r="B1164" s="285"/>
      <c r="C1164" s="285"/>
      <c r="D1164" s="299"/>
      <c r="E1164" s="286"/>
      <c r="F1164" s="286"/>
      <c r="G1164" s="301"/>
      <c r="H1164" s="302"/>
    </row>
    <row r="1165">
      <c r="A1165" s="300"/>
      <c r="B1165" s="285"/>
      <c r="C1165" s="285"/>
      <c r="D1165" s="299"/>
      <c r="E1165" s="286"/>
      <c r="F1165" s="286"/>
      <c r="G1165" s="301"/>
      <c r="H1165" s="302"/>
    </row>
    <row r="1166">
      <c r="A1166" s="300"/>
      <c r="B1166" s="285"/>
      <c r="C1166" s="285"/>
      <c r="D1166" s="299"/>
      <c r="E1166" s="286"/>
      <c r="F1166" s="286"/>
      <c r="G1166" s="301"/>
      <c r="H1166" s="302"/>
    </row>
    <row r="1167">
      <c r="A1167" s="300"/>
      <c r="B1167" s="285"/>
      <c r="C1167" s="285"/>
      <c r="D1167" s="299"/>
      <c r="E1167" s="286"/>
      <c r="F1167" s="286"/>
      <c r="G1167" s="301"/>
      <c r="H1167" s="302"/>
    </row>
    <row r="1168">
      <c r="A1168" s="300"/>
      <c r="B1168" s="285"/>
      <c r="C1168" s="285"/>
      <c r="D1168" s="299"/>
      <c r="E1168" s="286"/>
      <c r="F1168" s="286"/>
      <c r="G1168" s="301"/>
      <c r="H1168" s="302"/>
    </row>
    <row r="1169">
      <c r="A1169" s="300"/>
      <c r="B1169" s="285"/>
      <c r="C1169" s="285"/>
      <c r="D1169" s="299"/>
      <c r="E1169" s="286"/>
      <c r="F1169" s="286"/>
      <c r="G1169" s="301"/>
      <c r="H1169" s="302"/>
    </row>
    <row r="1170">
      <c r="A1170" s="300"/>
      <c r="B1170" s="285"/>
      <c r="C1170" s="285"/>
      <c r="D1170" s="299"/>
      <c r="E1170" s="286"/>
      <c r="F1170" s="286"/>
      <c r="G1170" s="301"/>
      <c r="H1170" s="302"/>
    </row>
    <row r="1171">
      <c r="A1171" s="300"/>
      <c r="B1171" s="285"/>
      <c r="C1171" s="285"/>
      <c r="D1171" s="299"/>
      <c r="E1171" s="286"/>
      <c r="F1171" s="286"/>
      <c r="G1171" s="301"/>
      <c r="H1171" s="302"/>
    </row>
    <row r="1172">
      <c r="A1172" s="300"/>
      <c r="B1172" s="285"/>
      <c r="C1172" s="285"/>
      <c r="D1172" s="299"/>
      <c r="E1172" s="286"/>
      <c r="F1172" s="286"/>
      <c r="G1172" s="301"/>
      <c r="H1172" s="302"/>
    </row>
    <row r="1173">
      <c r="A1173" s="300"/>
      <c r="B1173" s="285"/>
      <c r="C1173" s="285"/>
      <c r="D1173" s="299"/>
      <c r="E1173" s="286"/>
      <c r="F1173" s="286"/>
      <c r="G1173" s="301"/>
      <c r="H1173" s="302"/>
    </row>
    <row r="1174">
      <c r="A1174" s="300"/>
      <c r="B1174" s="285"/>
      <c r="C1174" s="285"/>
      <c r="D1174" s="299"/>
      <c r="E1174" s="286"/>
      <c r="F1174" s="286"/>
      <c r="G1174" s="301"/>
      <c r="H1174" s="302"/>
    </row>
    <row r="1175">
      <c r="A1175" s="300"/>
      <c r="B1175" s="285"/>
      <c r="C1175" s="285"/>
      <c r="D1175" s="299"/>
      <c r="E1175" s="286"/>
      <c r="F1175" s="286"/>
      <c r="G1175" s="301"/>
      <c r="H1175" s="302"/>
    </row>
    <row r="1176">
      <c r="A1176" s="300"/>
      <c r="B1176" s="285"/>
      <c r="C1176" s="285"/>
      <c r="D1176" s="299"/>
      <c r="E1176" s="286"/>
      <c r="F1176" s="286"/>
      <c r="G1176" s="301"/>
      <c r="H1176" s="302"/>
    </row>
    <row r="1177">
      <c r="A1177" s="300"/>
      <c r="B1177" s="285"/>
      <c r="C1177" s="285"/>
      <c r="D1177" s="299"/>
      <c r="E1177" s="286"/>
      <c r="F1177" s="286"/>
      <c r="G1177" s="301"/>
      <c r="H1177" s="302"/>
    </row>
    <row r="1178">
      <c r="A1178" s="300"/>
      <c r="B1178" s="285"/>
      <c r="C1178" s="285"/>
      <c r="D1178" s="299"/>
      <c r="E1178" s="286"/>
      <c r="F1178" s="286"/>
      <c r="G1178" s="301"/>
      <c r="H1178" s="302"/>
    </row>
    <row r="1179">
      <c r="A1179" s="300"/>
      <c r="B1179" s="285"/>
      <c r="C1179" s="285"/>
      <c r="D1179" s="299"/>
      <c r="E1179" s="286"/>
      <c r="F1179" s="286"/>
      <c r="G1179" s="301"/>
      <c r="H1179" s="302"/>
    </row>
    <row r="1180">
      <c r="A1180" s="300"/>
      <c r="B1180" s="285"/>
      <c r="C1180" s="285"/>
      <c r="D1180" s="299"/>
      <c r="E1180" s="286"/>
      <c r="F1180" s="286"/>
      <c r="G1180" s="301"/>
      <c r="H1180" s="302"/>
    </row>
    <row r="1181">
      <c r="A1181" s="300"/>
      <c r="B1181" s="285"/>
      <c r="C1181" s="285"/>
      <c r="D1181" s="299"/>
      <c r="E1181" s="286"/>
      <c r="F1181" s="286"/>
      <c r="G1181" s="301"/>
      <c r="H1181" s="302"/>
    </row>
    <row r="1182">
      <c r="A1182" s="300"/>
      <c r="B1182" s="285"/>
      <c r="C1182" s="285"/>
      <c r="D1182" s="299"/>
      <c r="E1182" s="286"/>
      <c r="F1182" s="286"/>
      <c r="G1182" s="301"/>
      <c r="H1182" s="302"/>
    </row>
    <row r="1183">
      <c r="A1183" s="300"/>
      <c r="B1183" s="285"/>
      <c r="C1183" s="285"/>
      <c r="D1183" s="299"/>
      <c r="E1183" s="286"/>
      <c r="F1183" s="286"/>
      <c r="G1183" s="301"/>
      <c r="H1183" s="302"/>
    </row>
    <row r="1184">
      <c r="A1184" s="300"/>
      <c r="B1184" s="285"/>
      <c r="C1184" s="285"/>
      <c r="D1184" s="299"/>
      <c r="E1184" s="286"/>
      <c r="F1184" s="286"/>
      <c r="G1184" s="301"/>
      <c r="H1184" s="302"/>
    </row>
    <row r="1185">
      <c r="A1185" s="300"/>
      <c r="B1185" s="285"/>
      <c r="C1185" s="285"/>
      <c r="D1185" s="299"/>
      <c r="E1185" s="286"/>
      <c r="F1185" s="286"/>
      <c r="G1185" s="301"/>
      <c r="H1185" s="302"/>
    </row>
    <row r="1186">
      <c r="A1186" s="300"/>
      <c r="B1186" s="285"/>
      <c r="C1186" s="285"/>
      <c r="D1186" s="299"/>
      <c r="E1186" s="286"/>
      <c r="F1186" s="286"/>
      <c r="G1186" s="301"/>
      <c r="H1186" s="302"/>
    </row>
    <row r="1187">
      <c r="A1187" s="300"/>
      <c r="B1187" s="285"/>
      <c r="C1187" s="285"/>
      <c r="D1187" s="299"/>
      <c r="E1187" s="286"/>
      <c r="F1187" s="286"/>
      <c r="G1187" s="301"/>
      <c r="H1187" s="302"/>
    </row>
    <row r="1188">
      <c r="A1188" s="300"/>
      <c r="B1188" s="285"/>
      <c r="C1188" s="285"/>
      <c r="D1188" s="299"/>
      <c r="E1188" s="286"/>
      <c r="F1188" s="286"/>
      <c r="G1188" s="301"/>
      <c r="H1188" s="302"/>
    </row>
    <row r="1189">
      <c r="A1189" s="300"/>
      <c r="B1189" s="285"/>
      <c r="C1189" s="285"/>
      <c r="D1189" s="299"/>
      <c r="E1189" s="286"/>
      <c r="F1189" s="286"/>
      <c r="G1189" s="301"/>
      <c r="H1189" s="302"/>
    </row>
    <row r="1190">
      <c r="A1190" s="300"/>
      <c r="B1190" s="285"/>
      <c r="C1190" s="285"/>
      <c r="D1190" s="299"/>
      <c r="E1190" s="286"/>
      <c r="F1190" s="286"/>
      <c r="G1190" s="301"/>
      <c r="H1190" s="302"/>
    </row>
    <row r="1191">
      <c r="A1191" s="300"/>
      <c r="B1191" s="285"/>
      <c r="C1191" s="285"/>
      <c r="D1191" s="299"/>
      <c r="E1191" s="286"/>
      <c r="F1191" s="286"/>
      <c r="G1191" s="301"/>
      <c r="H1191" s="302"/>
    </row>
    <row r="1192">
      <c r="A1192" s="300"/>
      <c r="B1192" s="285"/>
      <c r="C1192" s="285"/>
      <c r="D1192" s="299"/>
      <c r="E1192" s="286"/>
      <c r="F1192" s="286"/>
      <c r="G1192" s="301"/>
      <c r="H1192" s="302"/>
    </row>
    <row r="1193">
      <c r="A1193" s="300"/>
      <c r="B1193" s="285"/>
      <c r="C1193" s="285"/>
      <c r="D1193" s="299"/>
      <c r="E1193" s="286"/>
      <c r="F1193" s="286"/>
      <c r="G1193" s="301"/>
      <c r="H1193" s="302"/>
    </row>
    <row r="1194">
      <c r="A1194" s="300"/>
      <c r="B1194" s="285"/>
      <c r="C1194" s="285"/>
      <c r="D1194" s="299"/>
      <c r="E1194" s="286"/>
      <c r="F1194" s="286"/>
      <c r="G1194" s="301"/>
      <c r="H1194" s="302"/>
    </row>
    <row r="1195">
      <c r="A1195" s="300"/>
      <c r="B1195" s="285"/>
      <c r="C1195" s="285"/>
      <c r="D1195" s="299"/>
      <c r="E1195" s="286"/>
      <c r="F1195" s="286"/>
      <c r="G1195" s="301"/>
      <c r="H1195" s="302"/>
    </row>
    <row r="1196">
      <c r="A1196" s="300"/>
      <c r="B1196" s="285"/>
      <c r="C1196" s="285"/>
      <c r="D1196" s="299"/>
      <c r="E1196" s="286"/>
      <c r="F1196" s="286"/>
      <c r="G1196" s="301"/>
      <c r="H1196" s="302"/>
    </row>
    <row r="1197">
      <c r="A1197" s="300"/>
      <c r="B1197" s="285"/>
      <c r="C1197" s="285"/>
      <c r="D1197" s="299"/>
      <c r="E1197" s="286"/>
      <c r="F1197" s="286"/>
      <c r="G1197" s="301"/>
      <c r="H1197" s="302"/>
    </row>
    <row r="1198">
      <c r="A1198" s="300"/>
      <c r="B1198" s="285"/>
      <c r="C1198" s="285"/>
      <c r="D1198" s="299"/>
      <c r="E1198" s="286"/>
      <c r="F1198" s="286"/>
      <c r="G1198" s="301"/>
      <c r="H1198" s="302"/>
    </row>
    <row r="1199">
      <c r="A1199" s="300"/>
      <c r="B1199" s="285"/>
      <c r="C1199" s="285"/>
      <c r="D1199" s="299"/>
      <c r="E1199" s="286"/>
      <c r="F1199" s="286"/>
      <c r="G1199" s="301"/>
      <c r="H1199" s="302"/>
    </row>
    <row r="1200">
      <c r="A1200" s="300"/>
      <c r="B1200" s="285"/>
      <c r="C1200" s="285"/>
      <c r="D1200" s="299"/>
      <c r="E1200" s="286"/>
      <c r="F1200" s="286"/>
      <c r="G1200" s="301"/>
      <c r="H1200" s="302"/>
    </row>
    <row r="1201">
      <c r="A1201" s="300"/>
      <c r="B1201" s="285"/>
      <c r="C1201" s="285"/>
      <c r="D1201" s="299"/>
      <c r="E1201" s="286"/>
      <c r="F1201" s="286"/>
      <c r="G1201" s="301"/>
      <c r="H1201" s="302"/>
    </row>
    <row r="1202">
      <c r="A1202" s="300"/>
      <c r="B1202" s="285"/>
      <c r="C1202" s="285"/>
      <c r="D1202" s="299"/>
      <c r="E1202" s="286"/>
      <c r="F1202" s="286"/>
      <c r="G1202" s="301"/>
      <c r="H1202" s="302"/>
    </row>
    <row r="1203">
      <c r="A1203" s="300"/>
      <c r="B1203" s="285"/>
      <c r="C1203" s="285"/>
      <c r="D1203" s="299"/>
      <c r="E1203" s="286"/>
      <c r="F1203" s="286"/>
      <c r="G1203" s="301"/>
      <c r="H1203" s="302"/>
    </row>
    <row r="1204">
      <c r="A1204" s="300"/>
      <c r="B1204" s="285"/>
      <c r="C1204" s="285"/>
      <c r="D1204" s="299"/>
      <c r="E1204" s="286"/>
      <c r="F1204" s="286"/>
      <c r="G1204" s="301"/>
      <c r="H1204" s="302"/>
    </row>
    <row r="1205">
      <c r="A1205" s="300"/>
      <c r="B1205" s="285"/>
      <c r="C1205" s="285"/>
      <c r="D1205" s="299"/>
      <c r="E1205" s="286"/>
      <c r="F1205" s="286"/>
      <c r="G1205" s="301"/>
      <c r="H1205" s="302"/>
    </row>
    <row r="1206">
      <c r="A1206" s="300"/>
      <c r="B1206" s="285"/>
      <c r="C1206" s="285"/>
      <c r="D1206" s="299"/>
      <c r="E1206" s="286"/>
      <c r="F1206" s="286"/>
      <c r="G1206" s="301"/>
      <c r="H1206" s="302"/>
    </row>
    <row r="1207">
      <c r="A1207" s="300"/>
      <c r="B1207" s="285"/>
      <c r="C1207" s="285"/>
      <c r="D1207" s="299"/>
      <c r="E1207" s="286"/>
      <c r="F1207" s="286"/>
      <c r="G1207" s="301"/>
      <c r="H1207" s="302"/>
    </row>
    <row r="1208">
      <c r="A1208" s="300"/>
      <c r="B1208" s="285"/>
      <c r="C1208" s="285"/>
      <c r="D1208" s="299"/>
      <c r="E1208" s="286"/>
      <c r="F1208" s="286"/>
      <c r="G1208" s="301"/>
      <c r="H1208" s="302"/>
    </row>
    <row r="1209">
      <c r="A1209" s="300"/>
      <c r="B1209" s="285"/>
      <c r="C1209" s="285"/>
      <c r="D1209" s="299"/>
      <c r="E1209" s="286"/>
      <c r="F1209" s="286"/>
      <c r="G1209" s="301"/>
      <c r="H1209" s="302"/>
    </row>
    <row r="1210">
      <c r="A1210" s="300"/>
      <c r="B1210" s="285"/>
      <c r="C1210" s="285"/>
      <c r="D1210" s="299"/>
      <c r="E1210" s="286"/>
      <c r="F1210" s="286"/>
      <c r="G1210" s="301"/>
      <c r="H1210" s="302"/>
    </row>
    <row r="1211">
      <c r="A1211" s="300"/>
      <c r="B1211" s="285"/>
      <c r="C1211" s="285"/>
      <c r="D1211" s="299"/>
      <c r="E1211" s="286"/>
      <c r="F1211" s="286"/>
      <c r="G1211" s="301"/>
      <c r="H1211" s="302"/>
    </row>
    <row r="1212">
      <c r="A1212" s="300"/>
      <c r="B1212" s="285"/>
      <c r="C1212" s="285"/>
      <c r="D1212" s="299"/>
      <c r="E1212" s="286"/>
      <c r="F1212" s="286"/>
      <c r="G1212" s="301"/>
      <c r="H1212" s="302"/>
    </row>
    <row r="1213">
      <c r="A1213" s="300"/>
      <c r="B1213" s="285"/>
      <c r="C1213" s="285"/>
      <c r="D1213" s="299"/>
      <c r="E1213" s="286"/>
      <c r="F1213" s="286"/>
      <c r="G1213" s="301"/>
      <c r="H1213" s="302"/>
    </row>
    <row r="1214">
      <c r="A1214" s="300"/>
      <c r="B1214" s="285"/>
      <c r="C1214" s="285"/>
      <c r="D1214" s="299"/>
      <c r="E1214" s="286"/>
      <c r="F1214" s="286"/>
      <c r="G1214" s="301"/>
      <c r="H1214" s="302"/>
    </row>
    <row r="1215">
      <c r="A1215" s="300"/>
      <c r="B1215" s="285"/>
      <c r="C1215" s="285"/>
      <c r="D1215" s="299"/>
      <c r="E1215" s="286"/>
      <c r="F1215" s="286"/>
      <c r="G1215" s="301"/>
      <c r="H1215" s="302"/>
    </row>
    <row r="1216">
      <c r="A1216" s="300"/>
      <c r="B1216" s="285"/>
      <c r="C1216" s="285"/>
      <c r="D1216" s="299"/>
      <c r="E1216" s="286"/>
      <c r="F1216" s="286"/>
      <c r="G1216" s="301"/>
      <c r="H1216" s="302"/>
    </row>
    <row r="1217">
      <c r="A1217" s="300"/>
      <c r="B1217" s="285"/>
      <c r="C1217" s="285"/>
      <c r="D1217" s="299"/>
      <c r="E1217" s="286"/>
      <c r="F1217" s="286"/>
      <c r="G1217" s="301"/>
      <c r="H1217" s="302"/>
    </row>
    <row r="1218">
      <c r="A1218" s="300"/>
      <c r="B1218" s="285"/>
      <c r="C1218" s="285"/>
      <c r="D1218" s="299"/>
      <c r="E1218" s="286"/>
      <c r="F1218" s="286"/>
      <c r="G1218" s="301"/>
      <c r="H1218" s="302"/>
    </row>
    <row r="1219">
      <c r="A1219" s="300"/>
      <c r="B1219" s="285"/>
      <c r="C1219" s="285"/>
      <c r="D1219" s="299"/>
      <c r="E1219" s="286"/>
      <c r="F1219" s="286"/>
      <c r="G1219" s="301"/>
      <c r="H1219" s="302"/>
    </row>
    <row r="1220">
      <c r="A1220" s="300"/>
      <c r="B1220" s="285"/>
      <c r="C1220" s="285"/>
      <c r="D1220" s="299"/>
      <c r="E1220" s="286"/>
      <c r="F1220" s="286"/>
      <c r="G1220" s="301"/>
      <c r="H1220" s="302"/>
    </row>
    <row r="1221">
      <c r="A1221" s="300"/>
      <c r="B1221" s="285"/>
      <c r="C1221" s="285"/>
      <c r="D1221" s="299"/>
      <c r="E1221" s="286"/>
      <c r="F1221" s="286"/>
      <c r="G1221" s="301"/>
      <c r="H1221" s="302"/>
    </row>
    <row r="1222">
      <c r="A1222" s="300"/>
      <c r="B1222" s="285"/>
      <c r="C1222" s="285"/>
      <c r="D1222" s="299"/>
      <c r="E1222" s="286"/>
      <c r="F1222" s="286"/>
      <c r="G1222" s="301"/>
      <c r="H1222" s="302"/>
    </row>
    <row r="1223">
      <c r="A1223" s="300"/>
      <c r="B1223" s="285"/>
      <c r="C1223" s="285"/>
      <c r="D1223" s="299"/>
      <c r="E1223" s="286"/>
      <c r="F1223" s="286"/>
      <c r="G1223" s="301"/>
      <c r="H1223" s="302"/>
    </row>
    <row r="1224">
      <c r="A1224" s="300"/>
      <c r="B1224" s="285"/>
      <c r="C1224" s="285"/>
      <c r="D1224" s="299"/>
      <c r="E1224" s="286"/>
      <c r="F1224" s="286"/>
      <c r="G1224" s="301"/>
      <c r="H1224" s="302"/>
    </row>
    <row r="1225">
      <c r="A1225" s="300"/>
      <c r="B1225" s="285"/>
      <c r="C1225" s="285"/>
      <c r="D1225" s="299"/>
      <c r="E1225" s="286"/>
      <c r="F1225" s="286"/>
      <c r="G1225" s="301"/>
      <c r="H1225" s="302"/>
    </row>
    <row r="1226">
      <c r="A1226" s="300"/>
      <c r="B1226" s="285"/>
      <c r="C1226" s="285"/>
      <c r="D1226" s="299"/>
      <c r="E1226" s="286"/>
      <c r="F1226" s="286"/>
      <c r="G1226" s="301"/>
      <c r="H1226" s="302"/>
    </row>
    <row r="1227">
      <c r="A1227" s="300"/>
      <c r="B1227" s="285"/>
      <c r="C1227" s="285"/>
      <c r="D1227" s="299"/>
      <c r="E1227" s="286"/>
      <c r="F1227" s="286"/>
      <c r="G1227" s="301"/>
      <c r="H1227" s="302"/>
    </row>
    <row r="1228">
      <c r="A1228" s="300"/>
      <c r="B1228" s="285"/>
      <c r="C1228" s="285"/>
      <c r="D1228" s="299"/>
      <c r="E1228" s="286"/>
      <c r="F1228" s="286"/>
      <c r="G1228" s="301"/>
      <c r="H1228" s="302"/>
    </row>
    <row r="1229">
      <c r="A1229" s="300"/>
      <c r="B1229" s="285"/>
      <c r="C1229" s="285"/>
      <c r="D1229" s="299"/>
      <c r="E1229" s="286"/>
      <c r="F1229" s="286"/>
      <c r="G1229" s="301"/>
      <c r="H1229" s="302"/>
    </row>
    <row r="1230">
      <c r="A1230" s="300"/>
      <c r="B1230" s="285"/>
      <c r="C1230" s="285"/>
      <c r="D1230" s="299"/>
      <c r="E1230" s="286"/>
      <c r="F1230" s="286"/>
      <c r="G1230" s="301"/>
      <c r="H1230" s="302"/>
    </row>
    <row r="1231">
      <c r="A1231" s="300"/>
      <c r="B1231" s="285"/>
      <c r="C1231" s="285"/>
      <c r="D1231" s="299"/>
      <c r="E1231" s="286"/>
      <c r="F1231" s="286"/>
      <c r="G1231" s="301"/>
      <c r="H1231" s="302"/>
    </row>
    <row r="1232">
      <c r="A1232" s="300"/>
      <c r="B1232" s="285"/>
      <c r="C1232" s="285"/>
      <c r="D1232" s="299"/>
      <c r="E1232" s="286"/>
      <c r="F1232" s="286"/>
      <c r="G1232" s="301"/>
      <c r="H1232" s="302"/>
    </row>
    <row r="1233">
      <c r="A1233" s="300"/>
      <c r="B1233" s="285"/>
      <c r="C1233" s="285"/>
      <c r="D1233" s="299"/>
      <c r="E1233" s="286"/>
      <c r="F1233" s="286"/>
      <c r="G1233" s="301"/>
      <c r="H1233" s="302"/>
    </row>
    <row r="1234">
      <c r="A1234" s="300"/>
      <c r="B1234" s="285"/>
      <c r="C1234" s="285"/>
      <c r="D1234" s="299"/>
      <c r="E1234" s="286"/>
      <c r="F1234" s="286"/>
      <c r="G1234" s="301"/>
      <c r="H1234" s="302"/>
    </row>
    <row r="1235">
      <c r="A1235" s="300"/>
      <c r="B1235" s="285"/>
      <c r="C1235" s="285"/>
      <c r="D1235" s="299"/>
      <c r="E1235" s="286"/>
      <c r="F1235" s="286"/>
      <c r="G1235" s="301"/>
      <c r="H1235" s="302"/>
    </row>
    <row r="1236">
      <c r="A1236" s="300"/>
      <c r="B1236" s="285"/>
      <c r="C1236" s="285"/>
      <c r="D1236" s="299"/>
      <c r="E1236" s="286"/>
      <c r="F1236" s="286"/>
      <c r="G1236" s="301"/>
      <c r="H1236" s="302"/>
    </row>
    <row r="1237">
      <c r="A1237" s="300"/>
      <c r="B1237" s="285"/>
      <c r="C1237" s="285"/>
      <c r="D1237" s="299"/>
      <c r="E1237" s="286"/>
      <c r="F1237" s="286"/>
      <c r="G1237" s="301"/>
      <c r="H1237" s="302"/>
    </row>
    <row r="1238">
      <c r="A1238" s="300"/>
      <c r="B1238" s="285"/>
      <c r="C1238" s="285"/>
      <c r="D1238" s="299"/>
      <c r="E1238" s="286"/>
      <c r="F1238" s="286"/>
      <c r="G1238" s="301"/>
      <c r="H1238" s="302"/>
    </row>
    <row r="1239">
      <c r="A1239" s="300"/>
      <c r="B1239" s="285"/>
      <c r="C1239" s="285"/>
      <c r="D1239" s="299"/>
      <c r="E1239" s="286"/>
      <c r="F1239" s="286"/>
      <c r="G1239" s="301"/>
      <c r="H1239" s="302"/>
    </row>
    <row r="1240">
      <c r="A1240" s="300"/>
      <c r="B1240" s="285"/>
      <c r="C1240" s="285"/>
      <c r="D1240" s="299"/>
      <c r="E1240" s="286"/>
      <c r="F1240" s="286"/>
      <c r="G1240" s="301"/>
      <c r="H1240" s="302"/>
    </row>
    <row r="1241">
      <c r="A1241" s="300"/>
      <c r="B1241" s="285"/>
      <c r="C1241" s="285"/>
      <c r="D1241" s="299"/>
      <c r="E1241" s="286"/>
      <c r="F1241" s="286"/>
      <c r="G1241" s="301"/>
      <c r="H1241" s="302"/>
    </row>
    <row r="1242">
      <c r="A1242" s="300"/>
      <c r="B1242" s="285"/>
      <c r="C1242" s="285"/>
      <c r="D1242" s="299"/>
      <c r="E1242" s="286"/>
      <c r="F1242" s="286"/>
      <c r="G1242" s="301"/>
      <c r="H1242" s="302"/>
    </row>
    <row r="1243">
      <c r="A1243" s="300"/>
      <c r="B1243" s="285"/>
      <c r="C1243" s="285"/>
      <c r="D1243" s="299"/>
      <c r="E1243" s="286"/>
      <c r="F1243" s="286"/>
      <c r="G1243" s="301"/>
      <c r="H1243" s="302"/>
    </row>
    <row r="1244">
      <c r="A1244" s="300"/>
      <c r="B1244" s="285"/>
      <c r="C1244" s="285"/>
      <c r="D1244" s="299"/>
      <c r="E1244" s="286"/>
      <c r="F1244" s="286"/>
      <c r="G1244" s="301"/>
      <c r="H1244" s="302"/>
    </row>
    <row r="1245">
      <c r="A1245" s="300"/>
      <c r="B1245" s="285"/>
      <c r="C1245" s="285"/>
      <c r="D1245" s="299"/>
      <c r="E1245" s="286"/>
      <c r="F1245" s="286"/>
      <c r="G1245" s="301"/>
      <c r="H1245" s="302"/>
    </row>
    <row r="1246">
      <c r="A1246" s="300"/>
      <c r="B1246" s="285"/>
      <c r="C1246" s="285"/>
      <c r="D1246" s="299"/>
      <c r="E1246" s="286"/>
      <c r="F1246" s="286"/>
      <c r="G1246" s="301"/>
      <c r="H1246" s="302"/>
    </row>
    <row r="1247">
      <c r="A1247" s="300"/>
      <c r="B1247" s="285"/>
      <c r="C1247" s="285"/>
      <c r="D1247" s="299"/>
      <c r="E1247" s="286"/>
      <c r="F1247" s="286"/>
      <c r="G1247" s="301"/>
      <c r="H1247" s="302"/>
    </row>
    <row r="1248">
      <c r="A1248" s="300"/>
      <c r="B1248" s="285"/>
      <c r="C1248" s="285"/>
      <c r="D1248" s="299"/>
      <c r="E1248" s="286"/>
      <c r="F1248" s="286"/>
      <c r="G1248" s="301"/>
      <c r="H1248" s="302"/>
    </row>
    <row r="1249">
      <c r="A1249" s="300"/>
      <c r="B1249" s="285"/>
      <c r="C1249" s="285"/>
      <c r="D1249" s="299"/>
      <c r="E1249" s="286"/>
      <c r="F1249" s="286"/>
      <c r="G1249" s="301"/>
      <c r="H1249" s="302"/>
    </row>
    <row r="1250">
      <c r="A1250" s="300"/>
      <c r="B1250" s="285"/>
      <c r="C1250" s="285"/>
      <c r="D1250" s="299"/>
      <c r="E1250" s="286"/>
      <c r="F1250" s="286"/>
      <c r="G1250" s="301"/>
      <c r="H1250" s="302"/>
    </row>
    <row r="1251">
      <c r="A1251" s="300"/>
      <c r="B1251" s="285"/>
      <c r="C1251" s="285"/>
      <c r="D1251" s="299"/>
      <c r="E1251" s="286"/>
      <c r="F1251" s="286"/>
      <c r="G1251" s="301"/>
      <c r="H1251" s="302"/>
    </row>
    <row r="1252">
      <c r="A1252" s="300"/>
      <c r="B1252" s="285"/>
      <c r="C1252" s="285"/>
      <c r="D1252" s="299"/>
      <c r="E1252" s="286"/>
      <c r="F1252" s="286"/>
      <c r="G1252" s="301"/>
      <c r="H1252" s="302"/>
    </row>
    <row r="1253">
      <c r="A1253" s="300"/>
      <c r="B1253" s="285"/>
      <c r="C1253" s="285"/>
      <c r="D1253" s="299"/>
      <c r="E1253" s="286"/>
      <c r="F1253" s="286"/>
      <c r="G1253" s="301"/>
      <c r="H1253" s="302"/>
    </row>
    <row r="1254">
      <c r="A1254" s="300"/>
      <c r="B1254" s="285"/>
      <c r="C1254" s="285"/>
      <c r="D1254" s="299"/>
      <c r="E1254" s="286"/>
      <c r="F1254" s="286"/>
      <c r="G1254" s="301"/>
      <c r="H1254" s="302"/>
    </row>
    <row r="1255">
      <c r="A1255" s="300"/>
      <c r="B1255" s="285"/>
      <c r="C1255" s="285"/>
      <c r="D1255" s="299"/>
      <c r="E1255" s="286"/>
      <c r="F1255" s="286"/>
      <c r="G1255" s="301"/>
      <c r="H1255" s="302"/>
    </row>
    <row r="1256">
      <c r="A1256" s="300"/>
      <c r="B1256" s="285"/>
      <c r="C1256" s="285"/>
      <c r="D1256" s="299"/>
      <c r="E1256" s="286"/>
      <c r="F1256" s="286"/>
      <c r="G1256" s="301"/>
      <c r="H1256" s="302"/>
    </row>
    <row r="1257">
      <c r="A1257" s="300"/>
      <c r="B1257" s="285"/>
      <c r="C1257" s="285"/>
      <c r="D1257" s="299"/>
      <c r="E1257" s="286"/>
      <c r="F1257" s="286"/>
      <c r="G1257" s="301"/>
      <c r="H1257" s="302"/>
    </row>
    <row r="1258">
      <c r="A1258" s="300"/>
      <c r="B1258" s="285"/>
      <c r="C1258" s="285"/>
      <c r="D1258" s="299"/>
      <c r="E1258" s="286"/>
      <c r="F1258" s="286"/>
      <c r="G1258" s="301"/>
      <c r="H1258" s="302"/>
    </row>
    <row r="1259">
      <c r="A1259" s="300"/>
      <c r="B1259" s="285"/>
      <c r="C1259" s="285"/>
      <c r="D1259" s="299"/>
      <c r="E1259" s="286"/>
      <c r="F1259" s="286"/>
      <c r="G1259" s="301"/>
      <c r="H1259" s="302"/>
    </row>
    <row r="1260">
      <c r="A1260" s="300"/>
      <c r="B1260" s="285"/>
      <c r="C1260" s="285"/>
      <c r="D1260" s="299"/>
      <c r="E1260" s="286"/>
      <c r="F1260" s="286"/>
      <c r="G1260" s="301"/>
      <c r="H1260" s="302"/>
    </row>
    <row r="1261">
      <c r="A1261" s="300"/>
      <c r="B1261" s="285"/>
      <c r="C1261" s="285"/>
      <c r="D1261" s="299"/>
      <c r="E1261" s="286"/>
      <c r="F1261" s="286"/>
      <c r="G1261" s="301"/>
      <c r="H1261" s="302"/>
    </row>
    <row r="1262">
      <c r="A1262" s="300"/>
      <c r="B1262" s="285"/>
      <c r="C1262" s="285"/>
      <c r="D1262" s="299"/>
      <c r="E1262" s="286"/>
      <c r="F1262" s="286"/>
      <c r="G1262" s="301"/>
      <c r="H1262" s="302"/>
    </row>
    <row r="1263">
      <c r="A1263" s="300"/>
      <c r="B1263" s="285"/>
      <c r="C1263" s="285"/>
      <c r="D1263" s="299"/>
      <c r="E1263" s="286"/>
      <c r="F1263" s="286"/>
      <c r="G1263" s="301"/>
      <c r="H1263" s="302"/>
    </row>
    <row r="1264">
      <c r="A1264" s="300"/>
      <c r="B1264" s="285"/>
      <c r="C1264" s="285"/>
      <c r="D1264" s="299"/>
      <c r="E1264" s="286"/>
      <c r="F1264" s="286"/>
      <c r="G1264" s="301"/>
      <c r="H1264" s="302"/>
    </row>
    <row r="1265">
      <c r="A1265" s="300"/>
      <c r="B1265" s="285"/>
      <c r="C1265" s="285"/>
      <c r="D1265" s="299"/>
      <c r="E1265" s="286"/>
      <c r="F1265" s="286"/>
      <c r="G1265" s="301"/>
      <c r="H1265" s="302"/>
    </row>
    <row r="1266">
      <c r="A1266" s="300"/>
      <c r="B1266" s="285"/>
      <c r="C1266" s="285"/>
      <c r="D1266" s="299"/>
      <c r="E1266" s="286"/>
      <c r="F1266" s="286"/>
      <c r="G1266" s="301"/>
      <c r="H1266" s="302"/>
    </row>
    <row r="1267">
      <c r="A1267" s="300"/>
      <c r="B1267" s="285"/>
      <c r="C1267" s="285"/>
      <c r="D1267" s="299"/>
      <c r="E1267" s="286"/>
      <c r="F1267" s="286"/>
      <c r="G1267" s="301"/>
      <c r="H1267" s="302"/>
    </row>
    <row r="1268">
      <c r="A1268" s="300"/>
      <c r="B1268" s="285"/>
      <c r="C1268" s="285"/>
      <c r="D1268" s="299"/>
      <c r="E1268" s="286"/>
      <c r="F1268" s="286"/>
      <c r="G1268" s="301"/>
      <c r="H1268" s="302"/>
    </row>
    <row r="1269">
      <c r="A1269" s="300"/>
      <c r="B1269" s="285"/>
      <c r="C1269" s="285"/>
      <c r="D1269" s="299"/>
      <c r="E1269" s="286"/>
      <c r="F1269" s="286"/>
      <c r="G1269" s="301"/>
      <c r="H1269" s="302"/>
    </row>
    <row r="1270">
      <c r="A1270" s="300"/>
      <c r="B1270" s="285"/>
      <c r="C1270" s="285"/>
      <c r="D1270" s="299"/>
      <c r="E1270" s="286"/>
      <c r="F1270" s="286"/>
      <c r="G1270" s="301"/>
      <c r="H1270" s="302"/>
    </row>
    <row r="1271">
      <c r="A1271" s="300"/>
      <c r="B1271" s="285"/>
      <c r="C1271" s="285"/>
      <c r="D1271" s="299"/>
      <c r="E1271" s="286"/>
      <c r="F1271" s="286"/>
      <c r="G1271" s="301"/>
      <c r="H1271" s="302"/>
    </row>
    <row r="1272">
      <c r="A1272" s="300"/>
      <c r="B1272" s="285"/>
      <c r="C1272" s="285"/>
      <c r="D1272" s="299"/>
      <c r="E1272" s="286"/>
      <c r="F1272" s="286"/>
      <c r="G1272" s="301"/>
      <c r="H1272" s="302"/>
    </row>
    <row r="1273">
      <c r="A1273" s="300"/>
      <c r="B1273" s="285"/>
      <c r="C1273" s="285"/>
      <c r="D1273" s="299"/>
      <c r="E1273" s="286"/>
      <c r="F1273" s="286"/>
      <c r="G1273" s="301"/>
      <c r="H1273" s="302"/>
    </row>
    <row r="1274">
      <c r="A1274" s="300"/>
      <c r="B1274" s="285"/>
      <c r="C1274" s="285"/>
      <c r="D1274" s="299"/>
      <c r="E1274" s="286"/>
      <c r="F1274" s="286"/>
      <c r="G1274" s="301"/>
      <c r="H1274" s="302"/>
    </row>
    <row r="1275">
      <c r="A1275" s="300"/>
      <c r="B1275" s="285"/>
      <c r="C1275" s="285"/>
      <c r="D1275" s="299"/>
      <c r="E1275" s="286"/>
      <c r="F1275" s="286"/>
      <c r="G1275" s="301"/>
      <c r="H1275" s="302"/>
    </row>
    <row r="1276">
      <c r="A1276" s="300"/>
      <c r="B1276" s="285"/>
      <c r="C1276" s="285"/>
      <c r="D1276" s="299"/>
      <c r="E1276" s="286"/>
      <c r="F1276" s="286"/>
      <c r="G1276" s="301"/>
      <c r="H1276" s="302"/>
    </row>
    <row r="1277">
      <c r="A1277" s="300"/>
      <c r="B1277" s="285"/>
      <c r="C1277" s="285"/>
      <c r="D1277" s="299"/>
      <c r="E1277" s="286"/>
      <c r="F1277" s="286"/>
      <c r="G1277" s="301"/>
      <c r="H1277" s="302"/>
    </row>
    <row r="1278">
      <c r="A1278" s="300"/>
      <c r="B1278" s="285"/>
      <c r="C1278" s="285"/>
      <c r="D1278" s="299"/>
      <c r="E1278" s="286"/>
      <c r="F1278" s="286"/>
      <c r="G1278" s="301"/>
      <c r="H1278" s="302"/>
    </row>
    <row r="1279">
      <c r="A1279" s="300"/>
      <c r="B1279" s="285"/>
      <c r="C1279" s="285"/>
      <c r="D1279" s="299"/>
      <c r="E1279" s="286"/>
      <c r="F1279" s="286"/>
      <c r="G1279" s="301"/>
      <c r="H1279" s="302"/>
    </row>
    <row r="1280">
      <c r="A1280" s="300"/>
      <c r="B1280" s="285"/>
      <c r="C1280" s="285"/>
      <c r="D1280" s="299"/>
      <c r="E1280" s="286"/>
      <c r="F1280" s="286"/>
      <c r="G1280" s="301"/>
      <c r="H1280" s="302"/>
    </row>
    <row r="1281">
      <c r="A1281" s="300"/>
      <c r="B1281" s="285"/>
      <c r="C1281" s="285"/>
      <c r="D1281" s="299"/>
      <c r="E1281" s="286"/>
      <c r="F1281" s="286"/>
      <c r="G1281" s="301"/>
      <c r="H1281" s="302"/>
    </row>
    <row r="1282">
      <c r="A1282" s="300"/>
      <c r="B1282" s="285"/>
      <c r="C1282" s="285"/>
      <c r="D1282" s="299"/>
      <c r="E1282" s="286"/>
      <c r="F1282" s="286"/>
      <c r="G1282" s="301"/>
      <c r="H1282" s="302"/>
    </row>
    <row r="1283">
      <c r="A1283" s="300"/>
      <c r="B1283" s="285"/>
      <c r="C1283" s="285"/>
      <c r="D1283" s="299"/>
      <c r="E1283" s="286"/>
      <c r="F1283" s="286"/>
      <c r="G1283" s="301"/>
      <c r="H1283" s="302"/>
    </row>
    <row r="1284">
      <c r="A1284" s="300"/>
      <c r="B1284" s="285"/>
      <c r="C1284" s="285"/>
      <c r="D1284" s="299"/>
      <c r="E1284" s="286"/>
      <c r="F1284" s="286"/>
      <c r="G1284" s="301"/>
      <c r="H1284" s="302"/>
    </row>
    <row r="1285">
      <c r="A1285" s="300"/>
      <c r="B1285" s="285"/>
      <c r="C1285" s="285"/>
      <c r="D1285" s="299"/>
      <c r="E1285" s="286"/>
      <c r="F1285" s="286"/>
      <c r="G1285" s="301"/>
      <c r="H1285" s="302"/>
    </row>
    <row r="1286">
      <c r="A1286" s="300"/>
      <c r="B1286" s="285"/>
      <c r="C1286" s="285"/>
      <c r="D1286" s="299"/>
      <c r="E1286" s="286"/>
      <c r="F1286" s="286"/>
      <c r="G1286" s="301"/>
      <c r="H1286" s="302"/>
    </row>
    <row r="1287">
      <c r="A1287" s="300"/>
      <c r="B1287" s="285"/>
      <c r="C1287" s="285"/>
      <c r="D1287" s="299"/>
      <c r="E1287" s="286"/>
      <c r="F1287" s="286"/>
      <c r="G1287" s="301"/>
      <c r="H1287" s="302"/>
    </row>
    <row r="1288">
      <c r="A1288" s="300"/>
      <c r="B1288" s="285"/>
      <c r="C1288" s="285"/>
      <c r="D1288" s="299"/>
      <c r="E1288" s="286"/>
      <c r="F1288" s="286"/>
      <c r="G1288" s="301"/>
      <c r="H1288" s="302"/>
    </row>
    <row r="1289">
      <c r="A1289" s="300"/>
      <c r="B1289" s="285"/>
      <c r="C1289" s="285"/>
      <c r="D1289" s="299"/>
      <c r="E1289" s="286"/>
      <c r="F1289" s="286"/>
      <c r="G1289" s="301"/>
      <c r="H1289" s="302"/>
    </row>
    <row r="1290">
      <c r="A1290" s="300"/>
      <c r="B1290" s="285"/>
      <c r="C1290" s="285"/>
      <c r="D1290" s="299"/>
      <c r="E1290" s="286"/>
      <c r="F1290" s="286"/>
      <c r="G1290" s="301"/>
      <c r="H1290" s="302"/>
    </row>
    <row r="1291">
      <c r="A1291" s="300"/>
      <c r="B1291" s="285"/>
      <c r="C1291" s="285"/>
      <c r="D1291" s="299"/>
      <c r="E1291" s="286"/>
      <c r="F1291" s="286"/>
      <c r="G1291" s="301"/>
      <c r="H1291" s="302"/>
    </row>
    <row r="1292">
      <c r="A1292" s="300"/>
      <c r="B1292" s="285"/>
      <c r="C1292" s="285"/>
      <c r="D1292" s="299"/>
      <c r="E1292" s="286"/>
      <c r="F1292" s="286"/>
      <c r="G1292" s="301"/>
      <c r="H1292" s="302"/>
    </row>
    <row r="1293">
      <c r="A1293" s="300"/>
      <c r="B1293" s="285"/>
      <c r="C1293" s="285"/>
      <c r="D1293" s="299"/>
      <c r="E1293" s="286"/>
      <c r="F1293" s="286"/>
      <c r="G1293" s="301"/>
      <c r="H1293" s="302"/>
    </row>
    <row r="1294">
      <c r="A1294" s="300"/>
      <c r="B1294" s="285"/>
      <c r="C1294" s="285"/>
      <c r="D1294" s="299"/>
      <c r="E1294" s="286"/>
      <c r="F1294" s="286"/>
      <c r="G1294" s="301"/>
      <c r="H1294" s="302"/>
    </row>
    <row r="1295">
      <c r="A1295" s="300"/>
      <c r="B1295" s="285"/>
      <c r="C1295" s="285"/>
      <c r="D1295" s="299"/>
      <c r="E1295" s="286"/>
      <c r="F1295" s="286"/>
      <c r="G1295" s="301"/>
      <c r="H1295" s="302"/>
    </row>
    <row r="1296">
      <c r="A1296" s="300"/>
      <c r="B1296" s="285"/>
      <c r="C1296" s="285"/>
      <c r="D1296" s="299"/>
      <c r="E1296" s="286"/>
      <c r="F1296" s="286"/>
      <c r="G1296" s="301"/>
      <c r="H1296" s="302"/>
    </row>
    <row r="1297">
      <c r="A1297" s="300"/>
      <c r="B1297" s="285"/>
      <c r="C1297" s="285"/>
      <c r="D1297" s="299"/>
      <c r="E1297" s="286"/>
      <c r="F1297" s="286"/>
      <c r="G1297" s="301"/>
      <c r="H1297" s="302"/>
    </row>
    <row r="1298">
      <c r="A1298" s="300"/>
      <c r="B1298" s="285"/>
      <c r="C1298" s="285"/>
      <c r="D1298" s="299"/>
      <c r="E1298" s="286"/>
      <c r="F1298" s="286"/>
      <c r="G1298" s="301"/>
      <c r="H1298" s="302"/>
    </row>
    <row r="1299">
      <c r="A1299" s="300"/>
      <c r="B1299" s="285"/>
      <c r="C1299" s="285"/>
      <c r="D1299" s="299"/>
      <c r="E1299" s="286"/>
      <c r="F1299" s="286"/>
      <c r="G1299" s="301"/>
      <c r="H1299" s="302"/>
    </row>
    <row r="1300">
      <c r="A1300" s="300"/>
      <c r="B1300" s="285"/>
      <c r="C1300" s="285"/>
      <c r="D1300" s="299"/>
      <c r="E1300" s="286"/>
      <c r="F1300" s="286"/>
      <c r="G1300" s="301"/>
      <c r="H1300" s="302"/>
    </row>
    <row r="1301">
      <c r="A1301" s="300"/>
      <c r="B1301" s="285"/>
      <c r="C1301" s="285"/>
      <c r="D1301" s="299"/>
      <c r="E1301" s="286"/>
      <c r="F1301" s="286"/>
      <c r="G1301" s="301"/>
      <c r="H1301" s="302"/>
    </row>
    <row r="1302">
      <c r="A1302" s="300"/>
      <c r="B1302" s="285"/>
      <c r="C1302" s="285"/>
      <c r="D1302" s="299"/>
      <c r="E1302" s="286"/>
      <c r="F1302" s="286"/>
      <c r="G1302" s="301"/>
      <c r="H1302" s="302"/>
    </row>
    <row r="1303">
      <c r="A1303" s="300"/>
      <c r="B1303" s="285"/>
      <c r="C1303" s="285"/>
      <c r="D1303" s="299"/>
      <c r="E1303" s="286"/>
      <c r="F1303" s="286"/>
      <c r="G1303" s="301"/>
      <c r="H1303" s="302"/>
    </row>
    <row r="1304">
      <c r="A1304" s="300"/>
      <c r="B1304" s="285"/>
      <c r="C1304" s="285"/>
      <c r="D1304" s="299"/>
      <c r="E1304" s="286"/>
      <c r="F1304" s="286"/>
      <c r="G1304" s="301"/>
      <c r="H1304" s="302"/>
    </row>
    <row r="1305">
      <c r="A1305" s="300"/>
      <c r="B1305" s="285"/>
      <c r="C1305" s="285"/>
      <c r="D1305" s="299"/>
      <c r="E1305" s="286"/>
      <c r="F1305" s="286"/>
      <c r="G1305" s="301"/>
      <c r="H1305" s="302"/>
    </row>
    <row r="1306">
      <c r="A1306" s="300"/>
      <c r="B1306" s="285"/>
      <c r="C1306" s="285"/>
      <c r="D1306" s="299"/>
      <c r="E1306" s="286"/>
      <c r="F1306" s="286"/>
      <c r="G1306" s="301"/>
      <c r="H1306" s="302"/>
    </row>
    <row r="1307">
      <c r="A1307" s="300"/>
      <c r="B1307" s="285"/>
      <c r="C1307" s="285"/>
      <c r="D1307" s="299"/>
      <c r="E1307" s="286"/>
      <c r="F1307" s="286"/>
      <c r="G1307" s="301"/>
      <c r="H1307" s="302"/>
    </row>
    <row r="1308">
      <c r="A1308" s="300"/>
      <c r="B1308" s="285"/>
      <c r="C1308" s="285"/>
      <c r="D1308" s="299"/>
      <c r="E1308" s="286"/>
      <c r="F1308" s="286"/>
      <c r="G1308" s="301"/>
      <c r="H1308" s="302"/>
    </row>
    <row r="1309">
      <c r="A1309" s="300"/>
      <c r="B1309" s="285"/>
      <c r="C1309" s="285"/>
      <c r="D1309" s="299"/>
      <c r="E1309" s="286"/>
      <c r="F1309" s="286"/>
      <c r="G1309" s="301"/>
      <c r="H1309" s="302"/>
    </row>
    <row r="1310">
      <c r="A1310" s="300"/>
      <c r="B1310" s="285"/>
      <c r="C1310" s="285"/>
      <c r="D1310" s="299"/>
      <c r="E1310" s="286"/>
      <c r="F1310" s="286"/>
      <c r="G1310" s="301"/>
      <c r="H1310" s="302"/>
    </row>
    <row r="1311">
      <c r="A1311" s="300"/>
      <c r="B1311" s="285"/>
      <c r="C1311" s="285"/>
      <c r="D1311" s="299"/>
      <c r="E1311" s="286"/>
      <c r="F1311" s="286"/>
      <c r="G1311" s="301"/>
      <c r="H1311" s="302"/>
    </row>
    <row r="1312">
      <c r="A1312" s="300"/>
      <c r="B1312" s="285"/>
      <c r="C1312" s="285"/>
      <c r="D1312" s="299"/>
      <c r="E1312" s="286"/>
      <c r="F1312" s="286"/>
      <c r="G1312" s="301"/>
      <c r="H1312" s="302"/>
    </row>
    <row r="1313">
      <c r="A1313" s="300"/>
      <c r="B1313" s="285"/>
      <c r="C1313" s="285"/>
      <c r="D1313" s="299"/>
      <c r="E1313" s="286"/>
      <c r="F1313" s="286"/>
      <c r="G1313" s="301"/>
      <c r="H1313" s="302"/>
    </row>
    <row r="1314">
      <c r="A1314" s="300"/>
      <c r="B1314" s="285"/>
      <c r="C1314" s="285"/>
      <c r="D1314" s="299"/>
      <c r="E1314" s="286"/>
      <c r="F1314" s="286"/>
      <c r="G1314" s="301"/>
      <c r="H1314" s="302"/>
    </row>
    <row r="1315">
      <c r="A1315" s="300"/>
      <c r="B1315" s="285"/>
      <c r="C1315" s="285"/>
      <c r="D1315" s="299"/>
      <c r="E1315" s="286"/>
      <c r="F1315" s="286"/>
      <c r="G1315" s="301"/>
      <c r="H1315" s="302"/>
    </row>
    <row r="1316">
      <c r="A1316" s="300"/>
      <c r="B1316" s="285"/>
      <c r="C1316" s="285"/>
      <c r="D1316" s="299"/>
      <c r="E1316" s="286"/>
      <c r="F1316" s="286"/>
      <c r="G1316" s="301"/>
      <c r="H1316" s="302"/>
    </row>
    <row r="1317">
      <c r="A1317" s="300"/>
      <c r="B1317" s="285"/>
      <c r="C1317" s="285"/>
      <c r="D1317" s="299"/>
      <c r="E1317" s="286"/>
      <c r="F1317" s="286"/>
      <c r="G1317" s="301"/>
      <c r="H1317" s="302"/>
    </row>
    <row r="1318">
      <c r="A1318" s="300"/>
      <c r="B1318" s="285"/>
      <c r="C1318" s="285"/>
      <c r="D1318" s="299"/>
      <c r="E1318" s="286"/>
      <c r="F1318" s="286"/>
      <c r="G1318" s="301"/>
      <c r="H1318" s="302"/>
    </row>
    <row r="1319">
      <c r="A1319" s="300"/>
      <c r="B1319" s="285"/>
      <c r="C1319" s="285"/>
      <c r="D1319" s="299"/>
      <c r="E1319" s="286"/>
      <c r="F1319" s="286"/>
      <c r="G1319" s="301"/>
      <c r="H1319" s="302"/>
    </row>
    <row r="1320">
      <c r="A1320" s="300"/>
      <c r="B1320" s="285"/>
      <c r="C1320" s="285"/>
      <c r="D1320" s="299"/>
      <c r="E1320" s="286"/>
      <c r="F1320" s="286"/>
      <c r="G1320" s="301"/>
      <c r="H1320" s="302"/>
    </row>
    <row r="1321">
      <c r="A1321" s="300"/>
      <c r="B1321" s="285"/>
      <c r="C1321" s="285"/>
      <c r="D1321" s="299"/>
      <c r="E1321" s="286"/>
      <c r="F1321" s="286"/>
      <c r="G1321" s="301"/>
      <c r="H1321" s="302"/>
    </row>
    <row r="1322">
      <c r="A1322" s="300"/>
      <c r="B1322" s="285"/>
      <c r="C1322" s="285"/>
      <c r="D1322" s="299"/>
      <c r="E1322" s="286"/>
      <c r="F1322" s="286"/>
      <c r="G1322" s="301"/>
      <c r="H1322" s="302"/>
    </row>
    <row r="1323">
      <c r="A1323" s="300"/>
      <c r="B1323" s="285"/>
      <c r="C1323" s="285"/>
      <c r="D1323" s="299"/>
      <c r="E1323" s="286"/>
      <c r="F1323" s="286"/>
      <c r="G1323" s="301"/>
      <c r="H1323" s="302"/>
    </row>
    <row r="1324">
      <c r="A1324" s="300"/>
      <c r="B1324" s="285"/>
      <c r="C1324" s="285"/>
      <c r="D1324" s="299"/>
      <c r="E1324" s="286"/>
      <c r="F1324" s="286"/>
      <c r="G1324" s="301"/>
      <c r="H1324" s="302"/>
    </row>
    <row r="1325">
      <c r="A1325" s="300"/>
      <c r="B1325" s="285"/>
      <c r="C1325" s="285"/>
      <c r="D1325" s="299"/>
      <c r="E1325" s="286"/>
      <c r="F1325" s="286"/>
      <c r="G1325" s="301"/>
      <c r="H1325" s="302"/>
    </row>
    <row r="1326">
      <c r="A1326" s="300"/>
      <c r="B1326" s="285"/>
      <c r="C1326" s="285"/>
      <c r="D1326" s="299"/>
      <c r="E1326" s="286"/>
      <c r="F1326" s="286"/>
      <c r="G1326" s="301"/>
      <c r="H1326" s="302"/>
    </row>
    <row r="1327">
      <c r="A1327" s="300"/>
      <c r="B1327" s="285"/>
      <c r="C1327" s="285"/>
      <c r="D1327" s="299"/>
      <c r="E1327" s="286"/>
      <c r="F1327" s="286"/>
      <c r="G1327" s="301"/>
      <c r="H1327" s="302"/>
    </row>
    <row r="1328">
      <c r="A1328" s="300"/>
      <c r="B1328" s="285"/>
      <c r="C1328" s="285"/>
      <c r="D1328" s="299"/>
      <c r="E1328" s="286"/>
      <c r="F1328" s="286"/>
      <c r="G1328" s="301"/>
      <c r="H1328" s="302"/>
    </row>
    <row r="1329">
      <c r="A1329" s="300"/>
      <c r="B1329" s="285"/>
      <c r="C1329" s="285"/>
      <c r="D1329" s="299"/>
      <c r="E1329" s="286"/>
      <c r="F1329" s="286"/>
      <c r="G1329" s="301"/>
      <c r="H1329" s="302"/>
    </row>
    <row r="1330">
      <c r="A1330" s="300"/>
      <c r="B1330" s="285"/>
      <c r="C1330" s="285"/>
      <c r="D1330" s="299"/>
      <c r="E1330" s="286"/>
      <c r="F1330" s="286"/>
      <c r="G1330" s="301"/>
      <c r="H1330" s="302"/>
    </row>
    <row r="1331">
      <c r="A1331" s="300"/>
      <c r="B1331" s="285"/>
      <c r="C1331" s="285"/>
      <c r="D1331" s="299"/>
      <c r="E1331" s="286"/>
      <c r="F1331" s="286"/>
      <c r="G1331" s="301"/>
      <c r="H1331" s="302"/>
    </row>
    <row r="1332">
      <c r="A1332" s="300"/>
      <c r="B1332" s="285"/>
      <c r="C1332" s="285"/>
      <c r="D1332" s="299"/>
      <c r="E1332" s="286"/>
      <c r="F1332" s="286"/>
      <c r="G1332" s="301"/>
      <c r="H1332" s="302"/>
    </row>
    <row r="1333">
      <c r="A1333" s="300"/>
      <c r="B1333" s="285"/>
      <c r="C1333" s="285"/>
      <c r="D1333" s="299"/>
      <c r="E1333" s="286"/>
      <c r="F1333" s="286"/>
      <c r="G1333" s="301"/>
      <c r="H1333" s="302"/>
    </row>
    <row r="1334">
      <c r="A1334" s="300"/>
      <c r="B1334" s="285"/>
      <c r="C1334" s="285"/>
      <c r="D1334" s="299"/>
      <c r="E1334" s="286"/>
      <c r="F1334" s="286"/>
      <c r="G1334" s="301"/>
      <c r="H1334" s="302"/>
    </row>
    <row r="1335">
      <c r="A1335" s="300"/>
      <c r="B1335" s="285"/>
      <c r="C1335" s="285"/>
      <c r="D1335" s="299"/>
      <c r="E1335" s="286"/>
      <c r="F1335" s="286"/>
      <c r="G1335" s="301"/>
      <c r="H1335" s="302"/>
    </row>
    <row r="1336">
      <c r="A1336" s="300"/>
      <c r="B1336" s="285"/>
      <c r="C1336" s="285"/>
      <c r="D1336" s="299"/>
      <c r="E1336" s="286"/>
      <c r="F1336" s="286"/>
      <c r="G1336" s="301"/>
      <c r="H1336" s="302"/>
    </row>
    <row r="1337">
      <c r="A1337" s="300"/>
      <c r="B1337" s="285"/>
      <c r="C1337" s="285"/>
      <c r="D1337" s="299"/>
      <c r="E1337" s="286"/>
      <c r="F1337" s="286"/>
      <c r="G1337" s="301"/>
      <c r="H1337" s="302"/>
    </row>
    <row r="1338">
      <c r="A1338" s="300"/>
      <c r="B1338" s="285"/>
      <c r="C1338" s="285"/>
      <c r="D1338" s="299"/>
      <c r="E1338" s="286"/>
      <c r="F1338" s="286"/>
      <c r="G1338" s="301"/>
      <c r="H1338" s="302"/>
    </row>
    <row r="1339">
      <c r="A1339" s="300"/>
      <c r="B1339" s="285"/>
      <c r="C1339" s="285"/>
      <c r="D1339" s="299"/>
      <c r="E1339" s="286"/>
      <c r="F1339" s="286"/>
      <c r="G1339" s="301"/>
      <c r="H1339" s="302"/>
    </row>
    <row r="1340">
      <c r="A1340" s="303"/>
      <c r="B1340" s="304"/>
      <c r="C1340" s="304"/>
      <c r="D1340" s="305"/>
      <c r="E1340" s="306"/>
      <c r="F1340" s="306"/>
      <c r="G1340" s="307"/>
      <c r="H1340" s="308"/>
    </row>
  </sheetData>
  <mergeCells count="2">
    <mergeCell ref="B1:H1"/>
    <mergeCell ref="A2:H2"/>
  </mergeCells>
  <hyperlinks>
    <hyperlink r:id="rId1" ref="A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0.63"/>
    <col customWidth="1" min="2" max="2" width="10.13"/>
    <col customWidth="1" min="3" max="3" width="8.5"/>
    <col customWidth="1" min="4" max="4" width="29.13"/>
    <col customWidth="1" min="5" max="6" width="18.88"/>
  </cols>
  <sheetData>
    <row r="1" ht="28.5" customHeight="1">
      <c r="A1" s="309" t="s">
        <v>230</v>
      </c>
      <c r="B1" s="310" t="s">
        <v>589</v>
      </c>
    </row>
    <row r="2" ht="17.25" customHeight="1">
      <c r="A2" s="264" t="s">
        <v>590</v>
      </c>
    </row>
    <row r="3">
      <c r="A3" s="265" t="s">
        <v>233</v>
      </c>
      <c r="B3" s="266" t="s">
        <v>234</v>
      </c>
      <c r="C3" s="266" t="s">
        <v>235</v>
      </c>
      <c r="D3" s="266" t="s">
        <v>591</v>
      </c>
      <c r="E3" s="269" t="s">
        <v>592</v>
      </c>
      <c r="F3" s="311" t="s">
        <v>593</v>
      </c>
    </row>
    <row r="4" ht="13.5" customHeight="1">
      <c r="A4" s="272">
        <v>44044.0</v>
      </c>
      <c r="B4" s="273" t="str">
        <f t="shared" ref="B4:B236" si="1">IF(A4&lt;&gt;"", TEXT(A4, "MMMM"), "")</f>
        <v>August</v>
      </c>
      <c r="C4" s="273">
        <f t="shared" ref="C4:C236" si="2">IF(A4&lt;&gt;"", YEAR(A4), "")</f>
        <v>2020</v>
      </c>
      <c r="D4" s="275" t="s">
        <v>594</v>
      </c>
      <c r="E4" s="312" t="s">
        <v>12</v>
      </c>
      <c r="F4" s="313">
        <v>60.0</v>
      </c>
    </row>
    <row r="5">
      <c r="A5" s="278">
        <v>44044.0</v>
      </c>
      <c r="B5" s="279" t="str">
        <f t="shared" si="1"/>
        <v>August</v>
      </c>
      <c r="C5" s="279">
        <f t="shared" si="2"/>
        <v>2020</v>
      </c>
      <c r="D5" s="281" t="s">
        <v>595</v>
      </c>
      <c r="E5" s="314" t="s">
        <v>20</v>
      </c>
      <c r="F5" s="315">
        <v>58.0</v>
      </c>
    </row>
    <row r="6">
      <c r="A6" s="278">
        <v>44075.0</v>
      </c>
      <c r="B6" s="279" t="str">
        <f t="shared" si="1"/>
        <v>September</v>
      </c>
      <c r="C6" s="279">
        <f t="shared" si="2"/>
        <v>2020</v>
      </c>
      <c r="D6" s="281" t="s">
        <v>594</v>
      </c>
      <c r="E6" s="314" t="s">
        <v>12</v>
      </c>
      <c r="F6" s="315">
        <v>184.0</v>
      </c>
    </row>
    <row r="7">
      <c r="A7" s="278">
        <v>44075.0</v>
      </c>
      <c r="B7" s="279" t="str">
        <f t="shared" si="1"/>
        <v>September</v>
      </c>
      <c r="C7" s="279">
        <f t="shared" si="2"/>
        <v>2020</v>
      </c>
      <c r="D7" s="281" t="s">
        <v>595</v>
      </c>
      <c r="E7" s="314" t="s">
        <v>14</v>
      </c>
      <c r="F7" s="315">
        <v>160.0</v>
      </c>
    </row>
    <row r="8">
      <c r="A8" s="278">
        <v>44105.0</v>
      </c>
      <c r="B8" s="279" t="str">
        <f t="shared" si="1"/>
        <v>October</v>
      </c>
      <c r="C8" s="279">
        <f t="shared" si="2"/>
        <v>2020</v>
      </c>
      <c r="D8" s="281" t="s">
        <v>595</v>
      </c>
      <c r="E8" s="314" t="s">
        <v>12</v>
      </c>
      <c r="F8" s="315">
        <v>15.0</v>
      </c>
    </row>
    <row r="9">
      <c r="A9" s="278">
        <v>44105.0</v>
      </c>
      <c r="B9" s="279" t="str">
        <f t="shared" si="1"/>
        <v>October</v>
      </c>
      <c r="C9" s="279">
        <f t="shared" si="2"/>
        <v>2020</v>
      </c>
      <c r="D9" s="281" t="s">
        <v>595</v>
      </c>
      <c r="E9" s="314" t="s">
        <v>14</v>
      </c>
      <c r="F9" s="315">
        <v>234.0</v>
      </c>
    </row>
    <row r="10">
      <c r="A10" s="278">
        <v>44136.0</v>
      </c>
      <c r="B10" s="279" t="str">
        <f t="shared" si="1"/>
        <v>November</v>
      </c>
      <c r="C10" s="279">
        <f t="shared" si="2"/>
        <v>2020</v>
      </c>
      <c r="D10" s="281" t="s">
        <v>595</v>
      </c>
      <c r="E10" s="314" t="s">
        <v>14</v>
      </c>
      <c r="F10" s="315">
        <v>131.0</v>
      </c>
    </row>
    <row r="11">
      <c r="A11" s="278">
        <v>44136.0</v>
      </c>
      <c r="B11" s="279" t="str">
        <f t="shared" si="1"/>
        <v>November</v>
      </c>
      <c r="C11" s="279">
        <f t="shared" si="2"/>
        <v>2020</v>
      </c>
      <c r="D11" s="281" t="s">
        <v>595</v>
      </c>
      <c r="E11" s="314" t="s">
        <v>20</v>
      </c>
      <c r="F11" s="315">
        <v>19.0</v>
      </c>
    </row>
    <row r="12">
      <c r="A12" s="278">
        <v>44166.0</v>
      </c>
      <c r="B12" s="279" t="str">
        <f t="shared" si="1"/>
        <v>December</v>
      </c>
      <c r="C12" s="279">
        <f t="shared" si="2"/>
        <v>2020</v>
      </c>
      <c r="D12" s="281" t="s">
        <v>595</v>
      </c>
      <c r="E12" s="314" t="s">
        <v>14</v>
      </c>
      <c r="F12" s="315">
        <v>251.0</v>
      </c>
    </row>
    <row r="13">
      <c r="A13" s="278">
        <v>44166.0</v>
      </c>
      <c r="B13" s="279" t="str">
        <f t="shared" si="1"/>
        <v>December</v>
      </c>
      <c r="C13" s="279">
        <f t="shared" si="2"/>
        <v>2020</v>
      </c>
      <c r="D13" s="281" t="s">
        <v>595</v>
      </c>
      <c r="E13" s="314" t="s">
        <v>20</v>
      </c>
      <c r="F13" s="315">
        <v>342.0</v>
      </c>
    </row>
    <row r="14">
      <c r="A14" s="278">
        <v>44166.0</v>
      </c>
      <c r="B14" s="279" t="str">
        <f t="shared" si="1"/>
        <v>December</v>
      </c>
      <c r="C14" s="279">
        <f t="shared" si="2"/>
        <v>2020</v>
      </c>
      <c r="D14" s="281" t="s">
        <v>595</v>
      </c>
      <c r="E14" s="314" t="s">
        <v>22</v>
      </c>
      <c r="F14" s="315">
        <v>185.0</v>
      </c>
    </row>
    <row r="15">
      <c r="A15" s="278">
        <v>44409.0</v>
      </c>
      <c r="B15" s="279" t="str">
        <f t="shared" si="1"/>
        <v>August</v>
      </c>
      <c r="C15" s="279">
        <f t="shared" si="2"/>
        <v>2021</v>
      </c>
      <c r="D15" s="281" t="s">
        <v>594</v>
      </c>
      <c r="E15" s="314" t="s">
        <v>12</v>
      </c>
      <c r="F15" s="315">
        <v>150.0</v>
      </c>
    </row>
    <row r="16">
      <c r="A16" s="278">
        <v>44409.0</v>
      </c>
      <c r="B16" s="279" t="str">
        <f t="shared" si="1"/>
        <v>August</v>
      </c>
      <c r="C16" s="279">
        <f t="shared" si="2"/>
        <v>2021</v>
      </c>
      <c r="D16" s="281" t="s">
        <v>595</v>
      </c>
      <c r="E16" s="314" t="s">
        <v>14</v>
      </c>
      <c r="F16" s="315">
        <v>55.0</v>
      </c>
    </row>
    <row r="17">
      <c r="A17" s="278">
        <v>44409.0</v>
      </c>
      <c r="B17" s="279" t="str">
        <f t="shared" si="1"/>
        <v>August</v>
      </c>
      <c r="C17" s="279">
        <f t="shared" si="2"/>
        <v>2021</v>
      </c>
      <c r="D17" s="281" t="s">
        <v>595</v>
      </c>
      <c r="E17" s="314" t="s">
        <v>20</v>
      </c>
      <c r="F17" s="315">
        <v>187.0</v>
      </c>
    </row>
    <row r="18">
      <c r="A18" s="278">
        <v>44440.0</v>
      </c>
      <c r="B18" s="279" t="str">
        <f t="shared" si="1"/>
        <v>September</v>
      </c>
      <c r="C18" s="279">
        <f t="shared" si="2"/>
        <v>2021</v>
      </c>
      <c r="D18" s="281" t="s">
        <v>595</v>
      </c>
      <c r="E18" s="314" t="s">
        <v>12</v>
      </c>
      <c r="F18" s="315">
        <v>23.0</v>
      </c>
    </row>
    <row r="19">
      <c r="A19" s="278">
        <v>44440.0</v>
      </c>
      <c r="B19" s="279" t="str">
        <f t="shared" si="1"/>
        <v>September</v>
      </c>
      <c r="C19" s="279">
        <f t="shared" si="2"/>
        <v>2021</v>
      </c>
      <c r="D19" s="281" t="s">
        <v>595</v>
      </c>
      <c r="E19" s="314" t="s">
        <v>14</v>
      </c>
      <c r="F19" s="315">
        <v>340.0</v>
      </c>
    </row>
    <row r="20">
      <c r="A20" s="278">
        <v>44470.0</v>
      </c>
      <c r="B20" s="279" t="str">
        <f t="shared" si="1"/>
        <v>October</v>
      </c>
      <c r="C20" s="279">
        <f t="shared" si="2"/>
        <v>2021</v>
      </c>
      <c r="D20" s="281" t="s">
        <v>596</v>
      </c>
      <c r="E20" s="314" t="s">
        <v>12</v>
      </c>
      <c r="F20" s="315">
        <v>58.0</v>
      </c>
    </row>
    <row r="21">
      <c r="A21" s="278">
        <v>44470.0</v>
      </c>
      <c r="B21" s="279" t="str">
        <f t="shared" si="1"/>
        <v>October</v>
      </c>
      <c r="C21" s="279">
        <f t="shared" si="2"/>
        <v>2021</v>
      </c>
      <c r="D21" s="281" t="s">
        <v>595</v>
      </c>
      <c r="E21" s="314" t="s">
        <v>14</v>
      </c>
      <c r="F21" s="315">
        <v>138.0</v>
      </c>
    </row>
    <row r="22">
      <c r="A22" s="278">
        <v>44470.0</v>
      </c>
      <c r="B22" s="279" t="str">
        <f t="shared" si="1"/>
        <v>October</v>
      </c>
      <c r="C22" s="279">
        <f t="shared" si="2"/>
        <v>2021</v>
      </c>
      <c r="D22" s="281" t="s">
        <v>595</v>
      </c>
      <c r="E22" s="314" t="s">
        <v>20</v>
      </c>
      <c r="F22" s="315">
        <v>285.0</v>
      </c>
    </row>
    <row r="23">
      <c r="A23" s="278">
        <v>44501.0</v>
      </c>
      <c r="B23" s="279" t="str">
        <f t="shared" si="1"/>
        <v>November</v>
      </c>
      <c r="C23" s="279">
        <f t="shared" si="2"/>
        <v>2021</v>
      </c>
      <c r="D23" s="281" t="s">
        <v>595</v>
      </c>
      <c r="E23" s="314" t="s">
        <v>14</v>
      </c>
      <c r="F23" s="315">
        <v>332.0</v>
      </c>
    </row>
    <row r="24">
      <c r="A24" s="278">
        <v>44501.0</v>
      </c>
      <c r="B24" s="279" t="str">
        <f t="shared" si="1"/>
        <v>November</v>
      </c>
      <c r="C24" s="279">
        <f t="shared" si="2"/>
        <v>2021</v>
      </c>
      <c r="D24" s="281" t="s">
        <v>595</v>
      </c>
      <c r="E24" s="314" t="s">
        <v>20</v>
      </c>
      <c r="F24" s="315">
        <v>61.0</v>
      </c>
    </row>
    <row r="25">
      <c r="A25" s="278">
        <v>44531.0</v>
      </c>
      <c r="B25" s="279" t="str">
        <f t="shared" si="1"/>
        <v>December</v>
      </c>
      <c r="C25" s="279">
        <f t="shared" si="2"/>
        <v>2021</v>
      </c>
      <c r="D25" s="281" t="s">
        <v>595</v>
      </c>
      <c r="E25" s="314" t="s">
        <v>14</v>
      </c>
      <c r="F25" s="315">
        <v>31.0</v>
      </c>
    </row>
    <row r="26">
      <c r="A26" s="278">
        <v>44531.0</v>
      </c>
      <c r="B26" s="279" t="str">
        <f t="shared" si="1"/>
        <v>December</v>
      </c>
      <c r="C26" s="279">
        <f t="shared" si="2"/>
        <v>2021</v>
      </c>
      <c r="D26" s="281" t="s">
        <v>595</v>
      </c>
      <c r="E26" s="314" t="s">
        <v>20</v>
      </c>
      <c r="F26" s="315">
        <v>76.0</v>
      </c>
    </row>
    <row r="27">
      <c r="A27" s="278">
        <v>44562.0</v>
      </c>
      <c r="B27" s="279" t="str">
        <f t="shared" si="1"/>
        <v>January</v>
      </c>
      <c r="C27" s="279">
        <f t="shared" si="2"/>
        <v>2022</v>
      </c>
      <c r="D27" s="281" t="s">
        <v>595</v>
      </c>
      <c r="E27" s="314" t="s">
        <v>22</v>
      </c>
      <c r="F27" s="315">
        <v>19.0</v>
      </c>
    </row>
    <row r="28">
      <c r="A28" s="278">
        <v>44593.0</v>
      </c>
      <c r="B28" s="279" t="str">
        <f t="shared" si="1"/>
        <v>February</v>
      </c>
      <c r="C28" s="279">
        <f t="shared" si="2"/>
        <v>2022</v>
      </c>
      <c r="D28" s="281" t="s">
        <v>595</v>
      </c>
      <c r="E28" s="314" t="s">
        <v>12</v>
      </c>
      <c r="F28" s="315">
        <v>356.0</v>
      </c>
    </row>
    <row r="29">
      <c r="A29" s="278">
        <v>44593.0</v>
      </c>
      <c r="B29" s="279" t="str">
        <f t="shared" si="1"/>
        <v>February</v>
      </c>
      <c r="C29" s="279">
        <f t="shared" si="2"/>
        <v>2022</v>
      </c>
      <c r="D29" s="281" t="s">
        <v>595</v>
      </c>
      <c r="E29" s="314" t="s">
        <v>22</v>
      </c>
      <c r="F29" s="315">
        <v>30.0</v>
      </c>
    </row>
    <row r="30">
      <c r="A30" s="278">
        <v>44593.0</v>
      </c>
      <c r="B30" s="279" t="str">
        <f t="shared" si="1"/>
        <v>February</v>
      </c>
      <c r="C30" s="279">
        <f t="shared" si="2"/>
        <v>2022</v>
      </c>
      <c r="D30" s="281" t="s">
        <v>595</v>
      </c>
      <c r="E30" s="314" t="s">
        <v>22</v>
      </c>
      <c r="F30" s="315">
        <v>36.0</v>
      </c>
    </row>
    <row r="31">
      <c r="A31" s="278">
        <v>44621.0</v>
      </c>
      <c r="B31" s="279" t="str">
        <f t="shared" si="1"/>
        <v>March</v>
      </c>
      <c r="C31" s="279">
        <f t="shared" si="2"/>
        <v>2022</v>
      </c>
      <c r="D31" s="281" t="s">
        <v>595</v>
      </c>
      <c r="E31" s="314" t="s">
        <v>14</v>
      </c>
      <c r="F31" s="315">
        <v>11.0</v>
      </c>
    </row>
    <row r="32">
      <c r="A32" s="278">
        <v>44621.0</v>
      </c>
      <c r="B32" s="279" t="str">
        <f t="shared" si="1"/>
        <v>March</v>
      </c>
      <c r="C32" s="279">
        <f t="shared" si="2"/>
        <v>2022</v>
      </c>
      <c r="D32" s="281" t="s">
        <v>595</v>
      </c>
      <c r="E32" s="314" t="s">
        <v>22</v>
      </c>
      <c r="F32" s="315">
        <v>16.0</v>
      </c>
    </row>
    <row r="33">
      <c r="A33" s="278">
        <v>44621.0</v>
      </c>
      <c r="B33" s="279" t="str">
        <f t="shared" si="1"/>
        <v>March</v>
      </c>
      <c r="C33" s="279">
        <f t="shared" si="2"/>
        <v>2022</v>
      </c>
      <c r="D33" s="281" t="s">
        <v>595</v>
      </c>
      <c r="E33" s="314" t="s">
        <v>22</v>
      </c>
      <c r="F33" s="315">
        <v>62.0</v>
      </c>
    </row>
    <row r="34">
      <c r="A34" s="278">
        <v>44652.0</v>
      </c>
      <c r="B34" s="279" t="str">
        <f t="shared" si="1"/>
        <v>April</v>
      </c>
      <c r="C34" s="279">
        <f t="shared" si="2"/>
        <v>2022</v>
      </c>
      <c r="D34" s="281" t="s">
        <v>595</v>
      </c>
      <c r="E34" s="314" t="s">
        <v>12</v>
      </c>
      <c r="F34" s="315">
        <v>650.0</v>
      </c>
    </row>
    <row r="35">
      <c r="A35" s="278">
        <v>44652.0</v>
      </c>
      <c r="B35" s="279" t="str">
        <f t="shared" si="1"/>
        <v>April</v>
      </c>
      <c r="C35" s="279">
        <f t="shared" si="2"/>
        <v>2022</v>
      </c>
      <c r="D35" s="281" t="s">
        <v>595</v>
      </c>
      <c r="E35" s="314" t="s">
        <v>22</v>
      </c>
      <c r="F35" s="315">
        <v>216.0</v>
      </c>
    </row>
    <row r="36">
      <c r="A36" s="278">
        <v>44652.0</v>
      </c>
      <c r="B36" s="279" t="str">
        <f t="shared" si="1"/>
        <v>April</v>
      </c>
      <c r="C36" s="279">
        <f t="shared" si="2"/>
        <v>2022</v>
      </c>
      <c r="D36" s="281" t="s">
        <v>595</v>
      </c>
      <c r="E36" s="314" t="s">
        <v>22</v>
      </c>
      <c r="F36" s="315">
        <v>18.0</v>
      </c>
    </row>
    <row r="37">
      <c r="A37" s="278">
        <v>44682.0</v>
      </c>
      <c r="B37" s="279" t="str">
        <f t="shared" si="1"/>
        <v>May</v>
      </c>
      <c r="C37" s="279">
        <f t="shared" si="2"/>
        <v>2022</v>
      </c>
      <c r="D37" s="281" t="s">
        <v>595</v>
      </c>
      <c r="E37" s="314" t="s">
        <v>22</v>
      </c>
      <c r="F37" s="315">
        <v>10.0</v>
      </c>
    </row>
    <row r="38">
      <c r="A38" s="278">
        <v>44713.0</v>
      </c>
      <c r="B38" s="279" t="str">
        <f t="shared" si="1"/>
        <v>June</v>
      </c>
      <c r="C38" s="279">
        <f t="shared" si="2"/>
        <v>2022</v>
      </c>
      <c r="D38" s="281" t="s">
        <v>595</v>
      </c>
      <c r="E38" s="314" t="s">
        <v>12</v>
      </c>
      <c r="F38" s="315">
        <v>150.0</v>
      </c>
    </row>
    <row r="39">
      <c r="A39" s="278">
        <v>44713.0</v>
      </c>
      <c r="B39" s="279" t="str">
        <f t="shared" si="1"/>
        <v>June</v>
      </c>
      <c r="C39" s="279">
        <f t="shared" si="2"/>
        <v>2022</v>
      </c>
      <c r="D39" s="281" t="s">
        <v>595</v>
      </c>
      <c r="E39" s="314" t="s">
        <v>14</v>
      </c>
      <c r="F39" s="315">
        <v>31.0</v>
      </c>
    </row>
    <row r="40">
      <c r="A40" s="278">
        <v>44713.0</v>
      </c>
      <c r="B40" s="279" t="str">
        <f t="shared" si="1"/>
        <v>June</v>
      </c>
      <c r="C40" s="279">
        <f t="shared" si="2"/>
        <v>2022</v>
      </c>
      <c r="D40" s="281" t="s">
        <v>595</v>
      </c>
      <c r="E40" s="314" t="s">
        <v>20</v>
      </c>
      <c r="F40" s="315">
        <v>23.0</v>
      </c>
    </row>
    <row r="41">
      <c r="A41" s="278">
        <v>44713.0</v>
      </c>
      <c r="B41" s="279" t="str">
        <f t="shared" si="1"/>
        <v>June</v>
      </c>
      <c r="C41" s="279">
        <f t="shared" si="2"/>
        <v>2022</v>
      </c>
      <c r="D41" s="281" t="s">
        <v>595</v>
      </c>
      <c r="E41" s="314" t="s">
        <v>22</v>
      </c>
      <c r="F41" s="315">
        <v>118.0</v>
      </c>
    </row>
    <row r="42">
      <c r="A42" s="278">
        <v>44743.0</v>
      </c>
      <c r="B42" s="279" t="str">
        <f t="shared" si="1"/>
        <v>July</v>
      </c>
      <c r="C42" s="279">
        <f t="shared" si="2"/>
        <v>2022</v>
      </c>
      <c r="D42" s="281" t="s">
        <v>595</v>
      </c>
      <c r="E42" s="314" t="s">
        <v>22</v>
      </c>
      <c r="F42" s="315">
        <v>183.0</v>
      </c>
    </row>
    <row r="43">
      <c r="A43" s="278">
        <v>44774.0</v>
      </c>
      <c r="B43" s="279" t="str">
        <f t="shared" si="1"/>
        <v>August</v>
      </c>
      <c r="C43" s="279">
        <f t="shared" si="2"/>
        <v>2022</v>
      </c>
      <c r="D43" s="281" t="s">
        <v>595</v>
      </c>
      <c r="E43" s="314" t="s">
        <v>12</v>
      </c>
      <c r="F43" s="315">
        <v>10.0</v>
      </c>
    </row>
    <row r="44">
      <c r="A44" s="278">
        <v>44774.0</v>
      </c>
      <c r="B44" s="279" t="str">
        <f t="shared" si="1"/>
        <v>August</v>
      </c>
      <c r="C44" s="279">
        <f t="shared" si="2"/>
        <v>2022</v>
      </c>
      <c r="D44" s="281" t="s">
        <v>595</v>
      </c>
      <c r="E44" s="314" t="s">
        <v>14</v>
      </c>
      <c r="F44" s="315">
        <v>40.0</v>
      </c>
    </row>
    <row r="45">
      <c r="A45" s="278">
        <v>44774.0</v>
      </c>
      <c r="B45" s="279" t="str">
        <f t="shared" si="1"/>
        <v>August</v>
      </c>
      <c r="C45" s="279">
        <f t="shared" si="2"/>
        <v>2022</v>
      </c>
      <c r="D45" s="281" t="s">
        <v>595</v>
      </c>
      <c r="E45" s="314" t="s">
        <v>20</v>
      </c>
      <c r="F45" s="315">
        <v>143.0</v>
      </c>
    </row>
    <row r="46">
      <c r="A46" s="278">
        <v>44774.0</v>
      </c>
      <c r="B46" s="279" t="str">
        <f t="shared" si="1"/>
        <v>August</v>
      </c>
      <c r="C46" s="279">
        <f t="shared" si="2"/>
        <v>2022</v>
      </c>
      <c r="D46" s="281" t="s">
        <v>595</v>
      </c>
      <c r="E46" s="314" t="s">
        <v>22</v>
      </c>
      <c r="F46" s="315">
        <v>83.0</v>
      </c>
    </row>
    <row r="47">
      <c r="A47" s="278">
        <v>44805.0</v>
      </c>
      <c r="B47" s="279" t="str">
        <f t="shared" si="1"/>
        <v>September</v>
      </c>
      <c r="C47" s="279">
        <f t="shared" si="2"/>
        <v>2022</v>
      </c>
      <c r="D47" s="281" t="s">
        <v>595</v>
      </c>
      <c r="E47" s="314" t="s">
        <v>12</v>
      </c>
      <c r="F47" s="315">
        <v>344.0</v>
      </c>
    </row>
    <row r="48">
      <c r="A48" s="278">
        <v>44805.0</v>
      </c>
      <c r="B48" s="279" t="str">
        <f t="shared" si="1"/>
        <v>September</v>
      </c>
      <c r="C48" s="279">
        <f t="shared" si="2"/>
        <v>2022</v>
      </c>
      <c r="D48" s="281" t="s">
        <v>595</v>
      </c>
      <c r="E48" s="314" t="s">
        <v>14</v>
      </c>
      <c r="F48" s="315">
        <v>34.0</v>
      </c>
    </row>
    <row r="49">
      <c r="A49" s="278">
        <v>44805.0</v>
      </c>
      <c r="B49" s="279" t="str">
        <f t="shared" si="1"/>
        <v>September</v>
      </c>
      <c r="C49" s="279">
        <f t="shared" si="2"/>
        <v>2022</v>
      </c>
      <c r="D49" s="281" t="s">
        <v>595</v>
      </c>
      <c r="E49" s="314" t="s">
        <v>20</v>
      </c>
      <c r="F49" s="315">
        <v>94.0</v>
      </c>
    </row>
    <row r="50">
      <c r="A50" s="278">
        <v>44805.0</v>
      </c>
      <c r="B50" s="279" t="str">
        <f t="shared" si="1"/>
        <v>September</v>
      </c>
      <c r="C50" s="279">
        <f t="shared" si="2"/>
        <v>2022</v>
      </c>
      <c r="D50" s="281" t="s">
        <v>595</v>
      </c>
      <c r="E50" s="314" t="s">
        <v>22</v>
      </c>
      <c r="F50" s="315">
        <v>48.0</v>
      </c>
    </row>
    <row r="51">
      <c r="A51" s="278">
        <v>44835.0</v>
      </c>
      <c r="B51" s="279" t="str">
        <f t="shared" si="1"/>
        <v>October</v>
      </c>
      <c r="C51" s="279">
        <f t="shared" si="2"/>
        <v>2022</v>
      </c>
      <c r="D51" s="281" t="s">
        <v>595</v>
      </c>
      <c r="E51" s="314" t="s">
        <v>12</v>
      </c>
      <c r="F51" s="315">
        <v>115.0</v>
      </c>
    </row>
    <row r="52">
      <c r="A52" s="278">
        <v>44835.0</v>
      </c>
      <c r="B52" s="279" t="str">
        <f t="shared" si="1"/>
        <v>October</v>
      </c>
      <c r="C52" s="279">
        <f t="shared" si="2"/>
        <v>2022</v>
      </c>
      <c r="D52" s="281" t="s">
        <v>595</v>
      </c>
      <c r="E52" s="314" t="s">
        <v>14</v>
      </c>
      <c r="F52" s="315">
        <v>154.0</v>
      </c>
    </row>
    <row r="53">
      <c r="A53" s="278">
        <v>44835.0</v>
      </c>
      <c r="B53" s="279" t="str">
        <f t="shared" si="1"/>
        <v>October</v>
      </c>
      <c r="C53" s="279">
        <f t="shared" si="2"/>
        <v>2022</v>
      </c>
      <c r="D53" s="281" t="s">
        <v>595</v>
      </c>
      <c r="E53" s="314" t="s">
        <v>22</v>
      </c>
      <c r="F53" s="315">
        <v>41.0</v>
      </c>
    </row>
    <row r="54">
      <c r="A54" s="278">
        <v>44866.0</v>
      </c>
      <c r="B54" s="279" t="str">
        <f t="shared" si="1"/>
        <v>November</v>
      </c>
      <c r="C54" s="279">
        <f t="shared" si="2"/>
        <v>2022</v>
      </c>
      <c r="D54" s="281" t="s">
        <v>595</v>
      </c>
      <c r="E54" s="314" t="s">
        <v>12</v>
      </c>
      <c r="F54" s="315">
        <v>342.0</v>
      </c>
    </row>
    <row r="55">
      <c r="A55" s="278">
        <v>44866.0</v>
      </c>
      <c r="B55" s="279" t="str">
        <f t="shared" si="1"/>
        <v>November</v>
      </c>
      <c r="C55" s="279">
        <f t="shared" si="2"/>
        <v>2022</v>
      </c>
      <c r="D55" s="281" t="s">
        <v>595</v>
      </c>
      <c r="E55" s="314" t="s">
        <v>14</v>
      </c>
      <c r="F55" s="315">
        <v>52.0</v>
      </c>
    </row>
    <row r="56">
      <c r="A56" s="278">
        <v>44866.0</v>
      </c>
      <c r="B56" s="279" t="str">
        <f t="shared" si="1"/>
        <v>November</v>
      </c>
      <c r="C56" s="279">
        <f t="shared" si="2"/>
        <v>2022</v>
      </c>
      <c r="D56" s="281" t="s">
        <v>595</v>
      </c>
      <c r="E56" s="314" t="s">
        <v>20</v>
      </c>
      <c r="F56" s="315">
        <v>100.0</v>
      </c>
    </row>
    <row r="57">
      <c r="A57" s="278">
        <v>44866.0</v>
      </c>
      <c r="B57" s="279" t="str">
        <f t="shared" si="1"/>
        <v>November</v>
      </c>
      <c r="C57" s="279">
        <f t="shared" si="2"/>
        <v>2022</v>
      </c>
      <c r="D57" s="281" t="s">
        <v>595</v>
      </c>
      <c r="E57" s="314" t="s">
        <v>22</v>
      </c>
      <c r="F57" s="315">
        <v>101.0</v>
      </c>
    </row>
    <row r="58">
      <c r="A58" s="278">
        <v>44896.0</v>
      </c>
      <c r="B58" s="279" t="str">
        <f t="shared" si="1"/>
        <v>December</v>
      </c>
      <c r="C58" s="279">
        <f t="shared" si="2"/>
        <v>2022</v>
      </c>
      <c r="D58" s="281" t="s">
        <v>595</v>
      </c>
      <c r="E58" s="314" t="s">
        <v>14</v>
      </c>
      <c r="F58" s="315">
        <v>103.0</v>
      </c>
    </row>
    <row r="59">
      <c r="A59" s="278">
        <v>44896.0</v>
      </c>
      <c r="B59" s="279" t="str">
        <f t="shared" si="1"/>
        <v>December</v>
      </c>
      <c r="C59" s="279">
        <f t="shared" si="2"/>
        <v>2022</v>
      </c>
      <c r="D59" s="281" t="s">
        <v>595</v>
      </c>
      <c r="E59" s="314" t="s">
        <v>20</v>
      </c>
      <c r="F59" s="315">
        <v>147.0</v>
      </c>
    </row>
    <row r="60">
      <c r="A60" s="278">
        <v>44927.0</v>
      </c>
      <c r="B60" s="279" t="str">
        <f t="shared" si="1"/>
        <v>January</v>
      </c>
      <c r="C60" s="279">
        <f t="shared" si="2"/>
        <v>2023</v>
      </c>
      <c r="D60" s="281" t="s">
        <v>595</v>
      </c>
      <c r="E60" s="314" t="s">
        <v>22</v>
      </c>
      <c r="F60" s="315">
        <v>46.0</v>
      </c>
    </row>
    <row r="61">
      <c r="A61" s="278">
        <v>44958.0</v>
      </c>
      <c r="B61" s="279" t="str">
        <f t="shared" si="1"/>
        <v>February</v>
      </c>
      <c r="C61" s="279">
        <f t="shared" si="2"/>
        <v>2023</v>
      </c>
      <c r="D61" s="281" t="s">
        <v>595</v>
      </c>
      <c r="E61" s="314" t="s">
        <v>12</v>
      </c>
      <c r="F61" s="315">
        <v>20.0</v>
      </c>
    </row>
    <row r="62">
      <c r="A62" s="278">
        <v>44958.0</v>
      </c>
      <c r="B62" s="279" t="str">
        <f t="shared" si="1"/>
        <v>February</v>
      </c>
      <c r="C62" s="279">
        <f t="shared" si="2"/>
        <v>2023</v>
      </c>
      <c r="D62" s="281" t="s">
        <v>595</v>
      </c>
      <c r="E62" s="314" t="s">
        <v>14</v>
      </c>
      <c r="F62" s="315">
        <v>121.0</v>
      </c>
    </row>
    <row r="63">
      <c r="A63" s="278">
        <v>44958.0</v>
      </c>
      <c r="B63" s="279" t="str">
        <f t="shared" si="1"/>
        <v>February</v>
      </c>
      <c r="C63" s="279">
        <f t="shared" si="2"/>
        <v>2023</v>
      </c>
      <c r="D63" s="281" t="s">
        <v>595</v>
      </c>
      <c r="E63" s="314" t="s">
        <v>20</v>
      </c>
      <c r="F63" s="315">
        <v>133.0</v>
      </c>
    </row>
    <row r="64">
      <c r="A64" s="278">
        <v>44958.0</v>
      </c>
      <c r="B64" s="279" t="str">
        <f t="shared" si="1"/>
        <v>February</v>
      </c>
      <c r="C64" s="279">
        <f t="shared" si="2"/>
        <v>2023</v>
      </c>
      <c r="D64" s="281" t="s">
        <v>595</v>
      </c>
      <c r="E64" s="314" t="s">
        <v>22</v>
      </c>
      <c r="F64" s="315">
        <v>99.0</v>
      </c>
    </row>
    <row r="65">
      <c r="A65" s="278">
        <v>44986.0</v>
      </c>
      <c r="B65" s="279" t="str">
        <f t="shared" si="1"/>
        <v>March</v>
      </c>
      <c r="C65" s="279">
        <f t="shared" si="2"/>
        <v>2023</v>
      </c>
      <c r="D65" s="281" t="s">
        <v>595</v>
      </c>
      <c r="E65" s="314" t="s">
        <v>12</v>
      </c>
      <c r="F65" s="315">
        <v>202.0</v>
      </c>
    </row>
    <row r="66">
      <c r="A66" s="278">
        <v>44986.0</v>
      </c>
      <c r="B66" s="279" t="str">
        <f t="shared" si="1"/>
        <v>March</v>
      </c>
      <c r="C66" s="279">
        <f t="shared" si="2"/>
        <v>2023</v>
      </c>
      <c r="D66" s="281" t="s">
        <v>595</v>
      </c>
      <c r="E66" s="314" t="s">
        <v>14</v>
      </c>
      <c r="F66" s="315">
        <v>117.0</v>
      </c>
    </row>
    <row r="67">
      <c r="A67" s="278">
        <v>44986.0</v>
      </c>
      <c r="B67" s="279" t="str">
        <f t="shared" si="1"/>
        <v>March</v>
      </c>
      <c r="C67" s="279">
        <f t="shared" si="2"/>
        <v>2023</v>
      </c>
      <c r="D67" s="281" t="s">
        <v>595</v>
      </c>
      <c r="E67" s="314" t="s">
        <v>22</v>
      </c>
      <c r="F67" s="315">
        <v>66.0</v>
      </c>
    </row>
    <row r="68">
      <c r="A68" s="278">
        <v>45017.0</v>
      </c>
      <c r="B68" s="279" t="str">
        <f t="shared" si="1"/>
        <v>April</v>
      </c>
      <c r="C68" s="279">
        <f t="shared" si="2"/>
        <v>2023</v>
      </c>
      <c r="D68" s="281" t="s">
        <v>595</v>
      </c>
      <c r="E68" s="314" t="s">
        <v>12</v>
      </c>
      <c r="F68" s="315">
        <v>80.0</v>
      </c>
    </row>
    <row r="69">
      <c r="A69" s="278">
        <v>45017.0</v>
      </c>
      <c r="B69" s="279" t="str">
        <f t="shared" si="1"/>
        <v>April</v>
      </c>
      <c r="C69" s="279">
        <f t="shared" si="2"/>
        <v>2023</v>
      </c>
      <c r="D69" s="281" t="s">
        <v>595</v>
      </c>
      <c r="E69" s="314" t="s">
        <v>14</v>
      </c>
      <c r="F69" s="315">
        <v>23.0</v>
      </c>
    </row>
    <row r="70">
      <c r="A70" s="278">
        <v>45017.0</v>
      </c>
      <c r="B70" s="279" t="str">
        <f t="shared" si="1"/>
        <v>April</v>
      </c>
      <c r="C70" s="279">
        <f t="shared" si="2"/>
        <v>2023</v>
      </c>
      <c r="D70" s="281" t="s">
        <v>595</v>
      </c>
      <c r="E70" s="314" t="s">
        <v>20</v>
      </c>
      <c r="F70" s="315">
        <v>37.0</v>
      </c>
    </row>
    <row r="71">
      <c r="A71" s="278">
        <v>45017.0</v>
      </c>
      <c r="B71" s="279" t="str">
        <f t="shared" si="1"/>
        <v>April</v>
      </c>
      <c r="C71" s="279">
        <f t="shared" si="2"/>
        <v>2023</v>
      </c>
      <c r="D71" s="281" t="s">
        <v>595</v>
      </c>
      <c r="E71" s="314" t="s">
        <v>22</v>
      </c>
      <c r="F71" s="315">
        <v>262.0</v>
      </c>
    </row>
    <row r="72">
      <c r="A72" s="278">
        <v>45047.0</v>
      </c>
      <c r="B72" s="279" t="str">
        <f t="shared" si="1"/>
        <v>May</v>
      </c>
      <c r="C72" s="279">
        <f t="shared" si="2"/>
        <v>2023</v>
      </c>
      <c r="D72" s="281" t="s">
        <v>595</v>
      </c>
      <c r="E72" s="314" t="s">
        <v>12</v>
      </c>
      <c r="F72" s="315">
        <v>200.0</v>
      </c>
    </row>
    <row r="73">
      <c r="A73" s="278">
        <v>45047.0</v>
      </c>
      <c r="B73" s="279" t="str">
        <f t="shared" si="1"/>
        <v>May</v>
      </c>
      <c r="C73" s="279">
        <f t="shared" si="2"/>
        <v>2023</v>
      </c>
      <c r="D73" s="281" t="s">
        <v>595</v>
      </c>
      <c r="E73" s="314" t="s">
        <v>14</v>
      </c>
      <c r="F73" s="315">
        <v>97.0</v>
      </c>
    </row>
    <row r="74">
      <c r="A74" s="278">
        <v>45047.0</v>
      </c>
      <c r="B74" s="279" t="str">
        <f t="shared" si="1"/>
        <v>May</v>
      </c>
      <c r="C74" s="279">
        <f t="shared" si="2"/>
        <v>2023</v>
      </c>
      <c r="D74" s="281" t="s">
        <v>595</v>
      </c>
      <c r="E74" s="314" t="s">
        <v>20</v>
      </c>
      <c r="F74" s="315">
        <v>108.0</v>
      </c>
    </row>
    <row r="75">
      <c r="A75" s="278">
        <v>45047.0</v>
      </c>
      <c r="B75" s="279" t="str">
        <f t="shared" si="1"/>
        <v>May</v>
      </c>
      <c r="C75" s="279">
        <f t="shared" si="2"/>
        <v>2023</v>
      </c>
      <c r="D75" s="281" t="s">
        <v>595</v>
      </c>
      <c r="E75" s="314" t="s">
        <v>22</v>
      </c>
      <c r="F75" s="315">
        <v>10.0</v>
      </c>
    </row>
    <row r="76">
      <c r="A76" s="278">
        <v>45139.0</v>
      </c>
      <c r="B76" s="279" t="str">
        <f t="shared" si="1"/>
        <v>August</v>
      </c>
      <c r="C76" s="279">
        <f t="shared" si="2"/>
        <v>2023</v>
      </c>
      <c r="D76" s="281" t="s">
        <v>595</v>
      </c>
      <c r="E76" s="314" t="s">
        <v>14</v>
      </c>
      <c r="F76" s="315">
        <v>106.0</v>
      </c>
    </row>
    <row r="77">
      <c r="A77" s="278">
        <v>45139.0</v>
      </c>
      <c r="B77" s="279" t="str">
        <f t="shared" si="1"/>
        <v>August</v>
      </c>
      <c r="C77" s="279">
        <f t="shared" si="2"/>
        <v>2023</v>
      </c>
      <c r="D77" s="281" t="s">
        <v>595</v>
      </c>
      <c r="E77" s="314" t="s">
        <v>16</v>
      </c>
      <c r="F77" s="315">
        <v>128.0</v>
      </c>
    </row>
    <row r="78">
      <c r="A78" s="278">
        <v>45139.0</v>
      </c>
      <c r="B78" s="279" t="str">
        <f t="shared" si="1"/>
        <v>August</v>
      </c>
      <c r="C78" s="279">
        <f t="shared" si="2"/>
        <v>2023</v>
      </c>
      <c r="D78" s="281" t="s">
        <v>595</v>
      </c>
      <c r="E78" s="314" t="s">
        <v>22</v>
      </c>
      <c r="F78" s="315">
        <v>48.0</v>
      </c>
    </row>
    <row r="79">
      <c r="A79" s="278">
        <v>45170.0</v>
      </c>
      <c r="B79" s="279" t="str">
        <f t="shared" si="1"/>
        <v>September</v>
      </c>
      <c r="C79" s="279">
        <f t="shared" si="2"/>
        <v>2023</v>
      </c>
      <c r="D79" s="281" t="s">
        <v>595</v>
      </c>
      <c r="E79" s="314" t="s">
        <v>12</v>
      </c>
      <c r="F79" s="315">
        <v>281.0</v>
      </c>
    </row>
    <row r="80">
      <c r="A80" s="278">
        <v>45170.0</v>
      </c>
      <c r="B80" s="279" t="str">
        <f t="shared" si="1"/>
        <v>September</v>
      </c>
      <c r="C80" s="279">
        <f t="shared" si="2"/>
        <v>2023</v>
      </c>
      <c r="D80" s="281" t="s">
        <v>595</v>
      </c>
      <c r="E80" s="314" t="s">
        <v>14</v>
      </c>
      <c r="F80" s="315">
        <v>89.0</v>
      </c>
    </row>
    <row r="81">
      <c r="A81" s="278">
        <v>45170.0</v>
      </c>
      <c r="B81" s="279" t="str">
        <f t="shared" si="1"/>
        <v>September</v>
      </c>
      <c r="C81" s="279">
        <f t="shared" si="2"/>
        <v>2023</v>
      </c>
      <c r="D81" s="281" t="s">
        <v>595</v>
      </c>
      <c r="E81" s="314" t="s">
        <v>16</v>
      </c>
      <c r="F81" s="315">
        <v>54.0</v>
      </c>
    </row>
    <row r="82">
      <c r="A82" s="278">
        <v>45170.0</v>
      </c>
      <c r="B82" s="279" t="str">
        <f t="shared" si="1"/>
        <v>September</v>
      </c>
      <c r="C82" s="279">
        <f t="shared" si="2"/>
        <v>2023</v>
      </c>
      <c r="D82" s="281" t="s">
        <v>595</v>
      </c>
      <c r="E82" s="314" t="s">
        <v>18</v>
      </c>
      <c r="F82" s="315">
        <v>60.0</v>
      </c>
    </row>
    <row r="83">
      <c r="A83" s="278">
        <v>45170.0</v>
      </c>
      <c r="B83" s="279" t="str">
        <f t="shared" si="1"/>
        <v>September</v>
      </c>
      <c r="C83" s="279">
        <f t="shared" si="2"/>
        <v>2023</v>
      </c>
      <c r="D83" s="281" t="s">
        <v>595</v>
      </c>
      <c r="E83" s="314" t="s">
        <v>20</v>
      </c>
      <c r="F83" s="315">
        <v>37.0</v>
      </c>
    </row>
    <row r="84">
      <c r="A84" s="278">
        <v>45170.0</v>
      </c>
      <c r="B84" s="279" t="str">
        <f t="shared" si="1"/>
        <v>September</v>
      </c>
      <c r="C84" s="279">
        <f t="shared" si="2"/>
        <v>2023</v>
      </c>
      <c r="D84" s="281" t="s">
        <v>595</v>
      </c>
      <c r="E84" s="314" t="s">
        <v>22</v>
      </c>
      <c r="F84" s="315">
        <v>70.0</v>
      </c>
    </row>
    <row r="85">
      <c r="A85" s="278">
        <v>45200.0</v>
      </c>
      <c r="B85" s="279" t="str">
        <f t="shared" si="1"/>
        <v>October</v>
      </c>
      <c r="C85" s="279">
        <f t="shared" si="2"/>
        <v>2023</v>
      </c>
      <c r="D85" s="281" t="s">
        <v>595</v>
      </c>
      <c r="E85" s="314" t="s">
        <v>12</v>
      </c>
      <c r="F85" s="315">
        <v>864.0</v>
      </c>
    </row>
    <row r="86">
      <c r="A86" s="278">
        <v>45200.0</v>
      </c>
      <c r="B86" s="279" t="str">
        <f t="shared" si="1"/>
        <v>October</v>
      </c>
      <c r="C86" s="279">
        <f t="shared" si="2"/>
        <v>2023</v>
      </c>
      <c r="D86" s="281" t="s">
        <v>595</v>
      </c>
      <c r="E86" s="314" t="s">
        <v>20</v>
      </c>
      <c r="F86" s="315">
        <v>241.0</v>
      </c>
    </row>
    <row r="87">
      <c r="A87" s="278">
        <v>45200.0</v>
      </c>
      <c r="B87" s="279" t="str">
        <f t="shared" si="1"/>
        <v>October</v>
      </c>
      <c r="C87" s="279">
        <f t="shared" si="2"/>
        <v>2023</v>
      </c>
      <c r="D87" s="281" t="s">
        <v>595</v>
      </c>
      <c r="E87" s="314" t="s">
        <v>22</v>
      </c>
      <c r="F87" s="315">
        <v>15.0</v>
      </c>
    </row>
    <row r="88">
      <c r="A88" s="278">
        <v>45231.0</v>
      </c>
      <c r="B88" s="279" t="str">
        <f t="shared" si="1"/>
        <v>November</v>
      </c>
      <c r="C88" s="279">
        <f t="shared" si="2"/>
        <v>2023</v>
      </c>
      <c r="D88" s="281" t="s">
        <v>595</v>
      </c>
      <c r="E88" s="314" t="s">
        <v>12</v>
      </c>
      <c r="F88" s="315">
        <v>456.0</v>
      </c>
    </row>
    <row r="89">
      <c r="A89" s="278">
        <v>45231.0</v>
      </c>
      <c r="B89" s="279" t="str">
        <f t="shared" si="1"/>
        <v>November</v>
      </c>
      <c r="C89" s="279">
        <f t="shared" si="2"/>
        <v>2023</v>
      </c>
      <c r="D89" s="281" t="s">
        <v>595</v>
      </c>
      <c r="E89" s="314" t="s">
        <v>16</v>
      </c>
      <c r="F89" s="315">
        <v>74.0</v>
      </c>
    </row>
    <row r="90">
      <c r="A90" s="278">
        <v>45231.0</v>
      </c>
      <c r="B90" s="279" t="str">
        <f t="shared" si="1"/>
        <v>November</v>
      </c>
      <c r="C90" s="279">
        <f t="shared" si="2"/>
        <v>2023</v>
      </c>
      <c r="D90" s="281" t="s">
        <v>595</v>
      </c>
      <c r="E90" s="314" t="s">
        <v>20</v>
      </c>
      <c r="F90" s="315">
        <v>219.0</v>
      </c>
    </row>
    <row r="91">
      <c r="A91" s="278">
        <v>45231.0</v>
      </c>
      <c r="B91" s="279" t="str">
        <f t="shared" si="1"/>
        <v>November</v>
      </c>
      <c r="C91" s="279">
        <f t="shared" si="2"/>
        <v>2023</v>
      </c>
      <c r="D91" s="281" t="s">
        <v>595</v>
      </c>
      <c r="E91" s="314" t="s">
        <v>22</v>
      </c>
      <c r="F91" s="315">
        <v>423.0</v>
      </c>
    </row>
    <row r="92">
      <c r="A92" s="278">
        <v>45261.0</v>
      </c>
      <c r="B92" s="279" t="str">
        <f t="shared" si="1"/>
        <v>December</v>
      </c>
      <c r="C92" s="279">
        <f t="shared" si="2"/>
        <v>2023</v>
      </c>
      <c r="D92" s="281" t="s">
        <v>595</v>
      </c>
      <c r="E92" s="314" t="s">
        <v>14</v>
      </c>
      <c r="F92" s="315">
        <v>53.0</v>
      </c>
    </row>
    <row r="93">
      <c r="A93" s="278">
        <v>45261.0</v>
      </c>
      <c r="B93" s="279" t="str">
        <f t="shared" si="1"/>
        <v>December</v>
      </c>
      <c r="C93" s="279">
        <f t="shared" si="2"/>
        <v>2023</v>
      </c>
      <c r="D93" s="281" t="s">
        <v>595</v>
      </c>
      <c r="E93" s="314" t="s">
        <v>16</v>
      </c>
      <c r="F93" s="315">
        <v>54.0</v>
      </c>
    </row>
    <row r="94">
      <c r="A94" s="278">
        <v>45261.0</v>
      </c>
      <c r="B94" s="279" t="str">
        <f t="shared" si="1"/>
        <v>December</v>
      </c>
      <c r="C94" s="279">
        <f t="shared" si="2"/>
        <v>2023</v>
      </c>
      <c r="D94" s="281" t="s">
        <v>595</v>
      </c>
      <c r="E94" s="314" t="s">
        <v>20</v>
      </c>
      <c r="F94" s="315">
        <v>99.0</v>
      </c>
    </row>
    <row r="95">
      <c r="A95" s="278">
        <v>45295.0</v>
      </c>
      <c r="B95" s="279" t="str">
        <f t="shared" si="1"/>
        <v>January</v>
      </c>
      <c r="C95" s="279">
        <f t="shared" si="2"/>
        <v>2024</v>
      </c>
      <c r="D95" s="281" t="s">
        <v>597</v>
      </c>
      <c r="E95" s="314" t="s">
        <v>14</v>
      </c>
      <c r="F95" s="315">
        <v>12.71</v>
      </c>
    </row>
    <row r="96">
      <c r="A96" s="278">
        <v>45310.0</v>
      </c>
      <c r="B96" s="279" t="str">
        <f t="shared" si="1"/>
        <v>January</v>
      </c>
      <c r="C96" s="279">
        <f t="shared" si="2"/>
        <v>2024</v>
      </c>
      <c r="D96" s="281" t="s">
        <v>598</v>
      </c>
      <c r="E96" s="314" t="s">
        <v>16</v>
      </c>
      <c r="F96" s="315">
        <v>54.0</v>
      </c>
    </row>
    <row r="97">
      <c r="A97" s="278">
        <v>45322.0</v>
      </c>
      <c r="B97" s="279" t="str">
        <f t="shared" si="1"/>
        <v>January</v>
      </c>
      <c r="C97" s="279">
        <f t="shared" si="2"/>
        <v>2024</v>
      </c>
      <c r="D97" s="281" t="s">
        <v>599</v>
      </c>
      <c r="E97" s="314" t="s">
        <v>22</v>
      </c>
      <c r="F97" s="315">
        <v>47.02</v>
      </c>
    </row>
    <row r="98">
      <c r="A98" s="278">
        <v>45323.0</v>
      </c>
      <c r="B98" s="279" t="str">
        <f t="shared" si="1"/>
        <v>February</v>
      </c>
      <c r="C98" s="279">
        <f t="shared" si="2"/>
        <v>2024</v>
      </c>
      <c r="D98" s="281" t="s">
        <v>600</v>
      </c>
      <c r="E98" s="314" t="s">
        <v>18</v>
      </c>
      <c r="F98" s="315">
        <v>20.99</v>
      </c>
    </row>
    <row r="99">
      <c r="A99" s="278">
        <v>45325.0</v>
      </c>
      <c r="B99" s="279" t="str">
        <f t="shared" si="1"/>
        <v>February</v>
      </c>
      <c r="C99" s="279">
        <f t="shared" si="2"/>
        <v>2024</v>
      </c>
      <c r="D99" s="281" t="s">
        <v>601</v>
      </c>
      <c r="E99" s="314" t="s">
        <v>18</v>
      </c>
      <c r="F99" s="315">
        <v>13.85</v>
      </c>
    </row>
    <row r="100">
      <c r="A100" s="278">
        <v>45344.0</v>
      </c>
      <c r="B100" s="279" t="str">
        <f t="shared" si="1"/>
        <v>February</v>
      </c>
      <c r="C100" s="279">
        <f t="shared" si="2"/>
        <v>2024</v>
      </c>
      <c r="D100" s="281" t="s">
        <v>598</v>
      </c>
      <c r="E100" s="314" t="s">
        <v>16</v>
      </c>
      <c r="F100" s="315">
        <v>54.0</v>
      </c>
    </row>
    <row r="101">
      <c r="A101" s="278">
        <v>45352.0</v>
      </c>
      <c r="B101" s="279" t="str">
        <f t="shared" si="1"/>
        <v>March</v>
      </c>
      <c r="C101" s="279">
        <f t="shared" si="2"/>
        <v>2024</v>
      </c>
      <c r="D101" s="281" t="s">
        <v>602</v>
      </c>
      <c r="E101" s="314" t="s">
        <v>22</v>
      </c>
      <c r="F101" s="315">
        <v>65.0</v>
      </c>
    </row>
    <row r="102">
      <c r="A102" s="278">
        <v>45360.86498653935</v>
      </c>
      <c r="B102" s="279" t="str">
        <f t="shared" si="1"/>
        <v>March</v>
      </c>
      <c r="C102" s="279">
        <f t="shared" si="2"/>
        <v>2024</v>
      </c>
      <c r="D102" s="281" t="s">
        <v>603</v>
      </c>
      <c r="E102" s="314" t="s">
        <v>14</v>
      </c>
      <c r="F102" s="315">
        <v>34.58</v>
      </c>
    </row>
    <row r="103">
      <c r="A103" s="278">
        <v>45365.03073131945</v>
      </c>
      <c r="B103" s="279" t="str">
        <f t="shared" si="1"/>
        <v>March</v>
      </c>
      <c r="C103" s="279">
        <f t="shared" si="2"/>
        <v>2024</v>
      </c>
      <c r="D103" s="281" t="s">
        <v>604</v>
      </c>
      <c r="E103" s="314" t="s">
        <v>12</v>
      </c>
      <c r="F103" s="315">
        <v>596.81</v>
      </c>
    </row>
    <row r="104">
      <c r="A104" s="278">
        <v>45369.788502905096</v>
      </c>
      <c r="B104" s="279" t="str">
        <f t="shared" si="1"/>
        <v>March</v>
      </c>
      <c r="C104" s="279">
        <f t="shared" si="2"/>
        <v>2024</v>
      </c>
      <c r="D104" s="281" t="s">
        <v>605</v>
      </c>
      <c r="E104" s="314" t="s">
        <v>12</v>
      </c>
      <c r="F104" s="315">
        <v>615.0</v>
      </c>
    </row>
    <row r="105">
      <c r="A105" s="278">
        <v>45370.61529339121</v>
      </c>
      <c r="B105" s="279" t="str">
        <f t="shared" si="1"/>
        <v>March</v>
      </c>
      <c r="C105" s="279">
        <f t="shared" si="2"/>
        <v>2024</v>
      </c>
      <c r="D105" s="281" t="s">
        <v>606</v>
      </c>
      <c r="E105" s="314" t="s">
        <v>12</v>
      </c>
      <c r="F105" s="315">
        <v>359.0</v>
      </c>
    </row>
    <row r="106">
      <c r="A106" s="278">
        <v>45374.854414710644</v>
      </c>
      <c r="B106" s="279" t="str">
        <f t="shared" si="1"/>
        <v>March</v>
      </c>
      <c r="C106" s="279">
        <f t="shared" si="2"/>
        <v>2024</v>
      </c>
      <c r="D106" s="281" t="s">
        <v>607</v>
      </c>
      <c r="E106" s="314" t="s">
        <v>20</v>
      </c>
      <c r="F106" s="315">
        <v>29.01</v>
      </c>
    </row>
    <row r="107">
      <c r="A107" s="278">
        <v>45374.86683303241</v>
      </c>
      <c r="B107" s="279" t="str">
        <f t="shared" si="1"/>
        <v>March</v>
      </c>
      <c r="C107" s="279">
        <f t="shared" si="2"/>
        <v>2024</v>
      </c>
      <c r="D107" s="281" t="s">
        <v>608</v>
      </c>
      <c r="E107" s="314" t="s">
        <v>16</v>
      </c>
      <c r="F107" s="315">
        <v>54.0</v>
      </c>
    </row>
    <row r="108">
      <c r="A108" s="278">
        <v>45374.86758847222</v>
      </c>
      <c r="B108" s="279" t="str">
        <f t="shared" si="1"/>
        <v>March</v>
      </c>
      <c r="C108" s="279">
        <f t="shared" si="2"/>
        <v>2024</v>
      </c>
      <c r="D108" s="281" t="s">
        <v>609</v>
      </c>
      <c r="E108" s="314" t="s">
        <v>22</v>
      </c>
      <c r="F108" s="315">
        <v>44.0</v>
      </c>
    </row>
    <row r="109">
      <c r="A109" s="278">
        <v>45374.868130891206</v>
      </c>
      <c r="B109" s="279" t="str">
        <f t="shared" si="1"/>
        <v>March</v>
      </c>
      <c r="C109" s="279">
        <f t="shared" si="2"/>
        <v>2024</v>
      </c>
      <c r="D109" s="281" t="s">
        <v>610</v>
      </c>
      <c r="E109" s="314" t="s">
        <v>22</v>
      </c>
      <c r="F109" s="315">
        <v>25.0</v>
      </c>
    </row>
    <row r="110">
      <c r="A110" s="278">
        <v>45377.91892628472</v>
      </c>
      <c r="B110" s="279" t="str">
        <f t="shared" si="1"/>
        <v>March</v>
      </c>
      <c r="C110" s="279">
        <f t="shared" si="2"/>
        <v>2024</v>
      </c>
      <c r="D110" s="281" t="s">
        <v>611</v>
      </c>
      <c r="E110" s="314" t="s">
        <v>22</v>
      </c>
      <c r="F110" s="315">
        <v>15.0</v>
      </c>
    </row>
    <row r="111">
      <c r="A111" s="278">
        <v>45380.0</v>
      </c>
      <c r="B111" s="279" t="str">
        <f t="shared" si="1"/>
        <v>March</v>
      </c>
      <c r="C111" s="279">
        <f t="shared" si="2"/>
        <v>2024</v>
      </c>
      <c r="D111" s="281" t="s">
        <v>612</v>
      </c>
      <c r="E111" s="314" t="s">
        <v>20</v>
      </c>
      <c r="F111" s="315">
        <v>31.8</v>
      </c>
    </row>
    <row r="112">
      <c r="A112" s="278">
        <v>45381.72314369213</v>
      </c>
      <c r="B112" s="279" t="str">
        <f t="shared" si="1"/>
        <v>March</v>
      </c>
      <c r="C112" s="279">
        <f t="shared" si="2"/>
        <v>2024</v>
      </c>
      <c r="D112" s="281" t="s">
        <v>613</v>
      </c>
      <c r="E112" s="314" t="s">
        <v>14</v>
      </c>
      <c r="F112" s="315">
        <v>34.58</v>
      </c>
    </row>
    <row r="113">
      <c r="A113" s="278">
        <v>45387.62047893519</v>
      </c>
      <c r="B113" s="279" t="str">
        <f t="shared" si="1"/>
        <v>April</v>
      </c>
      <c r="C113" s="279">
        <f t="shared" si="2"/>
        <v>2024</v>
      </c>
      <c r="D113" s="281" t="s">
        <v>274</v>
      </c>
      <c r="E113" s="314" t="s">
        <v>22</v>
      </c>
      <c r="F113" s="315">
        <v>22.03</v>
      </c>
    </row>
    <row r="114">
      <c r="A114" s="278">
        <v>45395.57060820602</v>
      </c>
      <c r="B114" s="279" t="str">
        <f t="shared" si="1"/>
        <v>April</v>
      </c>
      <c r="C114" s="279">
        <f t="shared" si="2"/>
        <v>2024</v>
      </c>
      <c r="D114" s="281" t="s">
        <v>274</v>
      </c>
      <c r="E114" s="314" t="s">
        <v>22</v>
      </c>
      <c r="F114" s="315">
        <v>55.63</v>
      </c>
    </row>
    <row r="115">
      <c r="A115" s="278">
        <v>45398.55734208333</v>
      </c>
      <c r="B115" s="279" t="str">
        <f t="shared" si="1"/>
        <v>April</v>
      </c>
      <c r="C115" s="279">
        <f t="shared" si="2"/>
        <v>2024</v>
      </c>
      <c r="D115" s="281" t="s">
        <v>614</v>
      </c>
      <c r="E115" s="314" t="s">
        <v>12</v>
      </c>
      <c r="F115" s="315">
        <v>180.0</v>
      </c>
    </row>
    <row r="116">
      <c r="A116" s="278">
        <v>45404.0</v>
      </c>
      <c r="B116" s="279" t="str">
        <f t="shared" si="1"/>
        <v>April</v>
      </c>
      <c r="C116" s="279">
        <f t="shared" si="2"/>
        <v>2024</v>
      </c>
      <c r="D116" s="281" t="s">
        <v>308</v>
      </c>
      <c r="E116" s="314" t="s">
        <v>16</v>
      </c>
      <c r="F116" s="315">
        <v>54.0</v>
      </c>
    </row>
    <row r="117">
      <c r="A117" s="278">
        <v>45405.622535</v>
      </c>
      <c r="B117" s="279" t="str">
        <f t="shared" si="1"/>
        <v>April</v>
      </c>
      <c r="C117" s="279">
        <f t="shared" si="2"/>
        <v>2024</v>
      </c>
      <c r="D117" s="281" t="s">
        <v>255</v>
      </c>
      <c r="E117" s="314" t="s">
        <v>22</v>
      </c>
      <c r="F117" s="315">
        <v>43.3</v>
      </c>
    </row>
    <row r="118">
      <c r="A118" s="278">
        <v>45407.59990642361</v>
      </c>
      <c r="B118" s="279" t="str">
        <f t="shared" si="1"/>
        <v>April</v>
      </c>
      <c r="C118" s="279">
        <f t="shared" si="2"/>
        <v>2024</v>
      </c>
      <c r="D118" s="281" t="s">
        <v>615</v>
      </c>
      <c r="E118" s="314" t="s">
        <v>20</v>
      </c>
      <c r="F118" s="315">
        <v>20.52</v>
      </c>
    </row>
    <row r="119">
      <c r="A119" s="278">
        <v>45419.723752488426</v>
      </c>
      <c r="B119" s="279" t="str">
        <f t="shared" si="1"/>
        <v>May</v>
      </c>
      <c r="C119" s="279">
        <f t="shared" si="2"/>
        <v>2024</v>
      </c>
      <c r="D119" s="281" t="s">
        <v>189</v>
      </c>
      <c r="E119" s="314" t="s">
        <v>18</v>
      </c>
      <c r="F119" s="315">
        <v>17.5</v>
      </c>
    </row>
    <row r="120">
      <c r="A120" s="278">
        <v>45419.72434168981</v>
      </c>
      <c r="B120" s="279" t="str">
        <f t="shared" si="1"/>
        <v>May</v>
      </c>
      <c r="C120" s="279">
        <f t="shared" si="2"/>
        <v>2024</v>
      </c>
      <c r="D120" s="281" t="s">
        <v>616</v>
      </c>
      <c r="E120" s="314" t="s">
        <v>12</v>
      </c>
      <c r="F120" s="315">
        <v>65.0</v>
      </c>
    </row>
    <row r="121">
      <c r="A121" s="278">
        <v>45419.72490606482</v>
      </c>
      <c r="B121" s="279" t="str">
        <f t="shared" si="1"/>
        <v>May</v>
      </c>
      <c r="C121" s="279">
        <f t="shared" si="2"/>
        <v>2024</v>
      </c>
      <c r="D121" s="281" t="s">
        <v>617</v>
      </c>
      <c r="E121" s="314" t="s">
        <v>12</v>
      </c>
      <c r="F121" s="315">
        <v>257.4</v>
      </c>
    </row>
    <row r="122">
      <c r="A122" s="278">
        <v>45429.0</v>
      </c>
      <c r="B122" s="279" t="str">
        <f t="shared" si="1"/>
        <v>May</v>
      </c>
      <c r="C122" s="279">
        <f t="shared" si="2"/>
        <v>2024</v>
      </c>
      <c r="D122" s="281" t="s">
        <v>618</v>
      </c>
      <c r="E122" s="314" t="s">
        <v>12</v>
      </c>
      <c r="F122" s="315">
        <v>181.38</v>
      </c>
    </row>
    <row r="123">
      <c r="A123" s="278">
        <v>45432.62804207176</v>
      </c>
      <c r="B123" s="279" t="str">
        <f t="shared" si="1"/>
        <v>May</v>
      </c>
      <c r="C123" s="279">
        <f t="shared" si="2"/>
        <v>2024</v>
      </c>
      <c r="D123" s="281" t="s">
        <v>619</v>
      </c>
      <c r="E123" s="314" t="s">
        <v>20</v>
      </c>
      <c r="F123" s="315">
        <v>86.59</v>
      </c>
    </row>
    <row r="124">
      <c r="A124" s="278">
        <v>45432.631767858795</v>
      </c>
      <c r="B124" s="279" t="str">
        <f t="shared" si="1"/>
        <v>May</v>
      </c>
      <c r="C124" s="279">
        <f t="shared" si="2"/>
        <v>2024</v>
      </c>
      <c r="D124" s="281" t="s">
        <v>620</v>
      </c>
      <c r="E124" s="314" t="s">
        <v>22</v>
      </c>
      <c r="F124" s="315">
        <v>41.03</v>
      </c>
    </row>
    <row r="125">
      <c r="A125" s="278">
        <v>45432.63201113426</v>
      </c>
      <c r="B125" s="279" t="str">
        <f t="shared" si="1"/>
        <v>May</v>
      </c>
      <c r="C125" s="279">
        <f t="shared" si="2"/>
        <v>2024</v>
      </c>
      <c r="D125" s="281" t="s">
        <v>621</v>
      </c>
      <c r="E125" s="314" t="s">
        <v>12</v>
      </c>
      <c r="F125" s="315">
        <v>121.0</v>
      </c>
    </row>
    <row r="126">
      <c r="A126" s="278">
        <v>45432.632588865745</v>
      </c>
      <c r="B126" s="279" t="str">
        <f t="shared" si="1"/>
        <v>May</v>
      </c>
      <c r="C126" s="279">
        <f t="shared" si="2"/>
        <v>2024</v>
      </c>
      <c r="D126" s="281" t="s">
        <v>622</v>
      </c>
      <c r="E126" s="314" t="s">
        <v>22</v>
      </c>
      <c r="F126" s="316">
        <v>200.0</v>
      </c>
    </row>
    <row r="127">
      <c r="A127" s="278">
        <v>45439.4643649537</v>
      </c>
      <c r="B127" s="279" t="str">
        <f t="shared" si="1"/>
        <v>May</v>
      </c>
      <c r="C127" s="279">
        <f t="shared" si="2"/>
        <v>2024</v>
      </c>
      <c r="D127" s="281" t="s">
        <v>623</v>
      </c>
      <c r="E127" s="314" t="s">
        <v>20</v>
      </c>
      <c r="F127" s="316">
        <v>24.8</v>
      </c>
    </row>
    <row r="128">
      <c r="A128" s="278">
        <v>45443.0</v>
      </c>
      <c r="B128" s="279" t="str">
        <f t="shared" si="1"/>
        <v>May</v>
      </c>
      <c r="C128" s="279">
        <f t="shared" si="2"/>
        <v>2024</v>
      </c>
      <c r="D128" s="281" t="s">
        <v>624</v>
      </c>
      <c r="E128" s="314" t="s">
        <v>14</v>
      </c>
      <c r="F128" s="316">
        <v>42.14</v>
      </c>
    </row>
    <row r="129">
      <c r="A129" s="278">
        <v>45449.757637222225</v>
      </c>
      <c r="B129" s="279" t="str">
        <f t="shared" si="1"/>
        <v>June</v>
      </c>
      <c r="C129" s="279">
        <f t="shared" si="2"/>
        <v>2024</v>
      </c>
      <c r="D129" s="281" t="s">
        <v>625</v>
      </c>
      <c r="E129" s="314" t="s">
        <v>12</v>
      </c>
      <c r="F129" s="316">
        <v>120.0</v>
      </c>
    </row>
    <row r="130">
      <c r="A130" s="278">
        <v>45434.0</v>
      </c>
      <c r="B130" s="279" t="str">
        <f t="shared" si="1"/>
        <v>May</v>
      </c>
      <c r="C130" s="279">
        <f t="shared" si="2"/>
        <v>2024</v>
      </c>
      <c r="D130" s="281" t="s">
        <v>626</v>
      </c>
      <c r="E130" s="314" t="s">
        <v>16</v>
      </c>
      <c r="F130" s="316">
        <v>54.0</v>
      </c>
    </row>
    <row r="131">
      <c r="A131" s="278">
        <v>45438.0</v>
      </c>
      <c r="B131" s="279" t="str">
        <f t="shared" si="1"/>
        <v>May</v>
      </c>
      <c r="C131" s="279">
        <f t="shared" si="2"/>
        <v>2024</v>
      </c>
      <c r="D131" s="281" t="s">
        <v>189</v>
      </c>
      <c r="E131" s="314" t="s">
        <v>18</v>
      </c>
      <c r="F131" s="316">
        <v>24.89</v>
      </c>
    </row>
    <row r="132">
      <c r="A132" s="278">
        <v>45449.76826065972</v>
      </c>
      <c r="B132" s="279" t="str">
        <f t="shared" si="1"/>
        <v>June</v>
      </c>
      <c r="C132" s="279">
        <f t="shared" si="2"/>
        <v>2024</v>
      </c>
      <c r="D132" s="281" t="s">
        <v>627</v>
      </c>
      <c r="E132" s="314" t="s">
        <v>12</v>
      </c>
      <c r="F132" s="316">
        <v>60.0</v>
      </c>
    </row>
    <row r="133">
      <c r="A133" s="278">
        <v>45469.44602872685</v>
      </c>
      <c r="B133" s="279" t="str">
        <f t="shared" si="1"/>
        <v>June</v>
      </c>
      <c r="C133" s="279">
        <f t="shared" si="2"/>
        <v>2024</v>
      </c>
      <c r="D133" s="281" t="s">
        <v>628</v>
      </c>
      <c r="E133" s="314" t="s">
        <v>18</v>
      </c>
      <c r="F133" s="316">
        <v>24.89</v>
      </c>
    </row>
    <row r="134">
      <c r="A134" s="278">
        <v>45469.44781695602</v>
      </c>
      <c r="B134" s="279" t="str">
        <f t="shared" si="1"/>
        <v>June</v>
      </c>
      <c r="C134" s="279">
        <f t="shared" si="2"/>
        <v>2024</v>
      </c>
      <c r="D134" s="281" t="s">
        <v>629</v>
      </c>
      <c r="E134" s="314" t="s">
        <v>16</v>
      </c>
      <c r="F134" s="316">
        <v>54.0</v>
      </c>
    </row>
    <row r="135">
      <c r="A135" s="278">
        <v>45477.69312672454</v>
      </c>
      <c r="B135" s="279" t="str">
        <f t="shared" si="1"/>
        <v>July</v>
      </c>
      <c r="C135" s="279">
        <f t="shared" si="2"/>
        <v>2024</v>
      </c>
      <c r="D135" s="281" t="s">
        <v>630</v>
      </c>
      <c r="E135" s="314" t="s">
        <v>14</v>
      </c>
      <c r="F135" s="316">
        <v>17.27</v>
      </c>
    </row>
    <row r="136">
      <c r="A136" s="278">
        <v>45485.57257440972</v>
      </c>
      <c r="B136" s="279" t="str">
        <f t="shared" si="1"/>
        <v>July</v>
      </c>
      <c r="C136" s="279">
        <f t="shared" si="2"/>
        <v>2024</v>
      </c>
      <c r="D136" s="281" t="s">
        <v>631</v>
      </c>
      <c r="E136" s="314" t="s">
        <v>12</v>
      </c>
      <c r="F136" s="316">
        <v>25.0</v>
      </c>
    </row>
    <row r="137">
      <c r="A137" s="278">
        <v>45490.01488835648</v>
      </c>
      <c r="B137" s="279" t="str">
        <f t="shared" si="1"/>
        <v>July</v>
      </c>
      <c r="C137" s="279">
        <f t="shared" si="2"/>
        <v>2024</v>
      </c>
      <c r="D137" s="281" t="s">
        <v>632</v>
      </c>
      <c r="E137" s="314" t="s">
        <v>12</v>
      </c>
      <c r="F137" s="316">
        <v>133.24</v>
      </c>
    </row>
    <row r="138">
      <c r="A138" s="278">
        <v>45492.881405312495</v>
      </c>
      <c r="B138" s="279" t="str">
        <f t="shared" si="1"/>
        <v>July</v>
      </c>
      <c r="C138" s="279">
        <f t="shared" si="2"/>
        <v>2024</v>
      </c>
      <c r="D138" s="281" t="s">
        <v>633</v>
      </c>
      <c r="E138" s="314" t="s">
        <v>22</v>
      </c>
      <c r="F138" s="316">
        <v>300.0</v>
      </c>
    </row>
    <row r="139">
      <c r="A139" s="278">
        <v>45498.59929488426</v>
      </c>
      <c r="B139" s="279" t="str">
        <f t="shared" si="1"/>
        <v>July</v>
      </c>
      <c r="C139" s="279">
        <f t="shared" si="2"/>
        <v>2024</v>
      </c>
      <c r="D139" s="281" t="s">
        <v>634</v>
      </c>
      <c r="E139" s="314" t="s">
        <v>16</v>
      </c>
      <c r="F139" s="316">
        <v>74.0</v>
      </c>
    </row>
    <row r="140">
      <c r="A140" s="278">
        <v>45499.63161094907</v>
      </c>
      <c r="B140" s="279" t="str">
        <f t="shared" si="1"/>
        <v>July</v>
      </c>
      <c r="C140" s="279">
        <f t="shared" si="2"/>
        <v>2024</v>
      </c>
      <c r="D140" s="281" t="s">
        <v>635</v>
      </c>
      <c r="E140" s="314" t="s">
        <v>18</v>
      </c>
      <c r="F140" s="316">
        <v>24.89</v>
      </c>
    </row>
    <row r="141">
      <c r="A141" s="278">
        <v>45500.8417370949</v>
      </c>
      <c r="B141" s="279" t="str">
        <f t="shared" si="1"/>
        <v>July</v>
      </c>
      <c r="C141" s="279">
        <f t="shared" si="2"/>
        <v>2024</v>
      </c>
      <c r="D141" s="281" t="s">
        <v>636</v>
      </c>
      <c r="E141" s="314" t="s">
        <v>14</v>
      </c>
      <c r="F141" s="316">
        <v>34.53</v>
      </c>
    </row>
    <row r="142">
      <c r="A142" s="278">
        <v>45513.41816799769</v>
      </c>
      <c r="B142" s="279" t="str">
        <f t="shared" si="1"/>
        <v>August</v>
      </c>
      <c r="C142" s="279">
        <f t="shared" si="2"/>
        <v>2024</v>
      </c>
      <c r="D142" s="281" t="s">
        <v>637</v>
      </c>
      <c r="E142" s="314" t="s">
        <v>20</v>
      </c>
      <c r="F142" s="316">
        <v>106.11</v>
      </c>
    </row>
    <row r="143">
      <c r="A143" s="278">
        <v>45513.45260788195</v>
      </c>
      <c r="B143" s="296" t="str">
        <f t="shared" si="1"/>
        <v>August</v>
      </c>
      <c r="C143" s="296">
        <f t="shared" si="2"/>
        <v>2024</v>
      </c>
      <c r="D143" s="281" t="s">
        <v>638</v>
      </c>
      <c r="E143" s="314" t="s">
        <v>12</v>
      </c>
      <c r="F143" s="316">
        <v>405.8</v>
      </c>
    </row>
    <row r="144">
      <c r="A144" s="317">
        <v>45517.820937662036</v>
      </c>
      <c r="B144" s="279" t="str">
        <f t="shared" si="1"/>
        <v>August</v>
      </c>
      <c r="C144" s="279">
        <f t="shared" si="2"/>
        <v>2024</v>
      </c>
      <c r="D144" s="281" t="s">
        <v>639</v>
      </c>
      <c r="E144" s="314" t="s">
        <v>22</v>
      </c>
      <c r="F144" s="316">
        <v>21.4</v>
      </c>
    </row>
    <row r="145">
      <c r="A145" s="272">
        <v>45524.66551293981</v>
      </c>
      <c r="B145" s="273" t="str">
        <f t="shared" si="1"/>
        <v>August</v>
      </c>
      <c r="C145" s="294">
        <f t="shared" si="2"/>
        <v>2024</v>
      </c>
      <c r="D145" s="281" t="s">
        <v>640</v>
      </c>
      <c r="E145" s="314" t="s">
        <v>16</v>
      </c>
      <c r="F145" s="316">
        <v>54.0</v>
      </c>
    </row>
    <row r="146">
      <c r="A146" s="278">
        <v>45528.87338398148</v>
      </c>
      <c r="B146" s="279" t="str">
        <f t="shared" si="1"/>
        <v>August</v>
      </c>
      <c r="C146" s="292">
        <f t="shared" si="2"/>
        <v>2024</v>
      </c>
      <c r="D146" s="281" t="s">
        <v>641</v>
      </c>
      <c r="E146" s="314" t="s">
        <v>12</v>
      </c>
      <c r="F146" s="316">
        <v>40.0</v>
      </c>
    </row>
    <row r="147">
      <c r="A147" s="278">
        <v>45530.39355979167</v>
      </c>
      <c r="B147" s="279" t="str">
        <f t="shared" si="1"/>
        <v>August</v>
      </c>
      <c r="C147" s="292">
        <f t="shared" si="2"/>
        <v>2024</v>
      </c>
      <c r="D147" s="281" t="s">
        <v>642</v>
      </c>
      <c r="E147" s="314" t="s">
        <v>18</v>
      </c>
      <c r="F147" s="316">
        <v>24.89</v>
      </c>
    </row>
    <row r="148">
      <c r="A148" s="278">
        <v>45537.773974502314</v>
      </c>
      <c r="B148" s="279" t="str">
        <f t="shared" si="1"/>
        <v>September</v>
      </c>
      <c r="C148" s="292">
        <f t="shared" si="2"/>
        <v>2024</v>
      </c>
      <c r="D148" s="281" t="s">
        <v>643</v>
      </c>
      <c r="E148" s="314" t="s">
        <v>22</v>
      </c>
      <c r="F148" s="316">
        <v>17.59</v>
      </c>
    </row>
    <row r="149">
      <c r="A149" s="278">
        <v>45539.39499381944</v>
      </c>
      <c r="B149" s="279" t="str">
        <f t="shared" si="1"/>
        <v>September</v>
      </c>
      <c r="C149" s="292">
        <f t="shared" si="2"/>
        <v>2024</v>
      </c>
      <c r="D149" s="281" t="s">
        <v>644</v>
      </c>
      <c r="E149" s="314" t="s">
        <v>14</v>
      </c>
      <c r="F149" s="316">
        <v>51.26</v>
      </c>
    </row>
    <row r="150">
      <c r="A150" s="278">
        <v>45539.395390439815</v>
      </c>
      <c r="B150" s="279" t="str">
        <f t="shared" si="1"/>
        <v>September</v>
      </c>
      <c r="C150" s="292">
        <f t="shared" si="2"/>
        <v>2024</v>
      </c>
      <c r="D150" s="281" t="s">
        <v>645</v>
      </c>
      <c r="E150" s="314" t="s">
        <v>20</v>
      </c>
      <c r="F150" s="316">
        <v>33.0</v>
      </c>
    </row>
    <row r="151">
      <c r="A151" s="278">
        <v>45539.39613288194</v>
      </c>
      <c r="B151" s="279" t="str">
        <f t="shared" si="1"/>
        <v>September</v>
      </c>
      <c r="C151" s="292">
        <f t="shared" si="2"/>
        <v>2024</v>
      </c>
      <c r="D151" s="281" t="s">
        <v>175</v>
      </c>
      <c r="E151" s="314" t="s">
        <v>22</v>
      </c>
      <c r="F151" s="316">
        <v>58.32</v>
      </c>
    </row>
    <row r="152">
      <c r="A152" s="278">
        <v>45543.70406726852</v>
      </c>
      <c r="B152" s="279" t="str">
        <f t="shared" si="1"/>
        <v>September</v>
      </c>
      <c r="C152" s="292">
        <f t="shared" si="2"/>
        <v>2024</v>
      </c>
      <c r="D152" s="281" t="s">
        <v>175</v>
      </c>
      <c r="E152" s="314" t="s">
        <v>20</v>
      </c>
      <c r="F152" s="316">
        <v>20.52</v>
      </c>
    </row>
    <row r="153">
      <c r="A153" s="278">
        <v>45544.478126875</v>
      </c>
      <c r="B153" s="279" t="str">
        <f t="shared" si="1"/>
        <v>September</v>
      </c>
      <c r="C153" s="292">
        <f t="shared" si="2"/>
        <v>2024</v>
      </c>
      <c r="D153" s="281" t="s">
        <v>646</v>
      </c>
      <c r="E153" s="314" t="s">
        <v>22</v>
      </c>
      <c r="F153" s="316">
        <v>600.0</v>
      </c>
    </row>
    <row r="154">
      <c r="A154" s="278">
        <v>45544.60340841435</v>
      </c>
      <c r="B154" s="279" t="str">
        <f t="shared" si="1"/>
        <v>September</v>
      </c>
      <c r="C154" s="292">
        <f t="shared" si="2"/>
        <v>2024</v>
      </c>
      <c r="D154" s="281" t="s">
        <v>647</v>
      </c>
      <c r="E154" s="314" t="s">
        <v>22</v>
      </c>
      <c r="F154" s="316">
        <v>22.0</v>
      </c>
    </row>
    <row r="155">
      <c r="A155" s="278">
        <v>45558.03616959491</v>
      </c>
      <c r="B155" s="279" t="str">
        <f t="shared" si="1"/>
        <v>September</v>
      </c>
      <c r="C155" s="292">
        <f t="shared" si="2"/>
        <v>2024</v>
      </c>
      <c r="D155" s="281" t="s">
        <v>640</v>
      </c>
      <c r="E155" s="314" t="s">
        <v>16</v>
      </c>
      <c r="F155" s="316">
        <v>54.0</v>
      </c>
    </row>
    <row r="156">
      <c r="A156" s="278">
        <v>45558.040602939815</v>
      </c>
      <c r="B156" s="279" t="str">
        <f t="shared" si="1"/>
        <v>September</v>
      </c>
      <c r="C156" s="292">
        <f t="shared" si="2"/>
        <v>2024</v>
      </c>
      <c r="D156" s="281" t="s">
        <v>648</v>
      </c>
      <c r="E156" s="314" t="s">
        <v>12</v>
      </c>
      <c r="F156" s="316">
        <v>10.0</v>
      </c>
    </row>
    <row r="157">
      <c r="A157" s="278">
        <v>45561.58942521991</v>
      </c>
      <c r="B157" s="279" t="str">
        <f t="shared" si="1"/>
        <v>September</v>
      </c>
      <c r="C157" s="292">
        <f t="shared" si="2"/>
        <v>2024</v>
      </c>
      <c r="D157" s="281" t="s">
        <v>649</v>
      </c>
      <c r="E157" s="314" t="s">
        <v>18</v>
      </c>
      <c r="F157" s="316">
        <v>24.89</v>
      </c>
    </row>
    <row r="158">
      <c r="A158" s="278">
        <v>45572.63282546296</v>
      </c>
      <c r="B158" s="279" t="str">
        <f t="shared" si="1"/>
        <v>October</v>
      </c>
      <c r="C158" s="279">
        <f t="shared" si="2"/>
        <v>2024</v>
      </c>
      <c r="D158" s="281" t="s">
        <v>650</v>
      </c>
      <c r="E158" s="314" t="s">
        <v>22</v>
      </c>
      <c r="F158" s="316">
        <v>20.68</v>
      </c>
    </row>
    <row r="159">
      <c r="A159" s="278">
        <v>45573.58460880787</v>
      </c>
      <c r="B159" s="279" t="str">
        <f t="shared" si="1"/>
        <v>October</v>
      </c>
      <c r="C159" s="279">
        <f t="shared" si="2"/>
        <v>2024</v>
      </c>
      <c r="D159" s="281" t="s">
        <v>651</v>
      </c>
      <c r="E159" s="314" t="s">
        <v>22</v>
      </c>
      <c r="F159" s="316">
        <v>20.56</v>
      </c>
    </row>
    <row r="160">
      <c r="A160" s="278">
        <v>45573.5852312037</v>
      </c>
      <c r="B160" s="279" t="str">
        <f t="shared" si="1"/>
        <v>October</v>
      </c>
      <c r="C160" s="279">
        <f t="shared" si="2"/>
        <v>2024</v>
      </c>
      <c r="D160" s="281" t="s">
        <v>652</v>
      </c>
      <c r="E160" s="314" t="s">
        <v>14</v>
      </c>
      <c r="F160" s="316">
        <v>82.4</v>
      </c>
    </row>
    <row r="161">
      <c r="A161" s="278">
        <v>45574.38590488426</v>
      </c>
      <c r="B161" s="279" t="str">
        <f t="shared" si="1"/>
        <v>October</v>
      </c>
      <c r="C161" s="279">
        <f t="shared" si="2"/>
        <v>2024</v>
      </c>
      <c r="D161" s="281" t="s">
        <v>653</v>
      </c>
      <c r="E161" s="314" t="s">
        <v>22</v>
      </c>
      <c r="F161" s="316">
        <v>300.0</v>
      </c>
    </row>
    <row r="162">
      <c r="A162" s="278">
        <v>45595.78311625</v>
      </c>
      <c r="B162" s="279" t="str">
        <f t="shared" si="1"/>
        <v>October</v>
      </c>
      <c r="C162" s="279">
        <f t="shared" si="2"/>
        <v>2024</v>
      </c>
      <c r="D162" s="281" t="s">
        <v>654</v>
      </c>
      <c r="E162" s="314" t="s">
        <v>16</v>
      </c>
      <c r="F162" s="316">
        <v>54.0</v>
      </c>
    </row>
    <row r="163">
      <c r="A163" s="278">
        <v>45595.78345693287</v>
      </c>
      <c r="B163" s="279" t="str">
        <f t="shared" si="1"/>
        <v>October</v>
      </c>
      <c r="C163" s="279">
        <f t="shared" si="2"/>
        <v>2024</v>
      </c>
      <c r="D163" s="281" t="s">
        <v>655</v>
      </c>
      <c r="E163" s="314" t="s">
        <v>18</v>
      </c>
      <c r="F163" s="316">
        <v>24.89</v>
      </c>
    </row>
    <row r="164">
      <c r="A164" s="278">
        <v>45602.0</v>
      </c>
      <c r="B164" s="279" t="str">
        <f t="shared" si="1"/>
        <v>November</v>
      </c>
      <c r="C164" s="279">
        <f t="shared" si="2"/>
        <v>2024</v>
      </c>
      <c r="D164" s="281" t="s">
        <v>656</v>
      </c>
      <c r="E164" s="314" t="s">
        <v>22</v>
      </c>
      <c r="F164" s="316">
        <v>49.1</v>
      </c>
    </row>
    <row r="165">
      <c r="A165" s="278">
        <v>45607.0</v>
      </c>
      <c r="B165" s="279" t="str">
        <f t="shared" si="1"/>
        <v>November</v>
      </c>
      <c r="C165" s="279">
        <f t="shared" si="2"/>
        <v>2024</v>
      </c>
      <c r="D165" s="281" t="s">
        <v>657</v>
      </c>
      <c r="E165" s="314" t="s">
        <v>22</v>
      </c>
      <c r="F165" s="316">
        <v>28.13</v>
      </c>
    </row>
    <row r="166">
      <c r="A166" s="278">
        <v>45608.0</v>
      </c>
      <c r="B166" s="279" t="str">
        <f t="shared" si="1"/>
        <v>November</v>
      </c>
      <c r="C166" s="279">
        <f t="shared" si="2"/>
        <v>2024</v>
      </c>
      <c r="D166" s="281" t="s">
        <v>658</v>
      </c>
      <c r="E166" s="314" t="s">
        <v>22</v>
      </c>
      <c r="F166" s="316">
        <v>32.37</v>
      </c>
    </row>
    <row r="167">
      <c r="A167" s="278">
        <v>45611.4774785301</v>
      </c>
      <c r="B167" s="279" t="str">
        <f t="shared" si="1"/>
        <v>November</v>
      </c>
      <c r="C167" s="279">
        <f t="shared" si="2"/>
        <v>2024</v>
      </c>
      <c r="D167" s="281" t="s">
        <v>659</v>
      </c>
      <c r="E167" s="314" t="s">
        <v>12</v>
      </c>
      <c r="F167" s="316">
        <v>151.0</v>
      </c>
    </row>
    <row r="168">
      <c r="A168" s="278">
        <v>45612.59402751157</v>
      </c>
      <c r="B168" s="279" t="str">
        <f t="shared" si="1"/>
        <v>November</v>
      </c>
      <c r="C168" s="279">
        <f t="shared" si="2"/>
        <v>2024</v>
      </c>
      <c r="D168" s="281" t="s">
        <v>660</v>
      </c>
      <c r="E168" s="314" t="s">
        <v>22</v>
      </c>
      <c r="F168" s="316">
        <v>211.18</v>
      </c>
    </row>
    <row r="169">
      <c r="A169" s="278">
        <v>45612.59463504629</v>
      </c>
      <c r="B169" s="279" t="str">
        <f t="shared" si="1"/>
        <v>November</v>
      </c>
      <c r="C169" s="279">
        <f t="shared" si="2"/>
        <v>2024</v>
      </c>
      <c r="D169" s="281" t="s">
        <v>661</v>
      </c>
      <c r="E169" s="314" t="s">
        <v>20</v>
      </c>
      <c r="F169" s="316">
        <v>16.0</v>
      </c>
    </row>
    <row r="170">
      <c r="A170" s="278">
        <v>45613.58894740741</v>
      </c>
      <c r="B170" s="279" t="str">
        <f t="shared" si="1"/>
        <v>November</v>
      </c>
      <c r="C170" s="279">
        <f t="shared" si="2"/>
        <v>2024</v>
      </c>
      <c r="D170" s="281" t="s">
        <v>662</v>
      </c>
      <c r="E170" s="314" t="s">
        <v>14</v>
      </c>
      <c r="F170" s="316">
        <v>57.81</v>
      </c>
    </row>
    <row r="171">
      <c r="A171" s="278">
        <v>45616.52441614583</v>
      </c>
      <c r="B171" s="279" t="str">
        <f t="shared" si="1"/>
        <v>November</v>
      </c>
      <c r="C171" s="279">
        <f t="shared" si="2"/>
        <v>2024</v>
      </c>
      <c r="D171" s="281" t="s">
        <v>663</v>
      </c>
      <c r="E171" s="314" t="s">
        <v>16</v>
      </c>
      <c r="F171" s="316">
        <v>54.0</v>
      </c>
    </row>
    <row r="172">
      <c r="A172" s="278">
        <v>45616.621342638886</v>
      </c>
      <c r="B172" s="279" t="str">
        <f t="shared" si="1"/>
        <v>November</v>
      </c>
      <c r="C172" s="279">
        <f t="shared" si="2"/>
        <v>2024</v>
      </c>
      <c r="D172" s="281" t="s">
        <v>664</v>
      </c>
      <c r="E172" s="314" t="s">
        <v>12</v>
      </c>
      <c r="F172" s="316">
        <v>124.94</v>
      </c>
    </row>
    <row r="173">
      <c r="A173" s="278">
        <v>45622.809244421296</v>
      </c>
      <c r="B173" s="279" t="str">
        <f t="shared" si="1"/>
        <v>November</v>
      </c>
      <c r="C173" s="279">
        <f t="shared" si="2"/>
        <v>2024</v>
      </c>
      <c r="D173" s="281" t="s">
        <v>665</v>
      </c>
      <c r="E173" s="314" t="s">
        <v>18</v>
      </c>
      <c r="F173" s="316">
        <v>24.89</v>
      </c>
    </row>
    <row r="174">
      <c r="A174" s="278">
        <v>45622.817391122684</v>
      </c>
      <c r="B174" s="279" t="str">
        <f t="shared" si="1"/>
        <v>November</v>
      </c>
      <c r="C174" s="279">
        <f t="shared" si="2"/>
        <v>2024</v>
      </c>
      <c r="D174" s="281" t="s">
        <v>666</v>
      </c>
      <c r="E174" s="314" t="s">
        <v>12</v>
      </c>
      <c r="F174" s="316">
        <v>40.0</v>
      </c>
    </row>
    <row r="175">
      <c r="A175" s="278">
        <v>45622.81855837963</v>
      </c>
      <c r="B175" s="279" t="str">
        <f t="shared" si="1"/>
        <v>November</v>
      </c>
      <c r="C175" s="279">
        <f t="shared" si="2"/>
        <v>2024</v>
      </c>
      <c r="D175" s="281" t="s">
        <v>667</v>
      </c>
      <c r="E175" s="314" t="s">
        <v>14</v>
      </c>
      <c r="F175" s="316">
        <v>20.0</v>
      </c>
    </row>
    <row r="176">
      <c r="A176" s="278">
        <v>45634.12158560185</v>
      </c>
      <c r="B176" s="279" t="str">
        <f t="shared" si="1"/>
        <v>December</v>
      </c>
      <c r="C176" s="279">
        <f t="shared" si="2"/>
        <v>2024</v>
      </c>
      <c r="D176" s="281" t="s">
        <v>668</v>
      </c>
      <c r="E176" s="314" t="s">
        <v>12</v>
      </c>
      <c r="F176" s="316">
        <v>248.95</v>
      </c>
    </row>
    <row r="177">
      <c r="A177" s="278">
        <v>45639.0</v>
      </c>
      <c r="B177" s="279" t="str">
        <f t="shared" si="1"/>
        <v>December</v>
      </c>
      <c r="C177" s="279">
        <f t="shared" si="2"/>
        <v>2024</v>
      </c>
      <c r="D177" s="281" t="s">
        <v>669</v>
      </c>
      <c r="E177" s="314" t="s">
        <v>20</v>
      </c>
      <c r="F177" s="316">
        <v>24.64</v>
      </c>
    </row>
    <row r="178">
      <c r="A178" s="278">
        <v>45640.0</v>
      </c>
      <c r="B178" s="279" t="str">
        <f t="shared" si="1"/>
        <v>December</v>
      </c>
      <c r="C178" s="279">
        <f t="shared" si="2"/>
        <v>2024</v>
      </c>
      <c r="D178" s="281" t="s">
        <v>670</v>
      </c>
      <c r="E178" s="314" t="s">
        <v>20</v>
      </c>
      <c r="F178" s="316">
        <v>27.41</v>
      </c>
    </row>
    <row r="179">
      <c r="A179" s="278">
        <v>45643.0</v>
      </c>
      <c r="B179" s="279" t="str">
        <f t="shared" si="1"/>
        <v>December</v>
      </c>
      <c r="C179" s="279">
        <f t="shared" si="2"/>
        <v>2024</v>
      </c>
      <c r="D179" s="281" t="s">
        <v>671</v>
      </c>
      <c r="E179" s="314" t="s">
        <v>20</v>
      </c>
      <c r="F179" s="316">
        <v>11.72</v>
      </c>
    </row>
    <row r="180">
      <c r="A180" s="278">
        <v>45647.51975636574</v>
      </c>
      <c r="B180" s="279" t="str">
        <f t="shared" si="1"/>
        <v>December</v>
      </c>
      <c r="C180" s="279">
        <f t="shared" si="2"/>
        <v>2024</v>
      </c>
      <c r="D180" s="281" t="s">
        <v>672</v>
      </c>
      <c r="E180" s="314" t="s">
        <v>16</v>
      </c>
      <c r="F180" s="316">
        <v>54.0</v>
      </c>
    </row>
    <row r="181">
      <c r="A181" s="278">
        <v>45646.0</v>
      </c>
      <c r="B181" s="279" t="str">
        <f t="shared" si="1"/>
        <v>December</v>
      </c>
      <c r="C181" s="279">
        <f t="shared" si="2"/>
        <v>2024</v>
      </c>
      <c r="D181" s="281" t="s">
        <v>673</v>
      </c>
      <c r="E181" s="314" t="s">
        <v>20</v>
      </c>
      <c r="F181" s="316">
        <v>24.89</v>
      </c>
    </row>
    <row r="182">
      <c r="A182" s="278">
        <v>45649.06810679398</v>
      </c>
      <c r="B182" s="279" t="str">
        <f t="shared" si="1"/>
        <v>December</v>
      </c>
      <c r="C182" s="279">
        <f t="shared" si="2"/>
        <v>2024</v>
      </c>
      <c r="D182" s="281" t="s">
        <v>674</v>
      </c>
      <c r="E182" s="314" t="s">
        <v>14</v>
      </c>
      <c r="F182" s="316">
        <v>25.07</v>
      </c>
    </row>
    <row r="183">
      <c r="A183" s="278">
        <v>45666.69014693287</v>
      </c>
      <c r="B183" s="279" t="str">
        <f t="shared" si="1"/>
        <v>January</v>
      </c>
      <c r="C183" s="279">
        <f t="shared" si="2"/>
        <v>2025</v>
      </c>
      <c r="D183" s="281" t="s">
        <v>675</v>
      </c>
      <c r="E183" s="314" t="s">
        <v>14</v>
      </c>
      <c r="F183" s="316">
        <v>40.52</v>
      </c>
    </row>
    <row r="184">
      <c r="A184" s="278">
        <v>45670.46453144676</v>
      </c>
      <c r="B184" s="279" t="str">
        <f t="shared" si="1"/>
        <v>January</v>
      </c>
      <c r="C184" s="279">
        <f t="shared" si="2"/>
        <v>2025</v>
      </c>
      <c r="D184" s="281" t="s">
        <v>676</v>
      </c>
      <c r="E184" s="314" t="s">
        <v>14</v>
      </c>
      <c r="F184" s="316">
        <v>114.36</v>
      </c>
    </row>
    <row r="185">
      <c r="A185" s="278">
        <v>45670.46495930555</v>
      </c>
      <c r="B185" s="279" t="str">
        <f t="shared" si="1"/>
        <v>January</v>
      </c>
      <c r="C185" s="279">
        <f t="shared" si="2"/>
        <v>2025</v>
      </c>
      <c r="D185" s="281" t="s">
        <v>677</v>
      </c>
      <c r="E185" s="314" t="s">
        <v>22</v>
      </c>
      <c r="F185" s="316">
        <v>47.07</v>
      </c>
    </row>
    <row r="186">
      <c r="A186" s="278">
        <v>45652.0</v>
      </c>
      <c r="B186" s="279" t="str">
        <f t="shared" si="1"/>
        <v>December</v>
      </c>
      <c r="C186" s="279">
        <f t="shared" si="2"/>
        <v>2024</v>
      </c>
      <c r="D186" s="281" t="s">
        <v>678</v>
      </c>
      <c r="E186" s="314" t="s">
        <v>18</v>
      </c>
      <c r="F186" s="316">
        <v>24.89</v>
      </c>
    </row>
    <row r="187">
      <c r="A187" s="278">
        <v>45678.62424831018</v>
      </c>
      <c r="B187" s="279" t="str">
        <f t="shared" si="1"/>
        <v>January</v>
      </c>
      <c r="C187" s="279">
        <f t="shared" si="2"/>
        <v>2025</v>
      </c>
      <c r="D187" s="281" t="s">
        <v>679</v>
      </c>
      <c r="E187" s="314" t="s">
        <v>16</v>
      </c>
      <c r="F187" s="316">
        <v>54.0</v>
      </c>
    </row>
    <row r="188">
      <c r="A188" s="278">
        <v>45685.53796851852</v>
      </c>
      <c r="B188" s="279" t="str">
        <f t="shared" si="1"/>
        <v>January</v>
      </c>
      <c r="C188" s="279">
        <f t="shared" si="2"/>
        <v>2025</v>
      </c>
      <c r="D188" s="281" t="s">
        <v>189</v>
      </c>
      <c r="E188" s="314" t="s">
        <v>18</v>
      </c>
      <c r="F188" s="316">
        <v>24.89</v>
      </c>
    </row>
    <row r="189">
      <c r="A189" s="278">
        <v>45688.0</v>
      </c>
      <c r="B189" s="279" t="str">
        <f t="shared" si="1"/>
        <v>January</v>
      </c>
      <c r="C189" s="292">
        <f t="shared" si="2"/>
        <v>2025</v>
      </c>
      <c r="D189" s="281" t="s">
        <v>680</v>
      </c>
      <c r="E189" s="314" t="s">
        <v>22</v>
      </c>
      <c r="F189" s="316">
        <v>38.96</v>
      </c>
    </row>
    <row r="190">
      <c r="A190" s="278">
        <v>45689.859879791664</v>
      </c>
      <c r="B190" s="279" t="str">
        <f t="shared" si="1"/>
        <v>February</v>
      </c>
      <c r="C190" s="292">
        <f t="shared" si="2"/>
        <v>2025</v>
      </c>
      <c r="D190" s="281" t="s">
        <v>681</v>
      </c>
      <c r="E190" s="314" t="s">
        <v>18</v>
      </c>
      <c r="F190" s="316">
        <v>34.16</v>
      </c>
    </row>
    <row r="191">
      <c r="A191" s="278">
        <v>45698.81733711806</v>
      </c>
      <c r="B191" s="279" t="str">
        <f t="shared" si="1"/>
        <v>February</v>
      </c>
      <c r="C191" s="292">
        <f t="shared" si="2"/>
        <v>2025</v>
      </c>
      <c r="D191" s="281" t="s">
        <v>682</v>
      </c>
      <c r="E191" s="314" t="s">
        <v>14</v>
      </c>
      <c r="F191" s="316">
        <v>36.14</v>
      </c>
    </row>
    <row r="192">
      <c r="A192" s="278">
        <v>45699.99676122685</v>
      </c>
      <c r="B192" s="279" t="str">
        <f t="shared" si="1"/>
        <v>February</v>
      </c>
      <c r="C192" s="292">
        <f t="shared" si="2"/>
        <v>2025</v>
      </c>
      <c r="D192" s="281" t="s">
        <v>683</v>
      </c>
      <c r="E192" s="314" t="s">
        <v>20</v>
      </c>
      <c r="F192" s="316">
        <v>58.04</v>
      </c>
    </row>
    <row r="193">
      <c r="A193" s="278">
        <v>45699.99708530093</v>
      </c>
      <c r="B193" s="279" t="str">
        <f t="shared" si="1"/>
        <v>February</v>
      </c>
      <c r="C193" s="292">
        <f t="shared" si="2"/>
        <v>2025</v>
      </c>
      <c r="D193" s="281" t="s">
        <v>684</v>
      </c>
      <c r="E193" s="314" t="s">
        <v>12</v>
      </c>
      <c r="F193" s="316">
        <v>178.28</v>
      </c>
    </row>
    <row r="194">
      <c r="A194" s="278">
        <v>45704.01260548611</v>
      </c>
      <c r="B194" s="279" t="str">
        <f t="shared" si="1"/>
        <v>February</v>
      </c>
      <c r="C194" s="292">
        <f t="shared" si="2"/>
        <v>2025</v>
      </c>
      <c r="D194" s="281" t="s">
        <v>685</v>
      </c>
      <c r="E194" s="314" t="s">
        <v>14</v>
      </c>
      <c r="F194" s="316">
        <v>74.84</v>
      </c>
    </row>
    <row r="195">
      <c r="A195" s="278">
        <v>45706.91440289352</v>
      </c>
      <c r="B195" s="279" t="str">
        <f t="shared" si="1"/>
        <v>February</v>
      </c>
      <c r="C195" s="292">
        <f t="shared" si="2"/>
        <v>2025</v>
      </c>
      <c r="D195" s="281" t="s">
        <v>686</v>
      </c>
      <c r="E195" s="314" t="s">
        <v>20</v>
      </c>
      <c r="F195" s="316">
        <v>27.68</v>
      </c>
    </row>
    <row r="196">
      <c r="A196" s="278">
        <v>45708.86207939815</v>
      </c>
      <c r="B196" s="279" t="str">
        <f t="shared" si="1"/>
        <v>February</v>
      </c>
      <c r="C196" s="292">
        <f t="shared" si="2"/>
        <v>2025</v>
      </c>
      <c r="D196" s="281" t="s">
        <v>687</v>
      </c>
      <c r="E196" s="314" t="s">
        <v>16</v>
      </c>
      <c r="F196" s="316">
        <v>54.0</v>
      </c>
    </row>
    <row r="197">
      <c r="A197" s="278">
        <v>45708.862428900466</v>
      </c>
      <c r="B197" s="279" t="str">
        <f t="shared" si="1"/>
        <v>February</v>
      </c>
      <c r="C197" s="292">
        <f t="shared" si="2"/>
        <v>2025</v>
      </c>
      <c r="D197" s="281" t="s">
        <v>688</v>
      </c>
      <c r="E197" s="314" t="s">
        <v>22</v>
      </c>
      <c r="F197" s="316">
        <v>100.0</v>
      </c>
    </row>
    <row r="198">
      <c r="A198" s="278">
        <v>45715.52692106481</v>
      </c>
      <c r="B198" s="279" t="str">
        <f t="shared" si="1"/>
        <v>February</v>
      </c>
      <c r="C198" s="292">
        <f t="shared" si="2"/>
        <v>2025</v>
      </c>
      <c r="D198" s="281" t="s">
        <v>689</v>
      </c>
      <c r="E198" s="314" t="s">
        <v>18</v>
      </c>
      <c r="F198" s="316">
        <v>24.89</v>
      </c>
    </row>
    <row r="199">
      <c r="A199" s="278">
        <v>45722.0</v>
      </c>
      <c r="B199" s="279" t="str">
        <f t="shared" si="1"/>
        <v>March</v>
      </c>
      <c r="C199" s="292">
        <f t="shared" si="2"/>
        <v>2025</v>
      </c>
      <c r="D199" s="281" t="s">
        <v>690</v>
      </c>
      <c r="E199" s="314" t="s">
        <v>20</v>
      </c>
      <c r="F199" s="316">
        <v>41.06</v>
      </c>
    </row>
    <row r="200">
      <c r="A200" s="278">
        <v>45724.0</v>
      </c>
      <c r="B200" s="279" t="str">
        <f t="shared" si="1"/>
        <v>March</v>
      </c>
      <c r="C200" s="292">
        <f t="shared" si="2"/>
        <v>2025</v>
      </c>
      <c r="D200" s="281" t="s">
        <v>691</v>
      </c>
      <c r="E200" s="314" t="s">
        <v>20</v>
      </c>
      <c r="F200" s="316">
        <v>10.0</v>
      </c>
    </row>
    <row r="201">
      <c r="A201" s="278">
        <v>45727.0</v>
      </c>
      <c r="B201" s="279" t="str">
        <f t="shared" si="1"/>
        <v>March</v>
      </c>
      <c r="C201" s="292">
        <f t="shared" si="2"/>
        <v>2025</v>
      </c>
      <c r="D201" s="281" t="s">
        <v>692</v>
      </c>
      <c r="E201" s="314" t="s">
        <v>14</v>
      </c>
      <c r="F201" s="316">
        <v>21.42</v>
      </c>
    </row>
    <row r="202">
      <c r="A202" s="278">
        <v>45736.58894230324</v>
      </c>
      <c r="B202" s="279" t="str">
        <f t="shared" si="1"/>
        <v>March</v>
      </c>
      <c r="C202" s="292">
        <f t="shared" si="2"/>
        <v>2025</v>
      </c>
      <c r="D202" s="281" t="s">
        <v>693</v>
      </c>
      <c r="E202" s="314" t="s">
        <v>16</v>
      </c>
      <c r="F202" s="316">
        <v>54.0</v>
      </c>
    </row>
    <row r="203">
      <c r="A203" s="278">
        <v>45754.0</v>
      </c>
      <c r="B203" s="279" t="str">
        <f t="shared" si="1"/>
        <v>April</v>
      </c>
      <c r="C203" s="292">
        <f t="shared" si="2"/>
        <v>2025</v>
      </c>
      <c r="D203" s="281" t="s">
        <v>694</v>
      </c>
      <c r="E203" s="314" t="s">
        <v>20</v>
      </c>
      <c r="F203" s="316">
        <v>33.25</v>
      </c>
    </row>
    <row r="204">
      <c r="A204" s="278">
        <v>45757.0</v>
      </c>
      <c r="B204" s="279" t="str">
        <f t="shared" si="1"/>
        <v>April</v>
      </c>
      <c r="C204" s="292">
        <f t="shared" si="2"/>
        <v>2025</v>
      </c>
      <c r="D204" s="281" t="s">
        <v>695</v>
      </c>
      <c r="E204" s="314" t="s">
        <v>12</v>
      </c>
      <c r="F204" s="316">
        <v>348.93</v>
      </c>
    </row>
    <row r="205">
      <c r="A205" s="278">
        <v>45758.0</v>
      </c>
      <c r="B205" s="279" t="str">
        <f t="shared" si="1"/>
        <v>April</v>
      </c>
      <c r="C205" s="292">
        <f t="shared" si="2"/>
        <v>2025</v>
      </c>
      <c r="D205" s="281" t="s">
        <v>696</v>
      </c>
      <c r="E205" s="314" t="s">
        <v>20</v>
      </c>
      <c r="F205" s="316">
        <v>44.85</v>
      </c>
    </row>
    <row r="206">
      <c r="A206" s="278">
        <v>45767.678731782406</v>
      </c>
      <c r="B206" s="279" t="str">
        <f t="shared" si="1"/>
        <v>April</v>
      </c>
      <c r="C206" s="292">
        <f t="shared" si="2"/>
        <v>2025</v>
      </c>
      <c r="D206" s="281" t="s">
        <v>654</v>
      </c>
      <c r="E206" s="314" t="s">
        <v>16</v>
      </c>
      <c r="F206" s="316">
        <v>54.0</v>
      </c>
    </row>
    <row r="207">
      <c r="A207" s="278">
        <v>45769.52294618056</v>
      </c>
      <c r="B207" s="279" t="str">
        <f t="shared" si="1"/>
        <v>April</v>
      </c>
      <c r="C207" s="292">
        <f t="shared" si="2"/>
        <v>2025</v>
      </c>
      <c r="D207" s="281" t="s">
        <v>697</v>
      </c>
      <c r="E207" s="314" t="s">
        <v>20</v>
      </c>
      <c r="F207" s="316">
        <v>11.68</v>
      </c>
    </row>
    <row r="208">
      <c r="A208" s="278">
        <v>45775.85203981481</v>
      </c>
      <c r="B208" s="279" t="str">
        <f t="shared" si="1"/>
        <v>April</v>
      </c>
      <c r="C208" s="292">
        <f t="shared" si="2"/>
        <v>2025</v>
      </c>
      <c r="D208" s="281" t="s">
        <v>698</v>
      </c>
      <c r="E208" s="314" t="s">
        <v>22</v>
      </c>
      <c r="F208" s="316">
        <v>21.08</v>
      </c>
    </row>
    <row r="209">
      <c r="A209" s="278">
        <v>45775.8576959375</v>
      </c>
      <c r="B209" s="279" t="str">
        <f t="shared" si="1"/>
        <v>April</v>
      </c>
      <c r="C209" s="292">
        <f t="shared" si="2"/>
        <v>2025</v>
      </c>
      <c r="D209" s="281" t="s">
        <v>699</v>
      </c>
      <c r="E209" s="314" t="s">
        <v>18</v>
      </c>
      <c r="F209" s="316">
        <v>25.98</v>
      </c>
    </row>
    <row r="210">
      <c r="A210" s="278">
        <v>45775.858649918984</v>
      </c>
      <c r="B210" s="279" t="str">
        <f t="shared" si="1"/>
        <v>April</v>
      </c>
      <c r="C210" s="292">
        <f t="shared" si="2"/>
        <v>2025</v>
      </c>
      <c r="D210" s="281" t="s">
        <v>700</v>
      </c>
      <c r="E210" s="314" t="s">
        <v>18</v>
      </c>
      <c r="F210" s="316">
        <v>24.89</v>
      </c>
    </row>
    <row r="211">
      <c r="A211" s="278">
        <v>45781.89244108796</v>
      </c>
      <c r="B211" s="279" t="str">
        <f t="shared" si="1"/>
        <v>May</v>
      </c>
      <c r="C211" s="292">
        <f t="shared" si="2"/>
        <v>2025</v>
      </c>
      <c r="D211" s="281" t="s">
        <v>701</v>
      </c>
      <c r="E211" s="314" t="s">
        <v>14</v>
      </c>
      <c r="F211" s="316">
        <v>85.47</v>
      </c>
    </row>
    <row r="212">
      <c r="A212" s="278">
        <v>45789.0</v>
      </c>
      <c r="B212" s="279" t="str">
        <f t="shared" si="1"/>
        <v>May</v>
      </c>
      <c r="C212" s="292">
        <f t="shared" si="2"/>
        <v>2025</v>
      </c>
      <c r="D212" s="281" t="s">
        <v>702</v>
      </c>
      <c r="E212" s="314" t="s">
        <v>20</v>
      </c>
      <c r="F212" s="316">
        <v>581.62</v>
      </c>
    </row>
    <row r="213">
      <c r="A213" s="278">
        <v>45797.0</v>
      </c>
      <c r="B213" s="279" t="str">
        <f t="shared" si="1"/>
        <v>May</v>
      </c>
      <c r="C213" s="292">
        <f t="shared" si="2"/>
        <v>2025</v>
      </c>
      <c r="D213" s="281" t="s">
        <v>703</v>
      </c>
      <c r="E213" s="314" t="s">
        <v>16</v>
      </c>
      <c r="F213" s="316">
        <v>54.0</v>
      </c>
    </row>
    <row r="214">
      <c r="A214" s="278">
        <v>45800.0</v>
      </c>
      <c r="B214" s="279" t="str">
        <f t="shared" si="1"/>
        <v>May</v>
      </c>
      <c r="C214" s="292">
        <f t="shared" si="2"/>
        <v>2025</v>
      </c>
      <c r="D214" s="281" t="s">
        <v>704</v>
      </c>
      <c r="E214" s="314" t="s">
        <v>14</v>
      </c>
      <c r="F214" s="316">
        <v>72.45</v>
      </c>
    </row>
    <row r="215">
      <c r="A215" s="278">
        <v>45803.0</v>
      </c>
      <c r="B215" s="279" t="str">
        <f t="shared" si="1"/>
        <v>May</v>
      </c>
      <c r="C215" s="292">
        <f t="shared" si="2"/>
        <v>2025</v>
      </c>
      <c r="D215" s="281" t="s">
        <v>705</v>
      </c>
      <c r="E215" s="314" t="s">
        <v>18</v>
      </c>
      <c r="F215" s="316">
        <v>25.98</v>
      </c>
    </row>
    <row r="216">
      <c r="A216" s="278">
        <v>45860.43020487268</v>
      </c>
      <c r="B216" s="279" t="str">
        <f t="shared" si="1"/>
        <v>July</v>
      </c>
      <c r="C216" s="292">
        <f t="shared" si="2"/>
        <v>2025</v>
      </c>
      <c r="D216" s="281" t="s">
        <v>706</v>
      </c>
      <c r="E216" s="314" t="s">
        <v>16</v>
      </c>
      <c r="F216" s="316">
        <v>54.0</v>
      </c>
    </row>
    <row r="217">
      <c r="A217" s="278">
        <v>45860.430638101854</v>
      </c>
      <c r="B217" s="279" t="str">
        <f t="shared" si="1"/>
        <v>July</v>
      </c>
      <c r="C217" s="292">
        <f t="shared" si="2"/>
        <v>2025</v>
      </c>
      <c r="D217" s="281" t="s">
        <v>707</v>
      </c>
      <c r="E217" s="314" t="s">
        <v>18</v>
      </c>
      <c r="F217" s="316">
        <v>25.98</v>
      </c>
    </row>
    <row r="218">
      <c r="A218" s="278">
        <v>45860.4309415162</v>
      </c>
      <c r="B218" s="279" t="str">
        <f t="shared" si="1"/>
        <v>July</v>
      </c>
      <c r="C218" s="292">
        <f t="shared" si="2"/>
        <v>2025</v>
      </c>
      <c r="D218" s="281" t="s">
        <v>708</v>
      </c>
      <c r="E218" s="314" t="s">
        <v>16</v>
      </c>
      <c r="F218" s="316">
        <v>54.0</v>
      </c>
    </row>
    <row r="219">
      <c r="A219" s="278">
        <v>45860.431141099536</v>
      </c>
      <c r="B219" s="279" t="str">
        <f t="shared" si="1"/>
        <v>July</v>
      </c>
      <c r="C219" s="292">
        <f t="shared" si="2"/>
        <v>2025</v>
      </c>
      <c r="D219" s="281" t="s">
        <v>709</v>
      </c>
      <c r="E219" s="314" t="s">
        <v>22</v>
      </c>
      <c r="F219" s="316">
        <v>40.43</v>
      </c>
    </row>
    <row r="220">
      <c r="A220" s="278">
        <v>45868.88862268518</v>
      </c>
      <c r="B220" s="279" t="str">
        <f t="shared" si="1"/>
        <v>July</v>
      </c>
      <c r="C220" s="292">
        <f t="shared" si="2"/>
        <v>2025</v>
      </c>
      <c r="D220" s="281" t="s">
        <v>710</v>
      </c>
      <c r="E220" s="314" t="s">
        <v>14</v>
      </c>
      <c r="F220" s="316">
        <v>74.92</v>
      </c>
    </row>
    <row r="221">
      <c r="A221" s="278">
        <v>45875.88928240741</v>
      </c>
      <c r="B221" s="279" t="str">
        <f t="shared" si="1"/>
        <v>August</v>
      </c>
      <c r="C221" s="292">
        <f t="shared" si="2"/>
        <v>2025</v>
      </c>
      <c r="D221" s="281" t="s">
        <v>711</v>
      </c>
      <c r="E221" s="314" t="s">
        <v>20</v>
      </c>
      <c r="F221" s="316">
        <v>32.46</v>
      </c>
    </row>
    <row r="222">
      <c r="A222" s="278">
        <v>45884.885613425926</v>
      </c>
      <c r="B222" s="279" t="str">
        <f t="shared" si="1"/>
        <v>August</v>
      </c>
      <c r="C222" s="292">
        <f t="shared" si="2"/>
        <v>2025</v>
      </c>
      <c r="D222" s="281" t="s">
        <v>712</v>
      </c>
      <c r="E222" s="314" t="s">
        <v>18</v>
      </c>
      <c r="F222" s="316">
        <v>12.05</v>
      </c>
    </row>
    <row r="223">
      <c r="A223" s="278">
        <v>45884.88596064815</v>
      </c>
      <c r="B223" s="279" t="str">
        <f t="shared" si="1"/>
        <v>August</v>
      </c>
      <c r="C223" s="292">
        <f t="shared" si="2"/>
        <v>2025</v>
      </c>
      <c r="D223" s="281" t="s">
        <v>713</v>
      </c>
      <c r="E223" s="314" t="s">
        <v>18</v>
      </c>
      <c r="F223" s="316">
        <v>36.77</v>
      </c>
    </row>
    <row r="224">
      <c r="A224" s="318">
        <v>45889.0</v>
      </c>
      <c r="B224" s="279" t="str">
        <f t="shared" si="1"/>
        <v>August</v>
      </c>
      <c r="C224" s="292">
        <f t="shared" si="2"/>
        <v>2025</v>
      </c>
      <c r="D224" s="281" t="s">
        <v>714</v>
      </c>
      <c r="E224" s="314" t="s">
        <v>16</v>
      </c>
      <c r="F224" s="316">
        <v>54.0</v>
      </c>
    </row>
    <row r="225">
      <c r="A225" s="278">
        <v>45894.89</v>
      </c>
      <c r="B225" s="279" t="str">
        <f t="shared" si="1"/>
        <v>August</v>
      </c>
      <c r="C225" s="292">
        <f t="shared" si="2"/>
        <v>2025</v>
      </c>
      <c r="D225" s="281" t="s">
        <v>715</v>
      </c>
      <c r="E225" s="314" t="s">
        <v>22</v>
      </c>
      <c r="F225" s="316">
        <v>47.62</v>
      </c>
    </row>
    <row r="226">
      <c r="A226" s="278">
        <v>45895.88725694444</v>
      </c>
      <c r="B226" s="279" t="str">
        <f t="shared" si="1"/>
        <v>August</v>
      </c>
      <c r="C226" s="292">
        <f t="shared" si="2"/>
        <v>2025</v>
      </c>
      <c r="D226" s="281" t="s">
        <v>716</v>
      </c>
      <c r="E226" s="314" t="s">
        <v>18</v>
      </c>
      <c r="F226" s="316">
        <v>25.98</v>
      </c>
    </row>
    <row r="227">
      <c r="A227" s="278">
        <v>45895.890555555554</v>
      </c>
      <c r="B227" s="279" t="str">
        <f t="shared" si="1"/>
        <v>August</v>
      </c>
      <c r="C227" s="292">
        <f t="shared" si="2"/>
        <v>2025</v>
      </c>
      <c r="D227" s="281" t="s">
        <v>717</v>
      </c>
      <c r="E227" s="314" t="s">
        <v>20</v>
      </c>
      <c r="F227" s="316">
        <v>25.98</v>
      </c>
    </row>
    <row r="228">
      <c r="A228" s="278">
        <v>45898.88490740741</v>
      </c>
      <c r="B228" s="279" t="str">
        <f t="shared" si="1"/>
        <v>August</v>
      </c>
      <c r="C228" s="292">
        <f t="shared" si="2"/>
        <v>2025</v>
      </c>
      <c r="D228" s="281" t="s">
        <v>718</v>
      </c>
      <c r="E228" s="314" t="s">
        <v>14</v>
      </c>
      <c r="F228" s="316">
        <v>42.2</v>
      </c>
    </row>
    <row r="229">
      <c r="A229" s="318">
        <v>45907.0</v>
      </c>
      <c r="B229" s="279" t="str">
        <f t="shared" si="1"/>
        <v>September</v>
      </c>
      <c r="C229" s="292">
        <f t="shared" si="2"/>
        <v>2025</v>
      </c>
      <c r="D229" s="281" t="s">
        <v>719</v>
      </c>
      <c r="E229" s="314" t="s">
        <v>12</v>
      </c>
      <c r="F229" s="316">
        <v>45.0</v>
      </c>
    </row>
    <row r="230">
      <c r="A230" s="318">
        <v>45909.0</v>
      </c>
      <c r="B230" s="279" t="str">
        <f t="shared" si="1"/>
        <v>September</v>
      </c>
      <c r="C230" s="292">
        <f t="shared" si="2"/>
        <v>2025</v>
      </c>
      <c r="D230" s="281" t="s">
        <v>720</v>
      </c>
      <c r="E230" s="314" t="s">
        <v>20</v>
      </c>
      <c r="F230" s="316">
        <v>60.57</v>
      </c>
    </row>
    <row r="231">
      <c r="A231" s="318">
        <v>45910.0</v>
      </c>
      <c r="B231" s="279" t="str">
        <f t="shared" si="1"/>
        <v>September</v>
      </c>
      <c r="C231" s="292">
        <f t="shared" si="2"/>
        <v>2025</v>
      </c>
      <c r="D231" s="281" t="s">
        <v>721</v>
      </c>
      <c r="E231" s="314" t="s">
        <v>20</v>
      </c>
      <c r="F231" s="316">
        <v>7.52</v>
      </c>
    </row>
    <row r="232">
      <c r="A232" s="318">
        <v>45910.0</v>
      </c>
      <c r="B232" s="279" t="str">
        <f t="shared" si="1"/>
        <v>September</v>
      </c>
      <c r="C232" s="292">
        <f t="shared" si="2"/>
        <v>2025</v>
      </c>
      <c r="D232" s="281" t="s">
        <v>722</v>
      </c>
      <c r="E232" s="314" t="s">
        <v>12</v>
      </c>
      <c r="F232" s="316">
        <v>20.0</v>
      </c>
    </row>
    <row r="233">
      <c r="A233" s="318">
        <v>45911.0</v>
      </c>
      <c r="B233" s="279" t="str">
        <f t="shared" si="1"/>
        <v>September</v>
      </c>
      <c r="C233" s="292">
        <f t="shared" si="2"/>
        <v>2025</v>
      </c>
      <c r="D233" s="281" t="s">
        <v>723</v>
      </c>
      <c r="E233" s="314" t="s">
        <v>12</v>
      </c>
      <c r="F233" s="316">
        <v>174.5</v>
      </c>
    </row>
    <row r="234">
      <c r="A234" s="319">
        <v>45914.0</v>
      </c>
      <c r="B234" s="296" t="str">
        <f t="shared" si="1"/>
        <v>September</v>
      </c>
      <c r="C234" s="297">
        <f t="shared" si="2"/>
        <v>2025</v>
      </c>
      <c r="D234" s="281" t="s">
        <v>724</v>
      </c>
      <c r="E234" s="314" t="s">
        <v>20</v>
      </c>
      <c r="F234" s="316">
        <v>43.28</v>
      </c>
    </row>
    <row r="235">
      <c r="A235" s="320">
        <v>45936.65846673611</v>
      </c>
      <c r="B235" s="321" t="str">
        <f t="shared" si="1"/>
        <v>October</v>
      </c>
      <c r="C235" s="321">
        <f t="shared" si="2"/>
        <v>2025</v>
      </c>
      <c r="D235" s="281" t="s">
        <v>725</v>
      </c>
      <c r="E235" s="314" t="s">
        <v>22</v>
      </c>
      <c r="F235" s="316">
        <v>30.88</v>
      </c>
    </row>
    <row r="236">
      <c r="A236" s="320">
        <v>45936.66173114583</v>
      </c>
      <c r="B236" s="321" t="str">
        <f t="shared" si="1"/>
        <v>October</v>
      </c>
      <c r="C236" s="321">
        <f t="shared" si="2"/>
        <v>2025</v>
      </c>
      <c r="D236" s="281" t="s">
        <v>726</v>
      </c>
      <c r="E236" s="314" t="s">
        <v>14</v>
      </c>
      <c r="F236" s="316">
        <v>89.91</v>
      </c>
    </row>
    <row r="237" ht="13.5" customHeight="1">
      <c r="A237" s="284">
        <v>45909.0</v>
      </c>
      <c r="B237" s="298" t="s">
        <v>556</v>
      </c>
      <c r="C237" s="298">
        <v>2025.0</v>
      </c>
      <c r="D237" s="281" t="s">
        <v>727</v>
      </c>
      <c r="E237" s="281" t="s">
        <v>22</v>
      </c>
      <c r="F237" s="322">
        <v>7.52</v>
      </c>
    </row>
    <row r="238" ht="13.5" customHeight="1">
      <c r="A238" s="284">
        <v>45910.0</v>
      </c>
      <c r="B238" s="298" t="s">
        <v>556</v>
      </c>
      <c r="C238" s="298">
        <v>2025.0</v>
      </c>
      <c r="D238" s="281" t="s">
        <v>728</v>
      </c>
      <c r="E238" s="281" t="s">
        <v>12</v>
      </c>
      <c r="F238" s="322">
        <v>174.5</v>
      </c>
    </row>
    <row r="239" ht="13.5" customHeight="1">
      <c r="A239" s="284">
        <v>45914.0</v>
      </c>
      <c r="B239" s="298" t="s">
        <v>556</v>
      </c>
      <c r="C239" s="298">
        <v>2025.0</v>
      </c>
      <c r="D239" s="281" t="s">
        <v>729</v>
      </c>
      <c r="E239" s="281" t="s">
        <v>14</v>
      </c>
      <c r="F239" s="322">
        <v>43.28</v>
      </c>
    </row>
    <row r="240" ht="13.5" customHeight="1">
      <c r="A240" s="284">
        <v>45930.0</v>
      </c>
      <c r="B240" s="298" t="s">
        <v>556</v>
      </c>
      <c r="C240" s="298">
        <v>2025.0</v>
      </c>
      <c r="D240" s="281" t="s">
        <v>730</v>
      </c>
      <c r="E240" s="281" t="s">
        <v>20</v>
      </c>
      <c r="F240" s="322">
        <v>30.88</v>
      </c>
    </row>
    <row r="241" ht="13.5" customHeight="1">
      <c r="A241" s="284">
        <v>45780.0</v>
      </c>
      <c r="B241" s="298" t="s">
        <v>731</v>
      </c>
      <c r="C241" s="298">
        <v>2025.0</v>
      </c>
      <c r="D241" s="281" t="s">
        <v>732</v>
      </c>
      <c r="E241" s="281" t="s">
        <v>14</v>
      </c>
      <c r="F241" s="322">
        <v>85.47</v>
      </c>
    </row>
    <row r="242" ht="13.5" customHeight="1">
      <c r="A242" s="284">
        <v>45828.0</v>
      </c>
      <c r="B242" s="298" t="s">
        <v>560</v>
      </c>
      <c r="C242" s="298">
        <v>2025.0</v>
      </c>
      <c r="D242" s="281" t="s">
        <v>733</v>
      </c>
      <c r="E242" s="281" t="s">
        <v>16</v>
      </c>
      <c r="F242" s="322">
        <v>54.0</v>
      </c>
    </row>
    <row r="243" ht="13.5" customHeight="1">
      <c r="A243" s="284">
        <v>45834.0</v>
      </c>
      <c r="B243" s="298" t="s">
        <v>560</v>
      </c>
      <c r="C243" s="298">
        <v>2025.0</v>
      </c>
      <c r="D243" s="281" t="s">
        <v>734</v>
      </c>
      <c r="E243" s="281" t="s">
        <v>18</v>
      </c>
      <c r="F243" s="322">
        <v>25.98</v>
      </c>
    </row>
    <row r="244" ht="13.5" customHeight="1">
      <c r="A244" s="284">
        <v>45921.0</v>
      </c>
      <c r="B244" s="298" t="s">
        <v>556</v>
      </c>
      <c r="C244" s="298">
        <v>2025.0</v>
      </c>
      <c r="D244" s="281" t="s">
        <v>733</v>
      </c>
      <c r="E244" s="281" t="s">
        <v>16</v>
      </c>
      <c r="F244" s="322">
        <v>54.0</v>
      </c>
    </row>
    <row r="245" ht="13.5" customHeight="1">
      <c r="A245" s="284">
        <v>45926.0</v>
      </c>
      <c r="B245" s="298" t="s">
        <v>556</v>
      </c>
      <c r="C245" s="298">
        <v>2025.0</v>
      </c>
      <c r="D245" s="281" t="s">
        <v>734</v>
      </c>
      <c r="E245" s="281" t="s">
        <v>18</v>
      </c>
      <c r="F245" s="322">
        <v>25.98</v>
      </c>
    </row>
    <row r="246" ht="13.5" customHeight="1">
      <c r="A246" s="284">
        <v>45771.0</v>
      </c>
      <c r="B246" s="298" t="s">
        <v>585</v>
      </c>
      <c r="C246" s="298">
        <v>2025.0</v>
      </c>
      <c r="D246" s="281" t="s">
        <v>735</v>
      </c>
      <c r="E246" s="281" t="s">
        <v>22</v>
      </c>
      <c r="F246" s="322">
        <v>21.08</v>
      </c>
    </row>
    <row r="247" ht="13.5" customHeight="1">
      <c r="A247" s="284">
        <v>45864.0</v>
      </c>
      <c r="B247" s="298" t="s">
        <v>736</v>
      </c>
      <c r="C247" s="298">
        <v>2025.0</v>
      </c>
      <c r="D247" s="281" t="s">
        <v>734</v>
      </c>
      <c r="E247" s="281" t="s">
        <v>18</v>
      </c>
      <c r="F247" s="322">
        <v>25.98</v>
      </c>
    </row>
    <row r="248" ht="13.5" customHeight="1">
      <c r="A248" s="284">
        <v>45858.0</v>
      </c>
      <c r="B248" s="298" t="s">
        <v>736</v>
      </c>
      <c r="C248" s="298">
        <v>2025.0</v>
      </c>
      <c r="D248" s="281" t="s">
        <v>733</v>
      </c>
      <c r="E248" s="281" t="s">
        <v>16</v>
      </c>
      <c r="F248" s="322">
        <v>54.0</v>
      </c>
    </row>
    <row r="249" ht="13.5" customHeight="1">
      <c r="A249" s="284"/>
      <c r="B249" s="298"/>
      <c r="C249" s="298"/>
      <c r="D249" s="281"/>
      <c r="E249" s="281"/>
      <c r="F249" s="322"/>
    </row>
    <row r="250" ht="13.5" customHeight="1">
      <c r="A250" s="284"/>
      <c r="B250" s="298"/>
      <c r="C250" s="298"/>
      <c r="D250" s="281"/>
      <c r="E250" s="281"/>
      <c r="F250" s="322"/>
    </row>
    <row r="251" ht="13.5" customHeight="1">
      <c r="A251" s="284"/>
      <c r="B251" s="298"/>
      <c r="C251" s="298"/>
      <c r="D251" s="281"/>
      <c r="E251" s="281"/>
      <c r="F251" s="322"/>
    </row>
    <row r="252" ht="13.5" customHeight="1">
      <c r="A252" s="284"/>
      <c r="B252" s="298"/>
      <c r="C252" s="298"/>
      <c r="D252" s="281"/>
      <c r="E252" s="281"/>
      <c r="F252" s="322"/>
    </row>
    <row r="253" ht="13.5" customHeight="1">
      <c r="A253" s="300"/>
      <c r="B253" s="285"/>
      <c r="C253" s="285"/>
      <c r="D253" s="286"/>
      <c r="E253" s="286"/>
      <c r="F253" s="323"/>
    </row>
    <row r="254" ht="13.5" customHeight="1">
      <c r="A254" s="300"/>
      <c r="B254" s="285"/>
      <c r="C254" s="285"/>
      <c r="D254" s="286"/>
      <c r="E254" s="286"/>
      <c r="F254" s="323"/>
    </row>
    <row r="255" ht="13.5" customHeight="1">
      <c r="A255" s="300"/>
      <c r="B255" s="285"/>
      <c r="C255" s="285"/>
      <c r="D255" s="286"/>
      <c r="E255" s="286"/>
      <c r="F255" s="323"/>
    </row>
    <row r="256" ht="13.5" customHeight="1">
      <c r="A256" s="300"/>
      <c r="B256" s="285"/>
      <c r="C256" s="285"/>
      <c r="D256" s="286"/>
      <c r="E256" s="286"/>
      <c r="F256" s="323"/>
    </row>
    <row r="257" ht="13.5" customHeight="1">
      <c r="A257" s="300"/>
      <c r="B257" s="285"/>
      <c r="C257" s="285"/>
      <c r="D257" s="286"/>
      <c r="E257" s="286"/>
      <c r="F257" s="323"/>
    </row>
    <row r="258" ht="13.5" customHeight="1">
      <c r="A258" s="300"/>
      <c r="B258" s="285"/>
      <c r="C258" s="285"/>
      <c r="D258" s="286"/>
      <c r="E258" s="286"/>
      <c r="F258" s="323"/>
    </row>
    <row r="259" ht="13.5" customHeight="1">
      <c r="A259" s="300"/>
      <c r="B259" s="285"/>
      <c r="C259" s="285"/>
      <c r="D259" s="286"/>
      <c r="E259" s="286"/>
      <c r="F259" s="323"/>
    </row>
    <row r="260" ht="13.5" customHeight="1">
      <c r="A260" s="300"/>
      <c r="B260" s="285"/>
      <c r="C260" s="285"/>
      <c r="D260" s="286"/>
      <c r="E260" s="286"/>
      <c r="F260" s="323"/>
    </row>
    <row r="261" ht="13.5" customHeight="1">
      <c r="A261" s="300"/>
      <c r="B261" s="285"/>
      <c r="C261" s="285"/>
      <c r="D261" s="286"/>
      <c r="E261" s="286"/>
      <c r="F261" s="323"/>
    </row>
    <row r="262" ht="13.5" customHeight="1">
      <c r="A262" s="300"/>
      <c r="B262" s="285"/>
      <c r="C262" s="285"/>
      <c r="D262" s="286"/>
      <c r="E262" s="286"/>
      <c r="F262" s="323"/>
    </row>
    <row r="263" ht="13.5" customHeight="1">
      <c r="A263" s="300"/>
      <c r="B263" s="285"/>
      <c r="C263" s="285"/>
      <c r="D263" s="286"/>
      <c r="E263" s="286"/>
      <c r="F263" s="323"/>
    </row>
    <row r="264" ht="13.5" customHeight="1">
      <c r="A264" s="300"/>
      <c r="B264" s="285"/>
      <c r="C264" s="285"/>
      <c r="D264" s="286"/>
      <c r="E264" s="286"/>
      <c r="F264" s="323"/>
    </row>
    <row r="265" ht="13.5" customHeight="1">
      <c r="A265" s="300"/>
      <c r="B265" s="285"/>
      <c r="C265" s="285"/>
      <c r="D265" s="286"/>
      <c r="E265" s="286"/>
      <c r="F265" s="323"/>
    </row>
    <row r="266" ht="13.5" customHeight="1">
      <c r="A266" s="300"/>
      <c r="B266" s="285"/>
      <c r="C266" s="285"/>
      <c r="D266" s="286"/>
      <c r="E266" s="286"/>
      <c r="F266" s="323"/>
    </row>
    <row r="267" ht="13.5" customHeight="1">
      <c r="A267" s="300"/>
      <c r="B267" s="285"/>
      <c r="C267" s="285"/>
      <c r="D267" s="286"/>
      <c r="E267" s="286"/>
      <c r="F267" s="323"/>
    </row>
    <row r="268" ht="13.5" customHeight="1">
      <c r="A268" s="300"/>
      <c r="B268" s="285"/>
      <c r="C268" s="285"/>
      <c r="D268" s="286"/>
      <c r="E268" s="286"/>
      <c r="F268" s="323"/>
    </row>
    <row r="269" ht="13.5" customHeight="1">
      <c r="A269" s="300"/>
      <c r="B269" s="285"/>
      <c r="C269" s="285"/>
      <c r="D269" s="286"/>
      <c r="E269" s="286"/>
      <c r="F269" s="323"/>
    </row>
    <row r="270" ht="13.5" customHeight="1">
      <c r="A270" s="300"/>
      <c r="B270" s="285"/>
      <c r="C270" s="285"/>
      <c r="D270" s="286"/>
      <c r="E270" s="286"/>
      <c r="F270" s="323"/>
    </row>
    <row r="271" ht="13.5" customHeight="1">
      <c r="A271" s="300"/>
      <c r="B271" s="285"/>
      <c r="C271" s="285"/>
      <c r="D271" s="286"/>
      <c r="E271" s="286"/>
      <c r="F271" s="323"/>
    </row>
    <row r="272" ht="13.5" customHeight="1">
      <c r="A272" s="300"/>
      <c r="B272" s="285"/>
      <c r="C272" s="285"/>
      <c r="D272" s="286"/>
      <c r="E272" s="286"/>
      <c r="F272" s="323"/>
    </row>
    <row r="273" ht="13.5" customHeight="1">
      <c r="A273" s="300"/>
      <c r="B273" s="285"/>
      <c r="C273" s="285"/>
      <c r="D273" s="286"/>
      <c r="E273" s="286"/>
      <c r="F273" s="323"/>
    </row>
    <row r="274" ht="13.5" customHeight="1">
      <c r="A274" s="300"/>
      <c r="B274" s="285"/>
      <c r="C274" s="285"/>
      <c r="D274" s="286"/>
      <c r="E274" s="286"/>
      <c r="F274" s="323"/>
    </row>
    <row r="275" ht="13.5" customHeight="1">
      <c r="A275" s="300"/>
      <c r="B275" s="285"/>
      <c r="C275" s="285"/>
      <c r="D275" s="286"/>
      <c r="E275" s="286"/>
      <c r="F275" s="323"/>
    </row>
    <row r="276" ht="13.5" customHeight="1">
      <c r="A276" s="300"/>
      <c r="B276" s="285"/>
      <c r="C276" s="285"/>
      <c r="D276" s="286"/>
      <c r="E276" s="286"/>
      <c r="F276" s="323"/>
    </row>
    <row r="277" ht="13.5" customHeight="1">
      <c r="A277" s="300"/>
      <c r="B277" s="285"/>
      <c r="C277" s="285"/>
      <c r="D277" s="286"/>
      <c r="E277" s="286"/>
      <c r="F277" s="323"/>
    </row>
    <row r="278" ht="13.5" customHeight="1">
      <c r="A278" s="300"/>
      <c r="B278" s="285"/>
      <c r="C278" s="285"/>
      <c r="D278" s="286"/>
      <c r="E278" s="286"/>
      <c r="F278" s="323"/>
    </row>
    <row r="279" ht="13.5" customHeight="1">
      <c r="A279" s="300"/>
      <c r="B279" s="285"/>
      <c r="C279" s="285"/>
      <c r="D279" s="286"/>
      <c r="E279" s="286"/>
      <c r="F279" s="323"/>
    </row>
    <row r="280" ht="13.5" customHeight="1">
      <c r="A280" s="300"/>
      <c r="B280" s="285"/>
      <c r="C280" s="285"/>
      <c r="D280" s="286"/>
      <c r="E280" s="286"/>
      <c r="F280" s="323"/>
    </row>
    <row r="281" ht="13.5" customHeight="1">
      <c r="A281" s="300"/>
      <c r="B281" s="285"/>
      <c r="C281" s="285"/>
      <c r="D281" s="286"/>
      <c r="E281" s="286"/>
      <c r="F281" s="323"/>
    </row>
    <row r="282" ht="13.5" customHeight="1">
      <c r="A282" s="300"/>
      <c r="B282" s="285"/>
      <c r="C282" s="285"/>
      <c r="D282" s="286"/>
      <c r="E282" s="286"/>
      <c r="F282" s="323"/>
    </row>
    <row r="283" ht="13.5" customHeight="1">
      <c r="A283" s="300"/>
      <c r="B283" s="285"/>
      <c r="C283" s="285"/>
      <c r="D283" s="286"/>
      <c r="E283" s="286"/>
      <c r="F283" s="323"/>
    </row>
    <row r="284" ht="13.5" customHeight="1">
      <c r="A284" s="300"/>
      <c r="B284" s="285"/>
      <c r="C284" s="285"/>
      <c r="D284" s="286"/>
      <c r="E284" s="286"/>
      <c r="F284" s="323"/>
    </row>
    <row r="285" ht="13.5" customHeight="1">
      <c r="A285" s="300"/>
      <c r="B285" s="285"/>
      <c r="C285" s="285"/>
      <c r="D285" s="286"/>
      <c r="E285" s="286"/>
      <c r="F285" s="323"/>
    </row>
    <row r="286" ht="13.5" customHeight="1">
      <c r="A286" s="300"/>
      <c r="B286" s="285"/>
      <c r="C286" s="285"/>
      <c r="D286" s="286"/>
      <c r="E286" s="286"/>
      <c r="F286" s="323"/>
    </row>
    <row r="287" ht="13.5" customHeight="1">
      <c r="A287" s="300"/>
      <c r="B287" s="285"/>
      <c r="C287" s="285"/>
      <c r="D287" s="286"/>
      <c r="E287" s="286"/>
      <c r="F287" s="323"/>
    </row>
    <row r="288" ht="13.5" customHeight="1">
      <c r="A288" s="300"/>
      <c r="B288" s="285"/>
      <c r="C288" s="285"/>
      <c r="D288" s="286"/>
      <c r="E288" s="286"/>
      <c r="F288" s="323"/>
    </row>
    <row r="289" ht="13.5" customHeight="1">
      <c r="A289" s="300"/>
      <c r="B289" s="285"/>
      <c r="C289" s="285"/>
      <c r="D289" s="286"/>
      <c r="E289" s="286"/>
      <c r="F289" s="323"/>
    </row>
    <row r="290" ht="13.5" customHeight="1">
      <c r="A290" s="300"/>
      <c r="B290" s="285"/>
      <c r="C290" s="285"/>
      <c r="D290" s="286"/>
      <c r="E290" s="286"/>
      <c r="F290" s="323"/>
    </row>
    <row r="291" ht="13.5" customHeight="1">
      <c r="A291" s="300"/>
      <c r="B291" s="285"/>
      <c r="C291" s="285"/>
      <c r="D291" s="286"/>
      <c r="E291" s="286"/>
      <c r="F291" s="323"/>
    </row>
    <row r="292" ht="13.5" customHeight="1">
      <c r="A292" s="300"/>
      <c r="B292" s="285"/>
      <c r="C292" s="285"/>
      <c r="D292" s="286"/>
      <c r="E292" s="286"/>
      <c r="F292" s="323"/>
    </row>
    <row r="293" ht="13.5" customHeight="1">
      <c r="A293" s="300"/>
      <c r="B293" s="285"/>
      <c r="C293" s="285"/>
      <c r="D293" s="286"/>
      <c r="E293" s="286"/>
      <c r="F293" s="323"/>
    </row>
    <row r="294" ht="13.5" customHeight="1">
      <c r="A294" s="300"/>
      <c r="B294" s="285"/>
      <c r="C294" s="285"/>
      <c r="D294" s="286"/>
      <c r="E294" s="286"/>
      <c r="F294" s="323"/>
    </row>
    <row r="295" ht="13.5" customHeight="1">
      <c r="A295" s="300"/>
      <c r="B295" s="285"/>
      <c r="C295" s="285"/>
      <c r="D295" s="286"/>
      <c r="E295" s="286"/>
      <c r="F295" s="323"/>
    </row>
    <row r="296" ht="13.5" customHeight="1">
      <c r="A296" s="300"/>
      <c r="B296" s="285"/>
      <c r="C296" s="285"/>
      <c r="D296" s="286"/>
      <c r="E296" s="286"/>
      <c r="F296" s="323"/>
    </row>
    <row r="297" ht="13.5" customHeight="1">
      <c r="A297" s="300"/>
      <c r="B297" s="285"/>
      <c r="C297" s="285"/>
      <c r="D297" s="286"/>
      <c r="E297" s="286"/>
      <c r="F297" s="323"/>
    </row>
    <row r="298" ht="13.5" customHeight="1">
      <c r="A298" s="300"/>
      <c r="B298" s="285"/>
      <c r="C298" s="285"/>
      <c r="D298" s="286"/>
      <c r="E298" s="286"/>
      <c r="F298" s="323"/>
    </row>
    <row r="299" ht="13.5" customHeight="1">
      <c r="A299" s="300"/>
      <c r="B299" s="285"/>
      <c r="C299" s="285"/>
      <c r="D299" s="286"/>
      <c r="E299" s="286"/>
      <c r="F299" s="323"/>
    </row>
    <row r="300" ht="13.5" customHeight="1">
      <c r="A300" s="300"/>
      <c r="B300" s="285"/>
      <c r="C300" s="285"/>
      <c r="D300" s="286"/>
      <c r="E300" s="286"/>
      <c r="F300" s="323"/>
    </row>
    <row r="301" ht="13.5" customHeight="1">
      <c r="A301" s="300"/>
      <c r="B301" s="285"/>
      <c r="C301" s="285"/>
      <c r="D301" s="286"/>
      <c r="E301" s="286"/>
      <c r="F301" s="323"/>
    </row>
    <row r="302" ht="13.5" customHeight="1">
      <c r="A302" s="300"/>
      <c r="B302" s="285"/>
      <c r="C302" s="285"/>
      <c r="D302" s="286"/>
      <c r="E302" s="286"/>
      <c r="F302" s="323"/>
    </row>
    <row r="303" ht="13.5" customHeight="1">
      <c r="A303" s="300"/>
      <c r="B303" s="285"/>
      <c r="C303" s="285"/>
      <c r="D303" s="286"/>
      <c r="E303" s="286"/>
      <c r="F303" s="323"/>
    </row>
    <row r="304" ht="13.5" customHeight="1">
      <c r="A304" s="300"/>
      <c r="B304" s="285"/>
      <c r="C304" s="285"/>
      <c r="D304" s="286"/>
      <c r="E304" s="286"/>
      <c r="F304" s="323"/>
    </row>
    <row r="305" ht="13.5" customHeight="1">
      <c r="A305" s="300"/>
      <c r="B305" s="285"/>
      <c r="C305" s="285"/>
      <c r="D305" s="286"/>
      <c r="E305" s="286"/>
      <c r="F305" s="323"/>
    </row>
    <row r="306" ht="13.5" customHeight="1">
      <c r="A306" s="300"/>
      <c r="B306" s="285"/>
      <c r="C306" s="285"/>
      <c r="D306" s="286"/>
      <c r="E306" s="286"/>
      <c r="F306" s="323"/>
    </row>
    <row r="307" ht="13.5" customHeight="1">
      <c r="A307" s="300"/>
      <c r="B307" s="285"/>
      <c r="C307" s="285"/>
      <c r="D307" s="286"/>
      <c r="E307" s="286"/>
      <c r="F307" s="323"/>
    </row>
    <row r="308" ht="13.5" customHeight="1">
      <c r="A308" s="300"/>
      <c r="B308" s="285"/>
      <c r="C308" s="285"/>
      <c r="D308" s="286"/>
      <c r="E308" s="286"/>
      <c r="F308" s="323"/>
    </row>
    <row r="309" ht="13.5" customHeight="1">
      <c r="A309" s="300"/>
      <c r="B309" s="285"/>
      <c r="C309" s="285"/>
      <c r="D309" s="286"/>
      <c r="E309" s="286"/>
      <c r="F309" s="323"/>
    </row>
    <row r="310" ht="13.5" customHeight="1">
      <c r="A310" s="300"/>
      <c r="B310" s="285"/>
      <c r="C310" s="285"/>
      <c r="D310" s="286"/>
      <c r="E310" s="286"/>
      <c r="F310" s="323"/>
    </row>
    <row r="311" ht="13.5" customHeight="1">
      <c r="A311" s="300"/>
      <c r="B311" s="285"/>
      <c r="C311" s="285"/>
      <c r="D311" s="286"/>
      <c r="E311" s="286"/>
      <c r="F311" s="323"/>
    </row>
    <row r="312" ht="13.5" customHeight="1">
      <c r="A312" s="300"/>
      <c r="B312" s="285"/>
      <c r="C312" s="285"/>
      <c r="D312" s="286"/>
      <c r="E312" s="286"/>
      <c r="F312" s="323"/>
    </row>
    <row r="313" ht="13.5" customHeight="1">
      <c r="A313" s="300"/>
      <c r="B313" s="285"/>
      <c r="C313" s="285"/>
      <c r="D313" s="286"/>
      <c r="E313" s="286"/>
      <c r="F313" s="323"/>
    </row>
    <row r="314" ht="13.5" customHeight="1">
      <c r="A314" s="300"/>
      <c r="B314" s="285"/>
      <c r="C314" s="285"/>
      <c r="D314" s="286"/>
      <c r="E314" s="286"/>
      <c r="F314" s="323"/>
    </row>
    <row r="315" ht="13.5" customHeight="1">
      <c r="A315" s="300"/>
      <c r="B315" s="285"/>
      <c r="C315" s="285"/>
      <c r="D315" s="286"/>
      <c r="E315" s="286"/>
      <c r="F315" s="323"/>
    </row>
    <row r="316" ht="13.5" customHeight="1">
      <c r="A316" s="300"/>
      <c r="B316" s="285"/>
      <c r="C316" s="285"/>
      <c r="D316" s="286"/>
      <c r="E316" s="286"/>
      <c r="F316" s="323"/>
    </row>
    <row r="317" ht="13.5" customHeight="1">
      <c r="A317" s="300"/>
      <c r="B317" s="285"/>
      <c r="C317" s="285"/>
      <c r="D317" s="286"/>
      <c r="E317" s="286"/>
      <c r="F317" s="323"/>
    </row>
    <row r="318" ht="13.5" customHeight="1">
      <c r="A318" s="300"/>
      <c r="B318" s="285"/>
      <c r="C318" s="285"/>
      <c r="D318" s="286"/>
      <c r="E318" s="286"/>
      <c r="F318" s="323"/>
    </row>
    <row r="319" ht="13.5" customHeight="1">
      <c r="A319" s="300"/>
      <c r="B319" s="285"/>
      <c r="C319" s="285"/>
      <c r="D319" s="286"/>
      <c r="E319" s="286"/>
      <c r="F319" s="323"/>
    </row>
    <row r="320" ht="13.5" customHeight="1">
      <c r="A320" s="300"/>
      <c r="B320" s="285"/>
      <c r="C320" s="285"/>
      <c r="D320" s="286"/>
      <c r="E320" s="286"/>
      <c r="F320" s="323"/>
    </row>
    <row r="321" ht="13.5" customHeight="1">
      <c r="A321" s="300"/>
      <c r="B321" s="285"/>
      <c r="C321" s="285"/>
      <c r="D321" s="286"/>
      <c r="E321" s="286"/>
      <c r="F321" s="323"/>
    </row>
    <row r="322" ht="13.5" customHeight="1">
      <c r="A322" s="300"/>
      <c r="B322" s="285"/>
      <c r="C322" s="285"/>
      <c r="D322" s="286"/>
      <c r="E322" s="286"/>
      <c r="F322" s="323"/>
    </row>
    <row r="323" ht="13.5" customHeight="1">
      <c r="A323" s="300"/>
      <c r="B323" s="285"/>
      <c r="C323" s="285"/>
      <c r="D323" s="286"/>
      <c r="E323" s="286"/>
      <c r="F323" s="323"/>
    </row>
    <row r="324" ht="13.5" customHeight="1">
      <c r="A324" s="300"/>
      <c r="B324" s="285"/>
      <c r="C324" s="285"/>
      <c r="D324" s="286"/>
      <c r="E324" s="286"/>
      <c r="F324" s="323"/>
    </row>
    <row r="325" ht="13.5" customHeight="1">
      <c r="A325" s="300"/>
      <c r="B325" s="285"/>
      <c r="C325" s="285"/>
      <c r="D325" s="286"/>
      <c r="E325" s="286"/>
      <c r="F325" s="323"/>
    </row>
    <row r="326" ht="13.5" customHeight="1">
      <c r="A326" s="300"/>
      <c r="B326" s="285"/>
      <c r="C326" s="285"/>
      <c r="D326" s="286"/>
      <c r="E326" s="286"/>
      <c r="F326" s="323"/>
    </row>
    <row r="327" ht="13.5" customHeight="1">
      <c r="A327" s="300"/>
      <c r="B327" s="285"/>
      <c r="C327" s="285"/>
      <c r="D327" s="286"/>
      <c r="E327" s="286"/>
      <c r="F327" s="323"/>
    </row>
    <row r="328" ht="13.5" customHeight="1">
      <c r="A328" s="300"/>
      <c r="B328" s="285"/>
      <c r="C328" s="285"/>
      <c r="D328" s="286"/>
      <c r="E328" s="286"/>
      <c r="F328" s="323"/>
    </row>
    <row r="329" ht="13.5" customHeight="1">
      <c r="A329" s="300"/>
      <c r="B329" s="285"/>
      <c r="C329" s="285"/>
      <c r="D329" s="286"/>
      <c r="E329" s="286"/>
      <c r="F329" s="323"/>
    </row>
    <row r="330" ht="13.5" customHeight="1">
      <c r="A330" s="300"/>
      <c r="B330" s="285"/>
      <c r="C330" s="285"/>
      <c r="D330" s="286"/>
      <c r="E330" s="286"/>
      <c r="F330" s="323"/>
    </row>
    <row r="331" ht="13.5" customHeight="1">
      <c r="A331" s="300"/>
      <c r="B331" s="285"/>
      <c r="C331" s="285"/>
      <c r="D331" s="286"/>
      <c r="E331" s="286"/>
      <c r="F331" s="323"/>
    </row>
    <row r="332" ht="13.5" customHeight="1">
      <c r="A332" s="300"/>
      <c r="B332" s="285"/>
      <c r="C332" s="285"/>
      <c r="D332" s="286"/>
      <c r="E332" s="286"/>
      <c r="F332" s="323"/>
    </row>
    <row r="333" ht="13.5" customHeight="1">
      <c r="A333" s="300"/>
      <c r="B333" s="285"/>
      <c r="C333" s="285"/>
      <c r="D333" s="286"/>
      <c r="E333" s="286"/>
      <c r="F333" s="323"/>
    </row>
    <row r="334" ht="13.5" customHeight="1">
      <c r="A334" s="300"/>
      <c r="B334" s="285"/>
      <c r="C334" s="285"/>
      <c r="D334" s="286"/>
      <c r="E334" s="286"/>
      <c r="F334" s="323"/>
    </row>
    <row r="335" ht="13.5" customHeight="1">
      <c r="A335" s="300"/>
      <c r="B335" s="285"/>
      <c r="C335" s="285"/>
      <c r="D335" s="286"/>
      <c r="E335" s="286"/>
      <c r="F335" s="323"/>
    </row>
    <row r="336" ht="13.5" customHeight="1">
      <c r="A336" s="303"/>
      <c r="B336" s="304"/>
      <c r="C336" s="304"/>
      <c r="D336" s="306"/>
      <c r="E336" s="306"/>
      <c r="F336" s="324"/>
    </row>
  </sheetData>
  <mergeCells count="2">
    <mergeCell ref="B1:F1"/>
    <mergeCell ref="A2:F2"/>
  </mergeCells>
  <hyperlinks>
    <hyperlink r:id="rId1" ref="A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15.0"/>
    <col customWidth="1" min="3" max="3" width="7.38"/>
    <col customWidth="1" min="4" max="4" width="17.0"/>
    <col customWidth="1" min="5" max="5" width="15.5"/>
    <col customWidth="1" min="6" max="6" width="12.0"/>
    <col customWidth="1" min="7" max="7" width="23.25"/>
  </cols>
  <sheetData>
    <row r="1" ht="33.75" customHeight="1">
      <c r="A1" s="325" t="s">
        <v>737</v>
      </c>
      <c r="B1" s="326" t="s">
        <v>738</v>
      </c>
      <c r="C1" s="327">
        <f>SUM($I$6:$I$10)</f>
        <v>3379.436029</v>
      </c>
      <c r="D1" s="328"/>
      <c r="E1" s="329"/>
      <c r="F1" s="329"/>
      <c r="G1" s="329"/>
      <c r="H1" s="329"/>
      <c r="I1" s="329"/>
      <c r="J1" s="330"/>
      <c r="K1" s="330"/>
      <c r="L1" s="330"/>
      <c r="M1" s="330"/>
      <c r="N1" s="330"/>
      <c r="O1" s="330"/>
      <c r="P1" s="330"/>
      <c r="Q1" s="330"/>
      <c r="R1" s="330"/>
      <c r="S1" s="330"/>
      <c r="T1" s="330"/>
      <c r="U1" s="330"/>
      <c r="V1" s="330"/>
      <c r="W1" s="330"/>
      <c r="X1" s="330"/>
      <c r="Y1" s="330"/>
      <c r="Z1" s="331"/>
    </row>
    <row r="2" ht="33.75" customHeight="1">
      <c r="B2" s="332" t="s">
        <v>739</v>
      </c>
      <c r="C2" s="333">
        <f>SUM(Expenses!$F4:$F998)/((IF((12-MONTH((MIN(Expenses!$A$4:$A998)))),1,2)+(((YEAR(MAX(Expenses!$A$4:A998)))-(YEAR(MIN(Expenses!$A$4:A998))+1))*2)+IF(((MONTH(MAX(Expenses!$A$4:A998)))&lt;7),1,2)))</f>
        <v>2184.444545</v>
      </c>
      <c r="D2" s="334"/>
      <c r="E2" s="329"/>
      <c r="F2" s="329"/>
      <c r="G2" s="335" t="s">
        <v>740</v>
      </c>
      <c r="H2" s="329"/>
      <c r="I2" s="329"/>
      <c r="J2" s="330"/>
      <c r="K2" s="330"/>
      <c r="L2" s="330"/>
      <c r="M2" s="330"/>
      <c r="N2" s="330"/>
      <c r="O2" s="330"/>
      <c r="P2" s="330"/>
      <c r="Q2" s="330"/>
      <c r="R2" s="330"/>
      <c r="S2" s="330"/>
      <c r="T2" s="330"/>
      <c r="U2" s="330"/>
      <c r="V2" s="330"/>
      <c r="W2" s="330"/>
      <c r="X2" s="330"/>
      <c r="Y2" s="330"/>
      <c r="Z2" s="331"/>
    </row>
    <row r="3" ht="33.75" customHeight="1">
      <c r="A3" s="336"/>
      <c r="B3" s="337" t="s">
        <v>741</v>
      </c>
      <c r="C3" s="338">
        <f>$C$1-$C$2</f>
        <v>1194.991484</v>
      </c>
      <c r="D3" s="339"/>
      <c r="E3" s="329"/>
      <c r="F3" s="329"/>
      <c r="G3" s="329"/>
      <c r="H3" s="329"/>
      <c r="I3" s="329"/>
      <c r="J3" s="330"/>
      <c r="K3" s="330"/>
      <c r="L3" s="330"/>
      <c r="M3" s="330"/>
      <c r="N3" s="330"/>
      <c r="O3" s="330"/>
      <c r="P3" s="330"/>
      <c r="Q3" s="330"/>
      <c r="R3" s="330"/>
      <c r="S3" s="330"/>
      <c r="T3" s="330"/>
      <c r="U3" s="330"/>
      <c r="V3" s="330"/>
      <c r="W3" s="330"/>
      <c r="X3" s="330"/>
      <c r="Y3" s="330"/>
      <c r="Z3" s="331"/>
    </row>
    <row r="4" ht="13.5" customHeight="1">
      <c r="J4" s="340"/>
      <c r="K4" s="340"/>
      <c r="L4" s="340"/>
      <c r="M4" s="340"/>
      <c r="N4" s="340"/>
      <c r="O4" s="340"/>
      <c r="P4" s="340"/>
      <c r="Q4" s="340"/>
      <c r="R4" s="340"/>
      <c r="S4" s="340"/>
      <c r="T4" s="340"/>
      <c r="U4" s="340"/>
      <c r="V4" s="340"/>
      <c r="W4" s="340"/>
      <c r="X4" s="340"/>
      <c r="Y4" s="340"/>
      <c r="Z4" s="331"/>
    </row>
    <row r="5">
      <c r="A5" s="341" t="s">
        <v>742</v>
      </c>
      <c r="B5" s="342" t="s">
        <v>743</v>
      </c>
      <c r="C5" s="343" t="s">
        <v>744</v>
      </c>
      <c r="D5" s="343" t="s">
        <v>745</v>
      </c>
      <c r="E5" s="343" t="s">
        <v>746</v>
      </c>
      <c r="F5" s="343" t="s">
        <v>747</v>
      </c>
      <c r="G5" s="343" t="s">
        <v>748</v>
      </c>
      <c r="H5" s="343" t="s">
        <v>749</v>
      </c>
      <c r="I5" s="343" t="s">
        <v>750</v>
      </c>
      <c r="J5" s="344" t="s">
        <v>751</v>
      </c>
      <c r="K5" s="345"/>
      <c r="L5" s="345"/>
      <c r="M5" s="345"/>
      <c r="N5" s="345"/>
      <c r="O5" s="345"/>
      <c r="P5" s="345"/>
      <c r="Q5" s="345"/>
      <c r="R5" s="345"/>
      <c r="S5" s="345"/>
      <c r="T5" s="345"/>
      <c r="U5" s="345"/>
      <c r="V5" s="345"/>
      <c r="W5" s="345"/>
      <c r="X5" s="345"/>
      <c r="Y5" s="345"/>
      <c r="Z5" s="331"/>
    </row>
    <row r="6">
      <c r="A6" s="346" t="s">
        <v>9</v>
      </c>
      <c r="B6" s="347">
        <f>((15*COUNTIF('Membership Application List'!$N$233:$N998,TRUE))-(5*COUNTIF('Membership Application List'!$K$233:$K998,TRUE)))/(COUNTIF('Membership Application List'!$N$233:$N998,TRUE))</f>
        <v>14.88562092</v>
      </c>
      <c r="C6" s="348">
        <f>COUNTIF('Membership Application List'!$N$233:$N998,TRUE)</f>
        <v>306</v>
      </c>
      <c r="D6" s="349">
        <v>0.0</v>
      </c>
      <c r="E6" s="350">
        <v>10.0</v>
      </c>
      <c r="F6" s="350">
        <v>15.0</v>
      </c>
      <c r="G6" s="351">
        <v>15.0</v>
      </c>
      <c r="H6" s="352">
        <f>(COUNTA('Membership Application List'!$E$4:$E998))  /  (IF((12-MONTH(MIN('Membership Application List'!$A$4:$A998))&gt;6),2,1)  +(((YEAR(MAX('Membership Application List'!$A$4:$A998)))-(YEAR(MIN('Membership Application List'!$A$4:$A998))+1))*2)+IF(((MONTH(MAX('Membership Application List'!$A$4:$A998)))&lt;7),1,2))</f>
        <v>73.125</v>
      </c>
      <c r="I6" s="353">
        <f t="shared" ref="I6:I10" si="1">$B6*$H6</f>
        <v>1088.511029</v>
      </c>
      <c r="J6" s="354">
        <f t="shared" ref="J6:J10" si="2">$I6/$C$1</f>
        <v>0.3220984271</v>
      </c>
      <c r="K6" s="345"/>
      <c r="L6" s="345"/>
      <c r="M6" s="345"/>
      <c r="N6" s="345"/>
      <c r="O6" s="345"/>
      <c r="P6" s="345"/>
      <c r="Q6" s="345"/>
      <c r="R6" s="345"/>
      <c r="S6" s="345"/>
      <c r="T6" s="345"/>
      <c r="U6" s="345"/>
      <c r="V6" s="345"/>
      <c r="W6" s="345"/>
      <c r="X6" s="345"/>
      <c r="Y6" s="345"/>
      <c r="Z6" s="331"/>
    </row>
    <row r="7">
      <c r="A7" s="355" t="s">
        <v>245</v>
      </c>
      <c r="B7" s="356">
        <f> ROUND(AVERAGEIFS(Income!$G$4:$G998,Income!$F$4:F998,$A7),2)</f>
        <v>11.89</v>
      </c>
      <c r="C7" s="357">
        <f>COUNTIF(Income!$F$4:$F998,$A7)</f>
        <v>246</v>
      </c>
      <c r="D7" s="358">
        <f>IFERROR(__xludf.DUMMYFUNCTION("STDEVP(QUERY(Income!F:G, ""select G where F='""&amp;$A7&amp;""'"", 0))"),39.222099178185495)</f>
        <v>39.22209918</v>
      </c>
      <c r="E7" s="359">
        <f>MINIFS(Income!$G$4:$G998,Income!$F$4:F998,$A7)</f>
        <v>0</v>
      </c>
      <c r="F7" s="359">
        <f>MAXIFS(Income!$G$4:$G998,Income!$F$4:F998,$A7)</f>
        <v>414</v>
      </c>
      <c r="G7" s="356" t="str">
        <f t="shared" ref="G7:G10" si="3">"$" &amp; IF($E7&gt; ($B7 - (1.96 * $D7)),$E7,($B7 - (1.96 * $D7))) &amp; " - " &amp; TEXT($B7 + (1.96 * $D7), "$#,##0.00")</f>
        <v>$0 - $88.77</v>
      </c>
      <c r="H7" s="360">
        <f>(COUNTIF(Income!$F$4:$F998, $A7))/(IF((12-MONTH(MIN(Income!$A$4:$A998))&gt;6),2,1)  +(((YEAR(MAX(Income!$A$4:$A998)))-(YEAR(MIN(Income!$A$4:$A998))+1))*2)+IF(((MONTH(MAX(Income!$A$4:$A998)))&lt;7),1,2))</f>
        <v>61.5</v>
      </c>
      <c r="I7" s="353">
        <f t="shared" si="1"/>
        <v>731.235</v>
      </c>
      <c r="J7" s="354">
        <f t="shared" si="2"/>
        <v>0.2163778197</v>
      </c>
      <c r="K7" s="345"/>
      <c r="L7" s="345"/>
      <c r="M7" s="345"/>
      <c r="N7" s="345"/>
      <c r="O7" s="345"/>
      <c r="P7" s="345"/>
      <c r="Q7" s="345"/>
      <c r="R7" s="345"/>
      <c r="S7" s="345"/>
      <c r="T7" s="345"/>
      <c r="U7" s="345"/>
      <c r="V7" s="345"/>
      <c r="W7" s="345"/>
      <c r="X7" s="345"/>
      <c r="Y7" s="345"/>
      <c r="Z7" s="331"/>
    </row>
    <row r="8">
      <c r="A8" s="355" t="s">
        <v>24</v>
      </c>
      <c r="B8" s="356">
        <f> ROUND(AVERAGEIFS(Income!$G$4:$G998,Income!$F$4:F998,$A8),2)</f>
        <v>16.12</v>
      </c>
      <c r="C8" s="357">
        <f>COUNTIF(Income!$F$4:$F998,$A8)</f>
        <v>24</v>
      </c>
      <c r="D8" s="358">
        <f>IFERROR(__xludf.DUMMYFUNCTION("STDEVP(QUERY(Income!F:G, ""select G where F='""&amp;$A8&amp;""'"", 0))"),41.87469190599762)</f>
        <v>41.87469191</v>
      </c>
      <c r="E8" s="359">
        <f>MINIFS(Income!$G$4:$G998,Income!$F$4:F998,$A8)</f>
        <v>1</v>
      </c>
      <c r="F8" s="359">
        <f>MAXIFS(Income!$G$4:$G998,Income!$F$4:F998,$A8)</f>
        <v>211.18</v>
      </c>
      <c r="G8" s="356" t="str">
        <f t="shared" si="3"/>
        <v>$1 - $98.19</v>
      </c>
      <c r="H8" s="360">
        <f>(COUNTIF(Income!$F$4:$F998, $A8))/(IF((12-MONTH(MIN(Income!$A$4:$A998))&gt;6),2,1)  +(((YEAR(MAX(Income!$A$4:$A998)))-(YEAR(MIN(Income!$A$4:$A998))+1))*2)+IF(((MONTH(MAX(Income!$A$4:$A998)))&lt;7),1,2))</f>
        <v>6</v>
      </c>
      <c r="I8" s="353">
        <f t="shared" si="1"/>
        <v>96.72</v>
      </c>
      <c r="J8" s="354">
        <f t="shared" si="2"/>
        <v>0.02862016004</v>
      </c>
      <c r="K8" s="345"/>
      <c r="L8" s="345"/>
      <c r="M8" s="345"/>
      <c r="N8" s="345"/>
      <c r="O8" s="345"/>
      <c r="P8" s="345"/>
      <c r="Q8" s="345"/>
      <c r="R8" s="345"/>
      <c r="S8" s="345"/>
      <c r="T8" s="345"/>
      <c r="U8" s="345"/>
      <c r="V8" s="345"/>
      <c r="W8" s="345"/>
      <c r="X8" s="345"/>
      <c r="Y8" s="345"/>
      <c r="Z8" s="331"/>
    </row>
    <row r="9">
      <c r="A9" s="355" t="s">
        <v>752</v>
      </c>
      <c r="B9" s="356">
        <f> ROUND(AVERAGEIFS(Income!$G$4:$G998,Income!$F$4:F998,"Donations"),2)</f>
        <v>59.16</v>
      </c>
      <c r="C9" s="357">
        <f>COUNTIF(Income!$F$4:$F998,"Donations")</f>
        <v>93</v>
      </c>
      <c r="D9" s="358">
        <f>IFERROR(__xludf.DUMMYFUNCTION("STDEVP(QUERY(Income!F:G, ""select G where F='""&amp; ""Donations"" &amp;""'"", 0))"),92.56229208491659)</f>
        <v>92.56229208</v>
      </c>
      <c r="E9" s="359">
        <f>MINIFS(Income!$G$4:$G998,Income!$F$4:F998,"Donations")</f>
        <v>1.94</v>
      </c>
      <c r="F9" s="359">
        <f>MAXIFS(Income!$G$4:$G998,Income!$F$4:F998,"Donations")</f>
        <v>600</v>
      </c>
      <c r="G9" s="356" t="str">
        <f t="shared" si="3"/>
        <v>$1.94 - $240.58</v>
      </c>
      <c r="H9" s="360">
        <f>(COUNTIF(Income!$F$4:$F998, "Donations"))/(IF((12-MONTH(MIN(Income!$A$4:$A998))&gt;6),2,1)  +(((YEAR(MAX(Income!$A$4:$A998)))-(YEAR(MIN(Income!$A$4:$A998))+1))*2)+IF(((MONTH(MAX(Income!$A$4:$A998)))&lt;7),1,2))</f>
        <v>23.25</v>
      </c>
      <c r="I9" s="353">
        <f t="shared" si="1"/>
        <v>1375.47</v>
      </c>
      <c r="J9" s="354">
        <f t="shared" si="2"/>
        <v>0.407011699</v>
      </c>
      <c r="K9" s="345"/>
      <c r="L9" s="345"/>
      <c r="M9" s="345"/>
      <c r="N9" s="345"/>
      <c r="O9" s="345"/>
      <c r="P9" s="345"/>
      <c r="Q9" s="345"/>
      <c r="R9" s="345"/>
      <c r="S9" s="345"/>
      <c r="T9" s="345"/>
      <c r="U9" s="345"/>
      <c r="V9" s="345"/>
      <c r="W9" s="345"/>
      <c r="X9" s="345"/>
      <c r="Y9" s="345"/>
      <c r="Z9" s="331"/>
    </row>
    <row r="10">
      <c r="A10" s="361" t="s">
        <v>320</v>
      </c>
      <c r="B10" s="362">
        <f> ROUND(AVERAGEIFS(Income!$G$4:$G998,Income!$F$4:F998,$A10),2)</f>
        <v>87.5</v>
      </c>
      <c r="C10" s="363">
        <f>COUNTIF(Income!$F$4:$F998,$A10)</f>
        <v>4</v>
      </c>
      <c r="D10" s="364">
        <f>IFERROR(__xludf.DUMMYFUNCTION("STDEVP(QUERY(Income!F:G, ""select G where F='""&amp;$A10&amp;""'"", 0))"),37.5)</f>
        <v>37.5</v>
      </c>
      <c r="E10" s="365">
        <f>MINIFS(Income!$G$4:$G998,Income!$F$4:F998,$A10)</f>
        <v>50</v>
      </c>
      <c r="F10" s="365">
        <f>MAXIFS(Income!$G$4:$G998,Income!$F$4:F998,$A10)</f>
        <v>150</v>
      </c>
      <c r="G10" s="362" t="str">
        <f t="shared" si="3"/>
        <v>$50 - $161.00</v>
      </c>
      <c r="H10" s="366">
        <f>(COUNTIF(Income!$F$4:$F998, $A10))/(IF((12-MONTH(MIN(Income!$A$4:$A998))&gt;6),2,1)  +(((YEAR(MAX(Income!$A$4:$A998)))-(YEAR(MIN(Income!$A$4:$A998))+1))*2)+IF(((MONTH(MAX(Income!$A$4:$A998)))&lt;7),1,2))</f>
        <v>1</v>
      </c>
      <c r="I10" s="367">
        <f t="shared" si="1"/>
        <v>87.5</v>
      </c>
      <c r="J10" s="368">
        <f t="shared" si="2"/>
        <v>0.02589189416</v>
      </c>
      <c r="K10" s="345"/>
      <c r="L10" s="345"/>
      <c r="M10" s="345"/>
      <c r="N10" s="345"/>
      <c r="O10" s="345"/>
      <c r="P10" s="345"/>
      <c r="Q10" s="345"/>
      <c r="R10" s="345"/>
      <c r="S10" s="345"/>
      <c r="T10" s="345"/>
      <c r="U10" s="345"/>
      <c r="V10" s="345"/>
      <c r="W10" s="345"/>
      <c r="X10" s="345"/>
      <c r="Y10" s="345"/>
      <c r="Z10" s="331"/>
    </row>
    <row r="11">
      <c r="A11" s="345"/>
      <c r="B11" s="369"/>
      <c r="C11" s="345"/>
      <c r="D11" s="345"/>
      <c r="E11" s="345"/>
      <c r="F11" s="345"/>
      <c r="G11" s="345"/>
      <c r="H11" s="345"/>
      <c r="I11" s="345"/>
      <c r="J11" s="345"/>
      <c r="K11" s="345"/>
      <c r="L11" s="345"/>
      <c r="M11" s="345"/>
      <c r="N11" s="345"/>
      <c r="O11" s="345"/>
      <c r="P11" s="345"/>
      <c r="Q11" s="345"/>
      <c r="R11" s="345"/>
      <c r="S11" s="345"/>
      <c r="T11" s="345"/>
      <c r="U11" s="345"/>
      <c r="V11" s="345"/>
      <c r="W11" s="345"/>
      <c r="X11" s="345"/>
      <c r="Y11" s="345"/>
      <c r="Z11" s="331"/>
    </row>
    <row r="12">
      <c r="A12" s="341" t="s">
        <v>753</v>
      </c>
      <c r="B12" s="342" t="s">
        <v>754</v>
      </c>
      <c r="C12" s="343" t="s">
        <v>744</v>
      </c>
      <c r="D12" s="343" t="s">
        <v>745</v>
      </c>
      <c r="E12" s="343" t="s">
        <v>746</v>
      </c>
      <c r="F12" s="343" t="s">
        <v>747</v>
      </c>
      <c r="G12" s="343" t="s">
        <v>755</v>
      </c>
      <c r="H12" s="343" t="s">
        <v>756</v>
      </c>
      <c r="I12" s="343" t="s">
        <v>757</v>
      </c>
      <c r="J12" s="344" t="s">
        <v>751</v>
      </c>
      <c r="K12" s="345"/>
      <c r="L12" s="345"/>
      <c r="M12" s="345"/>
      <c r="N12" s="345"/>
      <c r="O12" s="345"/>
      <c r="P12" s="345"/>
      <c r="Q12" s="345"/>
      <c r="R12" s="345"/>
      <c r="S12" s="345"/>
      <c r="T12" s="345"/>
      <c r="U12" s="345"/>
      <c r="V12" s="345"/>
      <c r="W12" s="345"/>
      <c r="X12" s="345"/>
      <c r="Y12" s="345"/>
      <c r="Z12" s="331"/>
    </row>
    <row r="13">
      <c r="A13" s="370" t="s">
        <v>12</v>
      </c>
      <c r="B13" s="347">
        <f> ROUND(AVERAGEIFS(Expenses!$F$4:$F998,Expenses!$E$4:$E998,$A13),2)</f>
        <v>205.24</v>
      </c>
      <c r="C13" s="348">
        <f>COUNTIF(Expenses!$E$4:$E998, $A13)</f>
        <v>45</v>
      </c>
      <c r="D13" s="371">
        <f>IFERROR(__xludf.DUMMYFUNCTION("STDEVP(QUERY(Expenses!E:F, ""select F where E='""&amp;$A13&amp;""'"", 0))"),191.20743994073914)</f>
        <v>191.2074399</v>
      </c>
      <c r="E13" s="372">
        <f>MINIFS(Expenses!$F$4:$F998,Expenses!$E$4:$E998,$A13)</f>
        <v>10</v>
      </c>
      <c r="F13" s="372">
        <f>MAXIFS(Expenses!$F$4:$F998,Expenses!$E$4:$E998,$A13)</f>
        <v>864</v>
      </c>
      <c r="G13" s="347" t="str">
        <f t="shared" ref="G13:G18" si="4">"$" &amp; IF($E13&gt; ($B13 - (1.96 * $D13)),$E13,($B13 - (1.96 * $D13))) &amp; " - " &amp; TEXT($B13 + (1.96 * $D13), "$#,##0.00")</f>
        <v>$10 - $580.01</v>
      </c>
      <c r="H13" s="373">
        <f>ROUND((COUNTIF(Expenses!$E$4:$E998, $A13))/(IF((12-MONTH((MIN(Expenses!$A$4:$A998))))&gt;6,2,1)+(((YEAR(MAX(Expenses!$A$4:A998)))-(YEAR(MIN(Expenses!$A$4:A998))+1))*2)+IF(((MONTH(MAX(Expenses!$A$4:A998)))&lt;7),1,2)),2)</f>
        <v>4.09</v>
      </c>
      <c r="I13" s="374">
        <f t="shared" ref="I13:I18" si="5">$B13*$H13</f>
        <v>839.4316</v>
      </c>
      <c r="J13" s="354">
        <f t="shared" ref="J13:J18" si="6">$I13/$C$2</f>
        <v>0.38427691</v>
      </c>
      <c r="K13" s="345"/>
      <c r="L13" s="345"/>
      <c r="M13" s="345"/>
      <c r="N13" s="345"/>
      <c r="O13" s="345"/>
      <c r="P13" s="345"/>
      <c r="Q13" s="345"/>
      <c r="R13" s="345"/>
      <c r="S13" s="345"/>
      <c r="T13" s="345"/>
      <c r="U13" s="345"/>
      <c r="V13" s="345"/>
      <c r="W13" s="345"/>
      <c r="X13" s="345"/>
      <c r="Y13" s="345"/>
      <c r="Z13" s="331"/>
    </row>
    <row r="14">
      <c r="A14" s="375" t="s">
        <v>14</v>
      </c>
      <c r="B14" s="356">
        <f> ROUND(AVERAGEIFS(Expenses!$F$4:$F998,Expenses!$E$4:$E998,$A14),2)</f>
        <v>84.7</v>
      </c>
      <c r="C14" s="357">
        <f>COUNTIF(Expenses!$E$4:$E998, $A14)</f>
        <v>46</v>
      </c>
      <c r="D14" s="358">
        <f>IFERROR(__xludf.DUMMYFUNCTION("STDEVP(QUERY(Expenses!E:F, ""select F where E='""&amp;$A14&amp;""'"", 0))"),75.08635830084447)</f>
        <v>75.0863583</v>
      </c>
      <c r="E14" s="359">
        <f>MINIFS(Expenses!$F$4:$F998,Expenses!$E$4:$E998,$A14)</f>
        <v>11</v>
      </c>
      <c r="F14" s="359">
        <f>MAXIFS(Expenses!$F$4:$F998,Expenses!$E$4:$E998,$A14)</f>
        <v>340</v>
      </c>
      <c r="G14" s="356" t="str">
        <f t="shared" si="4"/>
        <v>$11 - $231.87</v>
      </c>
      <c r="H14" s="373">
        <f>ROUND((COUNTIF(Expenses!$E$4:$E998, $A14))/(IF((12-MONTH((MIN(Expenses!$A$4:$A998))))&gt;6,2,1)+(((YEAR(MAX(Expenses!$A$4:A998)))-(YEAR(MIN(Expenses!$A$4:A998))+1))*2)+IF(((MONTH(MAX(Expenses!$A$4:A998)))&lt;7),1,2)),2)</f>
        <v>4.18</v>
      </c>
      <c r="I14" s="356">
        <f t="shared" si="5"/>
        <v>354.046</v>
      </c>
      <c r="J14" s="354">
        <f t="shared" si="6"/>
        <v>0.1620759844</v>
      </c>
      <c r="K14" s="345"/>
      <c r="L14" s="345"/>
      <c r="M14" s="345"/>
      <c r="N14" s="345"/>
      <c r="O14" s="345"/>
      <c r="P14" s="345"/>
      <c r="Q14" s="345"/>
      <c r="R14" s="345"/>
      <c r="S14" s="345"/>
      <c r="T14" s="345"/>
      <c r="U14" s="345"/>
      <c r="V14" s="345"/>
      <c r="W14" s="345"/>
      <c r="X14" s="345"/>
      <c r="Y14" s="345"/>
      <c r="Z14" s="331"/>
    </row>
    <row r="15">
      <c r="A15" s="355" t="s">
        <v>16</v>
      </c>
      <c r="B15" s="356">
        <f> ROUND(AVERAGEIFS(Expenses!$F$4:$F998,Expenses!$E$4:$E998,$A15),2)</f>
        <v>58.22</v>
      </c>
      <c r="C15" s="357">
        <f>COUNTIF(Expenses!$E$4:$E998, $A15)</f>
        <v>27</v>
      </c>
      <c r="D15" s="358">
        <f>IFERROR(__xludf.DUMMYFUNCTION("STDEVP(QUERY(Expenses!E:F, ""select F where E='""&amp;$A15&amp;""'"", 0))"),14.649821976755113)</f>
        <v>14.64982198</v>
      </c>
      <c r="E15" s="359">
        <f>MINIFS(Expenses!$F$4:$F998,Expenses!$E$4:$E998,$A15)</f>
        <v>54</v>
      </c>
      <c r="F15" s="359">
        <f>MAXIFS(Expenses!$F$4:$F998,Expenses!$E$4:$E998,$A15)</f>
        <v>128</v>
      </c>
      <c r="G15" s="356" t="str">
        <f t="shared" si="4"/>
        <v>$54 - $86.93</v>
      </c>
      <c r="H15" s="373">
        <f>ROUND((COUNTIF(Expenses!$E$4:$E998, $A15))/(IF((12-MONTH((MIN(Expenses!$A$4:$A998))))&gt;6,2,1)+(((YEAR(MAX(Expenses!$A$4:A998)))-(YEAR(MIN(Expenses!$A$4:A998))+1))*2)+IF(((MONTH(MAX(Expenses!$A$4:A998)))&lt;7),1,2)),2)</f>
        <v>2.45</v>
      </c>
      <c r="I15" s="356">
        <f t="shared" si="5"/>
        <v>142.639</v>
      </c>
      <c r="J15" s="354">
        <f t="shared" si="6"/>
        <v>0.06529760634</v>
      </c>
      <c r="K15" s="345"/>
      <c r="L15" s="345"/>
      <c r="M15" s="345"/>
      <c r="N15" s="345"/>
      <c r="O15" s="345"/>
      <c r="P15" s="345"/>
      <c r="Q15" s="345"/>
      <c r="R15" s="345"/>
      <c r="S15" s="345"/>
      <c r="T15" s="345"/>
      <c r="U15" s="345"/>
      <c r="V15" s="345"/>
      <c r="W15" s="345"/>
      <c r="X15" s="345"/>
      <c r="Y15" s="345"/>
      <c r="Z15" s="331"/>
    </row>
    <row r="16">
      <c r="A16" s="355" t="s">
        <v>18</v>
      </c>
      <c r="B16" s="356">
        <f> ROUND(AVERAGEIFS(Expenses!$F$4:$F998,Expenses!$E$4:$E998,$A16),2)</f>
        <v>26.04</v>
      </c>
      <c r="C16" s="357">
        <f>COUNTIF(Expenses!$E$4:$E998, $A16)</f>
        <v>25</v>
      </c>
      <c r="D16" s="358">
        <f>IFERROR(__xludf.DUMMYFUNCTION("STDEVP(QUERY(Expenses!E:F, ""select F where E='""&amp;$A16&amp;""'"", 0))"),8.465629011479301)</f>
        <v>8.465629011</v>
      </c>
      <c r="E16" s="359">
        <f>MINIFS(Expenses!$F$4:$F998,Expenses!$E$4:$E998,$A16)</f>
        <v>12.05</v>
      </c>
      <c r="F16" s="359">
        <f>MAXIFS(Expenses!$F$4:$F998,Expenses!$E$4:$E998,$A16)</f>
        <v>60</v>
      </c>
      <c r="G16" s="356" t="str">
        <f t="shared" si="4"/>
        <v>$12.05 - $42.63</v>
      </c>
      <c r="H16" s="373">
        <f>ROUND((COUNTIF(Expenses!$E$4:$E998, $A16))/(IF((12-MONTH((MIN(Expenses!$A$4:$A998))))&gt;6,2,1)+(((YEAR(MAX(Expenses!$A$4:A998)))-(YEAR(MIN(Expenses!$A$4:A998))+1))*2)+IF(((MONTH(MAX(Expenses!$A$4:A998)))&lt;7),1,2)),2)</f>
        <v>2.27</v>
      </c>
      <c r="I16" s="356">
        <f t="shared" si="5"/>
        <v>59.1108</v>
      </c>
      <c r="J16" s="354">
        <f t="shared" si="6"/>
        <v>0.02705987667</v>
      </c>
      <c r="K16" s="345"/>
      <c r="L16" s="345"/>
      <c r="M16" s="345"/>
      <c r="N16" s="345"/>
      <c r="O16" s="345"/>
      <c r="P16" s="345"/>
      <c r="Q16" s="345"/>
      <c r="R16" s="345"/>
      <c r="S16" s="345"/>
      <c r="T16" s="345"/>
      <c r="U16" s="345"/>
      <c r="V16" s="345"/>
      <c r="W16" s="345"/>
      <c r="X16" s="345"/>
      <c r="Y16" s="345"/>
      <c r="Z16" s="331"/>
    </row>
    <row r="17">
      <c r="A17" s="375" t="s">
        <v>20</v>
      </c>
      <c r="B17" s="356">
        <f> ROUND(AVERAGEIFS(Expenses!$F$4:$F998,Expenses!$E$4:$E998,$A17),2)</f>
        <v>84.24</v>
      </c>
      <c r="C17" s="357">
        <f>COUNTIF(Expenses!$E$4:$E998, $A17)</f>
        <v>46</v>
      </c>
      <c r="D17" s="358">
        <f>IFERROR(__xludf.DUMMYFUNCTION("STDEVP(QUERY(Expenses!E:F, ""select F where E='""&amp;$A17&amp;""'"", 0))"),105.35599644966442)</f>
        <v>105.3559964</v>
      </c>
      <c r="E17" s="359">
        <f>MINIFS(Expenses!$F$4:$F998,Expenses!$E$4:$E998,$A17)</f>
        <v>7.52</v>
      </c>
      <c r="F17" s="359">
        <f>MAXIFS(Expenses!$F$4:$F998,Expenses!$E$4:$E998,$A17)</f>
        <v>581.62</v>
      </c>
      <c r="G17" s="356" t="str">
        <f t="shared" si="4"/>
        <v>$7.52 - $290.74</v>
      </c>
      <c r="H17" s="373">
        <f>ROUND((COUNTIF(Expenses!$E$4:$E998, $A17))/(IF((12-MONTH((MIN(Expenses!$A$4:$A998))))&gt;6,2,1)+(((YEAR(MAX(Expenses!$A$4:A998)))-(YEAR(MIN(Expenses!$A$4:A998))+1))*2)+IF(((MONTH(MAX(Expenses!$A$4:A998)))&lt;7),1,2)),2)</f>
        <v>4.18</v>
      </c>
      <c r="I17" s="356">
        <f t="shared" si="5"/>
        <v>352.1232</v>
      </c>
      <c r="J17" s="354">
        <f t="shared" si="6"/>
        <v>0.1611957606</v>
      </c>
      <c r="K17" s="345"/>
      <c r="L17" s="345"/>
      <c r="M17" s="345"/>
      <c r="N17" s="345"/>
      <c r="O17" s="345"/>
      <c r="P17" s="345"/>
      <c r="Q17" s="345"/>
      <c r="R17" s="345"/>
      <c r="S17" s="345"/>
      <c r="T17" s="345"/>
      <c r="U17" s="345"/>
      <c r="V17" s="345"/>
      <c r="W17" s="345"/>
      <c r="X17" s="345"/>
      <c r="Y17" s="345"/>
      <c r="Z17" s="331"/>
    </row>
    <row r="18">
      <c r="A18" s="361" t="s">
        <v>22</v>
      </c>
      <c r="B18" s="362">
        <f> ROUND(AVERAGEIFS(Expenses!$F$4:$F998,Expenses!$E$4:$E998,$A18),2)</f>
        <v>85.7</v>
      </c>
      <c r="C18" s="363">
        <f>COUNTIF(Expenses!$E$4:$E998, $A18)</f>
        <v>56</v>
      </c>
      <c r="D18" s="364">
        <f>IFERROR(__xludf.DUMMYFUNCTION("STDEVP(QUERY(Expenses!E:F, ""select F where E='""&amp;$A18&amp;""'"", 0))"),110.74552331614278)</f>
        <v>110.7455233</v>
      </c>
      <c r="E18" s="365">
        <f>MINIFS(Expenses!$F$4:$F998,Expenses!$E$4:$E998,$A18)</f>
        <v>7.52</v>
      </c>
      <c r="F18" s="365">
        <f>MAXIFS(Expenses!$F$4:$F998,Expenses!$E$4:$E998,$A18)</f>
        <v>600</v>
      </c>
      <c r="G18" s="362" t="str">
        <f t="shared" si="4"/>
        <v>$7.52 - $302.76</v>
      </c>
      <c r="H18" s="376">
        <f>ROUND((COUNTIF(Expenses!$E$4:$E998, $A18))/(IF((12-MONTH((MIN(Expenses!$A$4:$A998))))&gt;6,2,1)+(((YEAR(MAX(Expenses!$A$4:A998)))-(YEAR(MIN(Expenses!$A$4:A998))+1))*2)+IF(((MONTH(MAX(Expenses!$A$4:A998)))&lt;7),1,2)),2)</f>
        <v>5.09</v>
      </c>
      <c r="I18" s="362">
        <f t="shared" si="5"/>
        <v>436.213</v>
      </c>
      <c r="J18" s="368">
        <f t="shared" si="6"/>
        <v>0.1996905808</v>
      </c>
      <c r="K18" s="345"/>
      <c r="L18" s="345"/>
      <c r="M18" s="345"/>
      <c r="N18" s="345"/>
      <c r="O18" s="345"/>
      <c r="P18" s="345"/>
      <c r="Q18" s="345"/>
      <c r="R18" s="345"/>
      <c r="S18" s="345"/>
      <c r="T18" s="345"/>
      <c r="U18" s="345"/>
      <c r="V18" s="345"/>
      <c r="W18" s="345"/>
      <c r="X18" s="345"/>
      <c r="Y18" s="345"/>
      <c r="Z18" s="331"/>
    </row>
    <row r="19">
      <c r="A19" s="345"/>
      <c r="B19" s="369"/>
      <c r="C19" s="345"/>
      <c r="D19" s="345"/>
      <c r="E19" s="345"/>
      <c r="F19" s="345"/>
      <c r="G19" s="345"/>
      <c r="H19" s="345"/>
      <c r="I19" s="345"/>
      <c r="J19" s="345"/>
      <c r="K19" s="345"/>
      <c r="L19" s="345"/>
      <c r="M19" s="345"/>
      <c r="N19" s="345"/>
      <c r="O19" s="345"/>
      <c r="P19" s="345"/>
      <c r="Q19" s="345"/>
      <c r="R19" s="345"/>
      <c r="S19" s="345"/>
      <c r="T19" s="345"/>
      <c r="U19" s="345"/>
      <c r="V19" s="345"/>
      <c r="W19" s="345"/>
      <c r="X19" s="345"/>
      <c r="Y19" s="345"/>
      <c r="Z19" s="331"/>
    </row>
    <row r="20">
      <c r="A20" s="345"/>
      <c r="B20" s="369"/>
      <c r="C20" s="345"/>
      <c r="D20" s="345"/>
      <c r="E20" s="345"/>
      <c r="F20" s="345"/>
      <c r="G20" s="345"/>
      <c r="H20" s="345"/>
      <c r="I20" s="345"/>
      <c r="J20" s="345"/>
      <c r="K20" s="345"/>
      <c r="L20" s="345"/>
      <c r="M20" s="345"/>
      <c r="N20" s="345"/>
      <c r="O20" s="345"/>
      <c r="P20" s="345"/>
      <c r="Q20" s="345"/>
      <c r="R20" s="345"/>
      <c r="S20" s="345"/>
      <c r="T20" s="345"/>
      <c r="U20" s="345"/>
      <c r="V20" s="345"/>
      <c r="W20" s="345"/>
      <c r="X20" s="345"/>
      <c r="Y20" s="345"/>
      <c r="Z20" s="331"/>
    </row>
    <row r="21">
      <c r="A21" s="345"/>
      <c r="B21" s="369"/>
      <c r="C21" s="345"/>
      <c r="D21" s="345"/>
      <c r="E21" s="345"/>
      <c r="F21" s="345"/>
      <c r="G21" s="345"/>
      <c r="H21" s="345"/>
      <c r="I21" s="345"/>
      <c r="J21" s="345"/>
      <c r="K21" s="345"/>
      <c r="L21" s="345"/>
      <c r="M21" s="345"/>
      <c r="N21" s="345"/>
      <c r="O21" s="345"/>
      <c r="P21" s="345"/>
      <c r="Q21" s="345"/>
      <c r="R21" s="345"/>
      <c r="S21" s="345"/>
      <c r="T21" s="345"/>
      <c r="U21" s="345"/>
      <c r="V21" s="345"/>
      <c r="W21" s="345"/>
      <c r="X21" s="345"/>
      <c r="Y21" s="345"/>
      <c r="Z21" s="331"/>
    </row>
    <row r="22">
      <c r="A22" s="345"/>
      <c r="B22" s="369"/>
      <c r="C22" s="345"/>
      <c r="D22" s="345"/>
      <c r="E22" s="345"/>
      <c r="F22" s="345"/>
      <c r="G22" s="345"/>
      <c r="H22" s="345"/>
      <c r="I22" s="345"/>
      <c r="J22" s="345"/>
      <c r="K22" s="345"/>
      <c r="L22" s="345"/>
      <c r="M22" s="345"/>
      <c r="N22" s="345"/>
      <c r="O22" s="345"/>
      <c r="P22" s="345"/>
      <c r="Q22" s="345"/>
      <c r="R22" s="345"/>
      <c r="S22" s="345"/>
      <c r="T22" s="345"/>
      <c r="U22" s="345"/>
      <c r="V22" s="345"/>
      <c r="W22" s="345"/>
      <c r="X22" s="345"/>
      <c r="Y22" s="345"/>
      <c r="Z22" s="331"/>
    </row>
    <row r="23">
      <c r="A23" s="345"/>
      <c r="B23" s="369"/>
      <c r="C23" s="345"/>
      <c r="D23" s="345"/>
      <c r="E23" s="345"/>
      <c r="F23" s="345"/>
      <c r="G23" s="345"/>
      <c r="H23" s="345"/>
      <c r="I23" s="345"/>
      <c r="J23" s="345"/>
      <c r="K23" s="345"/>
      <c r="L23" s="345"/>
      <c r="M23" s="345"/>
      <c r="N23" s="345"/>
      <c r="O23" s="345"/>
      <c r="P23" s="345"/>
      <c r="Q23" s="345"/>
      <c r="R23" s="345"/>
      <c r="S23" s="345"/>
      <c r="T23" s="345"/>
      <c r="U23" s="345"/>
      <c r="V23" s="345"/>
      <c r="W23" s="345"/>
      <c r="X23" s="345"/>
      <c r="Y23" s="345"/>
      <c r="Z23" s="331"/>
    </row>
    <row r="24">
      <c r="A24" s="345"/>
      <c r="B24" s="369"/>
      <c r="C24" s="345"/>
      <c r="D24" s="345"/>
      <c r="E24" s="345"/>
      <c r="F24" s="345"/>
      <c r="G24" s="345"/>
      <c r="H24" s="345"/>
      <c r="I24" s="345"/>
      <c r="J24" s="345"/>
      <c r="K24" s="345"/>
      <c r="L24" s="345"/>
      <c r="M24" s="345"/>
      <c r="N24" s="345"/>
      <c r="O24" s="345"/>
      <c r="P24" s="345"/>
      <c r="Q24" s="345"/>
      <c r="R24" s="345"/>
      <c r="S24" s="345"/>
      <c r="T24" s="345"/>
      <c r="U24" s="345"/>
      <c r="V24" s="345"/>
      <c r="W24" s="345"/>
      <c r="X24" s="345"/>
      <c r="Y24" s="345"/>
      <c r="Z24" s="331"/>
    </row>
    <row r="25">
      <c r="A25" s="345"/>
      <c r="B25" s="369"/>
      <c r="C25" s="345"/>
      <c r="D25" s="345"/>
      <c r="E25" s="345"/>
      <c r="F25" s="345"/>
      <c r="G25" s="345"/>
      <c r="H25" s="345"/>
      <c r="I25" s="345"/>
      <c r="J25" s="345"/>
      <c r="K25" s="345"/>
      <c r="L25" s="345"/>
      <c r="M25" s="345"/>
      <c r="N25" s="345"/>
      <c r="O25" s="345"/>
      <c r="P25" s="345"/>
      <c r="Q25" s="345"/>
      <c r="R25" s="345"/>
      <c r="S25" s="345"/>
      <c r="T25" s="345"/>
      <c r="U25" s="345"/>
      <c r="V25" s="345"/>
      <c r="W25" s="345"/>
      <c r="X25" s="345"/>
      <c r="Y25" s="345"/>
      <c r="Z25" s="331"/>
    </row>
    <row r="26">
      <c r="A26" s="345"/>
      <c r="B26" s="369"/>
      <c r="C26" s="345"/>
      <c r="D26" s="345"/>
      <c r="E26" s="345"/>
      <c r="F26" s="345"/>
      <c r="G26" s="345"/>
      <c r="H26" s="345"/>
      <c r="I26" s="345"/>
      <c r="J26" s="345"/>
      <c r="K26" s="345"/>
      <c r="L26" s="345"/>
      <c r="M26" s="345"/>
      <c r="N26" s="345"/>
      <c r="O26" s="345"/>
      <c r="P26" s="345"/>
      <c r="Q26" s="345"/>
      <c r="R26" s="345"/>
      <c r="S26" s="345"/>
      <c r="T26" s="345"/>
      <c r="U26" s="345"/>
      <c r="V26" s="345"/>
      <c r="W26" s="345"/>
      <c r="X26" s="345"/>
      <c r="Y26" s="345"/>
      <c r="Z26" s="331"/>
    </row>
    <row r="27">
      <c r="A27" s="345"/>
      <c r="B27" s="369"/>
      <c r="C27" s="345"/>
      <c r="D27" s="345"/>
      <c r="E27" s="345"/>
      <c r="F27" s="345"/>
      <c r="G27" s="345"/>
      <c r="H27" s="345"/>
      <c r="I27" s="345"/>
      <c r="J27" s="345"/>
      <c r="K27" s="345"/>
      <c r="L27" s="345"/>
      <c r="M27" s="345"/>
      <c r="N27" s="345"/>
      <c r="O27" s="345"/>
      <c r="P27" s="345"/>
      <c r="Q27" s="345"/>
      <c r="R27" s="345"/>
      <c r="S27" s="345"/>
      <c r="T27" s="345"/>
      <c r="U27" s="345"/>
      <c r="V27" s="345"/>
      <c r="W27" s="345"/>
      <c r="X27" s="345"/>
      <c r="Y27" s="345"/>
      <c r="Z27" s="331"/>
    </row>
    <row r="28">
      <c r="A28" s="345"/>
      <c r="B28" s="369"/>
      <c r="C28" s="345"/>
      <c r="D28" s="345"/>
      <c r="E28" s="345"/>
      <c r="F28" s="345"/>
      <c r="G28" s="345"/>
      <c r="H28" s="345"/>
      <c r="I28" s="345"/>
      <c r="J28" s="345"/>
      <c r="K28" s="345"/>
      <c r="L28" s="345"/>
      <c r="M28" s="345"/>
      <c r="N28" s="345"/>
      <c r="O28" s="345"/>
      <c r="P28" s="345"/>
      <c r="Q28" s="345"/>
      <c r="R28" s="345"/>
      <c r="S28" s="345"/>
      <c r="T28" s="345"/>
      <c r="U28" s="345"/>
      <c r="V28" s="345"/>
      <c r="W28" s="345"/>
      <c r="X28" s="345"/>
      <c r="Y28" s="345"/>
      <c r="Z28" s="331"/>
    </row>
    <row r="29">
      <c r="A29" s="345"/>
      <c r="B29" s="369"/>
      <c r="C29" s="345"/>
      <c r="D29" s="345"/>
      <c r="E29" s="345"/>
      <c r="F29" s="345"/>
      <c r="G29" s="345"/>
      <c r="H29" s="345"/>
      <c r="I29" s="345"/>
      <c r="J29" s="345"/>
      <c r="K29" s="345"/>
      <c r="L29" s="345"/>
      <c r="M29" s="345"/>
      <c r="N29" s="345"/>
      <c r="O29" s="345"/>
      <c r="P29" s="345"/>
      <c r="Q29" s="345"/>
      <c r="R29" s="345"/>
      <c r="S29" s="345"/>
      <c r="T29" s="345"/>
      <c r="U29" s="345"/>
      <c r="V29" s="345"/>
      <c r="W29" s="345"/>
      <c r="X29" s="345"/>
      <c r="Y29" s="345"/>
      <c r="Z29" s="331"/>
    </row>
    <row r="30">
      <c r="A30" s="345"/>
      <c r="B30" s="369"/>
      <c r="C30" s="345"/>
      <c r="D30" s="345"/>
      <c r="E30" s="345"/>
      <c r="F30" s="345"/>
      <c r="G30" s="345"/>
      <c r="H30" s="345"/>
      <c r="I30" s="345"/>
      <c r="J30" s="345"/>
      <c r="K30" s="345"/>
      <c r="L30" s="345"/>
      <c r="M30" s="345"/>
      <c r="N30" s="345"/>
      <c r="O30" s="345"/>
      <c r="P30" s="345"/>
      <c r="Q30" s="345"/>
      <c r="R30" s="345"/>
      <c r="S30" s="345"/>
      <c r="T30" s="345"/>
      <c r="U30" s="345"/>
      <c r="V30" s="345"/>
      <c r="W30" s="345"/>
      <c r="X30" s="345"/>
      <c r="Y30" s="345"/>
      <c r="Z30" s="331"/>
    </row>
    <row r="31">
      <c r="A31" s="345"/>
      <c r="B31" s="369"/>
      <c r="C31" s="345"/>
      <c r="D31" s="345"/>
      <c r="E31" s="345"/>
      <c r="F31" s="345"/>
      <c r="G31" s="345"/>
      <c r="H31" s="345"/>
      <c r="I31" s="345"/>
      <c r="J31" s="345"/>
      <c r="K31" s="345"/>
      <c r="L31" s="345"/>
      <c r="M31" s="345"/>
      <c r="N31" s="345"/>
      <c r="O31" s="345"/>
      <c r="P31" s="345"/>
      <c r="Q31" s="345"/>
      <c r="R31" s="345"/>
      <c r="S31" s="345"/>
      <c r="T31" s="345"/>
      <c r="U31" s="345"/>
      <c r="V31" s="345"/>
      <c r="W31" s="345"/>
      <c r="X31" s="345"/>
      <c r="Y31" s="345"/>
      <c r="Z31" s="331"/>
    </row>
    <row r="32">
      <c r="A32" s="345"/>
      <c r="B32" s="369"/>
      <c r="C32" s="345"/>
      <c r="D32" s="345"/>
      <c r="E32" s="345"/>
      <c r="F32" s="345"/>
      <c r="G32" s="345"/>
      <c r="H32" s="345"/>
      <c r="I32" s="345"/>
      <c r="J32" s="345"/>
      <c r="K32" s="345"/>
      <c r="L32" s="345"/>
      <c r="M32" s="345"/>
      <c r="N32" s="345"/>
      <c r="O32" s="345"/>
      <c r="P32" s="345"/>
      <c r="Q32" s="345"/>
      <c r="R32" s="345"/>
      <c r="S32" s="345"/>
      <c r="T32" s="345"/>
      <c r="U32" s="345"/>
      <c r="V32" s="345"/>
      <c r="W32" s="345"/>
      <c r="X32" s="345"/>
      <c r="Y32" s="345"/>
      <c r="Z32" s="331"/>
    </row>
    <row r="33">
      <c r="A33" s="345"/>
      <c r="B33" s="369"/>
      <c r="C33" s="345"/>
      <c r="D33" s="345"/>
      <c r="E33" s="345"/>
      <c r="F33" s="345"/>
      <c r="G33" s="345"/>
      <c r="H33" s="345"/>
      <c r="I33" s="345"/>
      <c r="J33" s="345"/>
      <c r="K33" s="345"/>
      <c r="L33" s="345"/>
      <c r="M33" s="345"/>
      <c r="N33" s="345"/>
      <c r="O33" s="345"/>
      <c r="P33" s="345"/>
      <c r="Q33" s="345"/>
      <c r="R33" s="345"/>
      <c r="S33" s="345"/>
      <c r="T33" s="345"/>
      <c r="U33" s="345"/>
      <c r="V33" s="345"/>
      <c r="W33" s="345"/>
      <c r="X33" s="345"/>
      <c r="Y33" s="345"/>
      <c r="Z33" s="331"/>
    </row>
    <row r="34">
      <c r="A34" s="345"/>
      <c r="B34" s="369"/>
      <c r="C34" s="345"/>
      <c r="D34" s="345"/>
      <c r="E34" s="345"/>
      <c r="F34" s="345"/>
      <c r="G34" s="345"/>
      <c r="H34" s="345"/>
      <c r="I34" s="345"/>
      <c r="J34" s="345"/>
      <c r="K34" s="345"/>
      <c r="L34" s="345"/>
      <c r="M34" s="345"/>
      <c r="N34" s="345"/>
      <c r="O34" s="345"/>
      <c r="P34" s="345"/>
      <c r="Q34" s="345"/>
      <c r="R34" s="345"/>
      <c r="S34" s="345"/>
      <c r="T34" s="345"/>
      <c r="U34" s="345"/>
      <c r="V34" s="345"/>
      <c r="W34" s="345"/>
      <c r="X34" s="345"/>
      <c r="Y34" s="345"/>
      <c r="Z34" s="331"/>
    </row>
    <row r="35">
      <c r="A35" s="345"/>
      <c r="B35" s="369"/>
      <c r="C35" s="345"/>
      <c r="D35" s="345"/>
      <c r="E35" s="345"/>
      <c r="F35" s="345"/>
      <c r="G35" s="345"/>
      <c r="H35" s="345"/>
      <c r="I35" s="345"/>
      <c r="J35" s="345"/>
      <c r="K35" s="345"/>
      <c r="L35" s="345"/>
      <c r="M35" s="345"/>
      <c r="N35" s="345"/>
      <c r="O35" s="345"/>
      <c r="P35" s="345"/>
      <c r="Q35" s="345"/>
      <c r="R35" s="345"/>
      <c r="S35" s="345"/>
      <c r="T35" s="345"/>
      <c r="U35" s="345"/>
      <c r="V35" s="345"/>
      <c r="W35" s="345"/>
      <c r="X35" s="345"/>
      <c r="Y35" s="345"/>
      <c r="Z35" s="331"/>
    </row>
    <row r="36">
      <c r="A36" s="345"/>
      <c r="B36" s="369"/>
      <c r="C36" s="345"/>
      <c r="D36" s="345"/>
      <c r="E36" s="345"/>
      <c r="F36" s="345"/>
      <c r="G36" s="345"/>
      <c r="H36" s="345"/>
      <c r="I36" s="345"/>
      <c r="J36" s="345"/>
      <c r="K36" s="345"/>
      <c r="L36" s="345"/>
      <c r="M36" s="345"/>
      <c r="N36" s="345"/>
      <c r="O36" s="345"/>
      <c r="P36" s="345"/>
      <c r="Q36" s="345"/>
      <c r="R36" s="345"/>
      <c r="S36" s="345"/>
      <c r="T36" s="345"/>
      <c r="U36" s="345"/>
      <c r="V36" s="345"/>
      <c r="W36" s="345"/>
      <c r="X36" s="345"/>
      <c r="Y36" s="345"/>
      <c r="Z36" s="331"/>
    </row>
    <row r="37">
      <c r="A37" s="345"/>
      <c r="B37" s="369"/>
      <c r="C37" s="345"/>
      <c r="D37" s="345"/>
      <c r="E37" s="345"/>
      <c r="F37" s="345"/>
      <c r="G37" s="345"/>
      <c r="H37" s="345"/>
      <c r="I37" s="345"/>
      <c r="J37" s="345"/>
      <c r="K37" s="345"/>
      <c r="L37" s="345"/>
      <c r="M37" s="345"/>
      <c r="N37" s="345"/>
      <c r="O37" s="345"/>
      <c r="P37" s="345"/>
      <c r="Q37" s="345"/>
      <c r="R37" s="345"/>
      <c r="S37" s="345"/>
      <c r="T37" s="345"/>
      <c r="U37" s="345"/>
      <c r="V37" s="345"/>
      <c r="W37" s="345"/>
      <c r="X37" s="345"/>
      <c r="Y37" s="345"/>
      <c r="Z37" s="331"/>
    </row>
    <row r="38">
      <c r="A38" s="345"/>
      <c r="B38" s="369"/>
      <c r="C38" s="345"/>
      <c r="D38" s="345"/>
      <c r="E38" s="345"/>
      <c r="F38" s="345"/>
      <c r="G38" s="345"/>
      <c r="H38" s="345"/>
      <c r="I38" s="345"/>
      <c r="J38" s="345"/>
      <c r="K38" s="345"/>
      <c r="L38" s="345"/>
      <c r="M38" s="345"/>
      <c r="N38" s="345"/>
      <c r="O38" s="345"/>
      <c r="P38" s="345"/>
      <c r="Q38" s="345"/>
      <c r="R38" s="345"/>
      <c r="S38" s="345"/>
      <c r="T38" s="345"/>
      <c r="U38" s="345"/>
      <c r="V38" s="345"/>
      <c r="W38" s="345"/>
      <c r="X38" s="345"/>
      <c r="Y38" s="345"/>
      <c r="Z38" s="331"/>
    </row>
    <row r="39">
      <c r="A39" s="345"/>
      <c r="B39" s="369"/>
      <c r="C39" s="345"/>
      <c r="D39" s="345"/>
      <c r="E39" s="345"/>
      <c r="F39" s="345"/>
      <c r="G39" s="345"/>
      <c r="H39" s="345"/>
      <c r="I39" s="345"/>
      <c r="J39" s="345"/>
      <c r="K39" s="345"/>
      <c r="L39" s="345"/>
      <c r="M39" s="345"/>
      <c r="N39" s="345"/>
      <c r="O39" s="345"/>
      <c r="P39" s="345"/>
      <c r="Q39" s="345"/>
      <c r="R39" s="345"/>
      <c r="S39" s="345"/>
      <c r="T39" s="345"/>
      <c r="U39" s="345"/>
      <c r="V39" s="345"/>
      <c r="W39" s="345"/>
      <c r="X39" s="345"/>
      <c r="Y39" s="345"/>
      <c r="Z39" s="331"/>
    </row>
    <row r="40">
      <c r="A40" s="345"/>
      <c r="B40" s="369"/>
      <c r="C40" s="345"/>
      <c r="D40" s="345"/>
      <c r="E40" s="345"/>
      <c r="F40" s="345"/>
      <c r="G40" s="345"/>
      <c r="H40" s="345"/>
      <c r="I40" s="345"/>
      <c r="J40" s="345"/>
      <c r="K40" s="345"/>
      <c r="L40" s="345"/>
      <c r="M40" s="345"/>
      <c r="N40" s="345"/>
      <c r="O40" s="345"/>
      <c r="P40" s="345"/>
      <c r="Q40" s="345"/>
      <c r="R40" s="345"/>
      <c r="S40" s="345"/>
      <c r="T40" s="345"/>
      <c r="U40" s="345"/>
      <c r="V40" s="345"/>
      <c r="W40" s="345"/>
      <c r="X40" s="345"/>
      <c r="Y40" s="345"/>
      <c r="Z40" s="331"/>
    </row>
    <row r="41">
      <c r="A41" s="345"/>
      <c r="B41" s="369"/>
      <c r="C41" s="345"/>
      <c r="D41" s="345"/>
      <c r="E41" s="345"/>
      <c r="F41" s="345"/>
      <c r="G41" s="345"/>
      <c r="H41" s="345"/>
      <c r="I41" s="345"/>
      <c r="J41" s="345"/>
      <c r="K41" s="345"/>
      <c r="L41" s="345"/>
      <c r="M41" s="345"/>
      <c r="N41" s="345"/>
      <c r="O41" s="345"/>
      <c r="P41" s="345"/>
      <c r="Q41" s="345"/>
      <c r="R41" s="345"/>
      <c r="S41" s="345"/>
      <c r="T41" s="345"/>
      <c r="U41" s="345"/>
      <c r="V41" s="345"/>
      <c r="W41" s="345"/>
      <c r="X41" s="345"/>
      <c r="Y41" s="345"/>
      <c r="Z41" s="331"/>
    </row>
    <row r="42">
      <c r="A42" s="345"/>
      <c r="B42" s="369"/>
      <c r="C42" s="345"/>
      <c r="D42" s="345"/>
      <c r="E42" s="345"/>
      <c r="F42" s="345"/>
      <c r="G42" s="345"/>
      <c r="H42" s="345"/>
      <c r="I42" s="345"/>
      <c r="J42" s="345"/>
      <c r="K42" s="345"/>
      <c r="L42" s="345"/>
      <c r="M42" s="345"/>
      <c r="N42" s="345"/>
      <c r="O42" s="345"/>
      <c r="P42" s="345"/>
      <c r="Q42" s="345"/>
      <c r="R42" s="345"/>
      <c r="S42" s="345"/>
      <c r="T42" s="345"/>
      <c r="U42" s="345"/>
      <c r="V42" s="345"/>
      <c r="W42" s="345"/>
      <c r="X42" s="345"/>
      <c r="Y42" s="345"/>
      <c r="Z42" s="331"/>
    </row>
    <row r="43">
      <c r="A43" s="345"/>
      <c r="B43" s="369"/>
      <c r="C43" s="345"/>
      <c r="D43" s="345"/>
      <c r="E43" s="345"/>
      <c r="F43" s="345"/>
      <c r="G43" s="345"/>
      <c r="H43" s="345"/>
      <c r="I43" s="345"/>
      <c r="J43" s="345"/>
      <c r="K43" s="345"/>
      <c r="L43" s="345"/>
      <c r="M43" s="345"/>
      <c r="N43" s="345"/>
      <c r="O43" s="345"/>
      <c r="P43" s="345"/>
      <c r="Q43" s="345"/>
      <c r="R43" s="345"/>
      <c r="S43" s="345"/>
      <c r="T43" s="345"/>
      <c r="U43" s="345"/>
      <c r="V43" s="345"/>
      <c r="W43" s="345"/>
      <c r="X43" s="345"/>
      <c r="Y43" s="345"/>
      <c r="Z43" s="331"/>
    </row>
    <row r="44">
      <c r="A44" s="345"/>
      <c r="B44" s="369"/>
      <c r="C44" s="345"/>
      <c r="D44" s="345"/>
      <c r="E44" s="345"/>
      <c r="F44" s="345"/>
      <c r="G44" s="345"/>
      <c r="H44" s="345"/>
      <c r="I44" s="345"/>
      <c r="J44" s="345"/>
      <c r="K44" s="345"/>
      <c r="L44" s="345"/>
      <c r="M44" s="345"/>
      <c r="N44" s="345"/>
      <c r="O44" s="345"/>
      <c r="P44" s="345"/>
      <c r="Q44" s="345"/>
      <c r="R44" s="345"/>
      <c r="S44" s="345"/>
      <c r="T44" s="345"/>
      <c r="U44" s="345"/>
      <c r="V44" s="345"/>
      <c r="W44" s="345"/>
      <c r="X44" s="345"/>
      <c r="Y44" s="345"/>
      <c r="Z44" s="331"/>
    </row>
    <row r="45">
      <c r="A45" s="345"/>
      <c r="B45" s="369"/>
      <c r="C45" s="345"/>
      <c r="D45" s="345"/>
      <c r="E45" s="345"/>
      <c r="F45" s="345"/>
      <c r="G45" s="345"/>
      <c r="H45" s="345"/>
      <c r="I45" s="345"/>
      <c r="J45" s="345"/>
      <c r="K45" s="345"/>
      <c r="L45" s="345"/>
      <c r="M45" s="345"/>
      <c r="N45" s="345"/>
      <c r="O45" s="345"/>
      <c r="P45" s="345"/>
      <c r="Q45" s="345"/>
      <c r="R45" s="345"/>
      <c r="S45" s="345"/>
      <c r="T45" s="345"/>
      <c r="U45" s="345"/>
      <c r="V45" s="345"/>
      <c r="W45" s="345"/>
      <c r="X45" s="345"/>
      <c r="Y45" s="345"/>
      <c r="Z45" s="331"/>
    </row>
    <row r="46">
      <c r="A46" s="345"/>
      <c r="B46" s="369"/>
      <c r="C46" s="345"/>
      <c r="D46" s="345"/>
      <c r="E46" s="345"/>
      <c r="F46" s="345"/>
      <c r="G46" s="345"/>
      <c r="H46" s="345"/>
      <c r="I46" s="345"/>
      <c r="J46" s="345"/>
      <c r="K46" s="345"/>
      <c r="L46" s="345"/>
      <c r="M46" s="345"/>
      <c r="N46" s="345"/>
      <c r="O46" s="345"/>
      <c r="P46" s="345"/>
      <c r="Q46" s="345"/>
      <c r="R46" s="345"/>
      <c r="S46" s="345"/>
      <c r="T46" s="345"/>
      <c r="U46" s="345"/>
      <c r="V46" s="345"/>
      <c r="W46" s="345"/>
      <c r="X46" s="345"/>
      <c r="Y46" s="345"/>
      <c r="Z46" s="331"/>
    </row>
    <row r="47">
      <c r="A47" s="345"/>
      <c r="B47" s="369"/>
      <c r="C47" s="345"/>
      <c r="D47" s="345"/>
      <c r="E47" s="345"/>
      <c r="F47" s="345"/>
      <c r="G47" s="345"/>
      <c r="H47" s="345"/>
      <c r="I47" s="345"/>
      <c r="J47" s="345"/>
      <c r="K47" s="345"/>
      <c r="L47" s="345"/>
      <c r="M47" s="345"/>
      <c r="N47" s="345"/>
      <c r="O47" s="345"/>
      <c r="P47" s="345"/>
      <c r="Q47" s="345"/>
      <c r="R47" s="345"/>
      <c r="S47" s="345"/>
      <c r="T47" s="345"/>
      <c r="U47" s="345"/>
      <c r="V47" s="345"/>
      <c r="W47" s="345"/>
      <c r="X47" s="345"/>
      <c r="Y47" s="345"/>
      <c r="Z47" s="331"/>
    </row>
    <row r="48">
      <c r="A48" s="345"/>
      <c r="B48" s="369"/>
      <c r="C48" s="345"/>
      <c r="D48" s="345"/>
      <c r="E48" s="345"/>
      <c r="F48" s="345"/>
      <c r="G48" s="345"/>
      <c r="H48" s="345"/>
      <c r="I48" s="345"/>
      <c r="J48" s="345"/>
      <c r="K48" s="345"/>
      <c r="L48" s="345"/>
      <c r="M48" s="345"/>
      <c r="N48" s="345"/>
      <c r="O48" s="345"/>
      <c r="P48" s="345"/>
      <c r="Q48" s="345"/>
      <c r="R48" s="345"/>
      <c r="S48" s="345"/>
      <c r="T48" s="345"/>
      <c r="U48" s="345"/>
      <c r="V48" s="345"/>
      <c r="W48" s="345"/>
      <c r="X48" s="345"/>
      <c r="Y48" s="345"/>
      <c r="Z48" s="331"/>
    </row>
    <row r="49">
      <c r="A49" s="345"/>
      <c r="B49" s="369"/>
      <c r="C49" s="345"/>
      <c r="D49" s="345"/>
      <c r="E49" s="345"/>
      <c r="F49" s="345"/>
      <c r="G49" s="345"/>
      <c r="H49" s="345"/>
      <c r="I49" s="345"/>
      <c r="J49" s="345"/>
      <c r="K49" s="345"/>
      <c r="L49" s="345"/>
      <c r="M49" s="345"/>
      <c r="N49" s="345"/>
      <c r="O49" s="345"/>
      <c r="P49" s="345"/>
      <c r="Q49" s="345"/>
      <c r="R49" s="345"/>
      <c r="S49" s="345"/>
      <c r="T49" s="345"/>
      <c r="U49" s="345"/>
      <c r="V49" s="345"/>
      <c r="W49" s="345"/>
      <c r="X49" s="345"/>
      <c r="Y49" s="345"/>
      <c r="Z49" s="331"/>
    </row>
    <row r="50">
      <c r="A50" s="345"/>
      <c r="B50" s="369"/>
      <c r="C50" s="345"/>
      <c r="D50" s="345"/>
      <c r="E50" s="345"/>
      <c r="F50" s="345"/>
      <c r="G50" s="345"/>
      <c r="H50" s="345"/>
      <c r="I50" s="345"/>
      <c r="J50" s="345"/>
      <c r="K50" s="345"/>
      <c r="L50" s="345"/>
      <c r="M50" s="345"/>
      <c r="N50" s="345"/>
      <c r="O50" s="345"/>
      <c r="P50" s="345"/>
      <c r="Q50" s="345"/>
      <c r="R50" s="345"/>
      <c r="S50" s="345"/>
      <c r="T50" s="345"/>
      <c r="U50" s="345"/>
      <c r="V50" s="345"/>
      <c r="W50" s="345"/>
      <c r="X50" s="345"/>
      <c r="Y50" s="345"/>
      <c r="Z50" s="331"/>
    </row>
    <row r="51">
      <c r="A51" s="345"/>
      <c r="B51" s="369"/>
      <c r="C51" s="345"/>
      <c r="D51" s="345"/>
      <c r="E51" s="345"/>
      <c r="F51" s="345"/>
      <c r="G51" s="345"/>
      <c r="H51" s="345"/>
      <c r="I51" s="345"/>
      <c r="J51" s="345"/>
      <c r="K51" s="345"/>
      <c r="L51" s="345"/>
      <c r="M51" s="345"/>
      <c r="N51" s="345"/>
      <c r="O51" s="345"/>
      <c r="P51" s="345"/>
      <c r="Q51" s="345"/>
      <c r="R51" s="345"/>
      <c r="S51" s="345"/>
      <c r="T51" s="345"/>
      <c r="U51" s="345"/>
      <c r="V51" s="345"/>
      <c r="W51" s="345"/>
      <c r="X51" s="345"/>
      <c r="Y51" s="345"/>
      <c r="Z51" s="331"/>
    </row>
    <row r="52">
      <c r="A52" s="345"/>
      <c r="B52" s="369"/>
      <c r="C52" s="345"/>
      <c r="D52" s="345"/>
      <c r="E52" s="345"/>
      <c r="F52" s="345"/>
      <c r="G52" s="345"/>
      <c r="H52" s="345"/>
      <c r="I52" s="345"/>
      <c r="J52" s="345"/>
      <c r="K52" s="345"/>
      <c r="L52" s="345"/>
      <c r="M52" s="345"/>
      <c r="N52" s="345"/>
      <c r="O52" s="345"/>
      <c r="P52" s="345"/>
      <c r="Q52" s="345"/>
      <c r="R52" s="345"/>
      <c r="S52" s="345"/>
      <c r="T52" s="345"/>
      <c r="U52" s="345"/>
      <c r="V52" s="345"/>
      <c r="W52" s="345"/>
      <c r="X52" s="345"/>
      <c r="Y52" s="345"/>
      <c r="Z52" s="331"/>
    </row>
    <row r="53">
      <c r="A53" s="345"/>
      <c r="B53" s="369"/>
      <c r="C53" s="345"/>
      <c r="D53" s="345"/>
      <c r="E53" s="345"/>
      <c r="F53" s="345"/>
      <c r="G53" s="345"/>
      <c r="H53" s="345"/>
      <c r="I53" s="345"/>
      <c r="J53" s="345"/>
      <c r="K53" s="345"/>
      <c r="L53" s="345"/>
      <c r="M53" s="345"/>
      <c r="N53" s="345"/>
      <c r="O53" s="345"/>
      <c r="P53" s="345"/>
      <c r="Q53" s="345"/>
      <c r="R53" s="345"/>
      <c r="S53" s="345"/>
      <c r="T53" s="345"/>
      <c r="U53" s="345"/>
      <c r="V53" s="345"/>
      <c r="W53" s="345"/>
      <c r="X53" s="345"/>
      <c r="Y53" s="345"/>
      <c r="Z53" s="331"/>
    </row>
    <row r="54">
      <c r="A54" s="345"/>
      <c r="B54" s="369"/>
      <c r="C54" s="345"/>
      <c r="D54" s="345"/>
      <c r="E54" s="345"/>
      <c r="F54" s="345"/>
      <c r="G54" s="345"/>
      <c r="H54" s="345"/>
      <c r="I54" s="345"/>
      <c r="J54" s="345"/>
      <c r="K54" s="345"/>
      <c r="L54" s="345"/>
      <c r="M54" s="345"/>
      <c r="N54" s="345"/>
      <c r="O54" s="345"/>
      <c r="P54" s="345"/>
      <c r="Q54" s="345"/>
      <c r="R54" s="345"/>
      <c r="S54" s="345"/>
      <c r="T54" s="345"/>
      <c r="U54" s="345"/>
      <c r="V54" s="345"/>
      <c r="W54" s="345"/>
      <c r="X54" s="345"/>
      <c r="Y54" s="345"/>
      <c r="Z54" s="331"/>
    </row>
    <row r="55">
      <c r="A55" s="345"/>
      <c r="B55" s="369"/>
      <c r="C55" s="345"/>
      <c r="D55" s="345"/>
      <c r="E55" s="345"/>
      <c r="F55" s="345"/>
      <c r="G55" s="345"/>
      <c r="H55" s="345"/>
      <c r="I55" s="345"/>
      <c r="J55" s="345"/>
      <c r="K55" s="345"/>
      <c r="L55" s="345"/>
      <c r="M55" s="345"/>
      <c r="N55" s="345"/>
      <c r="O55" s="345"/>
      <c r="P55" s="345"/>
      <c r="Q55" s="345"/>
      <c r="R55" s="345"/>
      <c r="S55" s="345"/>
      <c r="T55" s="345"/>
      <c r="U55" s="345"/>
      <c r="V55" s="345"/>
      <c r="W55" s="345"/>
      <c r="X55" s="345"/>
      <c r="Y55" s="345"/>
      <c r="Z55" s="331"/>
    </row>
    <row r="56">
      <c r="A56" s="345"/>
      <c r="B56" s="369"/>
      <c r="C56" s="345"/>
      <c r="D56" s="345"/>
      <c r="E56" s="345"/>
      <c r="F56" s="345"/>
      <c r="G56" s="345"/>
      <c r="H56" s="345"/>
      <c r="I56" s="345"/>
      <c r="J56" s="345"/>
      <c r="K56" s="345"/>
      <c r="L56" s="345"/>
      <c r="M56" s="345"/>
      <c r="N56" s="345"/>
      <c r="O56" s="345"/>
      <c r="P56" s="345"/>
      <c r="Q56" s="345"/>
      <c r="R56" s="345"/>
      <c r="S56" s="345"/>
      <c r="T56" s="345"/>
      <c r="U56" s="345"/>
      <c r="V56" s="345"/>
      <c r="W56" s="345"/>
      <c r="X56" s="345"/>
      <c r="Y56" s="345"/>
      <c r="Z56" s="331"/>
    </row>
    <row r="57">
      <c r="A57" s="345"/>
      <c r="B57" s="369"/>
      <c r="C57" s="345"/>
      <c r="D57" s="345"/>
      <c r="E57" s="345"/>
      <c r="F57" s="345"/>
      <c r="G57" s="345"/>
      <c r="H57" s="345"/>
      <c r="I57" s="345"/>
      <c r="J57" s="345"/>
      <c r="K57" s="345"/>
      <c r="L57" s="345"/>
      <c r="M57" s="345"/>
      <c r="N57" s="345"/>
      <c r="O57" s="345"/>
      <c r="P57" s="345"/>
      <c r="Q57" s="345"/>
      <c r="R57" s="345"/>
      <c r="S57" s="345"/>
      <c r="T57" s="345"/>
      <c r="U57" s="345"/>
      <c r="V57" s="345"/>
      <c r="W57" s="345"/>
      <c r="X57" s="345"/>
      <c r="Y57" s="345"/>
      <c r="Z57" s="331"/>
    </row>
    <row r="58">
      <c r="A58" s="345"/>
      <c r="B58" s="369"/>
      <c r="C58" s="345"/>
      <c r="D58" s="345"/>
      <c r="E58" s="345"/>
      <c r="F58" s="345"/>
      <c r="G58" s="345"/>
      <c r="H58" s="345"/>
      <c r="I58" s="345"/>
      <c r="J58" s="345"/>
      <c r="K58" s="345"/>
      <c r="L58" s="345"/>
      <c r="M58" s="345"/>
      <c r="N58" s="345"/>
      <c r="O58" s="345"/>
      <c r="P58" s="345"/>
      <c r="Q58" s="345"/>
      <c r="R58" s="345"/>
      <c r="S58" s="345"/>
      <c r="T58" s="345"/>
      <c r="U58" s="345"/>
      <c r="V58" s="345"/>
      <c r="W58" s="345"/>
      <c r="X58" s="345"/>
      <c r="Y58" s="345"/>
      <c r="Z58" s="331"/>
    </row>
    <row r="59">
      <c r="A59" s="345"/>
      <c r="B59" s="369"/>
      <c r="C59" s="345"/>
      <c r="D59" s="345"/>
      <c r="E59" s="345"/>
      <c r="F59" s="345"/>
      <c r="G59" s="345"/>
      <c r="H59" s="345"/>
      <c r="I59" s="345"/>
      <c r="J59" s="345"/>
      <c r="K59" s="345"/>
      <c r="L59" s="345"/>
      <c r="M59" s="345"/>
      <c r="N59" s="345"/>
      <c r="O59" s="345"/>
      <c r="P59" s="345"/>
      <c r="Q59" s="345"/>
      <c r="R59" s="345"/>
      <c r="S59" s="345"/>
      <c r="T59" s="345"/>
      <c r="U59" s="345"/>
      <c r="V59" s="345"/>
      <c r="W59" s="345"/>
      <c r="X59" s="345"/>
      <c r="Y59" s="345"/>
      <c r="Z59" s="331"/>
    </row>
    <row r="60">
      <c r="A60" s="345"/>
      <c r="B60" s="369"/>
      <c r="C60" s="345"/>
      <c r="D60" s="345"/>
      <c r="E60" s="345"/>
      <c r="F60" s="345"/>
      <c r="G60" s="345"/>
      <c r="H60" s="345"/>
      <c r="I60" s="345"/>
      <c r="J60" s="345"/>
      <c r="K60" s="345"/>
      <c r="L60" s="345"/>
      <c r="M60" s="345"/>
      <c r="N60" s="345"/>
      <c r="O60" s="345"/>
      <c r="P60" s="345"/>
      <c r="Q60" s="345"/>
      <c r="R60" s="345"/>
      <c r="S60" s="345"/>
      <c r="T60" s="345"/>
      <c r="U60" s="345"/>
      <c r="V60" s="345"/>
      <c r="W60" s="345"/>
      <c r="X60" s="345"/>
      <c r="Y60" s="345"/>
      <c r="Z60" s="331"/>
    </row>
    <row r="61">
      <c r="A61" s="345"/>
      <c r="B61" s="369"/>
      <c r="C61" s="345"/>
      <c r="D61" s="345"/>
      <c r="E61" s="345"/>
      <c r="F61" s="345"/>
      <c r="G61" s="345"/>
      <c r="H61" s="345"/>
      <c r="I61" s="345"/>
      <c r="J61" s="345"/>
      <c r="K61" s="345"/>
      <c r="L61" s="345"/>
      <c r="M61" s="345"/>
      <c r="N61" s="345"/>
      <c r="O61" s="345"/>
      <c r="P61" s="345"/>
      <c r="Q61" s="345"/>
      <c r="R61" s="345"/>
      <c r="S61" s="345"/>
      <c r="T61" s="345"/>
      <c r="U61" s="345"/>
      <c r="V61" s="345"/>
      <c r="W61" s="345"/>
      <c r="X61" s="345"/>
      <c r="Y61" s="345"/>
      <c r="Z61" s="331"/>
    </row>
    <row r="62">
      <c r="A62" s="345"/>
      <c r="B62" s="369"/>
      <c r="C62" s="345"/>
      <c r="D62" s="345"/>
      <c r="E62" s="345"/>
      <c r="F62" s="345"/>
      <c r="G62" s="345"/>
      <c r="H62" s="345"/>
      <c r="I62" s="345"/>
      <c r="J62" s="345"/>
      <c r="K62" s="345"/>
      <c r="L62" s="345"/>
      <c r="M62" s="345"/>
      <c r="N62" s="345"/>
      <c r="O62" s="345"/>
      <c r="P62" s="345"/>
      <c r="Q62" s="345"/>
      <c r="R62" s="345"/>
      <c r="S62" s="345"/>
      <c r="T62" s="345"/>
      <c r="U62" s="345"/>
      <c r="V62" s="345"/>
      <c r="W62" s="345"/>
      <c r="X62" s="345"/>
      <c r="Y62" s="345"/>
      <c r="Z62" s="331"/>
    </row>
    <row r="63">
      <c r="A63" s="345"/>
      <c r="B63" s="369"/>
      <c r="C63" s="345"/>
      <c r="D63" s="345"/>
      <c r="E63" s="345"/>
      <c r="F63" s="345"/>
      <c r="G63" s="345"/>
      <c r="H63" s="345"/>
      <c r="I63" s="345"/>
      <c r="J63" s="345"/>
      <c r="K63" s="345"/>
      <c r="L63" s="345"/>
      <c r="M63" s="345"/>
      <c r="N63" s="345"/>
      <c r="O63" s="345"/>
      <c r="P63" s="345"/>
      <c r="Q63" s="345"/>
      <c r="R63" s="345"/>
      <c r="S63" s="345"/>
      <c r="T63" s="345"/>
      <c r="U63" s="345"/>
      <c r="V63" s="345"/>
      <c r="W63" s="345"/>
      <c r="X63" s="345"/>
      <c r="Y63" s="345"/>
      <c r="Z63" s="331"/>
    </row>
    <row r="64">
      <c r="A64" s="345"/>
      <c r="B64" s="369"/>
      <c r="C64" s="345"/>
      <c r="D64" s="345"/>
      <c r="E64" s="345"/>
      <c r="F64" s="345"/>
      <c r="G64" s="345"/>
      <c r="H64" s="345"/>
      <c r="I64" s="345"/>
      <c r="J64" s="345"/>
      <c r="K64" s="345"/>
      <c r="L64" s="345"/>
      <c r="M64" s="345"/>
      <c r="N64" s="345"/>
      <c r="O64" s="345"/>
      <c r="P64" s="345"/>
      <c r="Q64" s="345"/>
      <c r="R64" s="345"/>
      <c r="S64" s="345"/>
      <c r="T64" s="345"/>
      <c r="U64" s="345"/>
      <c r="V64" s="345"/>
      <c r="W64" s="345"/>
      <c r="X64" s="345"/>
      <c r="Y64" s="345"/>
      <c r="Z64" s="331"/>
    </row>
    <row r="65">
      <c r="A65" s="345"/>
      <c r="B65" s="369"/>
      <c r="C65" s="345"/>
      <c r="D65" s="345"/>
      <c r="E65" s="345"/>
      <c r="F65" s="345"/>
      <c r="G65" s="345"/>
      <c r="H65" s="345"/>
      <c r="I65" s="345"/>
      <c r="J65" s="345"/>
      <c r="K65" s="345"/>
      <c r="L65" s="345"/>
      <c r="M65" s="345"/>
      <c r="N65" s="345"/>
      <c r="O65" s="345"/>
      <c r="P65" s="345"/>
      <c r="Q65" s="345"/>
      <c r="R65" s="345"/>
      <c r="S65" s="345"/>
      <c r="T65" s="345"/>
      <c r="U65" s="345"/>
      <c r="V65" s="345"/>
      <c r="W65" s="345"/>
      <c r="X65" s="345"/>
      <c r="Y65" s="345"/>
      <c r="Z65" s="331"/>
    </row>
    <row r="66">
      <c r="A66" s="345"/>
      <c r="B66" s="369"/>
      <c r="C66" s="345"/>
      <c r="D66" s="345"/>
      <c r="E66" s="345"/>
      <c r="F66" s="345"/>
      <c r="G66" s="345"/>
      <c r="H66" s="345"/>
      <c r="I66" s="345"/>
      <c r="J66" s="345"/>
      <c r="K66" s="345"/>
      <c r="L66" s="345"/>
      <c r="M66" s="345"/>
      <c r="N66" s="345"/>
      <c r="O66" s="345"/>
      <c r="P66" s="345"/>
      <c r="Q66" s="345"/>
      <c r="R66" s="345"/>
      <c r="S66" s="345"/>
      <c r="T66" s="345"/>
      <c r="U66" s="345"/>
      <c r="V66" s="345"/>
      <c r="W66" s="345"/>
      <c r="X66" s="345"/>
      <c r="Y66" s="345"/>
      <c r="Z66" s="331"/>
    </row>
    <row r="67">
      <c r="A67" s="345"/>
      <c r="B67" s="369"/>
      <c r="C67" s="345"/>
      <c r="D67" s="345"/>
      <c r="E67" s="345"/>
      <c r="F67" s="345"/>
      <c r="G67" s="345"/>
      <c r="H67" s="345"/>
      <c r="I67" s="345"/>
      <c r="J67" s="345"/>
      <c r="K67" s="345"/>
      <c r="L67" s="345"/>
      <c r="M67" s="345"/>
      <c r="N67" s="345"/>
      <c r="O67" s="345"/>
      <c r="P67" s="345"/>
      <c r="Q67" s="345"/>
      <c r="R67" s="345"/>
      <c r="S67" s="345"/>
      <c r="T67" s="345"/>
      <c r="U67" s="345"/>
      <c r="V67" s="345"/>
      <c r="W67" s="345"/>
      <c r="X67" s="345"/>
      <c r="Y67" s="345"/>
      <c r="Z67" s="331"/>
    </row>
    <row r="68">
      <c r="A68" s="345"/>
      <c r="B68" s="369"/>
      <c r="C68" s="345"/>
      <c r="D68" s="345"/>
      <c r="E68" s="345"/>
      <c r="F68" s="345"/>
      <c r="G68" s="345"/>
      <c r="H68" s="345"/>
      <c r="I68" s="345"/>
      <c r="J68" s="345"/>
      <c r="K68" s="345"/>
      <c r="L68" s="345"/>
      <c r="M68" s="345"/>
      <c r="N68" s="345"/>
      <c r="O68" s="345"/>
      <c r="P68" s="345"/>
      <c r="Q68" s="345"/>
      <c r="R68" s="345"/>
      <c r="S68" s="345"/>
      <c r="T68" s="345"/>
      <c r="U68" s="345"/>
      <c r="V68" s="345"/>
      <c r="W68" s="345"/>
      <c r="X68" s="345"/>
      <c r="Y68" s="345"/>
      <c r="Z68" s="331"/>
    </row>
    <row r="69">
      <c r="A69" s="345"/>
      <c r="B69" s="369"/>
      <c r="C69" s="345"/>
      <c r="D69" s="345"/>
      <c r="E69" s="345"/>
      <c r="F69" s="345"/>
      <c r="G69" s="345"/>
      <c r="H69" s="345"/>
      <c r="I69" s="345"/>
      <c r="J69" s="345"/>
      <c r="K69" s="345"/>
      <c r="L69" s="345"/>
      <c r="M69" s="345"/>
      <c r="N69" s="345"/>
      <c r="O69" s="345"/>
      <c r="P69" s="345"/>
      <c r="Q69" s="345"/>
      <c r="R69" s="345"/>
      <c r="S69" s="345"/>
      <c r="T69" s="345"/>
      <c r="U69" s="345"/>
      <c r="V69" s="345"/>
      <c r="W69" s="345"/>
      <c r="X69" s="345"/>
      <c r="Y69" s="345"/>
      <c r="Z69" s="331"/>
    </row>
    <row r="70">
      <c r="A70" s="345"/>
      <c r="B70" s="369"/>
      <c r="C70" s="345"/>
      <c r="D70" s="345"/>
      <c r="E70" s="345"/>
      <c r="F70" s="345"/>
      <c r="G70" s="345"/>
      <c r="H70" s="345"/>
      <c r="I70" s="345"/>
      <c r="J70" s="345"/>
      <c r="K70" s="345"/>
      <c r="L70" s="345"/>
      <c r="M70" s="345"/>
      <c r="N70" s="345"/>
      <c r="O70" s="345"/>
      <c r="P70" s="345"/>
      <c r="Q70" s="345"/>
      <c r="R70" s="345"/>
      <c r="S70" s="345"/>
      <c r="T70" s="345"/>
      <c r="U70" s="345"/>
      <c r="V70" s="345"/>
      <c r="W70" s="345"/>
      <c r="X70" s="345"/>
      <c r="Y70" s="345"/>
      <c r="Z70" s="331"/>
    </row>
    <row r="71">
      <c r="A71" s="345"/>
      <c r="B71" s="369"/>
      <c r="C71" s="345"/>
      <c r="D71" s="345"/>
      <c r="E71" s="345"/>
      <c r="F71" s="345"/>
      <c r="G71" s="345"/>
      <c r="H71" s="345"/>
      <c r="I71" s="345"/>
      <c r="J71" s="345"/>
      <c r="K71" s="345"/>
      <c r="L71" s="345"/>
      <c r="M71" s="345"/>
      <c r="N71" s="345"/>
      <c r="O71" s="345"/>
      <c r="P71" s="345"/>
      <c r="Q71" s="345"/>
      <c r="R71" s="345"/>
      <c r="S71" s="345"/>
      <c r="T71" s="345"/>
      <c r="U71" s="345"/>
      <c r="V71" s="345"/>
      <c r="W71" s="345"/>
      <c r="X71" s="345"/>
      <c r="Y71" s="345"/>
      <c r="Z71" s="331"/>
    </row>
    <row r="72">
      <c r="A72" s="345"/>
      <c r="B72" s="369"/>
      <c r="C72" s="345"/>
      <c r="D72" s="345"/>
      <c r="E72" s="345"/>
      <c r="F72" s="345"/>
      <c r="G72" s="345"/>
      <c r="H72" s="345"/>
      <c r="I72" s="345"/>
      <c r="J72" s="345"/>
      <c r="K72" s="345"/>
      <c r="L72" s="345"/>
      <c r="M72" s="345"/>
      <c r="N72" s="345"/>
      <c r="O72" s="345"/>
      <c r="P72" s="345"/>
      <c r="Q72" s="345"/>
      <c r="R72" s="345"/>
      <c r="S72" s="345"/>
      <c r="T72" s="345"/>
      <c r="U72" s="345"/>
      <c r="V72" s="345"/>
      <c r="W72" s="345"/>
      <c r="X72" s="345"/>
      <c r="Y72" s="345"/>
      <c r="Z72" s="331"/>
    </row>
    <row r="73">
      <c r="A73" s="345"/>
      <c r="B73" s="369"/>
      <c r="C73" s="345"/>
      <c r="D73" s="345"/>
      <c r="E73" s="345"/>
      <c r="F73" s="345"/>
      <c r="G73" s="345"/>
      <c r="H73" s="345"/>
      <c r="I73" s="345"/>
      <c r="J73" s="345"/>
      <c r="K73" s="345"/>
      <c r="L73" s="345"/>
      <c r="M73" s="345"/>
      <c r="N73" s="345"/>
      <c r="O73" s="345"/>
      <c r="P73" s="345"/>
      <c r="Q73" s="345"/>
      <c r="R73" s="345"/>
      <c r="S73" s="345"/>
      <c r="T73" s="345"/>
      <c r="U73" s="345"/>
      <c r="V73" s="345"/>
      <c r="W73" s="345"/>
      <c r="X73" s="345"/>
      <c r="Y73" s="345"/>
      <c r="Z73" s="331"/>
    </row>
    <row r="74">
      <c r="A74" s="345"/>
      <c r="B74" s="369"/>
      <c r="C74" s="345"/>
      <c r="D74" s="345"/>
      <c r="E74" s="345"/>
      <c r="F74" s="345"/>
      <c r="G74" s="345"/>
      <c r="H74" s="345"/>
      <c r="I74" s="345"/>
      <c r="J74" s="345"/>
      <c r="K74" s="345"/>
      <c r="L74" s="345"/>
      <c r="M74" s="345"/>
      <c r="N74" s="345"/>
      <c r="O74" s="345"/>
      <c r="P74" s="345"/>
      <c r="Q74" s="345"/>
      <c r="R74" s="345"/>
      <c r="S74" s="345"/>
      <c r="T74" s="345"/>
      <c r="U74" s="345"/>
      <c r="V74" s="345"/>
      <c r="W74" s="345"/>
      <c r="X74" s="345"/>
      <c r="Y74" s="345"/>
      <c r="Z74" s="331"/>
    </row>
    <row r="75">
      <c r="A75" s="345"/>
      <c r="B75" s="369"/>
      <c r="C75" s="345"/>
      <c r="D75" s="345"/>
      <c r="E75" s="345"/>
      <c r="F75" s="345"/>
      <c r="G75" s="345"/>
      <c r="H75" s="345"/>
      <c r="I75" s="345"/>
      <c r="J75" s="345"/>
      <c r="K75" s="345"/>
      <c r="L75" s="345"/>
      <c r="M75" s="345"/>
      <c r="N75" s="345"/>
      <c r="O75" s="345"/>
      <c r="P75" s="345"/>
      <c r="Q75" s="345"/>
      <c r="R75" s="345"/>
      <c r="S75" s="345"/>
      <c r="T75" s="345"/>
      <c r="U75" s="345"/>
      <c r="V75" s="345"/>
      <c r="W75" s="345"/>
      <c r="X75" s="345"/>
      <c r="Y75" s="345"/>
      <c r="Z75" s="331"/>
    </row>
    <row r="76">
      <c r="A76" s="345"/>
      <c r="B76" s="369"/>
      <c r="C76" s="345"/>
      <c r="D76" s="345"/>
      <c r="E76" s="345"/>
      <c r="F76" s="345"/>
      <c r="G76" s="345"/>
      <c r="H76" s="345"/>
      <c r="I76" s="345"/>
      <c r="J76" s="345"/>
      <c r="K76" s="345"/>
      <c r="L76" s="345"/>
      <c r="M76" s="345"/>
      <c r="N76" s="345"/>
      <c r="O76" s="345"/>
      <c r="P76" s="345"/>
      <c r="Q76" s="345"/>
      <c r="R76" s="345"/>
      <c r="S76" s="345"/>
      <c r="T76" s="345"/>
      <c r="U76" s="345"/>
      <c r="V76" s="345"/>
      <c r="W76" s="345"/>
      <c r="X76" s="345"/>
      <c r="Y76" s="345"/>
      <c r="Z76" s="331"/>
    </row>
    <row r="77">
      <c r="A77" s="345"/>
      <c r="B77" s="369"/>
      <c r="C77" s="345"/>
      <c r="D77" s="345"/>
      <c r="E77" s="345"/>
      <c r="F77" s="345"/>
      <c r="G77" s="345"/>
      <c r="H77" s="345"/>
      <c r="I77" s="345"/>
      <c r="J77" s="345"/>
      <c r="K77" s="345"/>
      <c r="L77" s="345"/>
      <c r="M77" s="345"/>
      <c r="N77" s="345"/>
      <c r="O77" s="345"/>
      <c r="P77" s="345"/>
      <c r="Q77" s="345"/>
      <c r="R77" s="345"/>
      <c r="S77" s="345"/>
      <c r="T77" s="345"/>
      <c r="U77" s="345"/>
      <c r="V77" s="345"/>
      <c r="W77" s="345"/>
      <c r="X77" s="345"/>
      <c r="Y77" s="345"/>
      <c r="Z77" s="331"/>
    </row>
    <row r="78">
      <c r="A78" s="345"/>
      <c r="B78" s="369"/>
      <c r="C78" s="345"/>
      <c r="D78" s="345"/>
      <c r="E78" s="345"/>
      <c r="F78" s="345"/>
      <c r="G78" s="345"/>
      <c r="H78" s="345"/>
      <c r="I78" s="345"/>
      <c r="J78" s="345"/>
      <c r="K78" s="345"/>
      <c r="L78" s="345"/>
      <c r="M78" s="345"/>
      <c r="N78" s="345"/>
      <c r="O78" s="345"/>
      <c r="P78" s="345"/>
      <c r="Q78" s="345"/>
      <c r="R78" s="345"/>
      <c r="S78" s="345"/>
      <c r="T78" s="345"/>
      <c r="U78" s="345"/>
      <c r="V78" s="345"/>
      <c r="W78" s="345"/>
      <c r="X78" s="345"/>
      <c r="Y78" s="345"/>
      <c r="Z78" s="331"/>
    </row>
    <row r="79">
      <c r="A79" s="345"/>
      <c r="B79" s="369"/>
      <c r="C79" s="345"/>
      <c r="D79" s="345"/>
      <c r="E79" s="345"/>
      <c r="F79" s="345"/>
      <c r="G79" s="345"/>
      <c r="H79" s="345"/>
      <c r="I79" s="345"/>
      <c r="J79" s="345"/>
      <c r="K79" s="345"/>
      <c r="L79" s="345"/>
      <c r="M79" s="345"/>
      <c r="N79" s="345"/>
      <c r="O79" s="345"/>
      <c r="P79" s="345"/>
      <c r="Q79" s="345"/>
      <c r="R79" s="345"/>
      <c r="S79" s="345"/>
      <c r="T79" s="345"/>
      <c r="U79" s="345"/>
      <c r="V79" s="345"/>
      <c r="W79" s="345"/>
      <c r="X79" s="345"/>
      <c r="Y79" s="345"/>
      <c r="Z79" s="331"/>
    </row>
    <row r="80">
      <c r="A80" s="345"/>
      <c r="B80" s="369"/>
      <c r="C80" s="345"/>
      <c r="D80" s="345"/>
      <c r="E80" s="345"/>
      <c r="F80" s="345"/>
      <c r="G80" s="345"/>
      <c r="H80" s="345"/>
      <c r="I80" s="345"/>
      <c r="J80" s="345"/>
      <c r="K80" s="345"/>
      <c r="L80" s="345"/>
      <c r="M80" s="345"/>
      <c r="N80" s="345"/>
      <c r="O80" s="345"/>
      <c r="P80" s="345"/>
      <c r="Q80" s="345"/>
      <c r="R80" s="345"/>
      <c r="S80" s="345"/>
      <c r="T80" s="345"/>
      <c r="U80" s="345"/>
      <c r="V80" s="345"/>
      <c r="W80" s="345"/>
      <c r="X80" s="345"/>
      <c r="Y80" s="345"/>
      <c r="Z80" s="331"/>
    </row>
    <row r="81">
      <c r="A81" s="345"/>
      <c r="B81" s="369"/>
      <c r="C81" s="345"/>
      <c r="D81" s="345"/>
      <c r="E81" s="345"/>
      <c r="F81" s="345"/>
      <c r="G81" s="345"/>
      <c r="H81" s="345"/>
      <c r="I81" s="345"/>
      <c r="J81" s="345"/>
      <c r="K81" s="345"/>
      <c r="L81" s="345"/>
      <c r="M81" s="345"/>
      <c r="N81" s="345"/>
      <c r="O81" s="345"/>
      <c r="P81" s="345"/>
      <c r="Q81" s="345"/>
      <c r="R81" s="345"/>
      <c r="S81" s="345"/>
      <c r="T81" s="345"/>
      <c r="U81" s="345"/>
      <c r="V81" s="345"/>
      <c r="W81" s="345"/>
      <c r="X81" s="345"/>
      <c r="Y81" s="345"/>
      <c r="Z81" s="331"/>
    </row>
    <row r="82">
      <c r="A82" s="345"/>
      <c r="B82" s="369"/>
      <c r="C82" s="345"/>
      <c r="D82" s="345"/>
      <c r="E82" s="345"/>
      <c r="F82" s="345"/>
      <c r="G82" s="345"/>
      <c r="H82" s="345"/>
      <c r="I82" s="345"/>
      <c r="J82" s="345"/>
      <c r="K82" s="345"/>
      <c r="L82" s="345"/>
      <c r="M82" s="345"/>
      <c r="N82" s="345"/>
      <c r="O82" s="345"/>
      <c r="P82" s="345"/>
      <c r="Q82" s="345"/>
      <c r="R82" s="345"/>
      <c r="S82" s="345"/>
      <c r="T82" s="345"/>
      <c r="U82" s="345"/>
      <c r="V82" s="345"/>
      <c r="W82" s="345"/>
      <c r="X82" s="345"/>
      <c r="Y82" s="345"/>
      <c r="Z82" s="331"/>
    </row>
    <row r="83">
      <c r="A83" s="345"/>
      <c r="B83" s="369"/>
      <c r="C83" s="345"/>
      <c r="D83" s="345"/>
      <c r="E83" s="345"/>
      <c r="F83" s="345"/>
      <c r="G83" s="345"/>
      <c r="H83" s="345"/>
      <c r="I83" s="345"/>
      <c r="J83" s="345"/>
      <c r="K83" s="345"/>
      <c r="L83" s="345"/>
      <c r="M83" s="345"/>
      <c r="N83" s="345"/>
      <c r="O83" s="345"/>
      <c r="P83" s="345"/>
      <c r="Q83" s="345"/>
      <c r="R83" s="345"/>
      <c r="S83" s="345"/>
      <c r="T83" s="345"/>
      <c r="U83" s="345"/>
      <c r="V83" s="345"/>
      <c r="W83" s="345"/>
      <c r="X83" s="345"/>
      <c r="Y83" s="345"/>
      <c r="Z83" s="331"/>
    </row>
    <row r="84">
      <c r="A84" s="345"/>
      <c r="B84" s="369"/>
      <c r="C84" s="345"/>
      <c r="D84" s="345"/>
      <c r="E84" s="345"/>
      <c r="F84" s="345"/>
      <c r="G84" s="345"/>
      <c r="H84" s="345"/>
      <c r="I84" s="345"/>
      <c r="J84" s="345"/>
      <c r="K84" s="345"/>
      <c r="L84" s="345"/>
      <c r="M84" s="345"/>
      <c r="N84" s="345"/>
      <c r="O84" s="345"/>
      <c r="P84" s="345"/>
      <c r="Q84" s="345"/>
      <c r="R84" s="345"/>
      <c r="S84" s="345"/>
      <c r="T84" s="345"/>
      <c r="U84" s="345"/>
      <c r="V84" s="345"/>
      <c r="W84" s="345"/>
      <c r="X84" s="345"/>
      <c r="Y84" s="345"/>
      <c r="Z84" s="331"/>
    </row>
    <row r="85">
      <c r="A85" s="345"/>
      <c r="B85" s="369"/>
      <c r="C85" s="345"/>
      <c r="D85" s="345"/>
      <c r="E85" s="345"/>
      <c r="F85" s="345"/>
      <c r="G85" s="345"/>
      <c r="H85" s="345"/>
      <c r="I85" s="345"/>
      <c r="J85" s="345"/>
      <c r="K85" s="345"/>
      <c r="L85" s="345"/>
      <c r="M85" s="345"/>
      <c r="N85" s="345"/>
      <c r="O85" s="345"/>
      <c r="P85" s="345"/>
      <c r="Q85" s="345"/>
      <c r="R85" s="345"/>
      <c r="S85" s="345"/>
      <c r="T85" s="345"/>
      <c r="U85" s="345"/>
      <c r="V85" s="345"/>
      <c r="W85" s="345"/>
      <c r="X85" s="345"/>
      <c r="Y85" s="345"/>
      <c r="Z85" s="331"/>
    </row>
    <row r="86">
      <c r="A86" s="345"/>
      <c r="B86" s="369"/>
      <c r="C86" s="345"/>
      <c r="D86" s="345"/>
      <c r="E86" s="345"/>
      <c r="F86" s="345"/>
      <c r="G86" s="345"/>
      <c r="H86" s="345"/>
      <c r="I86" s="345"/>
      <c r="J86" s="345"/>
      <c r="K86" s="345"/>
      <c r="L86" s="345"/>
      <c r="M86" s="345"/>
      <c r="N86" s="345"/>
      <c r="O86" s="345"/>
      <c r="P86" s="345"/>
      <c r="Q86" s="345"/>
      <c r="R86" s="345"/>
      <c r="S86" s="345"/>
      <c r="T86" s="345"/>
      <c r="U86" s="345"/>
      <c r="V86" s="345"/>
      <c r="W86" s="345"/>
      <c r="X86" s="345"/>
      <c r="Y86" s="345"/>
      <c r="Z86" s="331"/>
    </row>
    <row r="87">
      <c r="A87" s="345"/>
      <c r="B87" s="369"/>
      <c r="C87" s="345"/>
      <c r="D87" s="345"/>
      <c r="E87" s="345"/>
      <c r="F87" s="345"/>
      <c r="G87" s="345"/>
      <c r="H87" s="345"/>
      <c r="I87" s="345"/>
      <c r="J87" s="345"/>
      <c r="K87" s="345"/>
      <c r="L87" s="345"/>
      <c r="M87" s="345"/>
      <c r="N87" s="345"/>
      <c r="O87" s="345"/>
      <c r="P87" s="345"/>
      <c r="Q87" s="345"/>
      <c r="R87" s="345"/>
      <c r="S87" s="345"/>
      <c r="T87" s="345"/>
      <c r="U87" s="345"/>
      <c r="V87" s="345"/>
      <c r="W87" s="345"/>
      <c r="X87" s="345"/>
      <c r="Y87" s="345"/>
      <c r="Z87" s="331"/>
    </row>
    <row r="88">
      <c r="A88" s="345"/>
      <c r="B88" s="369"/>
      <c r="C88" s="345"/>
      <c r="D88" s="345"/>
      <c r="E88" s="345"/>
      <c r="F88" s="345"/>
      <c r="G88" s="345"/>
      <c r="H88" s="345"/>
      <c r="I88" s="345"/>
      <c r="J88" s="345"/>
      <c r="K88" s="345"/>
      <c r="L88" s="345"/>
      <c r="M88" s="345"/>
      <c r="N88" s="345"/>
      <c r="O88" s="345"/>
      <c r="P88" s="345"/>
      <c r="Q88" s="345"/>
      <c r="R88" s="345"/>
      <c r="S88" s="345"/>
      <c r="T88" s="345"/>
      <c r="U88" s="345"/>
      <c r="V88" s="345"/>
      <c r="W88" s="345"/>
      <c r="X88" s="345"/>
      <c r="Y88" s="345"/>
      <c r="Z88" s="331"/>
    </row>
    <row r="89">
      <c r="A89" s="345"/>
      <c r="B89" s="369"/>
      <c r="C89" s="345"/>
      <c r="D89" s="345"/>
      <c r="E89" s="345"/>
      <c r="F89" s="345"/>
      <c r="G89" s="345"/>
      <c r="H89" s="345"/>
      <c r="I89" s="345"/>
      <c r="J89" s="345"/>
      <c r="K89" s="345"/>
      <c r="L89" s="345"/>
      <c r="M89" s="345"/>
      <c r="N89" s="345"/>
      <c r="O89" s="345"/>
      <c r="P89" s="345"/>
      <c r="Q89" s="345"/>
      <c r="R89" s="345"/>
      <c r="S89" s="345"/>
      <c r="T89" s="345"/>
      <c r="U89" s="345"/>
      <c r="V89" s="345"/>
      <c r="W89" s="345"/>
      <c r="X89" s="345"/>
      <c r="Y89" s="345"/>
      <c r="Z89" s="331"/>
    </row>
    <row r="90">
      <c r="A90" s="345"/>
      <c r="B90" s="369"/>
      <c r="C90" s="345"/>
      <c r="D90" s="345"/>
      <c r="E90" s="345"/>
      <c r="F90" s="345"/>
      <c r="G90" s="345"/>
      <c r="H90" s="345"/>
      <c r="I90" s="345"/>
      <c r="J90" s="345"/>
      <c r="K90" s="345"/>
      <c r="L90" s="345"/>
      <c r="M90" s="345"/>
      <c r="N90" s="345"/>
      <c r="O90" s="345"/>
      <c r="P90" s="345"/>
      <c r="Q90" s="345"/>
      <c r="R90" s="345"/>
      <c r="S90" s="345"/>
      <c r="T90" s="345"/>
      <c r="U90" s="345"/>
      <c r="V90" s="345"/>
      <c r="W90" s="345"/>
      <c r="X90" s="345"/>
      <c r="Y90" s="345"/>
      <c r="Z90" s="331"/>
    </row>
    <row r="91">
      <c r="A91" s="345"/>
      <c r="B91" s="369"/>
      <c r="C91" s="345"/>
      <c r="D91" s="345"/>
      <c r="E91" s="345"/>
      <c r="F91" s="345"/>
      <c r="G91" s="345"/>
      <c r="H91" s="345"/>
      <c r="I91" s="345"/>
      <c r="J91" s="345"/>
      <c r="K91" s="345"/>
      <c r="L91" s="345"/>
      <c r="M91" s="345"/>
      <c r="N91" s="345"/>
      <c r="O91" s="345"/>
      <c r="P91" s="345"/>
      <c r="Q91" s="345"/>
      <c r="R91" s="345"/>
      <c r="S91" s="345"/>
      <c r="T91" s="345"/>
      <c r="U91" s="345"/>
      <c r="V91" s="345"/>
      <c r="W91" s="345"/>
      <c r="X91" s="345"/>
      <c r="Y91" s="345"/>
      <c r="Z91" s="331"/>
    </row>
    <row r="92">
      <c r="A92" s="345"/>
      <c r="B92" s="369"/>
      <c r="C92" s="345"/>
      <c r="D92" s="345"/>
      <c r="E92" s="345"/>
      <c r="F92" s="345"/>
      <c r="G92" s="345"/>
      <c r="H92" s="345"/>
      <c r="I92" s="345"/>
      <c r="J92" s="345"/>
      <c r="K92" s="345"/>
      <c r="L92" s="345"/>
      <c r="M92" s="345"/>
      <c r="N92" s="345"/>
      <c r="O92" s="345"/>
      <c r="P92" s="345"/>
      <c r="Q92" s="345"/>
      <c r="R92" s="345"/>
      <c r="S92" s="345"/>
      <c r="T92" s="345"/>
      <c r="U92" s="345"/>
      <c r="V92" s="345"/>
      <c r="W92" s="345"/>
      <c r="X92" s="345"/>
      <c r="Y92" s="345"/>
      <c r="Z92" s="331"/>
    </row>
    <row r="93">
      <c r="A93" s="345"/>
      <c r="B93" s="369"/>
      <c r="C93" s="345"/>
      <c r="D93" s="345"/>
      <c r="E93" s="345"/>
      <c r="F93" s="345"/>
      <c r="G93" s="345"/>
      <c r="H93" s="345"/>
      <c r="I93" s="345"/>
      <c r="J93" s="345"/>
      <c r="K93" s="345"/>
      <c r="L93" s="345"/>
      <c r="M93" s="345"/>
      <c r="N93" s="345"/>
      <c r="O93" s="345"/>
      <c r="P93" s="345"/>
      <c r="Q93" s="345"/>
      <c r="R93" s="345"/>
      <c r="S93" s="345"/>
      <c r="T93" s="345"/>
      <c r="U93" s="345"/>
      <c r="V93" s="345"/>
      <c r="W93" s="345"/>
      <c r="X93" s="345"/>
      <c r="Y93" s="345"/>
      <c r="Z93" s="331"/>
    </row>
    <row r="94">
      <c r="A94" s="345"/>
      <c r="B94" s="369"/>
      <c r="C94" s="345"/>
      <c r="D94" s="345"/>
      <c r="E94" s="345"/>
      <c r="F94" s="345"/>
      <c r="G94" s="345"/>
      <c r="H94" s="345"/>
      <c r="I94" s="345"/>
      <c r="J94" s="345"/>
      <c r="K94" s="345"/>
      <c r="L94" s="345"/>
      <c r="M94" s="345"/>
      <c r="N94" s="345"/>
      <c r="O94" s="345"/>
      <c r="P94" s="345"/>
      <c r="Q94" s="345"/>
      <c r="R94" s="345"/>
      <c r="S94" s="345"/>
      <c r="T94" s="345"/>
      <c r="U94" s="345"/>
      <c r="V94" s="345"/>
      <c r="W94" s="345"/>
      <c r="X94" s="345"/>
      <c r="Y94" s="345"/>
      <c r="Z94" s="331"/>
    </row>
    <row r="95">
      <c r="A95" s="345"/>
      <c r="B95" s="369"/>
      <c r="C95" s="345"/>
      <c r="D95" s="345"/>
      <c r="E95" s="345"/>
      <c r="F95" s="345"/>
      <c r="G95" s="345"/>
      <c r="H95" s="345"/>
      <c r="I95" s="345"/>
      <c r="J95" s="345"/>
      <c r="K95" s="345"/>
      <c r="L95" s="345"/>
      <c r="M95" s="345"/>
      <c r="N95" s="345"/>
      <c r="O95" s="345"/>
      <c r="P95" s="345"/>
      <c r="Q95" s="345"/>
      <c r="R95" s="345"/>
      <c r="S95" s="345"/>
      <c r="T95" s="345"/>
      <c r="U95" s="345"/>
      <c r="V95" s="345"/>
      <c r="W95" s="345"/>
      <c r="X95" s="345"/>
      <c r="Y95" s="345"/>
      <c r="Z95" s="331"/>
    </row>
    <row r="96">
      <c r="A96" s="345"/>
      <c r="B96" s="369"/>
      <c r="C96" s="345"/>
      <c r="D96" s="345"/>
      <c r="E96" s="345"/>
      <c r="F96" s="345"/>
      <c r="G96" s="345"/>
      <c r="H96" s="345"/>
      <c r="I96" s="345"/>
      <c r="J96" s="345"/>
      <c r="K96" s="345"/>
      <c r="L96" s="345"/>
      <c r="M96" s="345"/>
      <c r="N96" s="345"/>
      <c r="O96" s="345"/>
      <c r="P96" s="345"/>
      <c r="Q96" s="345"/>
      <c r="R96" s="345"/>
      <c r="S96" s="345"/>
      <c r="T96" s="345"/>
      <c r="U96" s="345"/>
      <c r="V96" s="345"/>
      <c r="W96" s="345"/>
      <c r="X96" s="345"/>
      <c r="Y96" s="345"/>
      <c r="Z96" s="331"/>
    </row>
    <row r="97">
      <c r="A97" s="345"/>
      <c r="B97" s="369"/>
      <c r="C97" s="345"/>
      <c r="D97" s="345"/>
      <c r="E97" s="345"/>
      <c r="F97" s="345"/>
      <c r="G97" s="345"/>
      <c r="H97" s="345"/>
      <c r="I97" s="345"/>
      <c r="J97" s="345"/>
      <c r="K97" s="345"/>
      <c r="L97" s="345"/>
      <c r="M97" s="345"/>
      <c r="N97" s="345"/>
      <c r="O97" s="345"/>
      <c r="P97" s="345"/>
      <c r="Q97" s="345"/>
      <c r="R97" s="345"/>
      <c r="S97" s="345"/>
      <c r="T97" s="345"/>
      <c r="U97" s="345"/>
      <c r="V97" s="345"/>
      <c r="W97" s="345"/>
      <c r="X97" s="345"/>
      <c r="Y97" s="345"/>
      <c r="Z97" s="331"/>
    </row>
    <row r="98">
      <c r="A98" s="345"/>
      <c r="B98" s="369"/>
      <c r="C98" s="345"/>
      <c r="D98" s="345"/>
      <c r="E98" s="345"/>
      <c r="F98" s="345"/>
      <c r="G98" s="345"/>
      <c r="H98" s="345"/>
      <c r="I98" s="345"/>
      <c r="J98" s="345"/>
      <c r="K98" s="345"/>
      <c r="L98" s="345"/>
      <c r="M98" s="345"/>
      <c r="N98" s="345"/>
      <c r="O98" s="345"/>
      <c r="P98" s="345"/>
      <c r="Q98" s="345"/>
      <c r="R98" s="345"/>
      <c r="S98" s="345"/>
      <c r="T98" s="345"/>
      <c r="U98" s="345"/>
      <c r="V98" s="345"/>
      <c r="W98" s="345"/>
      <c r="X98" s="345"/>
      <c r="Y98" s="345"/>
      <c r="Z98" s="331"/>
    </row>
    <row r="99">
      <c r="A99" s="345"/>
      <c r="B99" s="369"/>
      <c r="C99" s="345"/>
      <c r="D99" s="345"/>
      <c r="E99" s="345"/>
      <c r="F99" s="345"/>
      <c r="G99" s="345"/>
      <c r="H99" s="345"/>
      <c r="I99" s="345"/>
      <c r="J99" s="345"/>
      <c r="K99" s="345"/>
      <c r="L99" s="345"/>
      <c r="M99" s="345"/>
      <c r="N99" s="345"/>
      <c r="O99" s="345"/>
      <c r="P99" s="345"/>
      <c r="Q99" s="345"/>
      <c r="R99" s="345"/>
      <c r="S99" s="345"/>
      <c r="T99" s="345"/>
      <c r="U99" s="345"/>
      <c r="V99" s="345"/>
      <c r="W99" s="345"/>
      <c r="X99" s="345"/>
      <c r="Y99" s="345"/>
      <c r="Z99" s="331"/>
    </row>
    <row r="100">
      <c r="A100" s="345"/>
      <c r="B100" s="369"/>
      <c r="C100" s="345"/>
      <c r="D100" s="345"/>
      <c r="E100" s="345"/>
      <c r="F100" s="345"/>
      <c r="G100" s="345"/>
      <c r="H100" s="345"/>
      <c r="I100" s="345"/>
      <c r="J100" s="345"/>
      <c r="K100" s="345"/>
      <c r="L100" s="345"/>
      <c r="M100" s="345"/>
      <c r="N100" s="345"/>
      <c r="O100" s="345"/>
      <c r="P100" s="345"/>
      <c r="Q100" s="345"/>
      <c r="R100" s="345"/>
      <c r="S100" s="345"/>
      <c r="T100" s="345"/>
      <c r="U100" s="345"/>
      <c r="V100" s="345"/>
      <c r="W100" s="345"/>
      <c r="X100" s="345"/>
      <c r="Y100" s="345"/>
      <c r="Z100" s="331"/>
    </row>
    <row r="101">
      <c r="A101" s="345"/>
      <c r="B101" s="369"/>
      <c r="C101" s="345"/>
      <c r="D101" s="345"/>
      <c r="E101" s="345"/>
      <c r="F101" s="345"/>
      <c r="G101" s="345"/>
      <c r="H101" s="345"/>
      <c r="I101" s="345"/>
      <c r="J101" s="345"/>
      <c r="K101" s="345"/>
      <c r="L101" s="345"/>
      <c r="M101" s="345"/>
      <c r="N101" s="345"/>
      <c r="O101" s="345"/>
      <c r="P101" s="345"/>
      <c r="Q101" s="345"/>
      <c r="R101" s="345"/>
      <c r="S101" s="345"/>
      <c r="T101" s="345"/>
      <c r="U101" s="345"/>
      <c r="V101" s="345"/>
      <c r="W101" s="345"/>
      <c r="X101" s="345"/>
      <c r="Y101" s="345"/>
      <c r="Z101" s="331"/>
    </row>
    <row r="102">
      <c r="A102" s="345"/>
      <c r="B102" s="369"/>
      <c r="C102" s="345"/>
      <c r="D102" s="345"/>
      <c r="E102" s="345"/>
      <c r="F102" s="345"/>
      <c r="G102" s="345"/>
      <c r="H102" s="345"/>
      <c r="I102" s="345"/>
      <c r="J102" s="345"/>
      <c r="K102" s="345"/>
      <c r="L102" s="345"/>
      <c r="M102" s="345"/>
      <c r="N102" s="345"/>
      <c r="O102" s="345"/>
      <c r="P102" s="345"/>
      <c r="Q102" s="345"/>
      <c r="R102" s="345"/>
      <c r="S102" s="345"/>
      <c r="T102" s="345"/>
      <c r="U102" s="345"/>
      <c r="V102" s="345"/>
      <c r="W102" s="345"/>
      <c r="X102" s="345"/>
      <c r="Y102" s="345"/>
      <c r="Z102" s="331"/>
    </row>
    <row r="103">
      <c r="A103" s="345"/>
      <c r="B103" s="369"/>
      <c r="C103" s="345"/>
      <c r="D103" s="345"/>
      <c r="E103" s="345"/>
      <c r="F103" s="345"/>
      <c r="G103" s="345"/>
      <c r="H103" s="345"/>
      <c r="I103" s="345"/>
      <c r="J103" s="345"/>
      <c r="K103" s="345"/>
      <c r="L103" s="345"/>
      <c r="M103" s="345"/>
      <c r="N103" s="345"/>
      <c r="O103" s="345"/>
      <c r="P103" s="345"/>
      <c r="Q103" s="345"/>
      <c r="R103" s="345"/>
      <c r="S103" s="345"/>
      <c r="T103" s="345"/>
      <c r="U103" s="345"/>
      <c r="V103" s="345"/>
      <c r="W103" s="345"/>
      <c r="X103" s="345"/>
      <c r="Y103" s="345"/>
      <c r="Z103" s="331"/>
    </row>
    <row r="104">
      <c r="A104" s="345"/>
      <c r="B104" s="369"/>
      <c r="C104" s="345"/>
      <c r="D104" s="345"/>
      <c r="E104" s="345"/>
      <c r="F104" s="345"/>
      <c r="G104" s="345"/>
      <c r="H104" s="345"/>
      <c r="I104" s="345"/>
      <c r="J104" s="345"/>
      <c r="K104" s="345"/>
      <c r="L104" s="345"/>
      <c r="M104" s="345"/>
      <c r="N104" s="345"/>
      <c r="O104" s="345"/>
      <c r="P104" s="345"/>
      <c r="Q104" s="345"/>
      <c r="R104" s="345"/>
      <c r="S104" s="345"/>
      <c r="T104" s="345"/>
      <c r="U104" s="345"/>
      <c r="V104" s="345"/>
      <c r="W104" s="345"/>
      <c r="X104" s="345"/>
      <c r="Y104" s="345"/>
      <c r="Z104" s="331"/>
    </row>
    <row r="105">
      <c r="A105" s="345"/>
      <c r="B105" s="369"/>
      <c r="C105" s="345"/>
      <c r="D105" s="345"/>
      <c r="E105" s="345"/>
      <c r="F105" s="345"/>
      <c r="G105" s="345"/>
      <c r="H105" s="345"/>
      <c r="I105" s="345"/>
      <c r="J105" s="345"/>
      <c r="K105" s="345"/>
      <c r="L105" s="345"/>
      <c r="M105" s="345"/>
      <c r="N105" s="345"/>
      <c r="O105" s="345"/>
      <c r="P105" s="345"/>
      <c r="Q105" s="345"/>
      <c r="R105" s="345"/>
      <c r="S105" s="345"/>
      <c r="T105" s="345"/>
      <c r="U105" s="345"/>
      <c r="V105" s="345"/>
      <c r="W105" s="345"/>
      <c r="X105" s="345"/>
      <c r="Y105" s="345"/>
      <c r="Z105" s="331"/>
    </row>
    <row r="106">
      <c r="A106" s="345"/>
      <c r="B106" s="369"/>
      <c r="C106" s="345"/>
      <c r="D106" s="345"/>
      <c r="E106" s="345"/>
      <c r="F106" s="345"/>
      <c r="G106" s="345"/>
      <c r="H106" s="345"/>
      <c r="I106" s="345"/>
      <c r="J106" s="345"/>
      <c r="K106" s="345"/>
      <c r="L106" s="345"/>
      <c r="M106" s="345"/>
      <c r="N106" s="345"/>
      <c r="O106" s="345"/>
      <c r="P106" s="345"/>
      <c r="Q106" s="345"/>
      <c r="R106" s="345"/>
      <c r="S106" s="345"/>
      <c r="T106" s="345"/>
      <c r="U106" s="345"/>
      <c r="V106" s="345"/>
      <c r="W106" s="345"/>
      <c r="X106" s="345"/>
      <c r="Y106" s="345"/>
      <c r="Z106" s="331"/>
    </row>
    <row r="107">
      <c r="A107" s="345"/>
      <c r="B107" s="369"/>
      <c r="C107" s="345"/>
      <c r="D107" s="345"/>
      <c r="E107" s="345"/>
      <c r="F107" s="345"/>
      <c r="G107" s="345"/>
      <c r="H107" s="345"/>
      <c r="I107" s="345"/>
      <c r="J107" s="345"/>
      <c r="K107" s="345"/>
      <c r="L107" s="345"/>
      <c r="M107" s="345"/>
      <c r="N107" s="345"/>
      <c r="O107" s="345"/>
      <c r="P107" s="345"/>
      <c r="Q107" s="345"/>
      <c r="R107" s="345"/>
      <c r="S107" s="345"/>
      <c r="T107" s="345"/>
      <c r="U107" s="345"/>
      <c r="V107" s="345"/>
      <c r="W107" s="345"/>
      <c r="X107" s="345"/>
      <c r="Y107" s="345"/>
      <c r="Z107" s="331"/>
    </row>
    <row r="108">
      <c r="A108" s="345"/>
      <c r="B108" s="369"/>
      <c r="C108" s="345"/>
      <c r="D108" s="345"/>
      <c r="E108" s="345"/>
      <c r="F108" s="345"/>
      <c r="G108" s="345"/>
      <c r="H108" s="345"/>
      <c r="I108" s="345"/>
      <c r="J108" s="345"/>
      <c r="K108" s="345"/>
      <c r="L108" s="345"/>
      <c r="M108" s="345"/>
      <c r="N108" s="345"/>
      <c r="O108" s="345"/>
      <c r="P108" s="345"/>
      <c r="Q108" s="345"/>
      <c r="R108" s="345"/>
      <c r="S108" s="345"/>
      <c r="T108" s="345"/>
      <c r="U108" s="345"/>
      <c r="V108" s="345"/>
      <c r="W108" s="345"/>
      <c r="X108" s="345"/>
      <c r="Y108" s="345"/>
      <c r="Z108" s="331"/>
    </row>
    <row r="109">
      <c r="A109" s="345"/>
      <c r="B109" s="369"/>
      <c r="C109" s="345"/>
      <c r="D109" s="345"/>
      <c r="E109" s="345"/>
      <c r="F109" s="345"/>
      <c r="G109" s="345"/>
      <c r="H109" s="345"/>
      <c r="I109" s="345"/>
      <c r="J109" s="345"/>
      <c r="K109" s="345"/>
      <c r="L109" s="345"/>
      <c r="M109" s="345"/>
      <c r="N109" s="345"/>
      <c r="O109" s="345"/>
      <c r="P109" s="345"/>
      <c r="Q109" s="345"/>
      <c r="R109" s="345"/>
      <c r="S109" s="345"/>
      <c r="T109" s="345"/>
      <c r="U109" s="345"/>
      <c r="V109" s="345"/>
      <c r="W109" s="345"/>
      <c r="X109" s="345"/>
      <c r="Y109" s="345"/>
      <c r="Z109" s="331"/>
    </row>
    <row r="110">
      <c r="A110" s="345"/>
      <c r="B110" s="369"/>
      <c r="C110" s="345"/>
      <c r="D110" s="345"/>
      <c r="E110" s="345"/>
      <c r="F110" s="345"/>
      <c r="G110" s="345"/>
      <c r="H110" s="345"/>
      <c r="I110" s="345"/>
      <c r="J110" s="345"/>
      <c r="K110" s="345"/>
      <c r="L110" s="345"/>
      <c r="M110" s="345"/>
      <c r="N110" s="345"/>
      <c r="O110" s="345"/>
      <c r="P110" s="345"/>
      <c r="Q110" s="345"/>
      <c r="R110" s="345"/>
      <c r="S110" s="345"/>
      <c r="T110" s="345"/>
      <c r="U110" s="345"/>
      <c r="V110" s="345"/>
      <c r="W110" s="345"/>
      <c r="X110" s="345"/>
      <c r="Y110" s="345"/>
      <c r="Z110" s="331"/>
    </row>
    <row r="111">
      <c r="A111" s="345"/>
      <c r="B111" s="369"/>
      <c r="C111" s="345"/>
      <c r="D111" s="345"/>
      <c r="E111" s="345"/>
      <c r="F111" s="345"/>
      <c r="G111" s="345"/>
      <c r="H111" s="345"/>
      <c r="I111" s="345"/>
      <c r="J111" s="345"/>
      <c r="K111" s="345"/>
      <c r="L111" s="345"/>
      <c r="M111" s="345"/>
      <c r="N111" s="345"/>
      <c r="O111" s="345"/>
      <c r="P111" s="345"/>
      <c r="Q111" s="345"/>
      <c r="R111" s="345"/>
      <c r="S111" s="345"/>
      <c r="T111" s="345"/>
      <c r="U111" s="345"/>
      <c r="V111" s="345"/>
      <c r="W111" s="345"/>
      <c r="X111" s="345"/>
      <c r="Y111" s="345"/>
      <c r="Z111" s="331"/>
    </row>
    <row r="112">
      <c r="A112" s="345"/>
      <c r="B112" s="369"/>
      <c r="C112" s="345"/>
      <c r="D112" s="345"/>
      <c r="E112" s="345"/>
      <c r="F112" s="345"/>
      <c r="G112" s="345"/>
      <c r="H112" s="345"/>
      <c r="I112" s="345"/>
      <c r="J112" s="345"/>
      <c r="K112" s="345"/>
      <c r="L112" s="345"/>
      <c r="M112" s="345"/>
      <c r="N112" s="345"/>
      <c r="O112" s="345"/>
      <c r="P112" s="345"/>
      <c r="Q112" s="345"/>
      <c r="R112" s="345"/>
      <c r="S112" s="345"/>
      <c r="T112" s="345"/>
      <c r="U112" s="345"/>
      <c r="V112" s="345"/>
      <c r="W112" s="345"/>
      <c r="X112" s="345"/>
      <c r="Y112" s="345"/>
      <c r="Z112" s="331"/>
    </row>
    <row r="113">
      <c r="A113" s="345"/>
      <c r="B113" s="369"/>
      <c r="C113" s="345"/>
      <c r="D113" s="345"/>
      <c r="E113" s="345"/>
      <c r="F113" s="345"/>
      <c r="G113" s="345"/>
      <c r="H113" s="345"/>
      <c r="I113" s="345"/>
      <c r="J113" s="345"/>
      <c r="K113" s="345"/>
      <c r="L113" s="345"/>
      <c r="M113" s="345"/>
      <c r="N113" s="345"/>
      <c r="O113" s="345"/>
      <c r="P113" s="345"/>
      <c r="Q113" s="345"/>
      <c r="R113" s="345"/>
      <c r="S113" s="345"/>
      <c r="T113" s="345"/>
      <c r="U113" s="345"/>
      <c r="V113" s="345"/>
      <c r="W113" s="345"/>
      <c r="X113" s="345"/>
      <c r="Y113" s="345"/>
      <c r="Z113" s="331"/>
    </row>
    <row r="114">
      <c r="A114" s="345"/>
      <c r="B114" s="369"/>
      <c r="C114" s="345"/>
      <c r="D114" s="345"/>
      <c r="E114" s="345"/>
      <c r="F114" s="345"/>
      <c r="G114" s="345"/>
      <c r="H114" s="345"/>
      <c r="I114" s="345"/>
      <c r="J114" s="345"/>
      <c r="K114" s="345"/>
      <c r="L114" s="345"/>
      <c r="M114" s="345"/>
      <c r="N114" s="345"/>
      <c r="O114" s="345"/>
      <c r="P114" s="345"/>
      <c r="Q114" s="345"/>
      <c r="R114" s="345"/>
      <c r="S114" s="345"/>
      <c r="T114" s="345"/>
      <c r="U114" s="345"/>
      <c r="V114" s="345"/>
      <c r="W114" s="345"/>
      <c r="X114" s="345"/>
      <c r="Y114" s="345"/>
      <c r="Z114" s="331"/>
    </row>
    <row r="115">
      <c r="A115" s="345"/>
      <c r="B115" s="369"/>
      <c r="C115" s="345"/>
      <c r="D115" s="345"/>
      <c r="E115" s="345"/>
      <c r="F115" s="345"/>
      <c r="G115" s="345"/>
      <c r="H115" s="345"/>
      <c r="I115" s="345"/>
      <c r="J115" s="345"/>
      <c r="K115" s="345"/>
      <c r="L115" s="345"/>
      <c r="M115" s="345"/>
      <c r="N115" s="345"/>
      <c r="O115" s="345"/>
      <c r="P115" s="345"/>
      <c r="Q115" s="345"/>
      <c r="R115" s="345"/>
      <c r="S115" s="345"/>
      <c r="T115" s="345"/>
      <c r="U115" s="345"/>
      <c r="V115" s="345"/>
      <c r="W115" s="345"/>
      <c r="X115" s="345"/>
      <c r="Y115" s="345"/>
      <c r="Z115" s="331"/>
    </row>
    <row r="116">
      <c r="A116" s="345"/>
      <c r="B116" s="369"/>
      <c r="C116" s="345"/>
      <c r="D116" s="345"/>
      <c r="E116" s="345"/>
      <c r="F116" s="345"/>
      <c r="G116" s="345"/>
      <c r="H116" s="345"/>
      <c r="I116" s="345"/>
      <c r="J116" s="345"/>
      <c r="K116" s="345"/>
      <c r="L116" s="345"/>
      <c r="M116" s="345"/>
      <c r="N116" s="345"/>
      <c r="O116" s="345"/>
      <c r="P116" s="345"/>
      <c r="Q116" s="345"/>
      <c r="R116" s="345"/>
      <c r="S116" s="345"/>
      <c r="T116" s="345"/>
      <c r="U116" s="345"/>
      <c r="V116" s="345"/>
      <c r="W116" s="345"/>
      <c r="X116" s="345"/>
      <c r="Y116" s="345"/>
      <c r="Z116" s="331"/>
    </row>
    <row r="117">
      <c r="A117" s="345"/>
      <c r="B117" s="369"/>
      <c r="C117" s="345"/>
      <c r="D117" s="345"/>
      <c r="E117" s="345"/>
      <c r="F117" s="345"/>
      <c r="G117" s="345"/>
      <c r="H117" s="345"/>
      <c r="I117" s="345"/>
      <c r="J117" s="345"/>
      <c r="K117" s="345"/>
      <c r="L117" s="345"/>
      <c r="M117" s="345"/>
      <c r="N117" s="345"/>
      <c r="O117" s="345"/>
      <c r="P117" s="345"/>
      <c r="Q117" s="345"/>
      <c r="R117" s="345"/>
      <c r="S117" s="345"/>
      <c r="T117" s="345"/>
      <c r="U117" s="345"/>
      <c r="V117" s="345"/>
      <c r="W117" s="345"/>
      <c r="X117" s="345"/>
      <c r="Y117" s="345"/>
      <c r="Z117" s="331"/>
    </row>
    <row r="118">
      <c r="A118" s="345"/>
      <c r="B118" s="369"/>
      <c r="C118" s="345"/>
      <c r="D118" s="345"/>
      <c r="E118" s="345"/>
      <c r="F118" s="345"/>
      <c r="G118" s="345"/>
      <c r="H118" s="345"/>
      <c r="I118" s="345"/>
      <c r="J118" s="345"/>
      <c r="K118" s="345"/>
      <c r="L118" s="345"/>
      <c r="M118" s="345"/>
      <c r="N118" s="345"/>
      <c r="O118" s="345"/>
      <c r="P118" s="345"/>
      <c r="Q118" s="345"/>
      <c r="R118" s="345"/>
      <c r="S118" s="345"/>
      <c r="T118" s="345"/>
      <c r="U118" s="345"/>
      <c r="V118" s="345"/>
      <c r="W118" s="345"/>
      <c r="X118" s="345"/>
      <c r="Y118" s="345"/>
      <c r="Z118" s="331"/>
    </row>
    <row r="119">
      <c r="A119" s="345"/>
      <c r="B119" s="369"/>
      <c r="C119" s="345"/>
      <c r="D119" s="345"/>
      <c r="E119" s="345"/>
      <c r="F119" s="345"/>
      <c r="G119" s="345"/>
      <c r="H119" s="345"/>
      <c r="I119" s="345"/>
      <c r="J119" s="345"/>
      <c r="K119" s="345"/>
      <c r="L119" s="345"/>
      <c r="M119" s="345"/>
      <c r="N119" s="345"/>
      <c r="O119" s="345"/>
      <c r="P119" s="345"/>
      <c r="Q119" s="345"/>
      <c r="R119" s="345"/>
      <c r="S119" s="345"/>
      <c r="T119" s="345"/>
      <c r="U119" s="345"/>
      <c r="V119" s="345"/>
      <c r="W119" s="345"/>
      <c r="X119" s="345"/>
      <c r="Y119" s="345"/>
      <c r="Z119" s="331"/>
    </row>
    <row r="120">
      <c r="A120" s="345"/>
      <c r="B120" s="369"/>
      <c r="C120" s="345"/>
      <c r="D120" s="345"/>
      <c r="E120" s="345"/>
      <c r="F120" s="345"/>
      <c r="G120" s="345"/>
      <c r="H120" s="345"/>
      <c r="I120" s="345"/>
      <c r="J120" s="345"/>
      <c r="K120" s="345"/>
      <c r="L120" s="345"/>
      <c r="M120" s="345"/>
      <c r="N120" s="345"/>
      <c r="O120" s="345"/>
      <c r="P120" s="345"/>
      <c r="Q120" s="345"/>
      <c r="R120" s="345"/>
      <c r="S120" s="345"/>
      <c r="T120" s="345"/>
      <c r="U120" s="345"/>
      <c r="V120" s="345"/>
      <c r="W120" s="345"/>
      <c r="X120" s="345"/>
      <c r="Y120" s="345"/>
      <c r="Z120" s="331"/>
    </row>
    <row r="121">
      <c r="A121" s="345"/>
      <c r="B121" s="369"/>
      <c r="C121" s="345"/>
      <c r="D121" s="345"/>
      <c r="E121" s="345"/>
      <c r="F121" s="345"/>
      <c r="G121" s="345"/>
      <c r="H121" s="345"/>
      <c r="I121" s="345"/>
      <c r="J121" s="345"/>
      <c r="K121" s="345"/>
      <c r="L121" s="345"/>
      <c r="M121" s="345"/>
      <c r="N121" s="345"/>
      <c r="O121" s="345"/>
      <c r="P121" s="345"/>
      <c r="Q121" s="345"/>
      <c r="R121" s="345"/>
      <c r="S121" s="345"/>
      <c r="T121" s="345"/>
      <c r="U121" s="345"/>
      <c r="V121" s="345"/>
      <c r="W121" s="345"/>
      <c r="X121" s="345"/>
      <c r="Y121" s="345"/>
      <c r="Z121" s="331"/>
    </row>
    <row r="122">
      <c r="A122" s="345"/>
      <c r="B122" s="369"/>
      <c r="C122" s="345"/>
      <c r="D122" s="345"/>
      <c r="E122" s="345"/>
      <c r="F122" s="345"/>
      <c r="G122" s="345"/>
      <c r="H122" s="345"/>
      <c r="I122" s="345"/>
      <c r="J122" s="345"/>
      <c r="K122" s="345"/>
      <c r="L122" s="345"/>
      <c r="M122" s="345"/>
      <c r="N122" s="345"/>
      <c r="O122" s="345"/>
      <c r="P122" s="345"/>
      <c r="Q122" s="345"/>
      <c r="R122" s="345"/>
      <c r="S122" s="345"/>
      <c r="T122" s="345"/>
      <c r="U122" s="345"/>
      <c r="V122" s="345"/>
      <c r="W122" s="345"/>
      <c r="X122" s="345"/>
      <c r="Y122" s="345"/>
      <c r="Z122" s="331"/>
    </row>
    <row r="123">
      <c r="A123" s="345"/>
      <c r="B123" s="369"/>
      <c r="C123" s="345"/>
      <c r="D123" s="345"/>
      <c r="E123" s="345"/>
      <c r="F123" s="345"/>
      <c r="G123" s="345"/>
      <c r="H123" s="345"/>
      <c r="I123" s="345"/>
      <c r="J123" s="345"/>
      <c r="K123" s="345"/>
      <c r="L123" s="345"/>
      <c r="M123" s="345"/>
      <c r="N123" s="345"/>
      <c r="O123" s="345"/>
      <c r="P123" s="345"/>
      <c r="Q123" s="345"/>
      <c r="R123" s="345"/>
      <c r="S123" s="345"/>
      <c r="T123" s="345"/>
      <c r="U123" s="345"/>
      <c r="V123" s="345"/>
      <c r="W123" s="345"/>
      <c r="X123" s="345"/>
      <c r="Y123" s="345"/>
      <c r="Z123" s="331"/>
    </row>
    <row r="124">
      <c r="A124" s="345"/>
      <c r="B124" s="369"/>
      <c r="C124" s="345"/>
      <c r="D124" s="345"/>
      <c r="E124" s="345"/>
      <c r="F124" s="345"/>
      <c r="G124" s="345"/>
      <c r="H124" s="345"/>
      <c r="I124" s="345"/>
      <c r="J124" s="345"/>
      <c r="K124" s="345"/>
      <c r="L124" s="345"/>
      <c r="M124" s="345"/>
      <c r="N124" s="345"/>
      <c r="O124" s="345"/>
      <c r="P124" s="345"/>
      <c r="Q124" s="345"/>
      <c r="R124" s="345"/>
      <c r="S124" s="345"/>
      <c r="T124" s="345"/>
      <c r="U124" s="345"/>
      <c r="V124" s="345"/>
      <c r="W124" s="345"/>
      <c r="X124" s="345"/>
      <c r="Y124" s="345"/>
      <c r="Z124" s="331"/>
    </row>
    <row r="125">
      <c r="A125" s="345"/>
      <c r="B125" s="369"/>
      <c r="C125" s="345"/>
      <c r="D125" s="345"/>
      <c r="E125" s="345"/>
      <c r="F125" s="345"/>
      <c r="G125" s="345"/>
      <c r="H125" s="345"/>
      <c r="I125" s="345"/>
      <c r="J125" s="345"/>
      <c r="K125" s="345"/>
      <c r="L125" s="345"/>
      <c r="M125" s="345"/>
      <c r="N125" s="345"/>
      <c r="O125" s="345"/>
      <c r="P125" s="345"/>
      <c r="Q125" s="345"/>
      <c r="R125" s="345"/>
      <c r="S125" s="345"/>
      <c r="T125" s="345"/>
      <c r="U125" s="345"/>
      <c r="V125" s="345"/>
      <c r="W125" s="345"/>
      <c r="X125" s="345"/>
      <c r="Y125" s="345"/>
      <c r="Z125" s="331"/>
    </row>
    <row r="126">
      <c r="A126" s="345"/>
      <c r="B126" s="369"/>
      <c r="C126" s="345"/>
      <c r="D126" s="345"/>
      <c r="E126" s="345"/>
      <c r="F126" s="345"/>
      <c r="G126" s="345"/>
      <c r="H126" s="345"/>
      <c r="I126" s="345"/>
      <c r="J126" s="345"/>
      <c r="K126" s="345"/>
      <c r="L126" s="345"/>
      <c r="M126" s="345"/>
      <c r="N126" s="345"/>
      <c r="O126" s="345"/>
      <c r="P126" s="345"/>
      <c r="Q126" s="345"/>
      <c r="R126" s="345"/>
      <c r="S126" s="345"/>
      <c r="T126" s="345"/>
      <c r="U126" s="345"/>
      <c r="V126" s="345"/>
      <c r="W126" s="345"/>
      <c r="X126" s="345"/>
      <c r="Y126" s="345"/>
      <c r="Z126" s="331"/>
    </row>
    <row r="127">
      <c r="A127" s="345"/>
      <c r="B127" s="369"/>
      <c r="C127" s="345"/>
      <c r="D127" s="345"/>
      <c r="E127" s="345"/>
      <c r="F127" s="345"/>
      <c r="G127" s="345"/>
      <c r="H127" s="345"/>
      <c r="I127" s="345"/>
      <c r="J127" s="345"/>
      <c r="K127" s="345"/>
      <c r="L127" s="345"/>
      <c r="M127" s="345"/>
      <c r="N127" s="345"/>
      <c r="O127" s="345"/>
      <c r="P127" s="345"/>
      <c r="Q127" s="345"/>
      <c r="R127" s="345"/>
      <c r="S127" s="345"/>
      <c r="T127" s="345"/>
      <c r="U127" s="345"/>
      <c r="V127" s="345"/>
      <c r="W127" s="345"/>
      <c r="X127" s="345"/>
      <c r="Y127" s="345"/>
      <c r="Z127" s="331"/>
    </row>
    <row r="128">
      <c r="A128" s="345"/>
      <c r="B128" s="369"/>
      <c r="C128" s="345"/>
      <c r="D128" s="345"/>
      <c r="E128" s="345"/>
      <c r="F128" s="345"/>
      <c r="G128" s="345"/>
      <c r="H128" s="345"/>
      <c r="I128" s="345"/>
      <c r="J128" s="345"/>
      <c r="K128" s="345"/>
      <c r="L128" s="345"/>
      <c r="M128" s="345"/>
      <c r="N128" s="345"/>
      <c r="O128" s="345"/>
      <c r="P128" s="345"/>
      <c r="Q128" s="345"/>
      <c r="R128" s="345"/>
      <c r="S128" s="345"/>
      <c r="T128" s="345"/>
      <c r="U128" s="345"/>
      <c r="V128" s="345"/>
      <c r="W128" s="345"/>
      <c r="X128" s="345"/>
      <c r="Y128" s="345"/>
      <c r="Z128" s="331"/>
    </row>
    <row r="129">
      <c r="A129" s="345"/>
      <c r="B129" s="369"/>
      <c r="C129" s="345"/>
      <c r="D129" s="345"/>
      <c r="E129" s="345"/>
      <c r="F129" s="345"/>
      <c r="G129" s="345"/>
      <c r="H129" s="345"/>
      <c r="I129" s="345"/>
      <c r="J129" s="345"/>
      <c r="K129" s="345"/>
      <c r="L129" s="345"/>
      <c r="M129" s="345"/>
      <c r="N129" s="345"/>
      <c r="O129" s="345"/>
      <c r="P129" s="345"/>
      <c r="Q129" s="345"/>
      <c r="R129" s="345"/>
      <c r="S129" s="345"/>
      <c r="T129" s="345"/>
      <c r="U129" s="345"/>
      <c r="V129" s="345"/>
      <c r="W129" s="345"/>
      <c r="X129" s="345"/>
      <c r="Y129" s="345"/>
      <c r="Z129" s="331"/>
    </row>
    <row r="130">
      <c r="A130" s="345"/>
      <c r="B130" s="369"/>
      <c r="C130" s="345"/>
      <c r="D130" s="345"/>
      <c r="E130" s="345"/>
      <c r="F130" s="345"/>
      <c r="G130" s="345"/>
      <c r="H130" s="345"/>
      <c r="I130" s="345"/>
      <c r="J130" s="345"/>
      <c r="K130" s="345"/>
      <c r="L130" s="345"/>
      <c r="M130" s="345"/>
      <c r="N130" s="345"/>
      <c r="O130" s="345"/>
      <c r="P130" s="345"/>
      <c r="Q130" s="345"/>
      <c r="R130" s="345"/>
      <c r="S130" s="345"/>
      <c r="T130" s="345"/>
      <c r="U130" s="345"/>
      <c r="V130" s="345"/>
      <c r="W130" s="345"/>
      <c r="X130" s="345"/>
      <c r="Y130" s="345"/>
      <c r="Z130" s="331"/>
    </row>
    <row r="131">
      <c r="A131" s="345"/>
      <c r="B131" s="369"/>
      <c r="C131" s="345"/>
      <c r="D131" s="345"/>
      <c r="E131" s="345"/>
      <c r="F131" s="345"/>
      <c r="G131" s="345"/>
      <c r="H131" s="345"/>
      <c r="I131" s="345"/>
      <c r="J131" s="345"/>
      <c r="K131" s="345"/>
      <c r="L131" s="345"/>
      <c r="M131" s="345"/>
      <c r="N131" s="345"/>
      <c r="O131" s="345"/>
      <c r="P131" s="345"/>
      <c r="Q131" s="345"/>
      <c r="R131" s="345"/>
      <c r="S131" s="345"/>
      <c r="T131" s="345"/>
      <c r="U131" s="345"/>
      <c r="V131" s="345"/>
      <c r="W131" s="345"/>
      <c r="X131" s="345"/>
      <c r="Y131" s="345"/>
      <c r="Z131" s="331"/>
    </row>
    <row r="132">
      <c r="A132" s="345"/>
      <c r="B132" s="369"/>
      <c r="C132" s="345"/>
      <c r="D132" s="345"/>
      <c r="E132" s="345"/>
      <c r="F132" s="345"/>
      <c r="G132" s="345"/>
      <c r="H132" s="345"/>
      <c r="I132" s="345"/>
      <c r="J132" s="345"/>
      <c r="K132" s="345"/>
      <c r="L132" s="345"/>
      <c r="M132" s="345"/>
      <c r="N132" s="345"/>
      <c r="O132" s="345"/>
      <c r="P132" s="345"/>
      <c r="Q132" s="345"/>
      <c r="R132" s="345"/>
      <c r="S132" s="345"/>
      <c r="T132" s="345"/>
      <c r="U132" s="345"/>
      <c r="V132" s="345"/>
      <c r="W132" s="345"/>
      <c r="X132" s="345"/>
      <c r="Y132" s="345"/>
      <c r="Z132" s="331"/>
    </row>
    <row r="133">
      <c r="A133" s="345"/>
      <c r="B133" s="369"/>
      <c r="C133" s="345"/>
      <c r="D133" s="345"/>
      <c r="E133" s="345"/>
      <c r="F133" s="345"/>
      <c r="G133" s="345"/>
      <c r="H133" s="345"/>
      <c r="I133" s="345"/>
      <c r="J133" s="345"/>
      <c r="K133" s="345"/>
      <c r="L133" s="345"/>
      <c r="M133" s="345"/>
      <c r="N133" s="345"/>
      <c r="O133" s="345"/>
      <c r="P133" s="345"/>
      <c r="Q133" s="345"/>
      <c r="R133" s="345"/>
      <c r="S133" s="345"/>
      <c r="T133" s="345"/>
      <c r="U133" s="345"/>
      <c r="V133" s="345"/>
      <c r="W133" s="345"/>
      <c r="X133" s="345"/>
      <c r="Y133" s="345"/>
      <c r="Z133" s="331"/>
    </row>
    <row r="134">
      <c r="A134" s="345"/>
      <c r="B134" s="369"/>
      <c r="C134" s="345"/>
      <c r="D134" s="345"/>
      <c r="E134" s="345"/>
      <c r="F134" s="345"/>
      <c r="G134" s="345"/>
      <c r="H134" s="345"/>
      <c r="I134" s="345"/>
      <c r="J134" s="345"/>
      <c r="K134" s="345"/>
      <c r="L134" s="345"/>
      <c r="M134" s="345"/>
      <c r="N134" s="345"/>
      <c r="O134" s="345"/>
      <c r="P134" s="345"/>
      <c r="Q134" s="345"/>
      <c r="R134" s="345"/>
      <c r="S134" s="345"/>
      <c r="T134" s="345"/>
      <c r="U134" s="345"/>
      <c r="V134" s="345"/>
      <c r="W134" s="345"/>
      <c r="X134" s="345"/>
      <c r="Y134" s="345"/>
      <c r="Z134" s="331"/>
    </row>
    <row r="135">
      <c r="A135" s="345"/>
      <c r="B135" s="369"/>
      <c r="C135" s="345"/>
      <c r="D135" s="345"/>
      <c r="E135" s="345"/>
      <c r="F135" s="345"/>
      <c r="G135" s="345"/>
      <c r="H135" s="345"/>
      <c r="I135" s="345"/>
      <c r="J135" s="345"/>
      <c r="K135" s="345"/>
      <c r="L135" s="345"/>
      <c r="M135" s="345"/>
      <c r="N135" s="345"/>
      <c r="O135" s="345"/>
      <c r="P135" s="345"/>
      <c r="Q135" s="345"/>
      <c r="R135" s="345"/>
      <c r="S135" s="345"/>
      <c r="T135" s="345"/>
      <c r="U135" s="345"/>
      <c r="V135" s="345"/>
      <c r="W135" s="345"/>
      <c r="X135" s="345"/>
      <c r="Y135" s="345"/>
      <c r="Z135" s="331"/>
    </row>
    <row r="136">
      <c r="A136" s="345"/>
      <c r="B136" s="369"/>
      <c r="C136" s="345"/>
      <c r="D136" s="345"/>
      <c r="E136" s="345"/>
      <c r="F136" s="345"/>
      <c r="G136" s="345"/>
      <c r="H136" s="345"/>
      <c r="I136" s="345"/>
      <c r="J136" s="345"/>
      <c r="K136" s="345"/>
      <c r="L136" s="345"/>
      <c r="M136" s="345"/>
      <c r="N136" s="345"/>
      <c r="O136" s="345"/>
      <c r="P136" s="345"/>
      <c r="Q136" s="345"/>
      <c r="R136" s="345"/>
      <c r="S136" s="345"/>
      <c r="T136" s="345"/>
      <c r="U136" s="345"/>
      <c r="V136" s="345"/>
      <c r="W136" s="345"/>
      <c r="X136" s="345"/>
      <c r="Y136" s="345"/>
      <c r="Z136" s="331"/>
    </row>
    <row r="137">
      <c r="A137" s="345"/>
      <c r="B137" s="369"/>
      <c r="C137" s="345"/>
      <c r="D137" s="345"/>
      <c r="E137" s="345"/>
      <c r="F137" s="345"/>
      <c r="G137" s="345"/>
      <c r="H137" s="345"/>
      <c r="I137" s="345"/>
      <c r="J137" s="345"/>
      <c r="K137" s="345"/>
      <c r="L137" s="345"/>
      <c r="M137" s="345"/>
      <c r="N137" s="345"/>
      <c r="O137" s="345"/>
      <c r="P137" s="345"/>
      <c r="Q137" s="345"/>
      <c r="R137" s="345"/>
      <c r="S137" s="345"/>
      <c r="T137" s="345"/>
      <c r="U137" s="345"/>
      <c r="V137" s="345"/>
      <c r="W137" s="345"/>
      <c r="X137" s="345"/>
      <c r="Y137" s="345"/>
      <c r="Z137" s="331"/>
    </row>
    <row r="138">
      <c r="A138" s="345"/>
      <c r="B138" s="369"/>
      <c r="C138" s="345"/>
      <c r="D138" s="345"/>
      <c r="E138" s="345"/>
      <c r="F138" s="345"/>
      <c r="G138" s="345"/>
      <c r="H138" s="345"/>
      <c r="I138" s="345"/>
      <c r="J138" s="345"/>
      <c r="K138" s="345"/>
      <c r="L138" s="345"/>
      <c r="M138" s="345"/>
      <c r="N138" s="345"/>
      <c r="O138" s="345"/>
      <c r="P138" s="345"/>
      <c r="Q138" s="345"/>
      <c r="R138" s="345"/>
      <c r="S138" s="345"/>
      <c r="T138" s="345"/>
      <c r="U138" s="345"/>
      <c r="V138" s="345"/>
      <c r="W138" s="345"/>
      <c r="X138" s="345"/>
      <c r="Y138" s="345"/>
      <c r="Z138" s="331"/>
    </row>
    <row r="139">
      <c r="A139" s="345"/>
      <c r="B139" s="369"/>
      <c r="C139" s="345"/>
      <c r="D139" s="345"/>
      <c r="E139" s="345"/>
      <c r="F139" s="345"/>
      <c r="G139" s="345"/>
      <c r="H139" s="345"/>
      <c r="I139" s="345"/>
      <c r="J139" s="345"/>
      <c r="K139" s="345"/>
      <c r="L139" s="345"/>
      <c r="M139" s="345"/>
      <c r="N139" s="345"/>
      <c r="O139" s="345"/>
      <c r="P139" s="345"/>
      <c r="Q139" s="345"/>
      <c r="R139" s="345"/>
      <c r="S139" s="345"/>
      <c r="T139" s="345"/>
      <c r="U139" s="345"/>
      <c r="V139" s="345"/>
      <c r="W139" s="345"/>
      <c r="X139" s="345"/>
      <c r="Y139" s="345"/>
      <c r="Z139" s="331"/>
    </row>
    <row r="140">
      <c r="A140" s="345"/>
      <c r="B140" s="369"/>
      <c r="C140" s="345"/>
      <c r="D140" s="345"/>
      <c r="E140" s="345"/>
      <c r="F140" s="345"/>
      <c r="G140" s="345"/>
      <c r="H140" s="345"/>
      <c r="I140" s="345"/>
      <c r="J140" s="345"/>
      <c r="K140" s="345"/>
      <c r="L140" s="345"/>
      <c r="M140" s="345"/>
      <c r="N140" s="345"/>
      <c r="O140" s="345"/>
      <c r="P140" s="345"/>
      <c r="Q140" s="345"/>
      <c r="R140" s="345"/>
      <c r="S140" s="345"/>
      <c r="T140" s="345"/>
      <c r="U140" s="345"/>
      <c r="V140" s="345"/>
      <c r="W140" s="345"/>
      <c r="X140" s="345"/>
      <c r="Y140" s="345"/>
      <c r="Z140" s="331"/>
    </row>
    <row r="141">
      <c r="A141" s="345"/>
      <c r="B141" s="369"/>
      <c r="C141" s="345"/>
      <c r="D141" s="345"/>
      <c r="E141" s="345"/>
      <c r="F141" s="345"/>
      <c r="G141" s="345"/>
      <c r="H141" s="345"/>
      <c r="I141" s="345"/>
      <c r="J141" s="345"/>
      <c r="K141" s="345"/>
      <c r="L141" s="345"/>
      <c r="M141" s="345"/>
      <c r="N141" s="345"/>
      <c r="O141" s="345"/>
      <c r="P141" s="345"/>
      <c r="Q141" s="345"/>
      <c r="R141" s="345"/>
      <c r="S141" s="345"/>
      <c r="T141" s="345"/>
      <c r="U141" s="345"/>
      <c r="V141" s="345"/>
      <c r="W141" s="345"/>
      <c r="X141" s="345"/>
      <c r="Y141" s="345"/>
      <c r="Z141" s="331"/>
    </row>
    <row r="142">
      <c r="A142" s="345"/>
      <c r="B142" s="369"/>
      <c r="C142" s="345"/>
      <c r="D142" s="345"/>
      <c r="E142" s="345"/>
      <c r="F142" s="345"/>
      <c r="G142" s="345"/>
      <c r="H142" s="345"/>
      <c r="I142" s="345"/>
      <c r="J142" s="345"/>
      <c r="K142" s="345"/>
      <c r="L142" s="345"/>
      <c r="M142" s="345"/>
      <c r="N142" s="345"/>
      <c r="O142" s="345"/>
      <c r="P142" s="345"/>
      <c r="Q142" s="345"/>
      <c r="R142" s="345"/>
      <c r="S142" s="345"/>
      <c r="T142" s="345"/>
      <c r="U142" s="345"/>
      <c r="V142" s="345"/>
      <c r="W142" s="345"/>
      <c r="X142" s="345"/>
      <c r="Y142" s="345"/>
      <c r="Z142" s="331"/>
    </row>
    <row r="143">
      <c r="A143" s="345"/>
      <c r="B143" s="369"/>
      <c r="C143" s="345"/>
      <c r="D143" s="345"/>
      <c r="E143" s="345"/>
      <c r="F143" s="345"/>
      <c r="G143" s="345"/>
      <c r="H143" s="345"/>
      <c r="I143" s="345"/>
      <c r="J143" s="345"/>
      <c r="K143" s="345"/>
      <c r="L143" s="345"/>
      <c r="M143" s="345"/>
      <c r="N143" s="345"/>
      <c r="O143" s="345"/>
      <c r="P143" s="345"/>
      <c r="Q143" s="345"/>
      <c r="R143" s="345"/>
      <c r="S143" s="345"/>
      <c r="T143" s="345"/>
      <c r="U143" s="345"/>
      <c r="V143" s="345"/>
      <c r="W143" s="345"/>
      <c r="X143" s="345"/>
      <c r="Y143" s="345"/>
      <c r="Z143" s="331"/>
    </row>
    <row r="144">
      <c r="A144" s="345"/>
      <c r="B144" s="369"/>
      <c r="C144" s="345"/>
      <c r="D144" s="345"/>
      <c r="E144" s="345"/>
      <c r="F144" s="345"/>
      <c r="G144" s="345"/>
      <c r="H144" s="345"/>
      <c r="I144" s="345"/>
      <c r="J144" s="345"/>
      <c r="K144" s="345"/>
      <c r="L144" s="345"/>
      <c r="M144" s="345"/>
      <c r="N144" s="345"/>
      <c r="O144" s="345"/>
      <c r="P144" s="345"/>
      <c r="Q144" s="345"/>
      <c r="R144" s="345"/>
      <c r="S144" s="345"/>
      <c r="T144" s="345"/>
      <c r="U144" s="345"/>
      <c r="V144" s="345"/>
      <c r="W144" s="345"/>
      <c r="X144" s="345"/>
      <c r="Y144" s="345"/>
      <c r="Z144" s="331"/>
    </row>
    <row r="145">
      <c r="A145" s="345"/>
      <c r="B145" s="369"/>
      <c r="C145" s="345"/>
      <c r="D145" s="345"/>
      <c r="E145" s="345"/>
      <c r="F145" s="345"/>
      <c r="G145" s="345"/>
      <c r="H145" s="345"/>
      <c r="I145" s="345"/>
      <c r="J145" s="345"/>
      <c r="K145" s="345"/>
      <c r="L145" s="345"/>
      <c r="M145" s="345"/>
      <c r="N145" s="345"/>
      <c r="O145" s="345"/>
      <c r="P145" s="345"/>
      <c r="Q145" s="345"/>
      <c r="R145" s="345"/>
      <c r="S145" s="345"/>
      <c r="T145" s="345"/>
      <c r="U145" s="345"/>
      <c r="V145" s="345"/>
      <c r="W145" s="345"/>
      <c r="X145" s="345"/>
      <c r="Y145" s="345"/>
      <c r="Z145" s="331"/>
    </row>
    <row r="146">
      <c r="A146" s="345"/>
      <c r="B146" s="369"/>
      <c r="C146" s="345"/>
      <c r="D146" s="345"/>
      <c r="E146" s="345"/>
      <c r="F146" s="345"/>
      <c r="G146" s="345"/>
      <c r="H146" s="345"/>
      <c r="I146" s="345"/>
      <c r="J146" s="345"/>
      <c r="K146" s="345"/>
      <c r="L146" s="345"/>
      <c r="M146" s="345"/>
      <c r="N146" s="345"/>
      <c r="O146" s="345"/>
      <c r="P146" s="345"/>
      <c r="Q146" s="345"/>
      <c r="R146" s="345"/>
      <c r="S146" s="345"/>
      <c r="T146" s="345"/>
      <c r="U146" s="345"/>
      <c r="V146" s="345"/>
      <c r="W146" s="345"/>
      <c r="X146" s="345"/>
      <c r="Y146" s="345"/>
      <c r="Z146" s="331"/>
    </row>
    <row r="147">
      <c r="A147" s="345"/>
      <c r="B147" s="369"/>
      <c r="C147" s="345"/>
      <c r="D147" s="345"/>
      <c r="E147" s="345"/>
      <c r="F147" s="345"/>
      <c r="G147" s="345"/>
      <c r="H147" s="345"/>
      <c r="I147" s="345"/>
      <c r="J147" s="345"/>
      <c r="K147" s="345"/>
      <c r="L147" s="345"/>
      <c r="M147" s="345"/>
      <c r="N147" s="345"/>
      <c r="O147" s="345"/>
      <c r="P147" s="345"/>
      <c r="Q147" s="345"/>
      <c r="R147" s="345"/>
      <c r="S147" s="345"/>
      <c r="T147" s="345"/>
      <c r="U147" s="345"/>
      <c r="V147" s="345"/>
      <c r="W147" s="345"/>
      <c r="X147" s="345"/>
      <c r="Y147" s="345"/>
      <c r="Z147" s="331"/>
    </row>
    <row r="148">
      <c r="A148" s="345"/>
      <c r="B148" s="369"/>
      <c r="C148" s="345"/>
      <c r="D148" s="345"/>
      <c r="E148" s="345"/>
      <c r="F148" s="345"/>
      <c r="G148" s="345"/>
      <c r="H148" s="345"/>
      <c r="I148" s="345"/>
      <c r="J148" s="345"/>
      <c r="K148" s="345"/>
      <c r="L148" s="345"/>
      <c r="M148" s="345"/>
      <c r="N148" s="345"/>
      <c r="O148" s="345"/>
      <c r="P148" s="345"/>
      <c r="Q148" s="345"/>
      <c r="R148" s="345"/>
      <c r="S148" s="345"/>
      <c r="T148" s="345"/>
      <c r="U148" s="345"/>
      <c r="V148" s="345"/>
      <c r="W148" s="345"/>
      <c r="X148" s="345"/>
      <c r="Y148" s="345"/>
      <c r="Z148" s="331"/>
    </row>
    <row r="149">
      <c r="A149" s="345"/>
      <c r="B149" s="369"/>
      <c r="C149" s="345"/>
      <c r="D149" s="345"/>
      <c r="E149" s="345"/>
      <c r="F149" s="345"/>
      <c r="G149" s="345"/>
      <c r="H149" s="345"/>
      <c r="I149" s="345"/>
      <c r="J149" s="345"/>
      <c r="K149" s="345"/>
      <c r="L149" s="345"/>
      <c r="M149" s="345"/>
      <c r="N149" s="345"/>
      <c r="O149" s="345"/>
      <c r="P149" s="345"/>
      <c r="Q149" s="345"/>
      <c r="R149" s="345"/>
      <c r="S149" s="345"/>
      <c r="T149" s="345"/>
      <c r="U149" s="345"/>
      <c r="V149" s="345"/>
      <c r="W149" s="345"/>
      <c r="X149" s="345"/>
      <c r="Y149" s="345"/>
      <c r="Z149" s="331"/>
    </row>
    <row r="150">
      <c r="A150" s="345"/>
      <c r="B150" s="369"/>
      <c r="C150" s="345"/>
      <c r="D150" s="345"/>
      <c r="E150" s="345"/>
      <c r="F150" s="345"/>
      <c r="G150" s="345"/>
      <c r="H150" s="345"/>
      <c r="I150" s="345"/>
      <c r="J150" s="345"/>
      <c r="K150" s="345"/>
      <c r="L150" s="345"/>
      <c r="M150" s="345"/>
      <c r="N150" s="345"/>
      <c r="O150" s="345"/>
      <c r="P150" s="345"/>
      <c r="Q150" s="345"/>
      <c r="R150" s="345"/>
      <c r="S150" s="345"/>
      <c r="T150" s="345"/>
      <c r="U150" s="345"/>
      <c r="V150" s="345"/>
      <c r="W150" s="345"/>
      <c r="X150" s="345"/>
      <c r="Y150" s="345"/>
      <c r="Z150" s="331"/>
    </row>
    <row r="151">
      <c r="A151" s="345"/>
      <c r="B151" s="369"/>
      <c r="C151" s="345"/>
      <c r="D151" s="345"/>
      <c r="E151" s="345"/>
      <c r="F151" s="345"/>
      <c r="G151" s="345"/>
      <c r="H151" s="345"/>
      <c r="I151" s="345"/>
      <c r="J151" s="345"/>
      <c r="K151" s="345"/>
      <c r="L151" s="345"/>
      <c r="M151" s="345"/>
      <c r="N151" s="345"/>
      <c r="O151" s="345"/>
      <c r="P151" s="345"/>
      <c r="Q151" s="345"/>
      <c r="R151" s="345"/>
      <c r="S151" s="345"/>
      <c r="T151" s="345"/>
      <c r="U151" s="345"/>
      <c r="V151" s="345"/>
      <c r="W151" s="345"/>
      <c r="X151" s="345"/>
      <c r="Y151" s="345"/>
      <c r="Z151" s="331"/>
    </row>
    <row r="152">
      <c r="A152" s="345"/>
      <c r="B152" s="369"/>
      <c r="C152" s="345"/>
      <c r="D152" s="345"/>
      <c r="E152" s="345"/>
      <c r="F152" s="345"/>
      <c r="G152" s="345"/>
      <c r="H152" s="345"/>
      <c r="I152" s="345"/>
      <c r="J152" s="345"/>
      <c r="K152" s="345"/>
      <c r="L152" s="345"/>
      <c r="M152" s="345"/>
      <c r="N152" s="345"/>
      <c r="O152" s="345"/>
      <c r="P152" s="345"/>
      <c r="Q152" s="345"/>
      <c r="R152" s="345"/>
      <c r="S152" s="345"/>
      <c r="T152" s="345"/>
      <c r="U152" s="345"/>
      <c r="V152" s="345"/>
      <c r="W152" s="345"/>
      <c r="X152" s="345"/>
      <c r="Y152" s="345"/>
      <c r="Z152" s="331"/>
    </row>
    <row r="153">
      <c r="A153" s="345"/>
      <c r="B153" s="369"/>
      <c r="C153" s="345"/>
      <c r="D153" s="345"/>
      <c r="E153" s="345"/>
      <c r="F153" s="345"/>
      <c r="G153" s="345"/>
      <c r="H153" s="345"/>
      <c r="I153" s="345"/>
      <c r="J153" s="345"/>
      <c r="K153" s="345"/>
      <c r="L153" s="345"/>
      <c r="M153" s="345"/>
      <c r="N153" s="345"/>
      <c r="O153" s="345"/>
      <c r="P153" s="345"/>
      <c r="Q153" s="345"/>
      <c r="R153" s="345"/>
      <c r="S153" s="345"/>
      <c r="T153" s="345"/>
      <c r="U153" s="345"/>
      <c r="V153" s="345"/>
      <c r="W153" s="345"/>
      <c r="X153" s="345"/>
      <c r="Y153" s="345"/>
      <c r="Z153" s="331"/>
    </row>
    <row r="154">
      <c r="A154" s="345"/>
      <c r="B154" s="369"/>
      <c r="C154" s="345"/>
      <c r="D154" s="345"/>
      <c r="E154" s="345"/>
      <c r="F154" s="345"/>
      <c r="G154" s="345"/>
      <c r="H154" s="345"/>
      <c r="I154" s="345"/>
      <c r="J154" s="345"/>
      <c r="K154" s="345"/>
      <c r="L154" s="345"/>
      <c r="M154" s="345"/>
      <c r="N154" s="345"/>
      <c r="O154" s="345"/>
      <c r="P154" s="345"/>
      <c r="Q154" s="345"/>
      <c r="R154" s="345"/>
      <c r="S154" s="345"/>
      <c r="T154" s="345"/>
      <c r="U154" s="345"/>
      <c r="V154" s="345"/>
      <c r="W154" s="345"/>
      <c r="X154" s="345"/>
      <c r="Y154" s="345"/>
      <c r="Z154" s="331"/>
    </row>
    <row r="155">
      <c r="A155" s="345"/>
      <c r="B155" s="369"/>
      <c r="C155" s="345"/>
      <c r="D155" s="345"/>
      <c r="E155" s="345"/>
      <c r="F155" s="345"/>
      <c r="G155" s="345"/>
      <c r="H155" s="345"/>
      <c r="I155" s="345"/>
      <c r="J155" s="345"/>
      <c r="K155" s="345"/>
      <c r="L155" s="345"/>
      <c r="M155" s="345"/>
      <c r="N155" s="345"/>
      <c r="O155" s="345"/>
      <c r="P155" s="345"/>
      <c r="Q155" s="345"/>
      <c r="R155" s="345"/>
      <c r="S155" s="345"/>
      <c r="T155" s="345"/>
      <c r="U155" s="345"/>
      <c r="V155" s="345"/>
      <c r="W155" s="345"/>
      <c r="X155" s="345"/>
      <c r="Y155" s="345"/>
      <c r="Z155" s="331"/>
    </row>
    <row r="156">
      <c r="A156" s="345"/>
      <c r="B156" s="369"/>
      <c r="C156" s="345"/>
      <c r="D156" s="345"/>
      <c r="E156" s="345"/>
      <c r="F156" s="345"/>
      <c r="G156" s="345"/>
      <c r="H156" s="345"/>
      <c r="I156" s="345"/>
      <c r="J156" s="345"/>
      <c r="K156" s="345"/>
      <c r="L156" s="345"/>
      <c r="M156" s="345"/>
      <c r="N156" s="345"/>
      <c r="O156" s="345"/>
      <c r="P156" s="345"/>
      <c r="Q156" s="345"/>
      <c r="R156" s="345"/>
      <c r="S156" s="345"/>
      <c r="T156" s="345"/>
      <c r="U156" s="345"/>
      <c r="V156" s="345"/>
      <c r="W156" s="345"/>
      <c r="X156" s="345"/>
      <c r="Y156" s="345"/>
      <c r="Z156" s="331"/>
    </row>
    <row r="157">
      <c r="A157" s="345"/>
      <c r="B157" s="369"/>
      <c r="C157" s="345"/>
      <c r="D157" s="345"/>
      <c r="E157" s="345"/>
      <c r="F157" s="345"/>
      <c r="G157" s="345"/>
      <c r="H157" s="345"/>
      <c r="I157" s="345"/>
      <c r="J157" s="345"/>
      <c r="K157" s="345"/>
      <c r="L157" s="345"/>
      <c r="M157" s="345"/>
      <c r="N157" s="345"/>
      <c r="O157" s="345"/>
      <c r="P157" s="345"/>
      <c r="Q157" s="345"/>
      <c r="R157" s="345"/>
      <c r="S157" s="345"/>
      <c r="T157" s="345"/>
      <c r="U157" s="345"/>
      <c r="V157" s="345"/>
      <c r="W157" s="345"/>
      <c r="X157" s="345"/>
      <c r="Y157" s="345"/>
      <c r="Z157" s="331"/>
    </row>
    <row r="158">
      <c r="A158" s="345"/>
      <c r="B158" s="369"/>
      <c r="C158" s="345"/>
      <c r="D158" s="345"/>
      <c r="E158" s="345"/>
      <c r="F158" s="345"/>
      <c r="G158" s="345"/>
      <c r="H158" s="345"/>
      <c r="I158" s="345"/>
      <c r="J158" s="345"/>
      <c r="K158" s="345"/>
      <c r="L158" s="345"/>
      <c r="M158" s="345"/>
      <c r="N158" s="345"/>
      <c r="O158" s="345"/>
      <c r="P158" s="345"/>
      <c r="Q158" s="345"/>
      <c r="R158" s="345"/>
      <c r="S158" s="345"/>
      <c r="T158" s="345"/>
      <c r="U158" s="345"/>
      <c r="V158" s="345"/>
      <c r="W158" s="345"/>
      <c r="X158" s="345"/>
      <c r="Y158" s="345"/>
      <c r="Z158" s="331"/>
    </row>
    <row r="159">
      <c r="A159" s="345"/>
      <c r="B159" s="369"/>
      <c r="C159" s="345"/>
      <c r="D159" s="345"/>
      <c r="E159" s="345"/>
      <c r="F159" s="345"/>
      <c r="G159" s="345"/>
      <c r="H159" s="345"/>
      <c r="I159" s="345"/>
      <c r="J159" s="345"/>
      <c r="K159" s="345"/>
      <c r="L159" s="345"/>
      <c r="M159" s="345"/>
      <c r="N159" s="345"/>
      <c r="O159" s="345"/>
      <c r="P159" s="345"/>
      <c r="Q159" s="345"/>
      <c r="R159" s="345"/>
      <c r="S159" s="345"/>
      <c r="T159" s="345"/>
      <c r="U159" s="345"/>
      <c r="V159" s="345"/>
      <c r="W159" s="345"/>
      <c r="X159" s="345"/>
      <c r="Y159" s="345"/>
      <c r="Z159" s="331"/>
    </row>
    <row r="160">
      <c r="A160" s="345"/>
      <c r="B160" s="369"/>
      <c r="C160" s="345"/>
      <c r="D160" s="345"/>
      <c r="E160" s="345"/>
      <c r="F160" s="345"/>
      <c r="G160" s="345"/>
      <c r="H160" s="345"/>
      <c r="I160" s="345"/>
      <c r="J160" s="345"/>
      <c r="K160" s="345"/>
      <c r="L160" s="345"/>
      <c r="M160" s="345"/>
      <c r="N160" s="345"/>
      <c r="O160" s="345"/>
      <c r="P160" s="345"/>
      <c r="Q160" s="345"/>
      <c r="R160" s="345"/>
      <c r="S160" s="345"/>
      <c r="T160" s="345"/>
      <c r="U160" s="345"/>
      <c r="V160" s="345"/>
      <c r="W160" s="345"/>
      <c r="X160" s="345"/>
      <c r="Y160" s="345"/>
      <c r="Z160" s="331"/>
    </row>
    <row r="161">
      <c r="A161" s="345"/>
      <c r="B161" s="369"/>
      <c r="C161" s="345"/>
      <c r="D161" s="345"/>
      <c r="E161" s="345"/>
      <c r="F161" s="345"/>
      <c r="G161" s="345"/>
      <c r="H161" s="345"/>
      <c r="I161" s="345"/>
      <c r="J161" s="345"/>
      <c r="K161" s="345"/>
      <c r="L161" s="345"/>
      <c r="M161" s="345"/>
      <c r="N161" s="345"/>
      <c r="O161" s="345"/>
      <c r="P161" s="345"/>
      <c r="Q161" s="345"/>
      <c r="R161" s="345"/>
      <c r="S161" s="345"/>
      <c r="T161" s="345"/>
      <c r="U161" s="345"/>
      <c r="V161" s="345"/>
      <c r="W161" s="345"/>
      <c r="X161" s="345"/>
      <c r="Y161" s="345"/>
      <c r="Z161" s="331"/>
    </row>
    <row r="162">
      <c r="A162" s="345"/>
      <c r="B162" s="369"/>
      <c r="C162" s="345"/>
      <c r="D162" s="345"/>
      <c r="E162" s="345"/>
      <c r="F162" s="345"/>
      <c r="G162" s="345"/>
      <c r="H162" s="345"/>
      <c r="I162" s="345"/>
      <c r="J162" s="345"/>
      <c r="K162" s="345"/>
      <c r="L162" s="345"/>
      <c r="M162" s="345"/>
      <c r="N162" s="345"/>
      <c r="O162" s="345"/>
      <c r="P162" s="345"/>
      <c r="Q162" s="345"/>
      <c r="R162" s="345"/>
      <c r="S162" s="345"/>
      <c r="T162" s="345"/>
      <c r="U162" s="345"/>
      <c r="V162" s="345"/>
      <c r="W162" s="345"/>
      <c r="X162" s="345"/>
      <c r="Y162" s="345"/>
      <c r="Z162" s="331"/>
    </row>
    <row r="163">
      <c r="A163" s="345"/>
      <c r="B163" s="369"/>
      <c r="C163" s="345"/>
      <c r="D163" s="345"/>
      <c r="E163" s="345"/>
      <c r="F163" s="345"/>
      <c r="G163" s="345"/>
      <c r="H163" s="345"/>
      <c r="I163" s="345"/>
      <c r="J163" s="345"/>
      <c r="K163" s="345"/>
      <c r="L163" s="345"/>
      <c r="M163" s="345"/>
      <c r="N163" s="345"/>
      <c r="O163" s="345"/>
      <c r="P163" s="345"/>
      <c r="Q163" s="345"/>
      <c r="R163" s="345"/>
      <c r="S163" s="345"/>
      <c r="T163" s="345"/>
      <c r="U163" s="345"/>
      <c r="V163" s="345"/>
      <c r="W163" s="345"/>
      <c r="X163" s="345"/>
      <c r="Y163" s="345"/>
      <c r="Z163" s="331"/>
    </row>
    <row r="164">
      <c r="A164" s="345"/>
      <c r="B164" s="369"/>
      <c r="C164" s="345"/>
      <c r="D164" s="345"/>
      <c r="E164" s="345"/>
      <c r="F164" s="345"/>
      <c r="G164" s="345"/>
      <c r="H164" s="345"/>
      <c r="I164" s="345"/>
      <c r="J164" s="345"/>
      <c r="K164" s="345"/>
      <c r="L164" s="345"/>
      <c r="M164" s="345"/>
      <c r="N164" s="345"/>
      <c r="O164" s="345"/>
      <c r="P164" s="345"/>
      <c r="Q164" s="345"/>
      <c r="R164" s="345"/>
      <c r="S164" s="345"/>
      <c r="T164" s="345"/>
      <c r="U164" s="345"/>
      <c r="V164" s="345"/>
      <c r="W164" s="345"/>
      <c r="X164" s="345"/>
      <c r="Y164" s="345"/>
      <c r="Z164" s="331"/>
    </row>
    <row r="165">
      <c r="A165" s="345"/>
      <c r="B165" s="369"/>
      <c r="C165" s="345"/>
      <c r="D165" s="345"/>
      <c r="E165" s="345"/>
      <c r="F165" s="345"/>
      <c r="G165" s="345"/>
      <c r="H165" s="345"/>
      <c r="I165" s="345"/>
      <c r="J165" s="345"/>
      <c r="K165" s="345"/>
      <c r="L165" s="345"/>
      <c r="M165" s="345"/>
      <c r="N165" s="345"/>
      <c r="O165" s="345"/>
      <c r="P165" s="345"/>
      <c r="Q165" s="345"/>
      <c r="R165" s="345"/>
      <c r="S165" s="345"/>
      <c r="T165" s="345"/>
      <c r="U165" s="345"/>
      <c r="V165" s="345"/>
      <c r="W165" s="345"/>
      <c r="X165" s="345"/>
      <c r="Y165" s="345"/>
      <c r="Z165" s="331"/>
    </row>
    <row r="166">
      <c r="A166" s="345"/>
      <c r="B166" s="369"/>
      <c r="C166" s="345"/>
      <c r="D166" s="345"/>
      <c r="E166" s="345"/>
      <c r="F166" s="345"/>
      <c r="G166" s="345"/>
      <c r="H166" s="345"/>
      <c r="I166" s="345"/>
      <c r="J166" s="345"/>
      <c r="K166" s="345"/>
      <c r="L166" s="345"/>
      <c r="M166" s="345"/>
      <c r="N166" s="345"/>
      <c r="O166" s="345"/>
      <c r="P166" s="345"/>
      <c r="Q166" s="345"/>
      <c r="R166" s="345"/>
      <c r="S166" s="345"/>
      <c r="T166" s="345"/>
      <c r="U166" s="345"/>
      <c r="V166" s="345"/>
      <c r="W166" s="345"/>
      <c r="X166" s="345"/>
      <c r="Y166" s="345"/>
      <c r="Z166" s="331"/>
    </row>
    <row r="167">
      <c r="A167" s="345"/>
      <c r="B167" s="369"/>
      <c r="C167" s="345"/>
      <c r="D167" s="345"/>
      <c r="E167" s="345"/>
      <c r="F167" s="345"/>
      <c r="G167" s="345"/>
      <c r="H167" s="345"/>
      <c r="I167" s="345"/>
      <c r="J167" s="345"/>
      <c r="K167" s="345"/>
      <c r="L167" s="345"/>
      <c r="M167" s="345"/>
      <c r="N167" s="345"/>
      <c r="O167" s="345"/>
      <c r="P167" s="345"/>
      <c r="Q167" s="345"/>
      <c r="R167" s="345"/>
      <c r="S167" s="345"/>
      <c r="T167" s="345"/>
      <c r="U167" s="345"/>
      <c r="V167" s="345"/>
      <c r="W167" s="345"/>
      <c r="X167" s="345"/>
      <c r="Y167" s="345"/>
      <c r="Z167" s="331"/>
    </row>
    <row r="168">
      <c r="A168" s="345"/>
      <c r="B168" s="369"/>
      <c r="C168" s="345"/>
      <c r="D168" s="345"/>
      <c r="E168" s="345"/>
      <c r="F168" s="345"/>
      <c r="G168" s="345"/>
      <c r="H168" s="345"/>
      <c r="I168" s="345"/>
      <c r="J168" s="345"/>
      <c r="K168" s="345"/>
      <c r="L168" s="345"/>
      <c r="M168" s="345"/>
      <c r="N168" s="345"/>
      <c r="O168" s="345"/>
      <c r="P168" s="345"/>
      <c r="Q168" s="345"/>
      <c r="R168" s="345"/>
      <c r="S168" s="345"/>
      <c r="T168" s="345"/>
      <c r="U168" s="345"/>
      <c r="V168" s="345"/>
      <c r="W168" s="345"/>
      <c r="X168" s="345"/>
      <c r="Y168" s="345"/>
      <c r="Z168" s="331"/>
    </row>
    <row r="169">
      <c r="A169" s="345"/>
      <c r="B169" s="369"/>
      <c r="C169" s="345"/>
      <c r="D169" s="345"/>
      <c r="E169" s="345"/>
      <c r="F169" s="345"/>
      <c r="G169" s="345"/>
      <c r="H169" s="345"/>
      <c r="I169" s="345"/>
      <c r="J169" s="345"/>
      <c r="K169" s="345"/>
      <c r="L169" s="345"/>
      <c r="M169" s="345"/>
      <c r="N169" s="345"/>
      <c r="O169" s="345"/>
      <c r="P169" s="345"/>
      <c r="Q169" s="345"/>
      <c r="R169" s="345"/>
      <c r="S169" s="345"/>
      <c r="T169" s="345"/>
      <c r="U169" s="345"/>
      <c r="V169" s="345"/>
      <c r="W169" s="345"/>
      <c r="X169" s="345"/>
      <c r="Y169" s="345"/>
      <c r="Z169" s="331"/>
    </row>
    <row r="170">
      <c r="A170" s="345"/>
      <c r="B170" s="369"/>
      <c r="C170" s="345"/>
      <c r="D170" s="345"/>
      <c r="E170" s="345"/>
      <c r="F170" s="345"/>
      <c r="G170" s="345"/>
      <c r="H170" s="345"/>
      <c r="I170" s="345"/>
      <c r="J170" s="345"/>
      <c r="K170" s="345"/>
      <c r="L170" s="345"/>
      <c r="M170" s="345"/>
      <c r="N170" s="345"/>
      <c r="O170" s="345"/>
      <c r="P170" s="345"/>
      <c r="Q170" s="345"/>
      <c r="R170" s="345"/>
      <c r="S170" s="345"/>
      <c r="T170" s="345"/>
      <c r="U170" s="345"/>
      <c r="V170" s="345"/>
      <c r="W170" s="345"/>
      <c r="X170" s="345"/>
      <c r="Y170" s="345"/>
      <c r="Z170" s="331"/>
    </row>
    <row r="171">
      <c r="A171" s="345"/>
      <c r="B171" s="369"/>
      <c r="C171" s="345"/>
      <c r="D171" s="345"/>
      <c r="E171" s="345"/>
      <c r="F171" s="345"/>
      <c r="G171" s="345"/>
      <c r="H171" s="345"/>
      <c r="I171" s="345"/>
      <c r="J171" s="345"/>
      <c r="K171" s="345"/>
      <c r="L171" s="345"/>
      <c r="M171" s="345"/>
      <c r="N171" s="345"/>
      <c r="O171" s="345"/>
      <c r="P171" s="345"/>
      <c r="Q171" s="345"/>
      <c r="R171" s="345"/>
      <c r="S171" s="345"/>
      <c r="T171" s="345"/>
      <c r="U171" s="345"/>
      <c r="V171" s="345"/>
      <c r="W171" s="345"/>
      <c r="X171" s="345"/>
      <c r="Y171" s="345"/>
      <c r="Z171" s="331"/>
    </row>
    <row r="172">
      <c r="A172" s="345"/>
      <c r="B172" s="369"/>
      <c r="C172" s="345"/>
      <c r="D172" s="345"/>
      <c r="E172" s="345"/>
      <c r="F172" s="345"/>
      <c r="G172" s="345"/>
      <c r="H172" s="345"/>
      <c r="I172" s="345"/>
      <c r="J172" s="345"/>
      <c r="K172" s="345"/>
      <c r="L172" s="345"/>
      <c r="M172" s="345"/>
      <c r="N172" s="345"/>
      <c r="O172" s="345"/>
      <c r="P172" s="345"/>
      <c r="Q172" s="345"/>
      <c r="R172" s="345"/>
      <c r="S172" s="345"/>
      <c r="T172" s="345"/>
      <c r="U172" s="345"/>
      <c r="V172" s="345"/>
      <c r="W172" s="345"/>
      <c r="X172" s="345"/>
      <c r="Y172" s="345"/>
      <c r="Z172" s="331"/>
    </row>
    <row r="173">
      <c r="A173" s="345"/>
      <c r="B173" s="369"/>
      <c r="C173" s="345"/>
      <c r="D173" s="345"/>
      <c r="E173" s="345"/>
      <c r="F173" s="345"/>
      <c r="G173" s="345"/>
      <c r="H173" s="345"/>
      <c r="I173" s="345"/>
      <c r="J173" s="345"/>
      <c r="K173" s="345"/>
      <c r="L173" s="345"/>
      <c r="M173" s="345"/>
      <c r="N173" s="345"/>
      <c r="O173" s="345"/>
      <c r="P173" s="345"/>
      <c r="Q173" s="345"/>
      <c r="R173" s="345"/>
      <c r="S173" s="345"/>
      <c r="T173" s="345"/>
      <c r="U173" s="345"/>
      <c r="V173" s="345"/>
      <c r="W173" s="345"/>
      <c r="X173" s="345"/>
      <c r="Y173" s="345"/>
      <c r="Z173" s="331"/>
    </row>
    <row r="174">
      <c r="A174" s="345"/>
      <c r="B174" s="369"/>
      <c r="C174" s="345"/>
      <c r="D174" s="345"/>
      <c r="E174" s="345"/>
      <c r="F174" s="345"/>
      <c r="G174" s="345"/>
      <c r="H174" s="345"/>
      <c r="I174" s="345"/>
      <c r="J174" s="345"/>
      <c r="K174" s="345"/>
      <c r="L174" s="345"/>
      <c r="M174" s="345"/>
      <c r="N174" s="345"/>
      <c r="O174" s="345"/>
      <c r="P174" s="345"/>
      <c r="Q174" s="345"/>
      <c r="R174" s="345"/>
      <c r="S174" s="345"/>
      <c r="T174" s="345"/>
      <c r="U174" s="345"/>
      <c r="V174" s="345"/>
      <c r="W174" s="345"/>
      <c r="X174" s="345"/>
      <c r="Y174" s="345"/>
      <c r="Z174" s="331"/>
    </row>
    <row r="175">
      <c r="A175" s="345"/>
      <c r="B175" s="369"/>
      <c r="C175" s="345"/>
      <c r="D175" s="345"/>
      <c r="E175" s="345"/>
      <c r="F175" s="345"/>
      <c r="G175" s="345"/>
      <c r="H175" s="345"/>
      <c r="I175" s="345"/>
      <c r="J175" s="345"/>
      <c r="K175" s="345"/>
      <c r="L175" s="345"/>
      <c r="M175" s="345"/>
      <c r="N175" s="345"/>
      <c r="O175" s="345"/>
      <c r="P175" s="345"/>
      <c r="Q175" s="345"/>
      <c r="R175" s="345"/>
      <c r="S175" s="345"/>
      <c r="T175" s="345"/>
      <c r="U175" s="345"/>
      <c r="V175" s="345"/>
      <c r="W175" s="345"/>
      <c r="X175" s="345"/>
      <c r="Y175" s="345"/>
      <c r="Z175" s="331"/>
    </row>
    <row r="176">
      <c r="A176" s="345"/>
      <c r="B176" s="369"/>
      <c r="C176" s="345"/>
      <c r="D176" s="345"/>
      <c r="E176" s="345"/>
      <c r="F176" s="345"/>
      <c r="G176" s="345"/>
      <c r="H176" s="345"/>
      <c r="I176" s="345"/>
      <c r="J176" s="345"/>
      <c r="K176" s="345"/>
      <c r="L176" s="345"/>
      <c r="M176" s="345"/>
      <c r="N176" s="345"/>
      <c r="O176" s="345"/>
      <c r="P176" s="345"/>
      <c r="Q176" s="345"/>
      <c r="R176" s="345"/>
      <c r="S176" s="345"/>
      <c r="T176" s="345"/>
      <c r="U176" s="345"/>
      <c r="V176" s="345"/>
      <c r="W176" s="345"/>
      <c r="X176" s="345"/>
      <c r="Y176" s="345"/>
      <c r="Z176" s="331"/>
    </row>
    <row r="177">
      <c r="A177" s="345"/>
      <c r="B177" s="369"/>
      <c r="C177" s="345"/>
      <c r="D177" s="345"/>
      <c r="E177" s="345"/>
      <c r="F177" s="345"/>
      <c r="G177" s="345"/>
      <c r="H177" s="345"/>
      <c r="I177" s="345"/>
      <c r="J177" s="345"/>
      <c r="K177" s="345"/>
      <c r="L177" s="345"/>
      <c r="M177" s="345"/>
      <c r="N177" s="345"/>
      <c r="O177" s="345"/>
      <c r="P177" s="345"/>
      <c r="Q177" s="345"/>
      <c r="R177" s="345"/>
      <c r="S177" s="345"/>
      <c r="T177" s="345"/>
      <c r="U177" s="345"/>
      <c r="V177" s="345"/>
      <c r="W177" s="345"/>
      <c r="X177" s="345"/>
      <c r="Y177" s="345"/>
      <c r="Z177" s="331"/>
    </row>
    <row r="178">
      <c r="A178" s="345"/>
      <c r="B178" s="369"/>
      <c r="C178" s="345"/>
      <c r="D178" s="345"/>
      <c r="E178" s="345"/>
      <c r="F178" s="345"/>
      <c r="G178" s="345"/>
      <c r="H178" s="345"/>
      <c r="I178" s="345"/>
      <c r="J178" s="345"/>
      <c r="K178" s="345"/>
      <c r="L178" s="345"/>
      <c r="M178" s="345"/>
      <c r="N178" s="345"/>
      <c r="O178" s="345"/>
      <c r="P178" s="345"/>
      <c r="Q178" s="345"/>
      <c r="R178" s="345"/>
      <c r="S178" s="345"/>
      <c r="T178" s="345"/>
      <c r="U178" s="345"/>
      <c r="V178" s="345"/>
      <c r="W178" s="345"/>
      <c r="X178" s="345"/>
      <c r="Y178" s="345"/>
      <c r="Z178" s="331"/>
    </row>
    <row r="179">
      <c r="A179" s="345"/>
      <c r="B179" s="369"/>
      <c r="C179" s="345"/>
      <c r="D179" s="345"/>
      <c r="E179" s="345"/>
      <c r="F179" s="345"/>
      <c r="G179" s="345"/>
      <c r="H179" s="345"/>
      <c r="I179" s="345"/>
      <c r="J179" s="345"/>
      <c r="K179" s="345"/>
      <c r="L179" s="345"/>
      <c r="M179" s="345"/>
      <c r="N179" s="345"/>
      <c r="O179" s="345"/>
      <c r="P179" s="345"/>
      <c r="Q179" s="345"/>
      <c r="R179" s="345"/>
      <c r="S179" s="345"/>
      <c r="T179" s="345"/>
      <c r="U179" s="345"/>
      <c r="V179" s="345"/>
      <c r="W179" s="345"/>
      <c r="X179" s="345"/>
      <c r="Y179" s="345"/>
      <c r="Z179" s="331"/>
    </row>
    <row r="180">
      <c r="A180" s="345"/>
      <c r="B180" s="369"/>
      <c r="C180" s="345"/>
      <c r="D180" s="345"/>
      <c r="E180" s="345"/>
      <c r="F180" s="345"/>
      <c r="G180" s="345"/>
      <c r="H180" s="345"/>
      <c r="I180" s="345"/>
      <c r="J180" s="345"/>
      <c r="K180" s="345"/>
      <c r="L180" s="345"/>
      <c r="M180" s="345"/>
      <c r="N180" s="345"/>
      <c r="O180" s="345"/>
      <c r="P180" s="345"/>
      <c r="Q180" s="345"/>
      <c r="R180" s="345"/>
      <c r="S180" s="345"/>
      <c r="T180" s="345"/>
      <c r="U180" s="345"/>
      <c r="V180" s="345"/>
      <c r="W180" s="345"/>
      <c r="X180" s="345"/>
      <c r="Y180" s="345"/>
      <c r="Z180" s="331"/>
    </row>
    <row r="181">
      <c r="A181" s="345"/>
      <c r="B181" s="369"/>
      <c r="C181" s="345"/>
      <c r="D181" s="345"/>
      <c r="E181" s="345"/>
      <c r="F181" s="345"/>
      <c r="G181" s="345"/>
      <c r="H181" s="345"/>
      <c r="I181" s="345"/>
      <c r="J181" s="345"/>
      <c r="K181" s="345"/>
      <c r="L181" s="345"/>
      <c r="M181" s="345"/>
      <c r="N181" s="345"/>
      <c r="O181" s="345"/>
      <c r="P181" s="345"/>
      <c r="Q181" s="345"/>
      <c r="R181" s="345"/>
      <c r="S181" s="345"/>
      <c r="T181" s="345"/>
      <c r="U181" s="345"/>
      <c r="V181" s="345"/>
      <c r="W181" s="345"/>
      <c r="X181" s="345"/>
      <c r="Y181" s="345"/>
      <c r="Z181" s="331"/>
    </row>
    <row r="182">
      <c r="A182" s="345"/>
      <c r="B182" s="369"/>
      <c r="C182" s="345"/>
      <c r="D182" s="345"/>
      <c r="E182" s="345"/>
      <c r="F182" s="345"/>
      <c r="G182" s="345"/>
      <c r="H182" s="345"/>
      <c r="I182" s="345"/>
      <c r="J182" s="345"/>
      <c r="K182" s="345"/>
      <c r="L182" s="345"/>
      <c r="M182" s="345"/>
      <c r="N182" s="345"/>
      <c r="O182" s="345"/>
      <c r="P182" s="345"/>
      <c r="Q182" s="345"/>
      <c r="R182" s="345"/>
      <c r="S182" s="345"/>
      <c r="T182" s="345"/>
      <c r="U182" s="345"/>
      <c r="V182" s="345"/>
      <c r="W182" s="345"/>
      <c r="X182" s="345"/>
      <c r="Y182" s="345"/>
      <c r="Z182" s="331"/>
    </row>
    <row r="183">
      <c r="A183" s="345"/>
      <c r="B183" s="369"/>
      <c r="C183" s="345"/>
      <c r="D183" s="345"/>
      <c r="E183" s="345"/>
      <c r="F183" s="345"/>
      <c r="G183" s="345"/>
      <c r="H183" s="345"/>
      <c r="I183" s="345"/>
      <c r="J183" s="345"/>
      <c r="K183" s="345"/>
      <c r="L183" s="345"/>
      <c r="M183" s="345"/>
      <c r="N183" s="345"/>
      <c r="O183" s="345"/>
      <c r="P183" s="345"/>
      <c r="Q183" s="345"/>
      <c r="R183" s="345"/>
      <c r="S183" s="345"/>
      <c r="T183" s="345"/>
      <c r="U183" s="345"/>
      <c r="V183" s="345"/>
      <c r="W183" s="345"/>
      <c r="X183" s="345"/>
      <c r="Y183" s="345"/>
      <c r="Z183" s="331"/>
    </row>
    <row r="184">
      <c r="A184" s="345"/>
      <c r="B184" s="369"/>
      <c r="C184" s="345"/>
      <c r="D184" s="345"/>
      <c r="E184" s="345"/>
      <c r="F184" s="345"/>
      <c r="G184" s="345"/>
      <c r="H184" s="345"/>
      <c r="I184" s="345"/>
      <c r="J184" s="345"/>
      <c r="K184" s="345"/>
      <c r="L184" s="345"/>
      <c r="M184" s="345"/>
      <c r="N184" s="345"/>
      <c r="O184" s="345"/>
      <c r="P184" s="345"/>
      <c r="Q184" s="345"/>
      <c r="R184" s="345"/>
      <c r="S184" s="345"/>
      <c r="T184" s="345"/>
      <c r="U184" s="345"/>
      <c r="V184" s="345"/>
      <c r="W184" s="345"/>
      <c r="X184" s="345"/>
      <c r="Y184" s="345"/>
      <c r="Z184" s="331"/>
    </row>
    <row r="185">
      <c r="A185" s="345"/>
      <c r="B185" s="369"/>
      <c r="C185" s="345"/>
      <c r="D185" s="345"/>
      <c r="E185" s="345"/>
      <c r="F185" s="345"/>
      <c r="G185" s="345"/>
      <c r="H185" s="345"/>
      <c r="I185" s="345"/>
      <c r="J185" s="345"/>
      <c r="K185" s="345"/>
      <c r="L185" s="345"/>
      <c r="M185" s="345"/>
      <c r="N185" s="345"/>
      <c r="O185" s="345"/>
      <c r="P185" s="345"/>
      <c r="Q185" s="345"/>
      <c r="R185" s="345"/>
      <c r="S185" s="345"/>
      <c r="T185" s="345"/>
      <c r="U185" s="345"/>
      <c r="V185" s="345"/>
      <c r="W185" s="345"/>
      <c r="X185" s="345"/>
      <c r="Y185" s="345"/>
      <c r="Z185" s="331"/>
    </row>
    <row r="186">
      <c r="A186" s="345"/>
      <c r="B186" s="369"/>
      <c r="C186" s="345"/>
      <c r="D186" s="345"/>
      <c r="E186" s="345"/>
      <c r="F186" s="345"/>
      <c r="G186" s="345"/>
      <c r="H186" s="345"/>
      <c r="I186" s="345"/>
      <c r="J186" s="345"/>
      <c r="K186" s="345"/>
      <c r="L186" s="345"/>
      <c r="M186" s="345"/>
      <c r="N186" s="345"/>
      <c r="O186" s="345"/>
      <c r="P186" s="345"/>
      <c r="Q186" s="345"/>
      <c r="R186" s="345"/>
      <c r="S186" s="345"/>
      <c r="T186" s="345"/>
      <c r="U186" s="345"/>
      <c r="V186" s="345"/>
      <c r="W186" s="345"/>
      <c r="X186" s="345"/>
      <c r="Y186" s="345"/>
      <c r="Z186" s="331"/>
    </row>
    <row r="187">
      <c r="A187" s="345"/>
      <c r="B187" s="369"/>
      <c r="C187" s="345"/>
      <c r="D187" s="345"/>
      <c r="E187" s="345"/>
      <c r="F187" s="345"/>
      <c r="G187" s="345"/>
      <c r="H187" s="345"/>
      <c r="I187" s="345"/>
      <c r="J187" s="345"/>
      <c r="K187" s="345"/>
      <c r="L187" s="345"/>
      <c r="M187" s="345"/>
      <c r="N187" s="345"/>
      <c r="O187" s="345"/>
      <c r="P187" s="345"/>
      <c r="Q187" s="345"/>
      <c r="R187" s="345"/>
      <c r="S187" s="345"/>
      <c r="T187" s="345"/>
      <c r="U187" s="345"/>
      <c r="V187" s="345"/>
      <c r="W187" s="345"/>
      <c r="X187" s="345"/>
      <c r="Y187" s="345"/>
      <c r="Z187" s="331"/>
    </row>
    <row r="188">
      <c r="A188" s="345"/>
      <c r="B188" s="369"/>
      <c r="C188" s="345"/>
      <c r="D188" s="345"/>
      <c r="E188" s="345"/>
      <c r="F188" s="345"/>
      <c r="G188" s="345"/>
      <c r="H188" s="345"/>
      <c r="I188" s="345"/>
      <c r="J188" s="345"/>
      <c r="K188" s="345"/>
      <c r="L188" s="345"/>
      <c r="M188" s="345"/>
      <c r="N188" s="345"/>
      <c r="O188" s="345"/>
      <c r="P188" s="345"/>
      <c r="Q188" s="345"/>
      <c r="R188" s="345"/>
      <c r="S188" s="345"/>
      <c r="T188" s="345"/>
      <c r="U188" s="345"/>
      <c r="V188" s="345"/>
      <c r="W188" s="345"/>
      <c r="X188" s="345"/>
      <c r="Y188" s="345"/>
      <c r="Z188" s="331"/>
    </row>
    <row r="189">
      <c r="A189" s="345"/>
      <c r="B189" s="369"/>
      <c r="C189" s="345"/>
      <c r="D189" s="345"/>
      <c r="E189" s="345"/>
      <c r="F189" s="345"/>
      <c r="G189" s="345"/>
      <c r="H189" s="345"/>
      <c r="I189" s="345"/>
      <c r="J189" s="345"/>
      <c r="K189" s="345"/>
      <c r="L189" s="345"/>
      <c r="M189" s="345"/>
      <c r="N189" s="345"/>
      <c r="O189" s="345"/>
      <c r="P189" s="345"/>
      <c r="Q189" s="345"/>
      <c r="R189" s="345"/>
      <c r="S189" s="345"/>
      <c r="T189" s="345"/>
      <c r="U189" s="345"/>
      <c r="V189" s="345"/>
      <c r="W189" s="345"/>
      <c r="X189" s="345"/>
      <c r="Y189" s="345"/>
      <c r="Z189" s="331"/>
    </row>
    <row r="190">
      <c r="A190" s="345"/>
      <c r="B190" s="369"/>
      <c r="C190" s="345"/>
      <c r="D190" s="345"/>
      <c r="E190" s="345"/>
      <c r="F190" s="345"/>
      <c r="G190" s="345"/>
      <c r="H190" s="345"/>
      <c r="I190" s="345"/>
      <c r="J190" s="345"/>
      <c r="K190" s="345"/>
      <c r="L190" s="345"/>
      <c r="M190" s="345"/>
      <c r="N190" s="345"/>
      <c r="O190" s="345"/>
      <c r="P190" s="345"/>
      <c r="Q190" s="345"/>
      <c r="R190" s="345"/>
      <c r="S190" s="345"/>
      <c r="T190" s="345"/>
      <c r="U190" s="345"/>
      <c r="V190" s="345"/>
      <c r="W190" s="345"/>
      <c r="X190" s="345"/>
      <c r="Y190" s="345"/>
      <c r="Z190" s="331"/>
    </row>
    <row r="191">
      <c r="A191" s="345"/>
      <c r="B191" s="369"/>
      <c r="C191" s="345"/>
      <c r="D191" s="345"/>
      <c r="E191" s="345"/>
      <c r="F191" s="345"/>
      <c r="G191" s="345"/>
      <c r="H191" s="345"/>
      <c r="I191" s="345"/>
      <c r="J191" s="345"/>
      <c r="K191" s="345"/>
      <c r="L191" s="345"/>
      <c r="M191" s="345"/>
      <c r="N191" s="345"/>
      <c r="O191" s="345"/>
      <c r="P191" s="345"/>
      <c r="Q191" s="345"/>
      <c r="R191" s="345"/>
      <c r="S191" s="345"/>
      <c r="T191" s="345"/>
      <c r="U191" s="345"/>
      <c r="V191" s="345"/>
      <c r="W191" s="345"/>
      <c r="X191" s="345"/>
      <c r="Y191" s="345"/>
      <c r="Z191" s="331"/>
    </row>
    <row r="192">
      <c r="A192" s="345"/>
      <c r="B192" s="369"/>
      <c r="C192" s="345"/>
      <c r="D192" s="345"/>
      <c r="E192" s="345"/>
      <c r="F192" s="345"/>
      <c r="G192" s="345"/>
      <c r="H192" s="345"/>
      <c r="I192" s="345"/>
      <c r="J192" s="345"/>
      <c r="K192" s="345"/>
      <c r="L192" s="345"/>
      <c r="M192" s="345"/>
      <c r="N192" s="345"/>
      <c r="O192" s="345"/>
      <c r="P192" s="345"/>
      <c r="Q192" s="345"/>
      <c r="R192" s="345"/>
      <c r="S192" s="345"/>
      <c r="T192" s="345"/>
      <c r="U192" s="345"/>
      <c r="V192" s="345"/>
      <c r="W192" s="345"/>
      <c r="X192" s="345"/>
      <c r="Y192" s="345"/>
      <c r="Z192" s="331"/>
    </row>
    <row r="193">
      <c r="A193" s="345"/>
      <c r="B193" s="369"/>
      <c r="C193" s="345"/>
      <c r="D193" s="345"/>
      <c r="E193" s="345"/>
      <c r="F193" s="345"/>
      <c r="G193" s="345"/>
      <c r="H193" s="345"/>
      <c r="I193" s="345"/>
      <c r="J193" s="345"/>
      <c r="K193" s="345"/>
      <c r="L193" s="345"/>
      <c r="M193" s="345"/>
      <c r="N193" s="345"/>
      <c r="O193" s="345"/>
      <c r="P193" s="345"/>
      <c r="Q193" s="345"/>
      <c r="R193" s="345"/>
      <c r="S193" s="345"/>
      <c r="T193" s="345"/>
      <c r="U193" s="345"/>
      <c r="V193" s="345"/>
      <c r="W193" s="345"/>
      <c r="X193" s="345"/>
      <c r="Y193" s="345"/>
      <c r="Z193" s="331"/>
    </row>
    <row r="194">
      <c r="A194" s="345"/>
      <c r="B194" s="369"/>
      <c r="C194" s="345"/>
      <c r="D194" s="345"/>
      <c r="E194" s="345"/>
      <c r="F194" s="345"/>
      <c r="G194" s="345"/>
      <c r="H194" s="345"/>
      <c r="I194" s="345"/>
      <c r="J194" s="345"/>
      <c r="K194" s="345"/>
      <c r="L194" s="345"/>
      <c r="M194" s="345"/>
      <c r="N194" s="345"/>
      <c r="O194" s="345"/>
      <c r="P194" s="345"/>
      <c r="Q194" s="345"/>
      <c r="R194" s="345"/>
      <c r="S194" s="345"/>
      <c r="T194" s="345"/>
      <c r="U194" s="345"/>
      <c r="V194" s="345"/>
      <c r="W194" s="345"/>
      <c r="X194" s="345"/>
      <c r="Y194" s="345"/>
      <c r="Z194" s="331"/>
    </row>
    <row r="195">
      <c r="A195" s="345"/>
      <c r="B195" s="369"/>
      <c r="C195" s="345"/>
      <c r="D195" s="345"/>
      <c r="E195" s="345"/>
      <c r="F195" s="345"/>
      <c r="G195" s="345"/>
      <c r="H195" s="345"/>
      <c r="I195" s="345"/>
      <c r="J195" s="345"/>
      <c r="K195" s="345"/>
      <c r="L195" s="345"/>
      <c r="M195" s="345"/>
      <c r="N195" s="345"/>
      <c r="O195" s="345"/>
      <c r="P195" s="345"/>
      <c r="Q195" s="345"/>
      <c r="R195" s="345"/>
      <c r="S195" s="345"/>
      <c r="T195" s="345"/>
      <c r="U195" s="345"/>
      <c r="V195" s="345"/>
      <c r="W195" s="345"/>
      <c r="X195" s="345"/>
      <c r="Y195" s="345"/>
      <c r="Z195" s="331"/>
    </row>
    <row r="196">
      <c r="A196" s="345"/>
      <c r="B196" s="369"/>
      <c r="C196" s="345"/>
      <c r="D196" s="345"/>
      <c r="E196" s="345"/>
      <c r="F196" s="345"/>
      <c r="G196" s="345"/>
      <c r="H196" s="345"/>
      <c r="I196" s="345"/>
      <c r="J196" s="345"/>
      <c r="K196" s="345"/>
      <c r="L196" s="345"/>
      <c r="M196" s="345"/>
      <c r="N196" s="345"/>
      <c r="O196" s="345"/>
      <c r="P196" s="345"/>
      <c r="Q196" s="345"/>
      <c r="R196" s="345"/>
      <c r="S196" s="345"/>
      <c r="T196" s="345"/>
      <c r="U196" s="345"/>
      <c r="V196" s="345"/>
      <c r="W196" s="345"/>
      <c r="X196" s="345"/>
      <c r="Y196" s="345"/>
      <c r="Z196" s="331"/>
    </row>
    <row r="197">
      <c r="A197" s="345"/>
      <c r="B197" s="369"/>
      <c r="C197" s="345"/>
      <c r="D197" s="345"/>
      <c r="E197" s="345"/>
      <c r="F197" s="345"/>
      <c r="G197" s="345"/>
      <c r="H197" s="345"/>
      <c r="I197" s="345"/>
      <c r="J197" s="345"/>
      <c r="K197" s="345"/>
      <c r="L197" s="345"/>
      <c r="M197" s="345"/>
      <c r="N197" s="345"/>
      <c r="O197" s="345"/>
      <c r="P197" s="345"/>
      <c r="Q197" s="345"/>
      <c r="R197" s="345"/>
      <c r="S197" s="345"/>
      <c r="T197" s="345"/>
      <c r="U197" s="345"/>
      <c r="V197" s="345"/>
      <c r="W197" s="345"/>
      <c r="X197" s="345"/>
      <c r="Y197" s="345"/>
      <c r="Z197" s="331"/>
    </row>
    <row r="198">
      <c r="A198" s="345"/>
      <c r="B198" s="369"/>
      <c r="C198" s="345"/>
      <c r="D198" s="345"/>
      <c r="E198" s="345"/>
      <c r="F198" s="345"/>
      <c r="G198" s="345"/>
      <c r="H198" s="345"/>
      <c r="I198" s="345"/>
      <c r="J198" s="345"/>
      <c r="K198" s="345"/>
      <c r="L198" s="345"/>
      <c r="M198" s="345"/>
      <c r="N198" s="345"/>
      <c r="O198" s="345"/>
      <c r="P198" s="345"/>
      <c r="Q198" s="345"/>
      <c r="R198" s="345"/>
      <c r="S198" s="345"/>
      <c r="T198" s="345"/>
      <c r="U198" s="345"/>
      <c r="V198" s="345"/>
      <c r="W198" s="345"/>
      <c r="X198" s="345"/>
      <c r="Y198" s="345"/>
      <c r="Z198" s="331"/>
    </row>
    <row r="199">
      <c r="A199" s="345"/>
      <c r="B199" s="369"/>
      <c r="C199" s="345"/>
      <c r="D199" s="345"/>
      <c r="E199" s="345"/>
      <c r="F199" s="345"/>
      <c r="G199" s="345"/>
      <c r="H199" s="345"/>
      <c r="I199" s="345"/>
      <c r="J199" s="345"/>
      <c r="K199" s="345"/>
      <c r="L199" s="345"/>
      <c r="M199" s="345"/>
      <c r="N199" s="345"/>
      <c r="O199" s="345"/>
      <c r="P199" s="345"/>
      <c r="Q199" s="345"/>
      <c r="R199" s="345"/>
      <c r="S199" s="345"/>
      <c r="T199" s="345"/>
      <c r="U199" s="345"/>
      <c r="V199" s="345"/>
      <c r="W199" s="345"/>
      <c r="X199" s="345"/>
      <c r="Y199" s="345"/>
      <c r="Z199" s="331"/>
    </row>
    <row r="200">
      <c r="A200" s="345"/>
      <c r="B200" s="369"/>
      <c r="C200" s="345"/>
      <c r="D200" s="345"/>
      <c r="E200" s="345"/>
      <c r="F200" s="345"/>
      <c r="G200" s="345"/>
      <c r="H200" s="345"/>
      <c r="I200" s="345"/>
      <c r="J200" s="345"/>
      <c r="K200" s="345"/>
      <c r="L200" s="345"/>
      <c r="M200" s="345"/>
      <c r="N200" s="345"/>
      <c r="O200" s="345"/>
      <c r="P200" s="345"/>
      <c r="Q200" s="345"/>
      <c r="R200" s="345"/>
      <c r="S200" s="345"/>
      <c r="T200" s="345"/>
      <c r="U200" s="345"/>
      <c r="V200" s="345"/>
      <c r="W200" s="345"/>
      <c r="X200" s="345"/>
      <c r="Y200" s="345"/>
      <c r="Z200" s="331"/>
    </row>
    <row r="201">
      <c r="A201" s="345"/>
      <c r="B201" s="369"/>
      <c r="C201" s="345"/>
      <c r="D201" s="345"/>
      <c r="E201" s="345"/>
      <c r="F201" s="345"/>
      <c r="G201" s="345"/>
      <c r="H201" s="345"/>
      <c r="I201" s="345"/>
      <c r="J201" s="345"/>
      <c r="K201" s="345"/>
      <c r="L201" s="345"/>
      <c r="M201" s="345"/>
      <c r="N201" s="345"/>
      <c r="O201" s="345"/>
      <c r="P201" s="345"/>
      <c r="Q201" s="345"/>
      <c r="R201" s="345"/>
      <c r="S201" s="345"/>
      <c r="T201" s="345"/>
      <c r="U201" s="345"/>
      <c r="V201" s="345"/>
      <c r="W201" s="345"/>
      <c r="X201" s="345"/>
      <c r="Y201" s="345"/>
      <c r="Z201" s="331"/>
    </row>
    <row r="202">
      <c r="A202" s="345"/>
      <c r="B202" s="369"/>
      <c r="C202" s="345"/>
      <c r="D202" s="345"/>
      <c r="E202" s="345"/>
      <c r="F202" s="345"/>
      <c r="G202" s="345"/>
      <c r="H202" s="345"/>
      <c r="I202" s="345"/>
      <c r="J202" s="345"/>
      <c r="K202" s="345"/>
      <c r="L202" s="345"/>
      <c r="M202" s="345"/>
      <c r="N202" s="345"/>
      <c r="O202" s="345"/>
      <c r="P202" s="345"/>
      <c r="Q202" s="345"/>
      <c r="R202" s="345"/>
      <c r="S202" s="345"/>
      <c r="T202" s="345"/>
      <c r="U202" s="345"/>
      <c r="V202" s="345"/>
      <c r="W202" s="345"/>
      <c r="X202" s="345"/>
      <c r="Y202" s="345"/>
      <c r="Z202" s="331"/>
    </row>
    <row r="203">
      <c r="A203" s="345"/>
      <c r="B203" s="369"/>
      <c r="C203" s="345"/>
      <c r="D203" s="345"/>
      <c r="E203" s="345"/>
      <c r="F203" s="345"/>
      <c r="G203" s="345"/>
      <c r="H203" s="345"/>
      <c r="I203" s="345"/>
      <c r="J203" s="345"/>
      <c r="K203" s="345"/>
      <c r="L203" s="345"/>
      <c r="M203" s="345"/>
      <c r="N203" s="345"/>
      <c r="O203" s="345"/>
      <c r="P203" s="345"/>
      <c r="Q203" s="345"/>
      <c r="R203" s="345"/>
      <c r="S203" s="345"/>
      <c r="T203" s="345"/>
      <c r="U203" s="345"/>
      <c r="V203" s="345"/>
      <c r="W203" s="345"/>
      <c r="X203" s="345"/>
      <c r="Y203" s="345"/>
      <c r="Z203" s="331"/>
    </row>
    <row r="204">
      <c r="A204" s="345"/>
      <c r="B204" s="369"/>
      <c r="C204" s="345"/>
      <c r="D204" s="345"/>
      <c r="E204" s="345"/>
      <c r="F204" s="345"/>
      <c r="G204" s="345"/>
      <c r="H204" s="345"/>
      <c r="I204" s="345"/>
      <c r="J204" s="345"/>
      <c r="K204" s="345"/>
      <c r="L204" s="345"/>
      <c r="M204" s="345"/>
      <c r="N204" s="345"/>
      <c r="O204" s="345"/>
      <c r="P204" s="345"/>
      <c r="Q204" s="345"/>
      <c r="R204" s="345"/>
      <c r="S204" s="345"/>
      <c r="T204" s="345"/>
      <c r="U204" s="345"/>
      <c r="V204" s="345"/>
      <c r="W204" s="345"/>
      <c r="X204" s="345"/>
      <c r="Y204" s="345"/>
      <c r="Z204" s="331"/>
    </row>
    <row r="205">
      <c r="A205" s="345"/>
      <c r="B205" s="369"/>
      <c r="C205" s="345"/>
      <c r="D205" s="345"/>
      <c r="E205" s="345"/>
      <c r="F205" s="345"/>
      <c r="G205" s="345"/>
      <c r="H205" s="345"/>
      <c r="I205" s="345"/>
      <c r="J205" s="345"/>
      <c r="K205" s="345"/>
      <c r="L205" s="345"/>
      <c r="M205" s="345"/>
      <c r="N205" s="345"/>
      <c r="O205" s="345"/>
      <c r="P205" s="345"/>
      <c r="Q205" s="345"/>
      <c r="R205" s="345"/>
      <c r="S205" s="345"/>
      <c r="T205" s="345"/>
      <c r="U205" s="345"/>
      <c r="V205" s="345"/>
      <c r="W205" s="345"/>
      <c r="X205" s="345"/>
      <c r="Y205" s="345"/>
      <c r="Z205" s="331"/>
    </row>
    <row r="206">
      <c r="A206" s="345"/>
      <c r="B206" s="369"/>
      <c r="C206" s="345"/>
      <c r="D206" s="345"/>
      <c r="E206" s="345"/>
      <c r="F206" s="345"/>
      <c r="G206" s="345"/>
      <c r="H206" s="345"/>
      <c r="I206" s="345"/>
      <c r="J206" s="345"/>
      <c r="K206" s="345"/>
      <c r="L206" s="345"/>
      <c r="M206" s="345"/>
      <c r="N206" s="345"/>
      <c r="O206" s="345"/>
      <c r="P206" s="345"/>
      <c r="Q206" s="345"/>
      <c r="R206" s="345"/>
      <c r="S206" s="345"/>
      <c r="T206" s="345"/>
      <c r="U206" s="345"/>
      <c r="V206" s="345"/>
      <c r="W206" s="345"/>
      <c r="X206" s="345"/>
      <c r="Y206" s="345"/>
      <c r="Z206" s="331"/>
    </row>
    <row r="207">
      <c r="A207" s="345"/>
      <c r="B207" s="369"/>
      <c r="C207" s="345"/>
      <c r="D207" s="345"/>
      <c r="E207" s="345"/>
      <c r="F207" s="345"/>
      <c r="G207" s="345"/>
      <c r="H207" s="345"/>
      <c r="I207" s="345"/>
      <c r="J207" s="345"/>
      <c r="K207" s="345"/>
      <c r="L207" s="345"/>
      <c r="M207" s="345"/>
      <c r="N207" s="345"/>
      <c r="O207" s="345"/>
      <c r="P207" s="345"/>
      <c r="Q207" s="345"/>
      <c r="R207" s="345"/>
      <c r="S207" s="345"/>
      <c r="T207" s="345"/>
      <c r="U207" s="345"/>
      <c r="V207" s="345"/>
      <c r="W207" s="345"/>
      <c r="X207" s="345"/>
      <c r="Y207" s="345"/>
      <c r="Z207" s="331"/>
    </row>
    <row r="208">
      <c r="A208" s="345"/>
      <c r="B208" s="369"/>
      <c r="C208" s="345"/>
      <c r="D208" s="345"/>
      <c r="E208" s="345"/>
      <c r="F208" s="345"/>
      <c r="G208" s="345"/>
      <c r="H208" s="345"/>
      <c r="I208" s="345"/>
      <c r="J208" s="345"/>
      <c r="K208" s="345"/>
      <c r="L208" s="345"/>
      <c r="M208" s="345"/>
      <c r="N208" s="345"/>
      <c r="O208" s="345"/>
      <c r="P208" s="345"/>
      <c r="Q208" s="345"/>
      <c r="R208" s="345"/>
      <c r="S208" s="345"/>
      <c r="T208" s="345"/>
      <c r="U208" s="345"/>
      <c r="V208" s="345"/>
      <c r="W208" s="345"/>
      <c r="X208" s="345"/>
      <c r="Y208" s="345"/>
      <c r="Z208" s="331"/>
    </row>
    <row r="209">
      <c r="A209" s="345"/>
      <c r="B209" s="369"/>
      <c r="C209" s="345"/>
      <c r="D209" s="345"/>
      <c r="E209" s="345"/>
      <c r="F209" s="345"/>
      <c r="G209" s="345"/>
      <c r="H209" s="345"/>
      <c r="I209" s="345"/>
      <c r="J209" s="345"/>
      <c r="K209" s="345"/>
      <c r="L209" s="345"/>
      <c r="M209" s="345"/>
      <c r="N209" s="345"/>
      <c r="O209" s="345"/>
      <c r="P209" s="345"/>
      <c r="Q209" s="345"/>
      <c r="R209" s="345"/>
      <c r="S209" s="345"/>
      <c r="T209" s="345"/>
      <c r="U209" s="345"/>
      <c r="V209" s="345"/>
      <c r="W209" s="345"/>
      <c r="X209" s="345"/>
      <c r="Y209" s="345"/>
      <c r="Z209" s="331"/>
    </row>
    <row r="210">
      <c r="A210" s="345"/>
      <c r="B210" s="369"/>
      <c r="C210" s="345"/>
      <c r="D210" s="345"/>
      <c r="E210" s="345"/>
      <c r="F210" s="345"/>
      <c r="G210" s="345"/>
      <c r="H210" s="345"/>
      <c r="I210" s="345"/>
      <c r="J210" s="345"/>
      <c r="K210" s="345"/>
      <c r="L210" s="345"/>
      <c r="M210" s="345"/>
      <c r="N210" s="345"/>
      <c r="O210" s="345"/>
      <c r="P210" s="345"/>
      <c r="Q210" s="345"/>
      <c r="R210" s="345"/>
      <c r="S210" s="345"/>
      <c r="T210" s="345"/>
      <c r="U210" s="345"/>
      <c r="V210" s="345"/>
      <c r="W210" s="345"/>
      <c r="X210" s="345"/>
      <c r="Y210" s="345"/>
      <c r="Z210" s="331"/>
    </row>
    <row r="211">
      <c r="A211" s="345"/>
      <c r="B211" s="369"/>
      <c r="C211" s="345"/>
      <c r="D211" s="345"/>
      <c r="E211" s="345"/>
      <c r="F211" s="345"/>
      <c r="G211" s="345"/>
      <c r="H211" s="345"/>
      <c r="I211" s="345"/>
      <c r="J211" s="345"/>
      <c r="K211" s="345"/>
      <c r="L211" s="345"/>
      <c r="M211" s="345"/>
      <c r="N211" s="345"/>
      <c r="O211" s="345"/>
      <c r="P211" s="345"/>
      <c r="Q211" s="345"/>
      <c r="R211" s="345"/>
      <c r="S211" s="345"/>
      <c r="T211" s="345"/>
      <c r="U211" s="345"/>
      <c r="V211" s="345"/>
      <c r="W211" s="345"/>
      <c r="X211" s="345"/>
      <c r="Y211" s="345"/>
      <c r="Z211" s="331"/>
    </row>
    <row r="212">
      <c r="A212" s="345"/>
      <c r="B212" s="369"/>
      <c r="C212" s="345"/>
      <c r="D212" s="345"/>
      <c r="E212" s="345"/>
      <c r="F212" s="345"/>
      <c r="G212" s="345"/>
      <c r="H212" s="345"/>
      <c r="I212" s="345"/>
      <c r="J212" s="345"/>
      <c r="K212" s="345"/>
      <c r="L212" s="345"/>
      <c r="M212" s="345"/>
      <c r="N212" s="345"/>
      <c r="O212" s="345"/>
      <c r="P212" s="345"/>
      <c r="Q212" s="345"/>
      <c r="R212" s="345"/>
      <c r="S212" s="345"/>
      <c r="T212" s="345"/>
      <c r="U212" s="345"/>
      <c r="V212" s="345"/>
      <c r="W212" s="345"/>
      <c r="X212" s="345"/>
      <c r="Y212" s="345"/>
      <c r="Z212" s="331"/>
    </row>
    <row r="213">
      <c r="A213" s="345"/>
      <c r="B213" s="369"/>
      <c r="C213" s="345"/>
      <c r="D213" s="345"/>
      <c r="E213" s="345"/>
      <c r="F213" s="345"/>
      <c r="G213" s="345"/>
      <c r="H213" s="345"/>
      <c r="I213" s="345"/>
      <c r="J213" s="345"/>
      <c r="K213" s="345"/>
      <c r="L213" s="345"/>
      <c r="M213" s="345"/>
      <c r="N213" s="345"/>
      <c r="O213" s="345"/>
      <c r="P213" s="345"/>
      <c r="Q213" s="345"/>
      <c r="R213" s="345"/>
      <c r="S213" s="345"/>
      <c r="T213" s="345"/>
      <c r="U213" s="345"/>
      <c r="V213" s="345"/>
      <c r="W213" s="345"/>
      <c r="X213" s="345"/>
      <c r="Y213" s="345"/>
      <c r="Z213" s="331"/>
    </row>
    <row r="214">
      <c r="A214" s="345"/>
      <c r="B214" s="369"/>
      <c r="C214" s="345"/>
      <c r="D214" s="345"/>
      <c r="E214" s="345"/>
      <c r="F214" s="345"/>
      <c r="G214" s="345"/>
      <c r="H214" s="345"/>
      <c r="I214" s="345"/>
      <c r="J214" s="345"/>
      <c r="K214" s="345"/>
      <c r="L214" s="345"/>
      <c r="M214" s="345"/>
      <c r="N214" s="345"/>
      <c r="O214" s="345"/>
      <c r="P214" s="345"/>
      <c r="Q214" s="345"/>
      <c r="R214" s="345"/>
      <c r="S214" s="345"/>
      <c r="T214" s="345"/>
      <c r="U214" s="345"/>
      <c r="V214" s="345"/>
      <c r="W214" s="345"/>
      <c r="X214" s="345"/>
      <c r="Y214" s="345"/>
      <c r="Z214" s="331"/>
    </row>
    <row r="215">
      <c r="A215" s="345"/>
      <c r="B215" s="369"/>
      <c r="C215" s="345"/>
      <c r="D215" s="345"/>
      <c r="E215" s="345"/>
      <c r="F215" s="345"/>
      <c r="G215" s="345"/>
      <c r="H215" s="345"/>
      <c r="I215" s="345"/>
      <c r="J215" s="345"/>
      <c r="K215" s="345"/>
      <c r="L215" s="345"/>
      <c r="M215" s="345"/>
      <c r="N215" s="345"/>
      <c r="O215" s="345"/>
      <c r="P215" s="345"/>
      <c r="Q215" s="345"/>
      <c r="R215" s="345"/>
      <c r="S215" s="345"/>
      <c r="T215" s="345"/>
      <c r="U215" s="345"/>
      <c r="V215" s="345"/>
      <c r="W215" s="345"/>
      <c r="X215" s="345"/>
      <c r="Y215" s="345"/>
      <c r="Z215" s="331"/>
    </row>
    <row r="216">
      <c r="A216" s="345"/>
      <c r="B216" s="369"/>
      <c r="C216" s="345"/>
      <c r="D216" s="345"/>
      <c r="E216" s="345"/>
      <c r="F216" s="345"/>
      <c r="G216" s="345"/>
      <c r="H216" s="345"/>
      <c r="I216" s="345"/>
      <c r="J216" s="345"/>
      <c r="K216" s="345"/>
      <c r="L216" s="345"/>
      <c r="M216" s="345"/>
      <c r="N216" s="345"/>
      <c r="O216" s="345"/>
      <c r="P216" s="345"/>
      <c r="Q216" s="345"/>
      <c r="R216" s="345"/>
      <c r="S216" s="345"/>
      <c r="T216" s="345"/>
      <c r="U216" s="345"/>
      <c r="V216" s="345"/>
      <c r="W216" s="345"/>
      <c r="X216" s="345"/>
      <c r="Y216" s="345"/>
      <c r="Z216" s="331"/>
    </row>
    <row r="217">
      <c r="A217" s="345"/>
      <c r="B217" s="369"/>
      <c r="C217" s="345"/>
      <c r="D217" s="345"/>
      <c r="E217" s="345"/>
      <c r="F217" s="345"/>
      <c r="G217" s="345"/>
      <c r="H217" s="345"/>
      <c r="I217" s="345"/>
      <c r="J217" s="345"/>
      <c r="K217" s="345"/>
      <c r="L217" s="345"/>
      <c r="M217" s="345"/>
      <c r="N217" s="345"/>
      <c r="O217" s="345"/>
      <c r="P217" s="345"/>
      <c r="Q217" s="345"/>
      <c r="R217" s="345"/>
      <c r="S217" s="345"/>
      <c r="T217" s="345"/>
      <c r="U217" s="345"/>
      <c r="V217" s="345"/>
      <c r="W217" s="345"/>
      <c r="X217" s="345"/>
      <c r="Y217" s="345"/>
      <c r="Z217" s="331"/>
    </row>
    <row r="218">
      <c r="A218" s="345"/>
      <c r="B218" s="369"/>
      <c r="C218" s="345"/>
      <c r="D218" s="345"/>
      <c r="E218" s="345"/>
      <c r="F218" s="345"/>
      <c r="G218" s="345"/>
      <c r="H218" s="345"/>
      <c r="I218" s="345"/>
      <c r="J218" s="345"/>
      <c r="K218" s="345"/>
      <c r="L218" s="345"/>
      <c r="M218" s="345"/>
      <c r="N218" s="345"/>
      <c r="O218" s="345"/>
      <c r="P218" s="345"/>
      <c r="Q218" s="345"/>
      <c r="R218" s="345"/>
      <c r="S218" s="345"/>
      <c r="T218" s="345"/>
      <c r="U218" s="345"/>
      <c r="V218" s="345"/>
      <c r="W218" s="345"/>
      <c r="X218" s="345"/>
      <c r="Y218" s="345"/>
      <c r="Z218" s="331"/>
    </row>
    <row r="219">
      <c r="A219" s="345"/>
      <c r="B219" s="369"/>
      <c r="C219" s="345"/>
      <c r="D219" s="345"/>
      <c r="E219" s="345"/>
      <c r="F219" s="345"/>
      <c r="G219" s="345"/>
      <c r="H219" s="345"/>
      <c r="I219" s="345"/>
      <c r="J219" s="345"/>
      <c r="K219" s="345"/>
      <c r="L219" s="345"/>
      <c r="M219" s="345"/>
      <c r="N219" s="345"/>
      <c r="O219" s="345"/>
      <c r="P219" s="345"/>
      <c r="Q219" s="345"/>
      <c r="R219" s="345"/>
      <c r="S219" s="345"/>
      <c r="T219" s="345"/>
      <c r="U219" s="345"/>
      <c r="V219" s="345"/>
      <c r="W219" s="345"/>
      <c r="X219" s="345"/>
      <c r="Y219" s="345"/>
      <c r="Z219" s="331"/>
    </row>
    <row r="220">
      <c r="A220" s="345"/>
      <c r="B220" s="369"/>
      <c r="C220" s="345"/>
      <c r="D220" s="345"/>
      <c r="E220" s="345"/>
      <c r="F220" s="345"/>
      <c r="G220" s="345"/>
      <c r="H220" s="345"/>
      <c r="I220" s="345"/>
      <c r="J220" s="345"/>
      <c r="K220" s="345"/>
      <c r="L220" s="345"/>
      <c r="M220" s="345"/>
      <c r="N220" s="345"/>
      <c r="O220" s="345"/>
      <c r="P220" s="345"/>
      <c r="Q220" s="345"/>
      <c r="R220" s="345"/>
      <c r="S220" s="345"/>
      <c r="T220" s="345"/>
      <c r="U220" s="345"/>
      <c r="V220" s="345"/>
      <c r="W220" s="345"/>
      <c r="X220" s="345"/>
      <c r="Y220" s="345"/>
      <c r="Z220" s="331"/>
    </row>
    <row r="221">
      <c r="A221" s="345"/>
      <c r="B221" s="369"/>
      <c r="C221" s="345"/>
      <c r="D221" s="345"/>
      <c r="E221" s="345"/>
      <c r="F221" s="345"/>
      <c r="G221" s="345"/>
      <c r="H221" s="345"/>
      <c r="I221" s="345"/>
      <c r="J221" s="345"/>
      <c r="K221" s="345"/>
      <c r="L221" s="345"/>
      <c r="M221" s="345"/>
      <c r="N221" s="345"/>
      <c r="O221" s="345"/>
      <c r="P221" s="345"/>
      <c r="Q221" s="345"/>
      <c r="R221" s="345"/>
      <c r="S221" s="345"/>
      <c r="T221" s="345"/>
      <c r="U221" s="345"/>
      <c r="V221" s="345"/>
      <c r="W221" s="345"/>
      <c r="X221" s="345"/>
      <c r="Y221" s="345"/>
      <c r="Z221" s="331"/>
    </row>
    <row r="222">
      <c r="A222" s="345"/>
      <c r="B222" s="369"/>
      <c r="C222" s="345"/>
      <c r="D222" s="345"/>
      <c r="E222" s="345"/>
      <c r="F222" s="345"/>
      <c r="G222" s="345"/>
      <c r="H222" s="345"/>
      <c r="I222" s="345"/>
      <c r="J222" s="345"/>
      <c r="K222" s="345"/>
      <c r="L222" s="345"/>
      <c r="M222" s="345"/>
      <c r="N222" s="345"/>
      <c r="O222" s="345"/>
      <c r="P222" s="345"/>
      <c r="Q222" s="345"/>
      <c r="R222" s="345"/>
      <c r="S222" s="345"/>
      <c r="T222" s="345"/>
      <c r="U222" s="345"/>
      <c r="V222" s="345"/>
      <c r="W222" s="345"/>
      <c r="X222" s="345"/>
      <c r="Y222" s="345"/>
      <c r="Z222" s="331"/>
    </row>
    <row r="223">
      <c r="A223" s="345"/>
      <c r="B223" s="369"/>
      <c r="C223" s="345"/>
      <c r="D223" s="345"/>
      <c r="E223" s="345"/>
      <c r="F223" s="345"/>
      <c r="G223" s="345"/>
      <c r="H223" s="345"/>
      <c r="I223" s="345"/>
      <c r="J223" s="345"/>
      <c r="K223" s="345"/>
      <c r="L223" s="345"/>
      <c r="M223" s="345"/>
      <c r="N223" s="345"/>
      <c r="O223" s="345"/>
      <c r="P223" s="345"/>
      <c r="Q223" s="345"/>
      <c r="R223" s="345"/>
      <c r="S223" s="345"/>
      <c r="T223" s="345"/>
      <c r="U223" s="345"/>
      <c r="V223" s="345"/>
      <c r="W223" s="345"/>
      <c r="X223" s="345"/>
      <c r="Y223" s="345"/>
      <c r="Z223" s="331"/>
    </row>
    <row r="224">
      <c r="A224" s="345"/>
      <c r="B224" s="369"/>
      <c r="C224" s="345"/>
      <c r="D224" s="345"/>
      <c r="E224" s="345"/>
      <c r="F224" s="345"/>
      <c r="G224" s="345"/>
      <c r="H224" s="345"/>
      <c r="I224" s="345"/>
      <c r="J224" s="345"/>
      <c r="K224" s="345"/>
      <c r="L224" s="345"/>
      <c r="M224" s="345"/>
      <c r="N224" s="345"/>
      <c r="O224" s="345"/>
      <c r="P224" s="345"/>
      <c r="Q224" s="345"/>
      <c r="R224" s="345"/>
      <c r="S224" s="345"/>
      <c r="T224" s="345"/>
      <c r="U224" s="345"/>
      <c r="V224" s="345"/>
      <c r="W224" s="345"/>
      <c r="X224" s="345"/>
      <c r="Y224" s="345"/>
      <c r="Z224" s="331"/>
    </row>
    <row r="225">
      <c r="A225" s="345"/>
      <c r="B225" s="369"/>
      <c r="C225" s="345"/>
      <c r="D225" s="345"/>
      <c r="E225" s="345"/>
      <c r="F225" s="345"/>
      <c r="G225" s="345"/>
      <c r="H225" s="345"/>
      <c r="I225" s="345"/>
      <c r="J225" s="345"/>
      <c r="K225" s="345"/>
      <c r="L225" s="345"/>
      <c r="M225" s="345"/>
      <c r="N225" s="345"/>
      <c r="O225" s="345"/>
      <c r="P225" s="345"/>
      <c r="Q225" s="345"/>
      <c r="R225" s="345"/>
      <c r="S225" s="345"/>
      <c r="T225" s="345"/>
      <c r="U225" s="345"/>
      <c r="V225" s="345"/>
      <c r="W225" s="345"/>
      <c r="X225" s="345"/>
      <c r="Y225" s="345"/>
      <c r="Z225" s="331"/>
    </row>
    <row r="226">
      <c r="A226" s="345"/>
      <c r="B226" s="369"/>
      <c r="C226" s="345"/>
      <c r="D226" s="345"/>
      <c r="E226" s="345"/>
      <c r="F226" s="345"/>
      <c r="G226" s="345"/>
      <c r="H226" s="345"/>
      <c r="I226" s="345"/>
      <c r="J226" s="345"/>
      <c r="K226" s="345"/>
      <c r="L226" s="345"/>
      <c r="M226" s="345"/>
      <c r="N226" s="345"/>
      <c r="O226" s="345"/>
      <c r="P226" s="345"/>
      <c r="Q226" s="345"/>
      <c r="R226" s="345"/>
      <c r="S226" s="345"/>
      <c r="T226" s="345"/>
      <c r="U226" s="345"/>
      <c r="V226" s="345"/>
      <c r="W226" s="345"/>
      <c r="X226" s="345"/>
      <c r="Y226" s="345"/>
      <c r="Z226" s="331"/>
    </row>
    <row r="227">
      <c r="A227" s="345"/>
      <c r="B227" s="369"/>
      <c r="C227" s="345"/>
      <c r="D227" s="345"/>
      <c r="E227" s="345"/>
      <c r="F227" s="345"/>
      <c r="G227" s="345"/>
      <c r="H227" s="345"/>
      <c r="I227" s="345"/>
      <c r="J227" s="345"/>
      <c r="K227" s="345"/>
      <c r="L227" s="345"/>
      <c r="M227" s="345"/>
      <c r="N227" s="345"/>
      <c r="O227" s="345"/>
      <c r="P227" s="345"/>
      <c r="Q227" s="345"/>
      <c r="R227" s="345"/>
      <c r="S227" s="345"/>
      <c r="T227" s="345"/>
      <c r="U227" s="345"/>
      <c r="V227" s="345"/>
      <c r="W227" s="345"/>
      <c r="X227" s="345"/>
      <c r="Y227" s="345"/>
      <c r="Z227" s="331"/>
    </row>
    <row r="228">
      <c r="A228" s="345"/>
      <c r="B228" s="369"/>
      <c r="C228" s="345"/>
      <c r="D228" s="345"/>
      <c r="E228" s="345"/>
      <c r="F228" s="345"/>
      <c r="G228" s="345"/>
      <c r="H228" s="345"/>
      <c r="I228" s="345"/>
      <c r="J228" s="345"/>
      <c r="K228" s="345"/>
      <c r="L228" s="345"/>
      <c r="M228" s="345"/>
      <c r="N228" s="345"/>
      <c r="O228" s="345"/>
      <c r="P228" s="345"/>
      <c r="Q228" s="345"/>
      <c r="R228" s="345"/>
      <c r="S228" s="345"/>
      <c r="T228" s="345"/>
      <c r="U228" s="345"/>
      <c r="V228" s="345"/>
      <c r="W228" s="345"/>
      <c r="X228" s="345"/>
      <c r="Y228" s="345"/>
      <c r="Z228" s="331"/>
    </row>
    <row r="229">
      <c r="A229" s="345"/>
      <c r="B229" s="369"/>
      <c r="C229" s="345"/>
      <c r="D229" s="345"/>
      <c r="E229" s="345"/>
      <c r="F229" s="345"/>
      <c r="G229" s="345"/>
      <c r="H229" s="345"/>
      <c r="I229" s="345"/>
      <c r="J229" s="345"/>
      <c r="K229" s="345"/>
      <c r="L229" s="345"/>
      <c r="M229" s="345"/>
      <c r="N229" s="345"/>
      <c r="O229" s="345"/>
      <c r="P229" s="345"/>
      <c r="Q229" s="345"/>
      <c r="R229" s="345"/>
      <c r="S229" s="345"/>
      <c r="T229" s="345"/>
      <c r="U229" s="345"/>
      <c r="V229" s="345"/>
      <c r="W229" s="345"/>
      <c r="X229" s="345"/>
      <c r="Y229" s="345"/>
      <c r="Z229" s="331"/>
    </row>
    <row r="230">
      <c r="A230" s="345"/>
      <c r="B230" s="369"/>
      <c r="C230" s="345"/>
      <c r="D230" s="345"/>
      <c r="E230" s="345"/>
      <c r="F230" s="345"/>
      <c r="G230" s="345"/>
      <c r="H230" s="345"/>
      <c r="I230" s="345"/>
      <c r="J230" s="345"/>
      <c r="K230" s="345"/>
      <c r="L230" s="345"/>
      <c r="M230" s="345"/>
      <c r="N230" s="345"/>
      <c r="O230" s="345"/>
      <c r="P230" s="345"/>
      <c r="Q230" s="345"/>
      <c r="R230" s="345"/>
      <c r="S230" s="345"/>
      <c r="T230" s="345"/>
      <c r="U230" s="345"/>
      <c r="V230" s="345"/>
      <c r="W230" s="345"/>
      <c r="X230" s="345"/>
      <c r="Y230" s="345"/>
      <c r="Z230" s="331"/>
    </row>
    <row r="231">
      <c r="A231" s="345"/>
      <c r="B231" s="369"/>
      <c r="C231" s="345"/>
      <c r="D231" s="345"/>
      <c r="E231" s="345"/>
      <c r="F231" s="345"/>
      <c r="G231" s="345"/>
      <c r="H231" s="345"/>
      <c r="I231" s="345"/>
      <c r="J231" s="345"/>
      <c r="K231" s="345"/>
      <c r="L231" s="345"/>
      <c r="M231" s="345"/>
      <c r="N231" s="345"/>
      <c r="O231" s="345"/>
      <c r="P231" s="345"/>
      <c r="Q231" s="345"/>
      <c r="R231" s="345"/>
      <c r="S231" s="345"/>
      <c r="T231" s="345"/>
      <c r="U231" s="345"/>
      <c r="V231" s="345"/>
      <c r="W231" s="345"/>
      <c r="X231" s="345"/>
      <c r="Y231" s="345"/>
      <c r="Z231" s="331"/>
    </row>
    <row r="232">
      <c r="A232" s="345"/>
      <c r="B232" s="369"/>
      <c r="C232" s="345"/>
      <c r="D232" s="345"/>
      <c r="E232" s="345"/>
      <c r="F232" s="345"/>
      <c r="G232" s="345"/>
      <c r="H232" s="345"/>
      <c r="I232" s="345"/>
      <c r="J232" s="345"/>
      <c r="K232" s="345"/>
      <c r="L232" s="345"/>
      <c r="M232" s="345"/>
      <c r="N232" s="345"/>
      <c r="O232" s="345"/>
      <c r="P232" s="345"/>
      <c r="Q232" s="345"/>
      <c r="R232" s="345"/>
      <c r="S232" s="345"/>
      <c r="T232" s="345"/>
      <c r="U232" s="345"/>
      <c r="V232" s="345"/>
      <c r="W232" s="345"/>
      <c r="X232" s="345"/>
      <c r="Y232" s="345"/>
      <c r="Z232" s="331"/>
    </row>
    <row r="233">
      <c r="A233" s="345"/>
      <c r="B233" s="369"/>
      <c r="C233" s="345"/>
      <c r="D233" s="345"/>
      <c r="E233" s="345"/>
      <c r="F233" s="345"/>
      <c r="G233" s="345"/>
      <c r="H233" s="345"/>
      <c r="I233" s="345"/>
      <c r="J233" s="345"/>
      <c r="K233" s="345"/>
      <c r="L233" s="345"/>
      <c r="M233" s="345"/>
      <c r="N233" s="345"/>
      <c r="O233" s="345"/>
      <c r="P233" s="345"/>
      <c r="Q233" s="345"/>
      <c r="R233" s="345"/>
      <c r="S233" s="345"/>
      <c r="T233" s="345"/>
      <c r="U233" s="345"/>
      <c r="V233" s="345"/>
      <c r="W233" s="345"/>
      <c r="X233" s="345"/>
      <c r="Y233" s="345"/>
      <c r="Z233" s="331"/>
    </row>
    <row r="234">
      <c r="A234" s="345"/>
      <c r="B234" s="369"/>
      <c r="C234" s="345"/>
      <c r="D234" s="345"/>
      <c r="E234" s="345"/>
      <c r="F234" s="345"/>
      <c r="G234" s="345"/>
      <c r="H234" s="345"/>
      <c r="I234" s="345"/>
      <c r="J234" s="345"/>
      <c r="K234" s="345"/>
      <c r="L234" s="345"/>
      <c r="M234" s="345"/>
      <c r="N234" s="345"/>
      <c r="O234" s="345"/>
      <c r="P234" s="345"/>
      <c r="Q234" s="345"/>
      <c r="R234" s="345"/>
      <c r="S234" s="345"/>
      <c r="T234" s="345"/>
      <c r="U234" s="345"/>
      <c r="V234" s="345"/>
      <c r="W234" s="345"/>
      <c r="X234" s="345"/>
      <c r="Y234" s="345"/>
      <c r="Z234" s="331"/>
    </row>
    <row r="235">
      <c r="A235" s="345"/>
      <c r="B235" s="369"/>
      <c r="C235" s="345"/>
      <c r="D235" s="345"/>
      <c r="E235" s="345"/>
      <c r="F235" s="345"/>
      <c r="G235" s="345"/>
      <c r="H235" s="345"/>
      <c r="I235" s="345"/>
      <c r="J235" s="345"/>
      <c r="K235" s="345"/>
      <c r="L235" s="345"/>
      <c r="M235" s="345"/>
      <c r="N235" s="345"/>
      <c r="O235" s="345"/>
      <c r="P235" s="345"/>
      <c r="Q235" s="345"/>
      <c r="R235" s="345"/>
      <c r="S235" s="345"/>
      <c r="T235" s="345"/>
      <c r="U235" s="345"/>
      <c r="V235" s="345"/>
      <c r="W235" s="345"/>
      <c r="X235" s="345"/>
      <c r="Y235" s="345"/>
      <c r="Z235" s="331"/>
    </row>
    <row r="236">
      <c r="A236" s="345"/>
      <c r="B236" s="369"/>
      <c r="C236" s="345"/>
      <c r="D236" s="345"/>
      <c r="E236" s="345"/>
      <c r="F236" s="345"/>
      <c r="G236" s="345"/>
      <c r="H236" s="345"/>
      <c r="I236" s="345"/>
      <c r="J236" s="345"/>
      <c r="K236" s="345"/>
      <c r="L236" s="345"/>
      <c r="M236" s="345"/>
      <c r="N236" s="345"/>
      <c r="O236" s="345"/>
      <c r="P236" s="345"/>
      <c r="Q236" s="345"/>
      <c r="R236" s="345"/>
      <c r="S236" s="345"/>
      <c r="T236" s="345"/>
      <c r="U236" s="345"/>
      <c r="V236" s="345"/>
      <c r="W236" s="345"/>
      <c r="X236" s="345"/>
      <c r="Y236" s="345"/>
      <c r="Z236" s="331"/>
    </row>
    <row r="237">
      <c r="A237" s="345"/>
      <c r="B237" s="369"/>
      <c r="C237" s="345"/>
      <c r="D237" s="345"/>
      <c r="E237" s="345"/>
      <c r="F237" s="345"/>
      <c r="G237" s="345"/>
      <c r="H237" s="345"/>
      <c r="I237" s="345"/>
      <c r="J237" s="345"/>
      <c r="K237" s="345"/>
      <c r="L237" s="345"/>
      <c r="M237" s="345"/>
      <c r="N237" s="345"/>
      <c r="O237" s="345"/>
      <c r="P237" s="345"/>
      <c r="Q237" s="345"/>
      <c r="R237" s="345"/>
      <c r="S237" s="345"/>
      <c r="T237" s="345"/>
      <c r="U237" s="345"/>
      <c r="V237" s="345"/>
      <c r="W237" s="345"/>
      <c r="X237" s="345"/>
      <c r="Y237" s="345"/>
      <c r="Z237" s="331"/>
    </row>
    <row r="238">
      <c r="A238" s="345"/>
      <c r="B238" s="369"/>
      <c r="C238" s="345"/>
      <c r="D238" s="345"/>
      <c r="E238" s="345"/>
      <c r="F238" s="345"/>
      <c r="G238" s="345"/>
      <c r="H238" s="345"/>
      <c r="I238" s="345"/>
      <c r="J238" s="345"/>
      <c r="K238" s="345"/>
      <c r="L238" s="345"/>
      <c r="M238" s="345"/>
      <c r="N238" s="345"/>
      <c r="O238" s="345"/>
      <c r="P238" s="345"/>
      <c r="Q238" s="345"/>
      <c r="R238" s="345"/>
      <c r="S238" s="345"/>
      <c r="T238" s="345"/>
      <c r="U238" s="345"/>
      <c r="V238" s="345"/>
      <c r="W238" s="345"/>
      <c r="X238" s="345"/>
      <c r="Y238" s="345"/>
      <c r="Z238" s="331"/>
    </row>
    <row r="239">
      <c r="A239" s="345"/>
      <c r="B239" s="369"/>
      <c r="C239" s="345"/>
      <c r="D239" s="345"/>
      <c r="E239" s="345"/>
      <c r="F239" s="345"/>
      <c r="G239" s="345"/>
      <c r="H239" s="345"/>
      <c r="I239" s="345"/>
      <c r="J239" s="345"/>
      <c r="K239" s="345"/>
      <c r="L239" s="345"/>
      <c r="M239" s="345"/>
      <c r="N239" s="345"/>
      <c r="O239" s="345"/>
      <c r="P239" s="345"/>
      <c r="Q239" s="345"/>
      <c r="R239" s="345"/>
      <c r="S239" s="345"/>
      <c r="T239" s="345"/>
      <c r="U239" s="345"/>
      <c r="V239" s="345"/>
      <c r="W239" s="345"/>
      <c r="X239" s="345"/>
      <c r="Y239" s="345"/>
      <c r="Z239" s="331"/>
    </row>
    <row r="240">
      <c r="A240" s="345"/>
      <c r="B240" s="369"/>
      <c r="C240" s="345"/>
      <c r="D240" s="345"/>
      <c r="E240" s="345"/>
      <c r="F240" s="345"/>
      <c r="G240" s="345"/>
      <c r="H240" s="345"/>
      <c r="I240" s="345"/>
      <c r="J240" s="345"/>
      <c r="K240" s="345"/>
      <c r="L240" s="345"/>
      <c r="M240" s="345"/>
      <c r="N240" s="345"/>
      <c r="O240" s="345"/>
      <c r="P240" s="345"/>
      <c r="Q240" s="345"/>
      <c r="R240" s="345"/>
      <c r="S240" s="345"/>
      <c r="T240" s="345"/>
      <c r="U240" s="345"/>
      <c r="V240" s="345"/>
      <c r="W240" s="345"/>
      <c r="X240" s="345"/>
      <c r="Y240" s="345"/>
      <c r="Z240" s="331"/>
    </row>
    <row r="241">
      <c r="A241" s="345"/>
      <c r="B241" s="369"/>
      <c r="C241" s="345"/>
      <c r="D241" s="345"/>
      <c r="E241" s="345"/>
      <c r="F241" s="345"/>
      <c r="G241" s="345"/>
      <c r="H241" s="345"/>
      <c r="I241" s="345"/>
      <c r="J241" s="345"/>
      <c r="K241" s="345"/>
      <c r="L241" s="345"/>
      <c r="M241" s="345"/>
      <c r="N241" s="345"/>
      <c r="O241" s="345"/>
      <c r="P241" s="345"/>
      <c r="Q241" s="345"/>
      <c r="R241" s="345"/>
      <c r="S241" s="345"/>
      <c r="T241" s="345"/>
      <c r="U241" s="345"/>
      <c r="V241" s="345"/>
      <c r="W241" s="345"/>
      <c r="X241" s="345"/>
      <c r="Y241" s="345"/>
      <c r="Z241" s="331"/>
    </row>
    <row r="242">
      <c r="A242" s="345"/>
      <c r="B242" s="369"/>
      <c r="C242" s="345"/>
      <c r="D242" s="345"/>
      <c r="E242" s="345"/>
      <c r="F242" s="345"/>
      <c r="G242" s="345"/>
      <c r="H242" s="345"/>
      <c r="I242" s="345"/>
      <c r="J242" s="345"/>
      <c r="K242" s="345"/>
      <c r="L242" s="345"/>
      <c r="M242" s="345"/>
      <c r="N242" s="345"/>
      <c r="O242" s="345"/>
      <c r="P242" s="345"/>
      <c r="Q242" s="345"/>
      <c r="R242" s="345"/>
      <c r="S242" s="345"/>
      <c r="T242" s="345"/>
      <c r="U242" s="345"/>
      <c r="V242" s="345"/>
      <c r="W242" s="345"/>
      <c r="X242" s="345"/>
      <c r="Y242" s="345"/>
      <c r="Z242" s="331"/>
    </row>
    <row r="243">
      <c r="A243" s="345"/>
      <c r="B243" s="369"/>
      <c r="C243" s="345"/>
      <c r="D243" s="345"/>
      <c r="E243" s="345"/>
      <c r="F243" s="345"/>
      <c r="G243" s="345"/>
      <c r="H243" s="345"/>
      <c r="I243" s="345"/>
      <c r="J243" s="345"/>
      <c r="K243" s="345"/>
      <c r="L243" s="345"/>
      <c r="M243" s="345"/>
      <c r="N243" s="345"/>
      <c r="O243" s="345"/>
      <c r="P243" s="345"/>
      <c r="Q243" s="345"/>
      <c r="R243" s="345"/>
      <c r="S243" s="345"/>
      <c r="T243" s="345"/>
      <c r="U243" s="345"/>
      <c r="V243" s="345"/>
      <c r="W243" s="345"/>
      <c r="X243" s="345"/>
      <c r="Y243" s="345"/>
      <c r="Z243" s="331"/>
    </row>
    <row r="244">
      <c r="A244" s="345"/>
      <c r="B244" s="369"/>
      <c r="C244" s="345"/>
      <c r="D244" s="345"/>
      <c r="E244" s="345"/>
      <c r="F244" s="345"/>
      <c r="G244" s="345"/>
      <c r="H244" s="345"/>
      <c r="I244" s="345"/>
      <c r="J244" s="345"/>
      <c r="K244" s="345"/>
      <c r="L244" s="345"/>
      <c r="M244" s="345"/>
      <c r="N244" s="345"/>
      <c r="O244" s="345"/>
      <c r="P244" s="345"/>
      <c r="Q244" s="345"/>
      <c r="R244" s="345"/>
      <c r="S244" s="345"/>
      <c r="T244" s="345"/>
      <c r="U244" s="345"/>
      <c r="V244" s="345"/>
      <c r="W244" s="345"/>
      <c r="X244" s="345"/>
      <c r="Y244" s="345"/>
      <c r="Z244" s="331"/>
    </row>
    <row r="245">
      <c r="A245" s="345"/>
      <c r="B245" s="369"/>
      <c r="C245" s="345"/>
      <c r="D245" s="345"/>
      <c r="E245" s="345"/>
      <c r="F245" s="345"/>
      <c r="G245" s="345"/>
      <c r="H245" s="345"/>
      <c r="I245" s="345"/>
      <c r="J245" s="345"/>
      <c r="K245" s="345"/>
      <c r="L245" s="345"/>
      <c r="M245" s="345"/>
      <c r="N245" s="345"/>
      <c r="O245" s="345"/>
      <c r="P245" s="345"/>
      <c r="Q245" s="345"/>
      <c r="R245" s="345"/>
      <c r="S245" s="345"/>
      <c r="T245" s="345"/>
      <c r="U245" s="345"/>
      <c r="V245" s="345"/>
      <c r="W245" s="345"/>
      <c r="X245" s="345"/>
      <c r="Y245" s="345"/>
      <c r="Z245" s="331"/>
    </row>
    <row r="246">
      <c r="A246" s="345"/>
      <c r="B246" s="369"/>
      <c r="C246" s="345"/>
      <c r="D246" s="345"/>
      <c r="E246" s="345"/>
      <c r="F246" s="345"/>
      <c r="G246" s="345"/>
      <c r="H246" s="345"/>
      <c r="I246" s="345"/>
      <c r="J246" s="345"/>
      <c r="K246" s="345"/>
      <c r="L246" s="345"/>
      <c r="M246" s="345"/>
      <c r="N246" s="345"/>
      <c r="O246" s="345"/>
      <c r="P246" s="345"/>
      <c r="Q246" s="345"/>
      <c r="R246" s="345"/>
      <c r="S246" s="345"/>
      <c r="T246" s="345"/>
      <c r="U246" s="345"/>
      <c r="V246" s="345"/>
      <c r="W246" s="345"/>
      <c r="X246" s="345"/>
      <c r="Y246" s="345"/>
      <c r="Z246" s="331"/>
    </row>
    <row r="247">
      <c r="A247" s="345"/>
      <c r="B247" s="369"/>
      <c r="C247" s="345"/>
      <c r="D247" s="345"/>
      <c r="E247" s="345"/>
      <c r="F247" s="345"/>
      <c r="G247" s="345"/>
      <c r="H247" s="345"/>
      <c r="I247" s="345"/>
      <c r="J247" s="345"/>
      <c r="K247" s="345"/>
      <c r="L247" s="345"/>
      <c r="M247" s="345"/>
      <c r="N247" s="345"/>
      <c r="O247" s="345"/>
      <c r="P247" s="345"/>
      <c r="Q247" s="345"/>
      <c r="R247" s="345"/>
      <c r="S247" s="345"/>
      <c r="T247" s="345"/>
      <c r="U247" s="345"/>
      <c r="V247" s="345"/>
      <c r="W247" s="345"/>
      <c r="X247" s="345"/>
      <c r="Y247" s="345"/>
      <c r="Z247" s="331"/>
    </row>
    <row r="248">
      <c r="A248" s="345"/>
      <c r="B248" s="369"/>
      <c r="C248" s="345"/>
      <c r="D248" s="345"/>
      <c r="E248" s="345"/>
      <c r="F248" s="345"/>
      <c r="G248" s="345"/>
      <c r="H248" s="345"/>
      <c r="I248" s="345"/>
      <c r="J248" s="345"/>
      <c r="K248" s="345"/>
      <c r="L248" s="345"/>
      <c r="M248" s="345"/>
      <c r="N248" s="345"/>
      <c r="O248" s="345"/>
      <c r="P248" s="345"/>
      <c r="Q248" s="345"/>
      <c r="R248" s="345"/>
      <c r="S248" s="345"/>
      <c r="T248" s="345"/>
      <c r="U248" s="345"/>
      <c r="V248" s="345"/>
      <c r="W248" s="345"/>
      <c r="X248" s="345"/>
      <c r="Y248" s="345"/>
      <c r="Z248" s="331"/>
    </row>
    <row r="249">
      <c r="A249" s="345"/>
      <c r="B249" s="369"/>
      <c r="C249" s="345"/>
      <c r="D249" s="345"/>
      <c r="E249" s="345"/>
      <c r="F249" s="345"/>
      <c r="G249" s="345"/>
      <c r="H249" s="345"/>
      <c r="I249" s="345"/>
      <c r="J249" s="345"/>
      <c r="K249" s="345"/>
      <c r="L249" s="345"/>
      <c r="M249" s="345"/>
      <c r="N249" s="345"/>
      <c r="O249" s="345"/>
      <c r="P249" s="345"/>
      <c r="Q249" s="345"/>
      <c r="R249" s="345"/>
      <c r="S249" s="345"/>
      <c r="T249" s="345"/>
      <c r="U249" s="345"/>
      <c r="V249" s="345"/>
      <c r="W249" s="345"/>
      <c r="X249" s="345"/>
      <c r="Y249" s="345"/>
      <c r="Z249" s="331"/>
    </row>
    <row r="250">
      <c r="A250" s="345"/>
      <c r="B250" s="369"/>
      <c r="C250" s="345"/>
      <c r="D250" s="345"/>
      <c r="E250" s="345"/>
      <c r="F250" s="345"/>
      <c r="G250" s="345"/>
      <c r="H250" s="345"/>
      <c r="I250" s="345"/>
      <c r="J250" s="345"/>
      <c r="K250" s="345"/>
      <c r="L250" s="345"/>
      <c r="M250" s="345"/>
      <c r="N250" s="345"/>
      <c r="O250" s="345"/>
      <c r="P250" s="345"/>
      <c r="Q250" s="345"/>
      <c r="R250" s="345"/>
      <c r="S250" s="345"/>
      <c r="T250" s="345"/>
      <c r="U250" s="345"/>
      <c r="V250" s="345"/>
      <c r="W250" s="345"/>
      <c r="X250" s="345"/>
      <c r="Y250" s="345"/>
      <c r="Z250" s="331"/>
    </row>
    <row r="251">
      <c r="A251" s="345"/>
      <c r="B251" s="369"/>
      <c r="C251" s="345"/>
      <c r="D251" s="345"/>
      <c r="E251" s="345"/>
      <c r="F251" s="345"/>
      <c r="G251" s="345"/>
      <c r="H251" s="345"/>
      <c r="I251" s="345"/>
      <c r="J251" s="345"/>
      <c r="K251" s="345"/>
      <c r="L251" s="345"/>
      <c r="M251" s="345"/>
      <c r="N251" s="345"/>
      <c r="O251" s="345"/>
      <c r="P251" s="345"/>
      <c r="Q251" s="345"/>
      <c r="R251" s="345"/>
      <c r="S251" s="345"/>
      <c r="T251" s="345"/>
      <c r="U251" s="345"/>
      <c r="V251" s="345"/>
      <c r="W251" s="345"/>
      <c r="X251" s="345"/>
      <c r="Y251" s="345"/>
      <c r="Z251" s="331"/>
    </row>
    <row r="252">
      <c r="A252" s="345"/>
      <c r="B252" s="369"/>
      <c r="C252" s="345"/>
      <c r="D252" s="345"/>
      <c r="E252" s="345"/>
      <c r="F252" s="345"/>
      <c r="G252" s="345"/>
      <c r="H252" s="345"/>
      <c r="I252" s="345"/>
      <c r="J252" s="345"/>
      <c r="K252" s="345"/>
      <c r="L252" s="345"/>
      <c r="M252" s="345"/>
      <c r="N252" s="345"/>
      <c r="O252" s="345"/>
      <c r="P252" s="345"/>
      <c r="Q252" s="345"/>
      <c r="R252" s="345"/>
      <c r="S252" s="345"/>
      <c r="T252" s="345"/>
      <c r="U252" s="345"/>
      <c r="V252" s="345"/>
      <c r="W252" s="345"/>
      <c r="X252" s="345"/>
      <c r="Y252" s="345"/>
      <c r="Z252" s="331"/>
    </row>
    <row r="253">
      <c r="A253" s="345"/>
      <c r="B253" s="369"/>
      <c r="C253" s="345"/>
      <c r="D253" s="345"/>
      <c r="E253" s="345"/>
      <c r="F253" s="345"/>
      <c r="G253" s="345"/>
      <c r="H253" s="345"/>
      <c r="I253" s="345"/>
      <c r="J253" s="345"/>
      <c r="K253" s="345"/>
      <c r="L253" s="345"/>
      <c r="M253" s="345"/>
      <c r="N253" s="345"/>
      <c r="O253" s="345"/>
      <c r="P253" s="345"/>
      <c r="Q253" s="345"/>
      <c r="R253" s="345"/>
      <c r="S253" s="345"/>
      <c r="T253" s="345"/>
      <c r="U253" s="345"/>
      <c r="V253" s="345"/>
      <c r="W253" s="345"/>
      <c r="X253" s="345"/>
      <c r="Y253" s="345"/>
      <c r="Z253" s="331"/>
    </row>
    <row r="254">
      <c r="A254" s="345"/>
      <c r="B254" s="369"/>
      <c r="C254" s="345"/>
      <c r="D254" s="345"/>
      <c r="E254" s="345"/>
      <c r="F254" s="345"/>
      <c r="G254" s="345"/>
      <c r="H254" s="345"/>
      <c r="I254" s="345"/>
      <c r="J254" s="345"/>
      <c r="K254" s="345"/>
      <c r="L254" s="345"/>
      <c r="M254" s="345"/>
      <c r="N254" s="345"/>
      <c r="O254" s="345"/>
      <c r="P254" s="345"/>
      <c r="Q254" s="345"/>
      <c r="R254" s="345"/>
      <c r="S254" s="345"/>
      <c r="T254" s="345"/>
      <c r="U254" s="345"/>
      <c r="V254" s="345"/>
      <c r="W254" s="345"/>
      <c r="X254" s="345"/>
      <c r="Y254" s="345"/>
      <c r="Z254" s="331"/>
    </row>
    <row r="255">
      <c r="A255" s="345"/>
      <c r="B255" s="369"/>
      <c r="C255" s="345"/>
      <c r="D255" s="345"/>
      <c r="E255" s="345"/>
      <c r="F255" s="345"/>
      <c r="G255" s="345"/>
      <c r="H255" s="345"/>
      <c r="I255" s="345"/>
      <c r="J255" s="345"/>
      <c r="K255" s="345"/>
      <c r="L255" s="345"/>
      <c r="M255" s="345"/>
      <c r="N255" s="345"/>
      <c r="O255" s="345"/>
      <c r="P255" s="345"/>
      <c r="Q255" s="345"/>
      <c r="R255" s="345"/>
      <c r="S255" s="345"/>
      <c r="T255" s="345"/>
      <c r="U255" s="345"/>
      <c r="V255" s="345"/>
      <c r="W255" s="345"/>
      <c r="X255" s="345"/>
      <c r="Y255" s="345"/>
      <c r="Z255" s="331"/>
    </row>
    <row r="256">
      <c r="A256" s="345"/>
      <c r="B256" s="369"/>
      <c r="C256" s="345"/>
      <c r="D256" s="345"/>
      <c r="E256" s="345"/>
      <c r="F256" s="345"/>
      <c r="G256" s="345"/>
      <c r="H256" s="345"/>
      <c r="I256" s="345"/>
      <c r="J256" s="345"/>
      <c r="K256" s="345"/>
      <c r="L256" s="345"/>
      <c r="M256" s="345"/>
      <c r="N256" s="345"/>
      <c r="O256" s="345"/>
      <c r="P256" s="345"/>
      <c r="Q256" s="345"/>
      <c r="R256" s="345"/>
      <c r="S256" s="345"/>
      <c r="T256" s="345"/>
      <c r="U256" s="345"/>
      <c r="V256" s="345"/>
      <c r="W256" s="345"/>
      <c r="X256" s="345"/>
      <c r="Y256" s="345"/>
      <c r="Z256" s="331"/>
    </row>
    <row r="257">
      <c r="A257" s="345"/>
      <c r="B257" s="369"/>
      <c r="C257" s="345"/>
      <c r="D257" s="345"/>
      <c r="E257" s="345"/>
      <c r="F257" s="345"/>
      <c r="G257" s="345"/>
      <c r="H257" s="345"/>
      <c r="I257" s="345"/>
      <c r="J257" s="345"/>
      <c r="K257" s="345"/>
      <c r="L257" s="345"/>
      <c r="M257" s="345"/>
      <c r="N257" s="345"/>
      <c r="O257" s="345"/>
      <c r="P257" s="345"/>
      <c r="Q257" s="345"/>
      <c r="R257" s="345"/>
      <c r="S257" s="345"/>
      <c r="T257" s="345"/>
      <c r="U257" s="345"/>
      <c r="V257" s="345"/>
      <c r="W257" s="345"/>
      <c r="X257" s="345"/>
      <c r="Y257" s="345"/>
      <c r="Z257" s="331"/>
    </row>
    <row r="258">
      <c r="A258" s="345"/>
      <c r="B258" s="369"/>
      <c r="C258" s="345"/>
      <c r="D258" s="345"/>
      <c r="E258" s="345"/>
      <c r="F258" s="345"/>
      <c r="G258" s="345"/>
      <c r="H258" s="345"/>
      <c r="I258" s="345"/>
      <c r="J258" s="345"/>
      <c r="K258" s="345"/>
      <c r="L258" s="345"/>
      <c r="M258" s="345"/>
      <c r="N258" s="345"/>
      <c r="O258" s="345"/>
      <c r="P258" s="345"/>
      <c r="Q258" s="345"/>
      <c r="R258" s="345"/>
      <c r="S258" s="345"/>
      <c r="T258" s="345"/>
      <c r="U258" s="345"/>
      <c r="V258" s="345"/>
      <c r="W258" s="345"/>
      <c r="X258" s="345"/>
      <c r="Y258" s="345"/>
      <c r="Z258" s="331"/>
    </row>
    <row r="259">
      <c r="A259" s="345"/>
      <c r="B259" s="369"/>
      <c r="C259" s="345"/>
      <c r="D259" s="345"/>
      <c r="E259" s="345"/>
      <c r="F259" s="345"/>
      <c r="G259" s="345"/>
      <c r="H259" s="345"/>
      <c r="I259" s="345"/>
      <c r="J259" s="345"/>
      <c r="K259" s="345"/>
      <c r="L259" s="345"/>
      <c r="M259" s="345"/>
      <c r="N259" s="345"/>
      <c r="O259" s="345"/>
      <c r="P259" s="345"/>
      <c r="Q259" s="345"/>
      <c r="R259" s="345"/>
      <c r="S259" s="345"/>
      <c r="T259" s="345"/>
      <c r="U259" s="345"/>
      <c r="V259" s="345"/>
      <c r="W259" s="345"/>
      <c r="X259" s="345"/>
      <c r="Y259" s="345"/>
      <c r="Z259" s="331"/>
    </row>
    <row r="260">
      <c r="A260" s="345"/>
      <c r="B260" s="369"/>
      <c r="C260" s="345"/>
      <c r="D260" s="345"/>
      <c r="E260" s="345"/>
      <c r="F260" s="345"/>
      <c r="G260" s="345"/>
      <c r="H260" s="345"/>
      <c r="I260" s="345"/>
      <c r="J260" s="345"/>
      <c r="K260" s="345"/>
      <c r="L260" s="345"/>
      <c r="M260" s="345"/>
      <c r="N260" s="345"/>
      <c r="O260" s="345"/>
      <c r="P260" s="345"/>
      <c r="Q260" s="345"/>
      <c r="R260" s="345"/>
      <c r="S260" s="345"/>
      <c r="T260" s="345"/>
      <c r="U260" s="345"/>
      <c r="V260" s="345"/>
      <c r="W260" s="345"/>
      <c r="X260" s="345"/>
      <c r="Y260" s="345"/>
      <c r="Z260" s="331"/>
    </row>
    <row r="261">
      <c r="A261" s="345"/>
      <c r="B261" s="369"/>
      <c r="C261" s="345"/>
      <c r="D261" s="345"/>
      <c r="E261" s="345"/>
      <c r="F261" s="345"/>
      <c r="G261" s="345"/>
      <c r="H261" s="345"/>
      <c r="I261" s="345"/>
      <c r="J261" s="345"/>
      <c r="K261" s="345"/>
      <c r="L261" s="345"/>
      <c r="M261" s="345"/>
      <c r="N261" s="345"/>
      <c r="O261" s="345"/>
      <c r="P261" s="345"/>
      <c r="Q261" s="345"/>
      <c r="R261" s="345"/>
      <c r="S261" s="345"/>
      <c r="T261" s="345"/>
      <c r="U261" s="345"/>
      <c r="V261" s="345"/>
      <c r="W261" s="345"/>
      <c r="X261" s="345"/>
      <c r="Y261" s="345"/>
      <c r="Z261" s="331"/>
    </row>
    <row r="262">
      <c r="A262" s="345"/>
      <c r="B262" s="369"/>
      <c r="C262" s="345"/>
      <c r="D262" s="345"/>
      <c r="E262" s="345"/>
      <c r="F262" s="345"/>
      <c r="G262" s="345"/>
      <c r="H262" s="345"/>
      <c r="I262" s="345"/>
      <c r="J262" s="345"/>
      <c r="K262" s="345"/>
      <c r="L262" s="345"/>
      <c r="M262" s="345"/>
      <c r="N262" s="345"/>
      <c r="O262" s="345"/>
      <c r="P262" s="345"/>
      <c r="Q262" s="345"/>
      <c r="R262" s="345"/>
      <c r="S262" s="345"/>
      <c r="T262" s="345"/>
      <c r="U262" s="345"/>
      <c r="V262" s="345"/>
      <c r="W262" s="345"/>
      <c r="X262" s="345"/>
      <c r="Y262" s="345"/>
      <c r="Z262" s="331"/>
    </row>
    <row r="263">
      <c r="A263" s="345"/>
      <c r="B263" s="369"/>
      <c r="C263" s="345"/>
      <c r="D263" s="345"/>
      <c r="E263" s="345"/>
      <c r="F263" s="345"/>
      <c r="G263" s="345"/>
      <c r="H263" s="345"/>
      <c r="I263" s="345"/>
      <c r="J263" s="345"/>
      <c r="K263" s="345"/>
      <c r="L263" s="345"/>
      <c r="M263" s="345"/>
      <c r="N263" s="345"/>
      <c r="O263" s="345"/>
      <c r="P263" s="345"/>
      <c r="Q263" s="345"/>
      <c r="R263" s="345"/>
      <c r="S263" s="345"/>
      <c r="T263" s="345"/>
      <c r="U263" s="345"/>
      <c r="V263" s="345"/>
      <c r="W263" s="345"/>
      <c r="X263" s="345"/>
      <c r="Y263" s="345"/>
      <c r="Z263" s="331"/>
    </row>
    <row r="264">
      <c r="A264" s="345"/>
      <c r="B264" s="369"/>
      <c r="C264" s="345"/>
      <c r="D264" s="345"/>
      <c r="E264" s="345"/>
      <c r="F264" s="345"/>
      <c r="G264" s="345"/>
      <c r="H264" s="345"/>
      <c r="I264" s="345"/>
      <c r="J264" s="345"/>
      <c r="K264" s="345"/>
      <c r="L264" s="345"/>
      <c r="M264" s="345"/>
      <c r="N264" s="345"/>
      <c r="O264" s="345"/>
      <c r="P264" s="345"/>
      <c r="Q264" s="345"/>
      <c r="R264" s="345"/>
      <c r="S264" s="345"/>
      <c r="T264" s="345"/>
      <c r="U264" s="345"/>
      <c r="V264" s="345"/>
      <c r="W264" s="345"/>
      <c r="X264" s="345"/>
      <c r="Y264" s="345"/>
      <c r="Z264" s="331"/>
    </row>
    <row r="265">
      <c r="A265" s="345"/>
      <c r="B265" s="369"/>
      <c r="C265" s="345"/>
      <c r="D265" s="345"/>
      <c r="E265" s="345"/>
      <c r="F265" s="345"/>
      <c r="G265" s="345"/>
      <c r="H265" s="345"/>
      <c r="I265" s="345"/>
      <c r="J265" s="345"/>
      <c r="K265" s="345"/>
      <c r="L265" s="345"/>
      <c r="M265" s="345"/>
      <c r="N265" s="345"/>
      <c r="O265" s="345"/>
      <c r="P265" s="345"/>
      <c r="Q265" s="345"/>
      <c r="R265" s="345"/>
      <c r="S265" s="345"/>
      <c r="T265" s="345"/>
      <c r="U265" s="345"/>
      <c r="V265" s="345"/>
      <c r="W265" s="345"/>
      <c r="X265" s="345"/>
      <c r="Y265" s="345"/>
      <c r="Z265" s="331"/>
    </row>
    <row r="266">
      <c r="A266" s="345"/>
      <c r="B266" s="369"/>
      <c r="C266" s="345"/>
      <c r="D266" s="345"/>
      <c r="E266" s="345"/>
      <c r="F266" s="345"/>
      <c r="G266" s="345"/>
      <c r="H266" s="345"/>
      <c r="I266" s="345"/>
      <c r="J266" s="345"/>
      <c r="K266" s="345"/>
      <c r="L266" s="345"/>
      <c r="M266" s="345"/>
      <c r="N266" s="345"/>
      <c r="O266" s="345"/>
      <c r="P266" s="345"/>
      <c r="Q266" s="345"/>
      <c r="R266" s="345"/>
      <c r="S266" s="345"/>
      <c r="T266" s="345"/>
      <c r="U266" s="345"/>
      <c r="V266" s="345"/>
      <c r="W266" s="345"/>
      <c r="X266" s="345"/>
      <c r="Y266" s="345"/>
      <c r="Z266" s="331"/>
    </row>
    <row r="267">
      <c r="A267" s="345"/>
      <c r="B267" s="369"/>
      <c r="C267" s="345"/>
      <c r="D267" s="345"/>
      <c r="E267" s="345"/>
      <c r="F267" s="345"/>
      <c r="G267" s="345"/>
      <c r="H267" s="345"/>
      <c r="I267" s="345"/>
      <c r="J267" s="345"/>
      <c r="K267" s="345"/>
      <c r="L267" s="345"/>
      <c r="M267" s="345"/>
      <c r="N267" s="345"/>
      <c r="O267" s="345"/>
      <c r="P267" s="345"/>
      <c r="Q267" s="345"/>
      <c r="R267" s="345"/>
      <c r="S267" s="345"/>
      <c r="T267" s="345"/>
      <c r="U267" s="345"/>
      <c r="V267" s="345"/>
      <c r="W267" s="345"/>
      <c r="X267" s="345"/>
      <c r="Y267" s="345"/>
      <c r="Z267" s="331"/>
    </row>
    <row r="268">
      <c r="A268" s="345"/>
      <c r="B268" s="369"/>
      <c r="C268" s="345"/>
      <c r="D268" s="345"/>
      <c r="E268" s="345"/>
      <c r="F268" s="345"/>
      <c r="G268" s="345"/>
      <c r="H268" s="345"/>
      <c r="I268" s="345"/>
      <c r="J268" s="345"/>
      <c r="K268" s="345"/>
      <c r="L268" s="345"/>
      <c r="M268" s="345"/>
      <c r="N268" s="345"/>
      <c r="O268" s="345"/>
      <c r="P268" s="345"/>
      <c r="Q268" s="345"/>
      <c r="R268" s="345"/>
      <c r="S268" s="345"/>
      <c r="T268" s="345"/>
      <c r="U268" s="345"/>
      <c r="V268" s="345"/>
      <c r="W268" s="345"/>
      <c r="X268" s="345"/>
      <c r="Y268" s="345"/>
      <c r="Z268" s="331"/>
    </row>
    <row r="269">
      <c r="A269" s="345"/>
      <c r="B269" s="369"/>
      <c r="C269" s="345"/>
      <c r="D269" s="345"/>
      <c r="E269" s="345"/>
      <c r="F269" s="345"/>
      <c r="G269" s="345"/>
      <c r="H269" s="345"/>
      <c r="I269" s="345"/>
      <c r="J269" s="345"/>
      <c r="K269" s="345"/>
      <c r="L269" s="345"/>
      <c r="M269" s="345"/>
      <c r="N269" s="345"/>
      <c r="O269" s="345"/>
      <c r="P269" s="345"/>
      <c r="Q269" s="345"/>
      <c r="R269" s="345"/>
      <c r="S269" s="345"/>
      <c r="T269" s="345"/>
      <c r="U269" s="345"/>
      <c r="V269" s="345"/>
      <c r="W269" s="345"/>
      <c r="X269" s="345"/>
      <c r="Y269" s="345"/>
      <c r="Z269" s="331"/>
    </row>
    <row r="270">
      <c r="A270" s="345"/>
      <c r="B270" s="369"/>
      <c r="C270" s="345"/>
      <c r="D270" s="345"/>
      <c r="E270" s="345"/>
      <c r="F270" s="345"/>
      <c r="G270" s="345"/>
      <c r="H270" s="345"/>
      <c r="I270" s="345"/>
      <c r="J270" s="345"/>
      <c r="K270" s="345"/>
      <c r="L270" s="345"/>
      <c r="M270" s="345"/>
      <c r="N270" s="345"/>
      <c r="O270" s="345"/>
      <c r="P270" s="345"/>
      <c r="Q270" s="345"/>
      <c r="R270" s="345"/>
      <c r="S270" s="345"/>
      <c r="T270" s="345"/>
      <c r="U270" s="345"/>
      <c r="V270" s="345"/>
      <c r="W270" s="345"/>
      <c r="X270" s="345"/>
      <c r="Y270" s="345"/>
      <c r="Z270" s="331"/>
    </row>
    <row r="271">
      <c r="A271" s="345"/>
      <c r="B271" s="369"/>
      <c r="C271" s="345"/>
      <c r="D271" s="345"/>
      <c r="E271" s="345"/>
      <c r="F271" s="345"/>
      <c r="G271" s="345"/>
      <c r="H271" s="345"/>
      <c r="I271" s="345"/>
      <c r="J271" s="345"/>
      <c r="K271" s="345"/>
      <c r="L271" s="345"/>
      <c r="M271" s="345"/>
      <c r="N271" s="345"/>
      <c r="O271" s="345"/>
      <c r="P271" s="345"/>
      <c r="Q271" s="345"/>
      <c r="R271" s="345"/>
      <c r="S271" s="345"/>
      <c r="T271" s="345"/>
      <c r="U271" s="345"/>
      <c r="V271" s="345"/>
      <c r="W271" s="345"/>
      <c r="X271" s="345"/>
      <c r="Y271" s="345"/>
      <c r="Z271" s="331"/>
    </row>
    <row r="272">
      <c r="A272" s="345"/>
      <c r="B272" s="369"/>
      <c r="C272" s="345"/>
      <c r="D272" s="345"/>
      <c r="E272" s="345"/>
      <c r="F272" s="345"/>
      <c r="G272" s="345"/>
      <c r="H272" s="345"/>
      <c r="I272" s="345"/>
      <c r="J272" s="345"/>
      <c r="K272" s="345"/>
      <c r="L272" s="345"/>
      <c r="M272" s="345"/>
      <c r="N272" s="345"/>
      <c r="O272" s="345"/>
      <c r="P272" s="345"/>
      <c r="Q272" s="345"/>
      <c r="R272" s="345"/>
      <c r="S272" s="345"/>
      <c r="T272" s="345"/>
      <c r="U272" s="345"/>
      <c r="V272" s="345"/>
      <c r="W272" s="345"/>
      <c r="X272" s="345"/>
      <c r="Y272" s="345"/>
      <c r="Z272" s="331"/>
    </row>
    <row r="273">
      <c r="A273" s="345"/>
      <c r="B273" s="369"/>
      <c r="C273" s="345"/>
      <c r="D273" s="345"/>
      <c r="E273" s="345"/>
      <c r="F273" s="345"/>
      <c r="G273" s="345"/>
      <c r="H273" s="345"/>
      <c r="I273" s="345"/>
      <c r="J273" s="345"/>
      <c r="K273" s="345"/>
      <c r="L273" s="345"/>
      <c r="M273" s="345"/>
      <c r="N273" s="345"/>
      <c r="O273" s="345"/>
      <c r="P273" s="345"/>
      <c r="Q273" s="345"/>
      <c r="R273" s="345"/>
      <c r="S273" s="345"/>
      <c r="T273" s="345"/>
      <c r="U273" s="345"/>
      <c r="V273" s="345"/>
      <c r="W273" s="345"/>
      <c r="X273" s="345"/>
      <c r="Y273" s="345"/>
      <c r="Z273" s="331"/>
    </row>
    <row r="274">
      <c r="A274" s="345"/>
      <c r="B274" s="369"/>
      <c r="C274" s="345"/>
      <c r="D274" s="345"/>
      <c r="E274" s="345"/>
      <c r="F274" s="345"/>
      <c r="G274" s="345"/>
      <c r="H274" s="345"/>
      <c r="I274" s="345"/>
      <c r="J274" s="345"/>
      <c r="K274" s="345"/>
      <c r="L274" s="345"/>
      <c r="M274" s="345"/>
      <c r="N274" s="345"/>
      <c r="O274" s="345"/>
      <c r="P274" s="345"/>
      <c r="Q274" s="345"/>
      <c r="R274" s="345"/>
      <c r="S274" s="345"/>
      <c r="T274" s="345"/>
      <c r="U274" s="345"/>
      <c r="V274" s="345"/>
      <c r="W274" s="345"/>
      <c r="X274" s="345"/>
      <c r="Y274" s="345"/>
      <c r="Z274" s="331"/>
    </row>
    <row r="275">
      <c r="A275" s="345"/>
      <c r="B275" s="369"/>
      <c r="C275" s="345"/>
      <c r="D275" s="345"/>
      <c r="E275" s="345"/>
      <c r="F275" s="345"/>
      <c r="G275" s="345"/>
      <c r="H275" s="345"/>
      <c r="I275" s="345"/>
      <c r="J275" s="345"/>
      <c r="K275" s="345"/>
      <c r="L275" s="345"/>
      <c r="M275" s="345"/>
      <c r="N275" s="345"/>
      <c r="O275" s="345"/>
      <c r="P275" s="345"/>
      <c r="Q275" s="345"/>
      <c r="R275" s="345"/>
      <c r="S275" s="345"/>
      <c r="T275" s="345"/>
      <c r="U275" s="345"/>
      <c r="V275" s="345"/>
      <c r="W275" s="345"/>
      <c r="X275" s="345"/>
      <c r="Y275" s="345"/>
      <c r="Z275" s="331"/>
    </row>
    <row r="276">
      <c r="A276" s="345"/>
      <c r="B276" s="369"/>
      <c r="C276" s="345"/>
      <c r="D276" s="345"/>
      <c r="E276" s="345"/>
      <c r="F276" s="345"/>
      <c r="G276" s="345"/>
      <c r="H276" s="345"/>
      <c r="I276" s="345"/>
      <c r="J276" s="345"/>
      <c r="K276" s="345"/>
      <c r="L276" s="345"/>
      <c r="M276" s="345"/>
      <c r="N276" s="345"/>
      <c r="O276" s="345"/>
      <c r="P276" s="345"/>
      <c r="Q276" s="345"/>
      <c r="R276" s="345"/>
      <c r="S276" s="345"/>
      <c r="T276" s="345"/>
      <c r="U276" s="345"/>
      <c r="V276" s="345"/>
      <c r="W276" s="345"/>
      <c r="X276" s="345"/>
      <c r="Y276" s="345"/>
      <c r="Z276" s="331"/>
    </row>
    <row r="277">
      <c r="A277" s="345"/>
      <c r="B277" s="369"/>
      <c r="C277" s="345"/>
      <c r="D277" s="345"/>
      <c r="E277" s="345"/>
      <c r="F277" s="345"/>
      <c r="G277" s="345"/>
      <c r="H277" s="345"/>
      <c r="I277" s="345"/>
      <c r="J277" s="345"/>
      <c r="K277" s="345"/>
      <c r="L277" s="345"/>
      <c r="M277" s="345"/>
      <c r="N277" s="345"/>
      <c r="O277" s="345"/>
      <c r="P277" s="345"/>
      <c r="Q277" s="345"/>
      <c r="R277" s="345"/>
      <c r="S277" s="345"/>
      <c r="T277" s="345"/>
      <c r="U277" s="345"/>
      <c r="V277" s="345"/>
      <c r="W277" s="345"/>
      <c r="X277" s="345"/>
      <c r="Y277" s="345"/>
      <c r="Z277" s="331"/>
    </row>
    <row r="278">
      <c r="A278" s="345"/>
      <c r="B278" s="369"/>
      <c r="C278" s="345"/>
      <c r="D278" s="345"/>
      <c r="E278" s="345"/>
      <c r="F278" s="345"/>
      <c r="G278" s="345"/>
      <c r="H278" s="345"/>
      <c r="I278" s="345"/>
      <c r="J278" s="345"/>
      <c r="K278" s="345"/>
      <c r="L278" s="345"/>
      <c r="M278" s="345"/>
      <c r="N278" s="345"/>
      <c r="O278" s="345"/>
      <c r="P278" s="345"/>
      <c r="Q278" s="345"/>
      <c r="R278" s="345"/>
      <c r="S278" s="345"/>
      <c r="T278" s="345"/>
      <c r="U278" s="345"/>
      <c r="V278" s="345"/>
      <c r="W278" s="345"/>
      <c r="X278" s="345"/>
      <c r="Y278" s="345"/>
      <c r="Z278" s="331"/>
    </row>
    <row r="279">
      <c r="A279" s="345"/>
      <c r="B279" s="369"/>
      <c r="C279" s="345"/>
      <c r="D279" s="345"/>
      <c r="E279" s="345"/>
      <c r="F279" s="345"/>
      <c r="G279" s="345"/>
      <c r="H279" s="345"/>
      <c r="I279" s="345"/>
      <c r="J279" s="345"/>
      <c r="K279" s="345"/>
      <c r="L279" s="345"/>
      <c r="M279" s="345"/>
      <c r="N279" s="345"/>
      <c r="O279" s="345"/>
      <c r="P279" s="345"/>
      <c r="Q279" s="345"/>
      <c r="R279" s="345"/>
      <c r="S279" s="345"/>
      <c r="T279" s="345"/>
      <c r="U279" s="345"/>
      <c r="V279" s="345"/>
      <c r="W279" s="345"/>
      <c r="X279" s="345"/>
      <c r="Y279" s="345"/>
      <c r="Z279" s="331"/>
    </row>
    <row r="280">
      <c r="A280" s="345"/>
      <c r="B280" s="369"/>
      <c r="C280" s="345"/>
      <c r="D280" s="345"/>
      <c r="E280" s="345"/>
      <c r="F280" s="345"/>
      <c r="G280" s="345"/>
      <c r="H280" s="345"/>
      <c r="I280" s="345"/>
      <c r="J280" s="345"/>
      <c r="K280" s="345"/>
      <c r="L280" s="345"/>
      <c r="M280" s="345"/>
      <c r="N280" s="345"/>
      <c r="O280" s="345"/>
      <c r="P280" s="345"/>
      <c r="Q280" s="345"/>
      <c r="R280" s="345"/>
      <c r="S280" s="345"/>
      <c r="T280" s="345"/>
      <c r="U280" s="345"/>
      <c r="V280" s="345"/>
      <c r="W280" s="345"/>
      <c r="X280" s="345"/>
      <c r="Y280" s="345"/>
      <c r="Z280" s="331"/>
    </row>
    <row r="281">
      <c r="A281" s="345"/>
      <c r="B281" s="369"/>
      <c r="C281" s="345"/>
      <c r="D281" s="345"/>
      <c r="E281" s="345"/>
      <c r="F281" s="345"/>
      <c r="G281" s="345"/>
      <c r="H281" s="345"/>
      <c r="I281" s="345"/>
      <c r="J281" s="345"/>
      <c r="K281" s="345"/>
      <c r="L281" s="345"/>
      <c r="M281" s="345"/>
      <c r="N281" s="345"/>
      <c r="O281" s="345"/>
      <c r="P281" s="345"/>
      <c r="Q281" s="345"/>
      <c r="R281" s="345"/>
      <c r="S281" s="345"/>
      <c r="T281" s="345"/>
      <c r="U281" s="345"/>
      <c r="V281" s="345"/>
      <c r="W281" s="345"/>
      <c r="X281" s="345"/>
      <c r="Y281" s="345"/>
      <c r="Z281" s="331"/>
    </row>
    <row r="282">
      <c r="A282" s="345"/>
      <c r="B282" s="369"/>
      <c r="C282" s="345"/>
      <c r="D282" s="345"/>
      <c r="E282" s="345"/>
      <c r="F282" s="345"/>
      <c r="G282" s="345"/>
      <c r="H282" s="345"/>
      <c r="I282" s="345"/>
      <c r="J282" s="345"/>
      <c r="K282" s="345"/>
      <c r="L282" s="345"/>
      <c r="M282" s="345"/>
      <c r="N282" s="345"/>
      <c r="O282" s="345"/>
      <c r="P282" s="345"/>
      <c r="Q282" s="345"/>
      <c r="R282" s="345"/>
      <c r="S282" s="345"/>
      <c r="T282" s="345"/>
      <c r="U282" s="345"/>
      <c r="V282" s="345"/>
      <c r="W282" s="345"/>
      <c r="X282" s="345"/>
      <c r="Y282" s="345"/>
      <c r="Z282" s="331"/>
    </row>
    <row r="283">
      <c r="A283" s="345"/>
      <c r="B283" s="369"/>
      <c r="C283" s="345"/>
      <c r="D283" s="345"/>
      <c r="E283" s="345"/>
      <c r="F283" s="345"/>
      <c r="G283" s="345"/>
      <c r="H283" s="345"/>
      <c r="I283" s="345"/>
      <c r="J283" s="345"/>
      <c r="K283" s="345"/>
      <c r="L283" s="345"/>
      <c r="M283" s="345"/>
      <c r="N283" s="345"/>
      <c r="O283" s="345"/>
      <c r="P283" s="345"/>
      <c r="Q283" s="345"/>
      <c r="R283" s="345"/>
      <c r="S283" s="345"/>
      <c r="T283" s="345"/>
      <c r="U283" s="345"/>
      <c r="V283" s="345"/>
      <c r="W283" s="345"/>
      <c r="X283" s="345"/>
      <c r="Y283" s="345"/>
      <c r="Z283" s="331"/>
    </row>
    <row r="284">
      <c r="A284" s="345"/>
      <c r="B284" s="369"/>
      <c r="C284" s="345"/>
      <c r="D284" s="345"/>
      <c r="E284" s="345"/>
      <c r="F284" s="345"/>
      <c r="G284" s="345"/>
      <c r="H284" s="345"/>
      <c r="I284" s="345"/>
      <c r="J284" s="345"/>
      <c r="K284" s="345"/>
      <c r="L284" s="345"/>
      <c r="M284" s="345"/>
      <c r="N284" s="345"/>
      <c r="O284" s="345"/>
      <c r="P284" s="345"/>
      <c r="Q284" s="345"/>
      <c r="R284" s="345"/>
      <c r="S284" s="345"/>
      <c r="T284" s="345"/>
      <c r="U284" s="345"/>
      <c r="V284" s="345"/>
      <c r="W284" s="345"/>
      <c r="X284" s="345"/>
      <c r="Y284" s="345"/>
      <c r="Z284" s="331"/>
    </row>
    <row r="285">
      <c r="A285" s="345"/>
      <c r="B285" s="369"/>
      <c r="C285" s="345"/>
      <c r="D285" s="345"/>
      <c r="E285" s="345"/>
      <c r="F285" s="345"/>
      <c r="G285" s="345"/>
      <c r="H285" s="345"/>
      <c r="I285" s="345"/>
      <c r="J285" s="345"/>
      <c r="K285" s="345"/>
      <c r="L285" s="345"/>
      <c r="M285" s="345"/>
      <c r="N285" s="345"/>
      <c r="O285" s="345"/>
      <c r="P285" s="345"/>
      <c r="Q285" s="345"/>
      <c r="R285" s="345"/>
      <c r="S285" s="345"/>
      <c r="T285" s="345"/>
      <c r="U285" s="345"/>
      <c r="V285" s="345"/>
      <c r="W285" s="345"/>
      <c r="X285" s="345"/>
      <c r="Y285" s="345"/>
      <c r="Z285" s="331"/>
    </row>
    <row r="286">
      <c r="A286" s="345"/>
      <c r="B286" s="369"/>
      <c r="C286" s="345"/>
      <c r="D286" s="345"/>
      <c r="E286" s="345"/>
      <c r="F286" s="345"/>
      <c r="G286" s="345"/>
      <c r="H286" s="345"/>
      <c r="I286" s="345"/>
      <c r="J286" s="345"/>
      <c r="K286" s="345"/>
      <c r="L286" s="345"/>
      <c r="M286" s="345"/>
      <c r="N286" s="345"/>
      <c r="O286" s="345"/>
      <c r="P286" s="345"/>
      <c r="Q286" s="345"/>
      <c r="R286" s="345"/>
      <c r="S286" s="345"/>
      <c r="T286" s="345"/>
      <c r="U286" s="345"/>
      <c r="V286" s="345"/>
      <c r="W286" s="345"/>
      <c r="X286" s="345"/>
      <c r="Y286" s="345"/>
      <c r="Z286" s="331"/>
    </row>
    <row r="287">
      <c r="A287" s="345"/>
      <c r="B287" s="369"/>
      <c r="C287" s="345"/>
      <c r="D287" s="345"/>
      <c r="E287" s="345"/>
      <c r="F287" s="345"/>
      <c r="G287" s="345"/>
      <c r="H287" s="345"/>
      <c r="I287" s="345"/>
      <c r="J287" s="345"/>
      <c r="K287" s="345"/>
      <c r="L287" s="345"/>
      <c r="M287" s="345"/>
      <c r="N287" s="345"/>
      <c r="O287" s="345"/>
      <c r="P287" s="345"/>
      <c r="Q287" s="345"/>
      <c r="R287" s="345"/>
      <c r="S287" s="345"/>
      <c r="T287" s="345"/>
      <c r="U287" s="345"/>
      <c r="V287" s="345"/>
      <c r="W287" s="345"/>
      <c r="X287" s="345"/>
      <c r="Y287" s="345"/>
      <c r="Z287" s="331"/>
    </row>
    <row r="288">
      <c r="A288" s="345"/>
      <c r="B288" s="369"/>
      <c r="C288" s="345"/>
      <c r="D288" s="345"/>
      <c r="E288" s="345"/>
      <c r="F288" s="345"/>
      <c r="G288" s="345"/>
      <c r="H288" s="345"/>
      <c r="I288" s="345"/>
      <c r="J288" s="345"/>
      <c r="K288" s="345"/>
      <c r="L288" s="345"/>
      <c r="M288" s="345"/>
      <c r="N288" s="345"/>
      <c r="O288" s="345"/>
      <c r="P288" s="345"/>
      <c r="Q288" s="345"/>
      <c r="R288" s="345"/>
      <c r="S288" s="345"/>
      <c r="T288" s="345"/>
      <c r="U288" s="345"/>
      <c r="V288" s="345"/>
      <c r="W288" s="345"/>
      <c r="X288" s="345"/>
      <c r="Y288" s="345"/>
      <c r="Z288" s="331"/>
    </row>
    <row r="289">
      <c r="A289" s="345"/>
      <c r="B289" s="369"/>
      <c r="C289" s="345"/>
      <c r="D289" s="345"/>
      <c r="E289" s="345"/>
      <c r="F289" s="345"/>
      <c r="G289" s="345"/>
      <c r="H289" s="345"/>
      <c r="I289" s="345"/>
      <c r="J289" s="345"/>
      <c r="K289" s="345"/>
      <c r="L289" s="345"/>
      <c r="M289" s="345"/>
      <c r="N289" s="345"/>
      <c r="O289" s="345"/>
      <c r="P289" s="345"/>
      <c r="Q289" s="345"/>
      <c r="R289" s="345"/>
      <c r="S289" s="345"/>
      <c r="T289" s="345"/>
      <c r="U289" s="345"/>
      <c r="V289" s="345"/>
      <c r="W289" s="345"/>
      <c r="X289" s="345"/>
      <c r="Y289" s="345"/>
      <c r="Z289" s="331"/>
    </row>
    <row r="290">
      <c r="A290" s="345"/>
      <c r="B290" s="369"/>
      <c r="C290" s="345"/>
      <c r="D290" s="345"/>
      <c r="E290" s="345"/>
      <c r="F290" s="345"/>
      <c r="G290" s="345"/>
      <c r="H290" s="345"/>
      <c r="I290" s="345"/>
      <c r="J290" s="345"/>
      <c r="K290" s="345"/>
      <c r="L290" s="345"/>
      <c r="M290" s="345"/>
      <c r="N290" s="345"/>
      <c r="O290" s="345"/>
      <c r="P290" s="345"/>
      <c r="Q290" s="345"/>
      <c r="R290" s="345"/>
      <c r="S290" s="345"/>
      <c r="T290" s="345"/>
      <c r="U290" s="345"/>
      <c r="V290" s="345"/>
      <c r="W290" s="345"/>
      <c r="X290" s="345"/>
      <c r="Y290" s="345"/>
      <c r="Z290" s="331"/>
    </row>
    <row r="291">
      <c r="A291" s="345"/>
      <c r="B291" s="369"/>
      <c r="C291" s="345"/>
      <c r="D291" s="345"/>
      <c r="E291" s="345"/>
      <c r="F291" s="345"/>
      <c r="G291" s="345"/>
      <c r="H291" s="345"/>
      <c r="I291" s="345"/>
      <c r="J291" s="345"/>
      <c r="K291" s="345"/>
      <c r="L291" s="345"/>
      <c r="M291" s="345"/>
      <c r="N291" s="345"/>
      <c r="O291" s="345"/>
      <c r="P291" s="345"/>
      <c r="Q291" s="345"/>
      <c r="R291" s="345"/>
      <c r="S291" s="345"/>
      <c r="T291" s="345"/>
      <c r="U291" s="345"/>
      <c r="V291" s="345"/>
      <c r="W291" s="345"/>
      <c r="X291" s="345"/>
      <c r="Y291" s="345"/>
      <c r="Z291" s="331"/>
    </row>
    <row r="292">
      <c r="A292" s="345"/>
      <c r="B292" s="369"/>
      <c r="C292" s="345"/>
      <c r="D292" s="345"/>
      <c r="E292" s="345"/>
      <c r="F292" s="345"/>
      <c r="G292" s="345"/>
      <c r="H292" s="345"/>
      <c r="I292" s="345"/>
      <c r="J292" s="345"/>
      <c r="K292" s="345"/>
      <c r="L292" s="345"/>
      <c r="M292" s="345"/>
      <c r="N292" s="345"/>
      <c r="O292" s="345"/>
      <c r="P292" s="345"/>
      <c r="Q292" s="345"/>
      <c r="R292" s="345"/>
      <c r="S292" s="345"/>
      <c r="T292" s="345"/>
      <c r="U292" s="345"/>
      <c r="V292" s="345"/>
      <c r="W292" s="345"/>
      <c r="X292" s="345"/>
      <c r="Y292" s="345"/>
      <c r="Z292" s="331"/>
    </row>
    <row r="293">
      <c r="A293" s="345"/>
      <c r="B293" s="369"/>
      <c r="C293" s="345"/>
      <c r="D293" s="345"/>
      <c r="E293" s="345"/>
      <c r="F293" s="345"/>
      <c r="G293" s="345"/>
      <c r="H293" s="345"/>
      <c r="I293" s="345"/>
      <c r="J293" s="345"/>
      <c r="K293" s="345"/>
      <c r="L293" s="345"/>
      <c r="M293" s="345"/>
      <c r="N293" s="345"/>
      <c r="O293" s="345"/>
      <c r="P293" s="345"/>
      <c r="Q293" s="345"/>
      <c r="R293" s="345"/>
      <c r="S293" s="345"/>
      <c r="T293" s="345"/>
      <c r="U293" s="345"/>
      <c r="V293" s="345"/>
      <c r="W293" s="345"/>
      <c r="X293" s="345"/>
      <c r="Y293" s="345"/>
      <c r="Z293" s="331"/>
    </row>
    <row r="294">
      <c r="A294" s="345"/>
      <c r="B294" s="369"/>
      <c r="C294" s="345"/>
      <c r="D294" s="345"/>
      <c r="E294" s="345"/>
      <c r="F294" s="345"/>
      <c r="G294" s="345"/>
      <c r="H294" s="345"/>
      <c r="I294" s="345"/>
      <c r="J294" s="345"/>
      <c r="K294" s="345"/>
      <c r="L294" s="345"/>
      <c r="M294" s="345"/>
      <c r="N294" s="345"/>
      <c r="O294" s="345"/>
      <c r="P294" s="345"/>
      <c r="Q294" s="345"/>
      <c r="R294" s="345"/>
      <c r="S294" s="345"/>
      <c r="T294" s="345"/>
      <c r="U294" s="345"/>
      <c r="V294" s="345"/>
      <c r="W294" s="345"/>
      <c r="X294" s="345"/>
      <c r="Y294" s="345"/>
      <c r="Z294" s="331"/>
    </row>
    <row r="295">
      <c r="A295" s="345"/>
      <c r="B295" s="369"/>
      <c r="C295" s="345"/>
      <c r="D295" s="345"/>
      <c r="E295" s="345"/>
      <c r="F295" s="345"/>
      <c r="G295" s="345"/>
      <c r="H295" s="345"/>
      <c r="I295" s="345"/>
      <c r="J295" s="345"/>
      <c r="K295" s="345"/>
      <c r="L295" s="345"/>
      <c r="M295" s="345"/>
      <c r="N295" s="345"/>
      <c r="O295" s="345"/>
      <c r="P295" s="345"/>
      <c r="Q295" s="345"/>
      <c r="R295" s="345"/>
      <c r="S295" s="345"/>
      <c r="T295" s="345"/>
      <c r="U295" s="345"/>
      <c r="V295" s="345"/>
      <c r="W295" s="345"/>
      <c r="X295" s="345"/>
      <c r="Y295" s="345"/>
      <c r="Z295" s="331"/>
    </row>
    <row r="296">
      <c r="A296" s="345"/>
      <c r="B296" s="369"/>
      <c r="C296" s="345"/>
      <c r="D296" s="345"/>
      <c r="E296" s="345"/>
      <c r="F296" s="345"/>
      <c r="G296" s="345"/>
      <c r="H296" s="345"/>
      <c r="I296" s="345"/>
      <c r="J296" s="345"/>
      <c r="K296" s="345"/>
      <c r="L296" s="345"/>
      <c r="M296" s="345"/>
      <c r="N296" s="345"/>
      <c r="O296" s="345"/>
      <c r="P296" s="345"/>
      <c r="Q296" s="345"/>
      <c r="R296" s="345"/>
      <c r="S296" s="345"/>
      <c r="T296" s="345"/>
      <c r="U296" s="345"/>
      <c r="V296" s="345"/>
      <c r="W296" s="345"/>
      <c r="X296" s="345"/>
      <c r="Y296" s="345"/>
      <c r="Z296" s="331"/>
    </row>
    <row r="297">
      <c r="A297" s="345"/>
      <c r="B297" s="369"/>
      <c r="C297" s="345"/>
      <c r="D297" s="345"/>
      <c r="E297" s="345"/>
      <c r="F297" s="345"/>
      <c r="G297" s="345"/>
      <c r="H297" s="345"/>
      <c r="I297" s="345"/>
      <c r="J297" s="345"/>
      <c r="K297" s="345"/>
      <c r="L297" s="345"/>
      <c r="M297" s="345"/>
      <c r="N297" s="345"/>
      <c r="O297" s="345"/>
      <c r="P297" s="345"/>
      <c r="Q297" s="345"/>
      <c r="R297" s="345"/>
      <c r="S297" s="345"/>
      <c r="T297" s="345"/>
      <c r="U297" s="345"/>
      <c r="V297" s="345"/>
      <c r="W297" s="345"/>
      <c r="X297" s="345"/>
      <c r="Y297" s="345"/>
      <c r="Z297" s="331"/>
    </row>
    <row r="298">
      <c r="A298" s="345"/>
      <c r="B298" s="369"/>
      <c r="C298" s="345"/>
      <c r="D298" s="345"/>
      <c r="E298" s="345"/>
      <c r="F298" s="345"/>
      <c r="G298" s="345"/>
      <c r="H298" s="345"/>
      <c r="I298" s="345"/>
      <c r="J298" s="345"/>
      <c r="K298" s="345"/>
      <c r="L298" s="345"/>
      <c r="M298" s="345"/>
      <c r="N298" s="345"/>
      <c r="O298" s="345"/>
      <c r="P298" s="345"/>
      <c r="Q298" s="345"/>
      <c r="R298" s="345"/>
      <c r="S298" s="345"/>
      <c r="T298" s="345"/>
      <c r="U298" s="345"/>
      <c r="V298" s="345"/>
      <c r="W298" s="345"/>
      <c r="X298" s="345"/>
      <c r="Y298" s="345"/>
      <c r="Z298" s="331"/>
    </row>
    <row r="299">
      <c r="A299" s="345"/>
      <c r="B299" s="369"/>
      <c r="C299" s="345"/>
      <c r="D299" s="345"/>
      <c r="E299" s="345"/>
      <c r="F299" s="345"/>
      <c r="G299" s="345"/>
      <c r="H299" s="345"/>
      <c r="I299" s="345"/>
      <c r="J299" s="345"/>
      <c r="K299" s="345"/>
      <c r="L299" s="345"/>
      <c r="M299" s="345"/>
      <c r="N299" s="345"/>
      <c r="O299" s="345"/>
      <c r="P299" s="345"/>
      <c r="Q299" s="345"/>
      <c r="R299" s="345"/>
      <c r="S299" s="345"/>
      <c r="T299" s="345"/>
      <c r="U299" s="345"/>
      <c r="V299" s="345"/>
      <c r="W299" s="345"/>
      <c r="X299" s="345"/>
      <c r="Y299" s="345"/>
      <c r="Z299" s="331"/>
    </row>
    <row r="300">
      <c r="A300" s="345"/>
      <c r="B300" s="369"/>
      <c r="C300" s="345"/>
      <c r="D300" s="345"/>
      <c r="E300" s="345"/>
      <c r="F300" s="345"/>
      <c r="G300" s="345"/>
      <c r="H300" s="345"/>
      <c r="I300" s="345"/>
      <c r="J300" s="345"/>
      <c r="K300" s="345"/>
      <c r="L300" s="345"/>
      <c r="M300" s="345"/>
      <c r="N300" s="345"/>
      <c r="O300" s="345"/>
      <c r="P300" s="345"/>
      <c r="Q300" s="345"/>
      <c r="R300" s="345"/>
      <c r="S300" s="345"/>
      <c r="T300" s="345"/>
      <c r="U300" s="345"/>
      <c r="V300" s="345"/>
      <c r="W300" s="345"/>
      <c r="X300" s="345"/>
      <c r="Y300" s="345"/>
      <c r="Z300" s="331"/>
    </row>
    <row r="301">
      <c r="A301" s="345"/>
      <c r="B301" s="369"/>
      <c r="C301" s="345"/>
      <c r="D301" s="345"/>
      <c r="E301" s="345"/>
      <c r="F301" s="345"/>
      <c r="G301" s="345"/>
      <c r="H301" s="345"/>
      <c r="I301" s="345"/>
      <c r="J301" s="345"/>
      <c r="K301" s="345"/>
      <c r="L301" s="345"/>
      <c r="M301" s="345"/>
      <c r="N301" s="345"/>
      <c r="O301" s="345"/>
      <c r="P301" s="345"/>
      <c r="Q301" s="345"/>
      <c r="R301" s="345"/>
      <c r="S301" s="345"/>
      <c r="T301" s="345"/>
      <c r="U301" s="345"/>
      <c r="V301" s="345"/>
      <c r="W301" s="345"/>
      <c r="X301" s="345"/>
      <c r="Y301" s="345"/>
      <c r="Z301" s="331"/>
    </row>
    <row r="302">
      <c r="A302" s="345"/>
      <c r="B302" s="369"/>
      <c r="C302" s="345"/>
      <c r="D302" s="345"/>
      <c r="E302" s="345"/>
      <c r="F302" s="345"/>
      <c r="G302" s="345"/>
      <c r="H302" s="345"/>
      <c r="I302" s="345"/>
      <c r="J302" s="345"/>
      <c r="K302" s="345"/>
      <c r="L302" s="345"/>
      <c r="M302" s="345"/>
      <c r="N302" s="345"/>
      <c r="O302" s="345"/>
      <c r="P302" s="345"/>
      <c r="Q302" s="345"/>
      <c r="R302" s="345"/>
      <c r="S302" s="345"/>
      <c r="T302" s="345"/>
      <c r="U302" s="345"/>
      <c r="V302" s="345"/>
      <c r="W302" s="345"/>
      <c r="X302" s="345"/>
      <c r="Y302" s="345"/>
      <c r="Z302" s="331"/>
    </row>
    <row r="303">
      <c r="A303" s="345"/>
      <c r="B303" s="369"/>
      <c r="C303" s="345"/>
      <c r="D303" s="345"/>
      <c r="E303" s="345"/>
      <c r="F303" s="345"/>
      <c r="G303" s="345"/>
      <c r="H303" s="345"/>
      <c r="I303" s="345"/>
      <c r="J303" s="345"/>
      <c r="K303" s="345"/>
      <c r="L303" s="345"/>
      <c r="M303" s="345"/>
      <c r="N303" s="345"/>
      <c r="O303" s="345"/>
      <c r="P303" s="345"/>
      <c r="Q303" s="345"/>
      <c r="R303" s="345"/>
      <c r="S303" s="345"/>
      <c r="T303" s="345"/>
      <c r="U303" s="345"/>
      <c r="V303" s="345"/>
      <c r="W303" s="345"/>
      <c r="X303" s="345"/>
      <c r="Y303" s="345"/>
      <c r="Z303" s="331"/>
    </row>
    <row r="304">
      <c r="A304" s="345"/>
      <c r="B304" s="369"/>
      <c r="C304" s="345"/>
      <c r="D304" s="345"/>
      <c r="E304" s="345"/>
      <c r="F304" s="345"/>
      <c r="G304" s="345"/>
      <c r="H304" s="345"/>
      <c r="I304" s="345"/>
      <c r="J304" s="345"/>
      <c r="K304" s="345"/>
      <c r="L304" s="345"/>
      <c r="M304" s="345"/>
      <c r="N304" s="345"/>
      <c r="O304" s="345"/>
      <c r="P304" s="345"/>
      <c r="Q304" s="345"/>
      <c r="R304" s="345"/>
      <c r="S304" s="345"/>
      <c r="T304" s="345"/>
      <c r="U304" s="345"/>
      <c r="V304" s="345"/>
      <c r="W304" s="345"/>
      <c r="X304" s="345"/>
      <c r="Y304" s="345"/>
      <c r="Z304" s="331"/>
    </row>
    <row r="305">
      <c r="A305" s="345"/>
      <c r="B305" s="369"/>
      <c r="C305" s="345"/>
      <c r="D305" s="345"/>
      <c r="E305" s="345"/>
      <c r="F305" s="345"/>
      <c r="G305" s="345"/>
      <c r="H305" s="345"/>
      <c r="I305" s="345"/>
      <c r="J305" s="345"/>
      <c r="K305" s="345"/>
      <c r="L305" s="345"/>
      <c r="M305" s="345"/>
      <c r="N305" s="345"/>
      <c r="O305" s="345"/>
      <c r="P305" s="345"/>
      <c r="Q305" s="345"/>
      <c r="R305" s="345"/>
      <c r="S305" s="345"/>
      <c r="T305" s="345"/>
      <c r="U305" s="345"/>
      <c r="V305" s="345"/>
      <c r="W305" s="345"/>
      <c r="X305" s="345"/>
      <c r="Y305" s="345"/>
      <c r="Z305" s="331"/>
    </row>
    <row r="306">
      <c r="A306" s="345"/>
      <c r="B306" s="369"/>
      <c r="C306" s="345"/>
      <c r="D306" s="345"/>
      <c r="E306" s="345"/>
      <c r="F306" s="345"/>
      <c r="G306" s="345"/>
      <c r="H306" s="345"/>
      <c r="I306" s="345"/>
      <c r="J306" s="345"/>
      <c r="K306" s="345"/>
      <c r="L306" s="345"/>
      <c r="M306" s="345"/>
      <c r="N306" s="345"/>
      <c r="O306" s="345"/>
      <c r="P306" s="345"/>
      <c r="Q306" s="345"/>
      <c r="R306" s="345"/>
      <c r="S306" s="345"/>
      <c r="T306" s="345"/>
      <c r="U306" s="345"/>
      <c r="V306" s="345"/>
      <c r="W306" s="345"/>
      <c r="X306" s="345"/>
      <c r="Y306" s="345"/>
      <c r="Z306" s="331"/>
    </row>
    <row r="307">
      <c r="A307" s="345"/>
      <c r="B307" s="369"/>
      <c r="C307" s="345"/>
      <c r="D307" s="345"/>
      <c r="E307" s="345"/>
      <c r="F307" s="345"/>
      <c r="G307" s="345"/>
      <c r="H307" s="345"/>
      <c r="I307" s="345"/>
      <c r="J307" s="345"/>
      <c r="K307" s="345"/>
      <c r="L307" s="345"/>
      <c r="M307" s="345"/>
      <c r="N307" s="345"/>
      <c r="O307" s="345"/>
      <c r="P307" s="345"/>
      <c r="Q307" s="345"/>
      <c r="R307" s="345"/>
      <c r="S307" s="345"/>
      <c r="T307" s="345"/>
      <c r="U307" s="345"/>
      <c r="V307" s="345"/>
      <c r="W307" s="345"/>
      <c r="X307" s="345"/>
      <c r="Y307" s="345"/>
      <c r="Z307" s="331"/>
    </row>
    <row r="308">
      <c r="A308" s="345"/>
      <c r="B308" s="369"/>
      <c r="C308" s="345"/>
      <c r="D308" s="345"/>
      <c r="E308" s="345"/>
      <c r="F308" s="345"/>
      <c r="G308" s="345"/>
      <c r="H308" s="345"/>
      <c r="I308" s="345"/>
      <c r="J308" s="345"/>
      <c r="K308" s="345"/>
      <c r="L308" s="345"/>
      <c r="M308" s="345"/>
      <c r="N308" s="345"/>
      <c r="O308" s="345"/>
      <c r="P308" s="345"/>
      <c r="Q308" s="345"/>
      <c r="R308" s="345"/>
      <c r="S308" s="345"/>
      <c r="T308" s="345"/>
      <c r="U308" s="345"/>
      <c r="V308" s="345"/>
      <c r="W308" s="345"/>
      <c r="X308" s="345"/>
      <c r="Y308" s="345"/>
      <c r="Z308" s="331"/>
    </row>
    <row r="309">
      <c r="A309" s="345"/>
      <c r="B309" s="369"/>
      <c r="C309" s="345"/>
      <c r="D309" s="345"/>
      <c r="E309" s="345"/>
      <c r="F309" s="345"/>
      <c r="G309" s="345"/>
      <c r="H309" s="345"/>
      <c r="I309" s="345"/>
      <c r="J309" s="345"/>
      <c r="K309" s="345"/>
      <c r="L309" s="345"/>
      <c r="M309" s="345"/>
      <c r="N309" s="345"/>
      <c r="O309" s="345"/>
      <c r="P309" s="345"/>
      <c r="Q309" s="345"/>
      <c r="R309" s="345"/>
      <c r="S309" s="345"/>
      <c r="T309" s="345"/>
      <c r="U309" s="345"/>
      <c r="V309" s="345"/>
      <c r="W309" s="345"/>
      <c r="X309" s="345"/>
      <c r="Y309" s="345"/>
      <c r="Z309" s="331"/>
    </row>
    <row r="310">
      <c r="A310" s="345"/>
      <c r="B310" s="369"/>
      <c r="C310" s="345"/>
      <c r="D310" s="345"/>
      <c r="E310" s="345"/>
      <c r="F310" s="345"/>
      <c r="G310" s="345"/>
      <c r="H310" s="345"/>
      <c r="I310" s="345"/>
      <c r="J310" s="345"/>
      <c r="K310" s="345"/>
      <c r="L310" s="345"/>
      <c r="M310" s="345"/>
      <c r="N310" s="345"/>
      <c r="O310" s="345"/>
      <c r="P310" s="345"/>
      <c r="Q310" s="345"/>
      <c r="R310" s="345"/>
      <c r="S310" s="345"/>
      <c r="T310" s="345"/>
      <c r="U310" s="345"/>
      <c r="V310" s="345"/>
      <c r="W310" s="345"/>
      <c r="X310" s="345"/>
      <c r="Y310" s="345"/>
      <c r="Z310" s="331"/>
    </row>
    <row r="311">
      <c r="A311" s="345"/>
      <c r="B311" s="369"/>
      <c r="C311" s="345"/>
      <c r="D311" s="345"/>
      <c r="E311" s="345"/>
      <c r="F311" s="345"/>
      <c r="G311" s="345"/>
      <c r="H311" s="345"/>
      <c r="I311" s="345"/>
      <c r="J311" s="345"/>
      <c r="K311" s="345"/>
      <c r="L311" s="345"/>
      <c r="M311" s="345"/>
      <c r="N311" s="345"/>
      <c r="O311" s="345"/>
      <c r="P311" s="345"/>
      <c r="Q311" s="345"/>
      <c r="R311" s="345"/>
      <c r="S311" s="345"/>
      <c r="T311" s="345"/>
      <c r="U311" s="345"/>
      <c r="V311" s="345"/>
      <c r="W311" s="345"/>
      <c r="X311" s="345"/>
      <c r="Y311" s="345"/>
      <c r="Z311" s="331"/>
    </row>
    <row r="312">
      <c r="A312" s="345"/>
      <c r="B312" s="369"/>
      <c r="C312" s="345"/>
      <c r="D312" s="345"/>
      <c r="E312" s="345"/>
      <c r="F312" s="345"/>
      <c r="G312" s="345"/>
      <c r="H312" s="345"/>
      <c r="I312" s="345"/>
      <c r="J312" s="345"/>
      <c r="K312" s="345"/>
      <c r="L312" s="345"/>
      <c r="M312" s="345"/>
      <c r="N312" s="345"/>
      <c r="O312" s="345"/>
      <c r="P312" s="345"/>
      <c r="Q312" s="345"/>
      <c r="R312" s="345"/>
      <c r="S312" s="345"/>
      <c r="T312" s="345"/>
      <c r="U312" s="345"/>
      <c r="V312" s="345"/>
      <c r="W312" s="345"/>
      <c r="X312" s="345"/>
      <c r="Y312" s="345"/>
      <c r="Z312" s="331"/>
    </row>
    <row r="313">
      <c r="A313" s="345"/>
      <c r="B313" s="369"/>
      <c r="C313" s="345"/>
      <c r="D313" s="345"/>
      <c r="E313" s="345"/>
      <c r="F313" s="345"/>
      <c r="G313" s="345"/>
      <c r="H313" s="345"/>
      <c r="I313" s="345"/>
      <c r="J313" s="345"/>
      <c r="K313" s="345"/>
      <c r="L313" s="345"/>
      <c r="M313" s="345"/>
      <c r="N313" s="345"/>
      <c r="O313" s="345"/>
      <c r="P313" s="345"/>
      <c r="Q313" s="345"/>
      <c r="R313" s="345"/>
      <c r="S313" s="345"/>
      <c r="T313" s="345"/>
      <c r="U313" s="345"/>
      <c r="V313" s="345"/>
      <c r="W313" s="345"/>
      <c r="X313" s="345"/>
      <c r="Y313" s="345"/>
      <c r="Z313" s="331"/>
    </row>
    <row r="314">
      <c r="A314" s="345"/>
      <c r="B314" s="369"/>
      <c r="C314" s="345"/>
      <c r="D314" s="345"/>
      <c r="E314" s="345"/>
      <c r="F314" s="345"/>
      <c r="G314" s="345"/>
      <c r="H314" s="345"/>
      <c r="I314" s="345"/>
      <c r="J314" s="345"/>
      <c r="K314" s="345"/>
      <c r="L314" s="345"/>
      <c r="M314" s="345"/>
      <c r="N314" s="345"/>
      <c r="O314" s="345"/>
      <c r="P314" s="345"/>
      <c r="Q314" s="345"/>
      <c r="R314" s="345"/>
      <c r="S314" s="345"/>
      <c r="T314" s="345"/>
      <c r="U314" s="345"/>
      <c r="V314" s="345"/>
      <c r="W314" s="345"/>
      <c r="X314" s="345"/>
      <c r="Y314" s="345"/>
      <c r="Z314" s="331"/>
    </row>
    <row r="315">
      <c r="A315" s="345"/>
      <c r="B315" s="369"/>
      <c r="C315" s="345"/>
      <c r="D315" s="345"/>
      <c r="E315" s="345"/>
      <c r="F315" s="345"/>
      <c r="G315" s="345"/>
      <c r="H315" s="345"/>
      <c r="I315" s="345"/>
      <c r="J315" s="345"/>
      <c r="K315" s="345"/>
      <c r="L315" s="345"/>
      <c r="M315" s="345"/>
      <c r="N315" s="345"/>
      <c r="O315" s="345"/>
      <c r="P315" s="345"/>
      <c r="Q315" s="345"/>
      <c r="R315" s="345"/>
      <c r="S315" s="345"/>
      <c r="T315" s="345"/>
      <c r="U315" s="345"/>
      <c r="V315" s="345"/>
      <c r="W315" s="345"/>
      <c r="X315" s="345"/>
      <c r="Y315" s="345"/>
      <c r="Z315" s="331"/>
    </row>
    <row r="316">
      <c r="A316" s="345"/>
      <c r="B316" s="369"/>
      <c r="C316" s="345"/>
      <c r="D316" s="345"/>
      <c r="E316" s="345"/>
      <c r="F316" s="345"/>
      <c r="G316" s="345"/>
      <c r="H316" s="345"/>
      <c r="I316" s="345"/>
      <c r="J316" s="345"/>
      <c r="K316" s="345"/>
      <c r="L316" s="345"/>
      <c r="M316" s="345"/>
      <c r="N316" s="345"/>
      <c r="O316" s="345"/>
      <c r="P316" s="345"/>
      <c r="Q316" s="345"/>
      <c r="R316" s="345"/>
      <c r="S316" s="345"/>
      <c r="T316" s="345"/>
      <c r="U316" s="345"/>
      <c r="V316" s="345"/>
      <c r="W316" s="345"/>
      <c r="X316" s="345"/>
      <c r="Y316" s="345"/>
      <c r="Z316" s="331"/>
    </row>
    <row r="317">
      <c r="A317" s="345"/>
      <c r="B317" s="369"/>
      <c r="C317" s="345"/>
      <c r="D317" s="345"/>
      <c r="E317" s="345"/>
      <c r="F317" s="345"/>
      <c r="G317" s="345"/>
      <c r="H317" s="345"/>
      <c r="I317" s="345"/>
      <c r="J317" s="345"/>
      <c r="K317" s="345"/>
      <c r="L317" s="345"/>
      <c r="M317" s="345"/>
      <c r="N317" s="345"/>
      <c r="O317" s="345"/>
      <c r="P317" s="345"/>
      <c r="Q317" s="345"/>
      <c r="R317" s="345"/>
      <c r="S317" s="345"/>
      <c r="T317" s="345"/>
      <c r="U317" s="345"/>
      <c r="V317" s="345"/>
      <c r="W317" s="345"/>
      <c r="X317" s="345"/>
      <c r="Y317" s="345"/>
      <c r="Z317" s="331"/>
    </row>
    <row r="318">
      <c r="A318" s="345"/>
      <c r="B318" s="369"/>
      <c r="C318" s="345"/>
      <c r="D318" s="345"/>
      <c r="E318" s="345"/>
      <c r="F318" s="345"/>
      <c r="G318" s="345"/>
      <c r="H318" s="345"/>
      <c r="I318" s="345"/>
      <c r="J318" s="345"/>
      <c r="K318" s="345"/>
      <c r="L318" s="345"/>
      <c r="M318" s="345"/>
      <c r="N318" s="345"/>
      <c r="O318" s="345"/>
      <c r="P318" s="345"/>
      <c r="Q318" s="345"/>
      <c r="R318" s="345"/>
      <c r="S318" s="345"/>
      <c r="T318" s="345"/>
      <c r="U318" s="345"/>
      <c r="V318" s="345"/>
      <c r="W318" s="345"/>
      <c r="X318" s="345"/>
      <c r="Y318" s="345"/>
      <c r="Z318" s="331"/>
    </row>
    <row r="319">
      <c r="A319" s="345"/>
      <c r="B319" s="369"/>
      <c r="C319" s="345"/>
      <c r="D319" s="345"/>
      <c r="E319" s="345"/>
      <c r="F319" s="345"/>
      <c r="G319" s="345"/>
      <c r="H319" s="345"/>
      <c r="I319" s="345"/>
      <c r="J319" s="345"/>
      <c r="K319" s="345"/>
      <c r="L319" s="345"/>
      <c r="M319" s="345"/>
      <c r="N319" s="345"/>
      <c r="O319" s="345"/>
      <c r="P319" s="345"/>
      <c r="Q319" s="345"/>
      <c r="R319" s="345"/>
      <c r="S319" s="345"/>
      <c r="T319" s="345"/>
      <c r="U319" s="345"/>
      <c r="V319" s="345"/>
      <c r="W319" s="345"/>
      <c r="X319" s="345"/>
      <c r="Y319" s="345"/>
      <c r="Z319" s="331"/>
    </row>
    <row r="320">
      <c r="A320" s="345"/>
      <c r="B320" s="369"/>
      <c r="C320" s="345"/>
      <c r="D320" s="345"/>
      <c r="E320" s="345"/>
      <c r="F320" s="345"/>
      <c r="G320" s="345"/>
      <c r="H320" s="345"/>
      <c r="I320" s="345"/>
      <c r="J320" s="345"/>
      <c r="K320" s="345"/>
      <c r="L320" s="345"/>
      <c r="M320" s="345"/>
      <c r="N320" s="345"/>
      <c r="O320" s="345"/>
      <c r="P320" s="345"/>
      <c r="Q320" s="345"/>
      <c r="R320" s="345"/>
      <c r="S320" s="345"/>
      <c r="T320" s="345"/>
      <c r="U320" s="345"/>
      <c r="V320" s="345"/>
      <c r="W320" s="345"/>
      <c r="X320" s="345"/>
      <c r="Y320" s="345"/>
      <c r="Z320" s="331"/>
    </row>
    <row r="321">
      <c r="A321" s="345"/>
      <c r="B321" s="369"/>
      <c r="C321" s="345"/>
      <c r="D321" s="345"/>
      <c r="E321" s="345"/>
      <c r="F321" s="345"/>
      <c r="G321" s="345"/>
      <c r="H321" s="345"/>
      <c r="I321" s="345"/>
      <c r="J321" s="345"/>
      <c r="K321" s="345"/>
      <c r="L321" s="345"/>
      <c r="M321" s="345"/>
      <c r="N321" s="345"/>
      <c r="O321" s="345"/>
      <c r="P321" s="345"/>
      <c r="Q321" s="345"/>
      <c r="R321" s="345"/>
      <c r="S321" s="345"/>
      <c r="T321" s="345"/>
      <c r="U321" s="345"/>
      <c r="V321" s="345"/>
      <c r="W321" s="345"/>
      <c r="X321" s="345"/>
      <c r="Y321" s="345"/>
      <c r="Z321" s="331"/>
    </row>
    <row r="322">
      <c r="A322" s="345"/>
      <c r="B322" s="369"/>
      <c r="C322" s="345"/>
      <c r="D322" s="345"/>
      <c r="E322" s="345"/>
      <c r="F322" s="345"/>
      <c r="G322" s="345"/>
      <c r="H322" s="345"/>
      <c r="I322" s="345"/>
      <c r="J322" s="345"/>
      <c r="K322" s="345"/>
      <c r="L322" s="345"/>
      <c r="M322" s="345"/>
      <c r="N322" s="345"/>
      <c r="O322" s="345"/>
      <c r="P322" s="345"/>
      <c r="Q322" s="345"/>
      <c r="R322" s="345"/>
      <c r="S322" s="345"/>
      <c r="T322" s="345"/>
      <c r="U322" s="345"/>
      <c r="V322" s="345"/>
      <c r="W322" s="345"/>
      <c r="X322" s="345"/>
      <c r="Y322" s="345"/>
      <c r="Z322" s="331"/>
    </row>
    <row r="323">
      <c r="A323" s="345"/>
      <c r="B323" s="369"/>
      <c r="C323" s="345"/>
      <c r="D323" s="345"/>
      <c r="E323" s="345"/>
      <c r="F323" s="345"/>
      <c r="G323" s="345"/>
      <c r="H323" s="345"/>
      <c r="I323" s="345"/>
      <c r="J323" s="345"/>
      <c r="K323" s="345"/>
      <c r="L323" s="345"/>
      <c r="M323" s="345"/>
      <c r="N323" s="345"/>
      <c r="O323" s="345"/>
      <c r="P323" s="345"/>
      <c r="Q323" s="345"/>
      <c r="R323" s="345"/>
      <c r="S323" s="345"/>
      <c r="T323" s="345"/>
      <c r="U323" s="345"/>
      <c r="V323" s="345"/>
      <c r="W323" s="345"/>
      <c r="X323" s="345"/>
      <c r="Y323" s="345"/>
      <c r="Z323" s="331"/>
    </row>
    <row r="324">
      <c r="A324" s="345"/>
      <c r="B324" s="369"/>
      <c r="C324" s="345"/>
      <c r="D324" s="345"/>
      <c r="E324" s="345"/>
      <c r="F324" s="345"/>
      <c r="G324" s="345"/>
      <c r="H324" s="345"/>
      <c r="I324" s="345"/>
      <c r="J324" s="345"/>
      <c r="K324" s="345"/>
      <c r="L324" s="345"/>
      <c r="M324" s="345"/>
      <c r="N324" s="345"/>
      <c r="O324" s="345"/>
      <c r="P324" s="345"/>
      <c r="Q324" s="345"/>
      <c r="R324" s="345"/>
      <c r="S324" s="345"/>
      <c r="T324" s="345"/>
      <c r="U324" s="345"/>
      <c r="V324" s="345"/>
      <c r="W324" s="345"/>
      <c r="X324" s="345"/>
      <c r="Y324" s="345"/>
      <c r="Z324" s="331"/>
    </row>
    <row r="325">
      <c r="A325" s="345"/>
      <c r="B325" s="369"/>
      <c r="C325" s="345"/>
      <c r="D325" s="345"/>
      <c r="E325" s="345"/>
      <c r="F325" s="345"/>
      <c r="G325" s="345"/>
      <c r="H325" s="345"/>
      <c r="I325" s="345"/>
      <c r="J325" s="345"/>
      <c r="K325" s="345"/>
      <c r="L325" s="345"/>
      <c r="M325" s="345"/>
      <c r="N325" s="345"/>
      <c r="O325" s="345"/>
      <c r="P325" s="345"/>
      <c r="Q325" s="345"/>
      <c r="R325" s="345"/>
      <c r="S325" s="345"/>
      <c r="T325" s="345"/>
      <c r="U325" s="345"/>
      <c r="V325" s="345"/>
      <c r="W325" s="345"/>
      <c r="X325" s="345"/>
      <c r="Y325" s="345"/>
      <c r="Z325" s="331"/>
    </row>
    <row r="326">
      <c r="A326" s="345"/>
      <c r="B326" s="369"/>
      <c r="C326" s="345"/>
      <c r="D326" s="345"/>
      <c r="E326" s="345"/>
      <c r="F326" s="345"/>
      <c r="G326" s="345"/>
      <c r="H326" s="345"/>
      <c r="I326" s="345"/>
      <c r="J326" s="345"/>
      <c r="K326" s="345"/>
      <c r="L326" s="345"/>
      <c r="M326" s="345"/>
      <c r="N326" s="345"/>
      <c r="O326" s="345"/>
      <c r="P326" s="345"/>
      <c r="Q326" s="345"/>
      <c r="R326" s="345"/>
      <c r="S326" s="345"/>
      <c r="T326" s="345"/>
      <c r="U326" s="345"/>
      <c r="V326" s="345"/>
      <c r="W326" s="345"/>
      <c r="X326" s="345"/>
      <c r="Y326" s="345"/>
      <c r="Z326" s="331"/>
    </row>
    <row r="327">
      <c r="A327" s="345"/>
      <c r="B327" s="369"/>
      <c r="C327" s="345"/>
      <c r="D327" s="345"/>
      <c r="E327" s="345"/>
      <c r="F327" s="345"/>
      <c r="G327" s="345"/>
      <c r="H327" s="345"/>
      <c r="I327" s="345"/>
      <c r="J327" s="345"/>
      <c r="K327" s="345"/>
      <c r="L327" s="345"/>
      <c r="M327" s="345"/>
      <c r="N327" s="345"/>
      <c r="O327" s="345"/>
      <c r="P327" s="345"/>
      <c r="Q327" s="345"/>
      <c r="R327" s="345"/>
      <c r="S327" s="345"/>
      <c r="T327" s="345"/>
      <c r="U327" s="345"/>
      <c r="V327" s="345"/>
      <c r="W327" s="345"/>
      <c r="X327" s="345"/>
      <c r="Y327" s="345"/>
      <c r="Z327" s="331"/>
    </row>
    <row r="328">
      <c r="A328" s="345"/>
      <c r="B328" s="369"/>
      <c r="C328" s="345"/>
      <c r="D328" s="345"/>
      <c r="E328" s="345"/>
      <c r="F328" s="345"/>
      <c r="G328" s="345"/>
      <c r="H328" s="345"/>
      <c r="I328" s="345"/>
      <c r="J328" s="345"/>
      <c r="K328" s="345"/>
      <c r="L328" s="345"/>
      <c r="M328" s="345"/>
      <c r="N328" s="345"/>
      <c r="O328" s="345"/>
      <c r="P328" s="345"/>
      <c r="Q328" s="345"/>
      <c r="R328" s="345"/>
      <c r="S328" s="345"/>
      <c r="T328" s="345"/>
      <c r="U328" s="345"/>
      <c r="V328" s="345"/>
      <c r="W328" s="345"/>
      <c r="X328" s="345"/>
      <c r="Y328" s="345"/>
      <c r="Z328" s="331"/>
    </row>
    <row r="329">
      <c r="A329" s="345"/>
      <c r="B329" s="369"/>
      <c r="C329" s="345"/>
      <c r="D329" s="345"/>
      <c r="E329" s="345"/>
      <c r="F329" s="345"/>
      <c r="G329" s="345"/>
      <c r="H329" s="345"/>
      <c r="I329" s="345"/>
      <c r="J329" s="345"/>
      <c r="K329" s="345"/>
      <c r="L329" s="345"/>
      <c r="M329" s="345"/>
      <c r="N329" s="345"/>
      <c r="O329" s="345"/>
      <c r="P329" s="345"/>
      <c r="Q329" s="345"/>
      <c r="R329" s="345"/>
      <c r="S329" s="345"/>
      <c r="T329" s="345"/>
      <c r="U329" s="345"/>
      <c r="V329" s="345"/>
      <c r="W329" s="345"/>
      <c r="X329" s="345"/>
      <c r="Y329" s="345"/>
      <c r="Z329" s="331"/>
    </row>
    <row r="330">
      <c r="A330" s="345"/>
      <c r="B330" s="369"/>
      <c r="C330" s="345"/>
      <c r="D330" s="345"/>
      <c r="E330" s="345"/>
      <c r="F330" s="345"/>
      <c r="G330" s="345"/>
      <c r="H330" s="345"/>
      <c r="I330" s="345"/>
      <c r="J330" s="345"/>
      <c r="K330" s="345"/>
      <c r="L330" s="345"/>
      <c r="M330" s="345"/>
      <c r="N330" s="345"/>
      <c r="O330" s="345"/>
      <c r="P330" s="345"/>
      <c r="Q330" s="345"/>
      <c r="R330" s="345"/>
      <c r="S330" s="345"/>
      <c r="T330" s="345"/>
      <c r="U330" s="345"/>
      <c r="V330" s="345"/>
      <c r="W330" s="345"/>
      <c r="X330" s="345"/>
      <c r="Y330" s="345"/>
      <c r="Z330" s="331"/>
    </row>
    <row r="331">
      <c r="A331" s="345"/>
      <c r="B331" s="369"/>
      <c r="C331" s="345"/>
      <c r="D331" s="345"/>
      <c r="E331" s="345"/>
      <c r="F331" s="345"/>
      <c r="G331" s="345"/>
      <c r="H331" s="345"/>
      <c r="I331" s="345"/>
      <c r="J331" s="345"/>
      <c r="K331" s="345"/>
      <c r="L331" s="345"/>
      <c r="M331" s="345"/>
      <c r="N331" s="345"/>
      <c r="O331" s="345"/>
      <c r="P331" s="345"/>
      <c r="Q331" s="345"/>
      <c r="R331" s="345"/>
      <c r="S331" s="345"/>
      <c r="T331" s="345"/>
      <c r="U331" s="345"/>
      <c r="V331" s="345"/>
      <c r="W331" s="345"/>
      <c r="X331" s="345"/>
      <c r="Y331" s="345"/>
      <c r="Z331" s="331"/>
    </row>
    <row r="332">
      <c r="A332" s="345"/>
      <c r="B332" s="369"/>
      <c r="C332" s="345"/>
      <c r="D332" s="345"/>
      <c r="E332" s="345"/>
      <c r="F332" s="345"/>
      <c r="G332" s="345"/>
      <c r="H332" s="345"/>
      <c r="I332" s="345"/>
      <c r="J332" s="345"/>
      <c r="K332" s="345"/>
      <c r="L332" s="345"/>
      <c r="M332" s="345"/>
      <c r="N332" s="345"/>
      <c r="O332" s="345"/>
      <c r="P332" s="345"/>
      <c r="Q332" s="345"/>
      <c r="R332" s="345"/>
      <c r="S332" s="345"/>
      <c r="T332" s="345"/>
      <c r="U332" s="345"/>
      <c r="V332" s="345"/>
      <c r="W332" s="345"/>
      <c r="X332" s="345"/>
      <c r="Y332" s="345"/>
      <c r="Z332" s="331"/>
    </row>
    <row r="333">
      <c r="A333" s="345"/>
      <c r="B333" s="369"/>
      <c r="C333" s="345"/>
      <c r="D333" s="345"/>
      <c r="E333" s="345"/>
      <c r="F333" s="345"/>
      <c r="G333" s="345"/>
      <c r="H333" s="345"/>
      <c r="I333" s="345"/>
      <c r="J333" s="345"/>
      <c r="K333" s="345"/>
      <c r="L333" s="345"/>
      <c r="M333" s="345"/>
      <c r="N333" s="345"/>
      <c r="O333" s="345"/>
      <c r="P333" s="345"/>
      <c r="Q333" s="345"/>
      <c r="R333" s="345"/>
      <c r="S333" s="345"/>
      <c r="T333" s="345"/>
      <c r="U333" s="345"/>
      <c r="V333" s="345"/>
      <c r="W333" s="345"/>
      <c r="X333" s="345"/>
      <c r="Y333" s="345"/>
      <c r="Z333" s="331"/>
    </row>
    <row r="334">
      <c r="A334" s="345"/>
      <c r="B334" s="369"/>
      <c r="C334" s="345"/>
      <c r="D334" s="345"/>
      <c r="E334" s="345"/>
      <c r="F334" s="345"/>
      <c r="G334" s="345"/>
      <c r="H334" s="345"/>
      <c r="I334" s="345"/>
      <c r="J334" s="345"/>
      <c r="K334" s="345"/>
      <c r="L334" s="345"/>
      <c r="M334" s="345"/>
      <c r="N334" s="345"/>
      <c r="O334" s="345"/>
      <c r="P334" s="345"/>
      <c r="Q334" s="345"/>
      <c r="R334" s="345"/>
      <c r="S334" s="345"/>
      <c r="T334" s="345"/>
      <c r="U334" s="345"/>
      <c r="V334" s="345"/>
      <c r="W334" s="345"/>
      <c r="X334" s="345"/>
      <c r="Y334" s="345"/>
      <c r="Z334" s="331"/>
    </row>
    <row r="335">
      <c r="A335" s="345"/>
      <c r="B335" s="369"/>
      <c r="C335" s="345"/>
      <c r="D335" s="345"/>
      <c r="E335" s="345"/>
      <c r="F335" s="345"/>
      <c r="G335" s="345"/>
      <c r="H335" s="345"/>
      <c r="I335" s="345"/>
      <c r="J335" s="345"/>
      <c r="K335" s="345"/>
      <c r="L335" s="345"/>
      <c r="M335" s="345"/>
      <c r="N335" s="345"/>
      <c r="O335" s="345"/>
      <c r="P335" s="345"/>
      <c r="Q335" s="345"/>
      <c r="R335" s="345"/>
      <c r="S335" s="345"/>
      <c r="T335" s="345"/>
      <c r="U335" s="345"/>
      <c r="V335" s="345"/>
      <c r="W335" s="345"/>
      <c r="X335" s="345"/>
      <c r="Y335" s="345"/>
      <c r="Z335" s="331"/>
    </row>
    <row r="336">
      <c r="A336" s="345"/>
      <c r="B336" s="369"/>
      <c r="C336" s="345"/>
      <c r="D336" s="345"/>
      <c r="E336" s="345"/>
      <c r="F336" s="345"/>
      <c r="G336" s="345"/>
      <c r="H336" s="345"/>
      <c r="I336" s="345"/>
      <c r="J336" s="345"/>
      <c r="K336" s="345"/>
      <c r="L336" s="345"/>
      <c r="M336" s="345"/>
      <c r="N336" s="345"/>
      <c r="O336" s="345"/>
      <c r="P336" s="345"/>
      <c r="Q336" s="345"/>
      <c r="R336" s="345"/>
      <c r="S336" s="345"/>
      <c r="T336" s="345"/>
      <c r="U336" s="345"/>
      <c r="V336" s="345"/>
      <c r="W336" s="345"/>
      <c r="X336" s="345"/>
      <c r="Y336" s="345"/>
      <c r="Z336" s="331"/>
    </row>
    <row r="337">
      <c r="A337" s="345"/>
      <c r="B337" s="369"/>
      <c r="C337" s="345"/>
      <c r="D337" s="345"/>
      <c r="E337" s="345"/>
      <c r="F337" s="345"/>
      <c r="G337" s="345"/>
      <c r="H337" s="345"/>
      <c r="I337" s="345"/>
      <c r="J337" s="345"/>
      <c r="K337" s="345"/>
      <c r="L337" s="345"/>
      <c r="M337" s="345"/>
      <c r="N337" s="345"/>
      <c r="O337" s="345"/>
      <c r="P337" s="345"/>
      <c r="Q337" s="345"/>
      <c r="R337" s="345"/>
      <c r="S337" s="345"/>
      <c r="T337" s="345"/>
      <c r="U337" s="345"/>
      <c r="V337" s="345"/>
      <c r="W337" s="345"/>
      <c r="X337" s="345"/>
      <c r="Y337" s="345"/>
      <c r="Z337" s="331"/>
    </row>
    <row r="338">
      <c r="A338" s="345"/>
      <c r="B338" s="369"/>
      <c r="C338" s="345"/>
      <c r="D338" s="345"/>
      <c r="E338" s="345"/>
      <c r="F338" s="345"/>
      <c r="G338" s="345"/>
      <c r="H338" s="345"/>
      <c r="I338" s="345"/>
      <c r="J338" s="345"/>
      <c r="K338" s="345"/>
      <c r="L338" s="345"/>
      <c r="M338" s="345"/>
      <c r="N338" s="345"/>
      <c r="O338" s="345"/>
      <c r="P338" s="345"/>
      <c r="Q338" s="345"/>
      <c r="R338" s="345"/>
      <c r="S338" s="345"/>
      <c r="T338" s="345"/>
      <c r="U338" s="345"/>
      <c r="V338" s="345"/>
      <c r="W338" s="345"/>
      <c r="X338" s="345"/>
      <c r="Y338" s="345"/>
      <c r="Z338" s="331"/>
    </row>
    <row r="339">
      <c r="A339" s="345"/>
      <c r="B339" s="369"/>
      <c r="C339" s="345"/>
      <c r="D339" s="345"/>
      <c r="E339" s="345"/>
      <c r="F339" s="345"/>
      <c r="G339" s="345"/>
      <c r="H339" s="345"/>
      <c r="I339" s="345"/>
      <c r="J339" s="345"/>
      <c r="K339" s="345"/>
      <c r="L339" s="345"/>
      <c r="M339" s="345"/>
      <c r="N339" s="345"/>
      <c r="O339" s="345"/>
      <c r="P339" s="345"/>
      <c r="Q339" s="345"/>
      <c r="R339" s="345"/>
      <c r="S339" s="345"/>
      <c r="T339" s="345"/>
      <c r="U339" s="345"/>
      <c r="V339" s="345"/>
      <c r="W339" s="345"/>
      <c r="X339" s="345"/>
      <c r="Y339" s="345"/>
      <c r="Z339" s="331"/>
    </row>
    <row r="340">
      <c r="A340" s="345"/>
      <c r="B340" s="369"/>
      <c r="C340" s="345"/>
      <c r="D340" s="345"/>
      <c r="E340" s="345"/>
      <c r="F340" s="345"/>
      <c r="G340" s="345"/>
      <c r="H340" s="345"/>
      <c r="I340" s="345"/>
      <c r="J340" s="345"/>
      <c r="K340" s="345"/>
      <c r="L340" s="345"/>
      <c r="M340" s="345"/>
      <c r="N340" s="345"/>
      <c r="O340" s="345"/>
      <c r="P340" s="345"/>
      <c r="Q340" s="345"/>
      <c r="R340" s="345"/>
      <c r="S340" s="345"/>
      <c r="T340" s="345"/>
      <c r="U340" s="345"/>
      <c r="V340" s="345"/>
      <c r="W340" s="345"/>
      <c r="X340" s="345"/>
      <c r="Y340" s="345"/>
      <c r="Z340" s="331"/>
    </row>
    <row r="341">
      <c r="A341" s="345"/>
      <c r="B341" s="369"/>
      <c r="C341" s="345"/>
      <c r="D341" s="345"/>
      <c r="E341" s="345"/>
      <c r="F341" s="345"/>
      <c r="G341" s="345"/>
      <c r="H341" s="345"/>
      <c r="I341" s="345"/>
      <c r="J341" s="345"/>
      <c r="K341" s="345"/>
      <c r="L341" s="345"/>
      <c r="M341" s="345"/>
      <c r="N341" s="345"/>
      <c r="O341" s="345"/>
      <c r="P341" s="345"/>
      <c r="Q341" s="345"/>
      <c r="R341" s="345"/>
      <c r="S341" s="345"/>
      <c r="T341" s="345"/>
      <c r="U341" s="345"/>
      <c r="V341" s="345"/>
      <c r="W341" s="345"/>
      <c r="X341" s="345"/>
      <c r="Y341" s="345"/>
      <c r="Z341" s="331"/>
    </row>
    <row r="342">
      <c r="A342" s="345"/>
      <c r="B342" s="369"/>
      <c r="C342" s="345"/>
      <c r="D342" s="345"/>
      <c r="E342" s="345"/>
      <c r="F342" s="345"/>
      <c r="G342" s="345"/>
      <c r="H342" s="345"/>
      <c r="I342" s="345"/>
      <c r="J342" s="345"/>
      <c r="K342" s="345"/>
      <c r="L342" s="345"/>
      <c r="M342" s="345"/>
      <c r="N342" s="345"/>
      <c r="O342" s="345"/>
      <c r="P342" s="345"/>
      <c r="Q342" s="345"/>
      <c r="R342" s="345"/>
      <c r="S342" s="345"/>
      <c r="T342" s="345"/>
      <c r="U342" s="345"/>
      <c r="V342" s="345"/>
      <c r="W342" s="345"/>
      <c r="X342" s="345"/>
      <c r="Y342" s="345"/>
      <c r="Z342" s="331"/>
    </row>
    <row r="343">
      <c r="A343" s="345"/>
      <c r="B343" s="369"/>
      <c r="C343" s="345"/>
      <c r="D343" s="345"/>
      <c r="E343" s="345"/>
      <c r="F343" s="345"/>
      <c r="G343" s="345"/>
      <c r="H343" s="345"/>
      <c r="I343" s="345"/>
      <c r="J343" s="345"/>
      <c r="K343" s="345"/>
      <c r="L343" s="345"/>
      <c r="M343" s="345"/>
      <c r="N343" s="345"/>
      <c r="O343" s="345"/>
      <c r="P343" s="345"/>
      <c r="Q343" s="345"/>
      <c r="R343" s="345"/>
      <c r="S343" s="345"/>
      <c r="T343" s="345"/>
      <c r="U343" s="345"/>
      <c r="V343" s="345"/>
      <c r="W343" s="345"/>
      <c r="X343" s="345"/>
      <c r="Y343" s="345"/>
      <c r="Z343" s="331"/>
    </row>
    <row r="344">
      <c r="A344" s="345"/>
      <c r="B344" s="369"/>
      <c r="C344" s="345"/>
      <c r="D344" s="345"/>
      <c r="E344" s="345"/>
      <c r="F344" s="345"/>
      <c r="G344" s="345"/>
      <c r="H344" s="345"/>
      <c r="I344" s="345"/>
      <c r="J344" s="345"/>
      <c r="K344" s="345"/>
      <c r="L344" s="345"/>
      <c r="M344" s="345"/>
      <c r="N344" s="345"/>
      <c r="O344" s="345"/>
      <c r="P344" s="345"/>
      <c r="Q344" s="345"/>
      <c r="R344" s="345"/>
      <c r="S344" s="345"/>
      <c r="T344" s="345"/>
      <c r="U344" s="345"/>
      <c r="V344" s="345"/>
      <c r="W344" s="345"/>
      <c r="X344" s="345"/>
      <c r="Y344" s="345"/>
      <c r="Z344" s="331"/>
    </row>
    <row r="345">
      <c r="A345" s="345"/>
      <c r="B345" s="369"/>
      <c r="C345" s="345"/>
      <c r="D345" s="345"/>
      <c r="E345" s="345"/>
      <c r="F345" s="345"/>
      <c r="G345" s="345"/>
      <c r="H345" s="345"/>
      <c r="I345" s="345"/>
      <c r="J345" s="345"/>
      <c r="K345" s="345"/>
      <c r="L345" s="345"/>
      <c r="M345" s="345"/>
      <c r="N345" s="345"/>
      <c r="O345" s="345"/>
      <c r="P345" s="345"/>
      <c r="Q345" s="345"/>
      <c r="R345" s="345"/>
      <c r="S345" s="345"/>
      <c r="T345" s="345"/>
      <c r="U345" s="345"/>
      <c r="V345" s="345"/>
      <c r="W345" s="345"/>
      <c r="X345" s="345"/>
      <c r="Y345" s="345"/>
      <c r="Z345" s="331"/>
    </row>
    <row r="346">
      <c r="A346" s="345"/>
      <c r="B346" s="369"/>
      <c r="C346" s="345"/>
      <c r="D346" s="345"/>
      <c r="E346" s="345"/>
      <c r="F346" s="345"/>
      <c r="G346" s="345"/>
      <c r="H346" s="345"/>
      <c r="I346" s="345"/>
      <c r="J346" s="345"/>
      <c r="K346" s="345"/>
      <c r="L346" s="345"/>
      <c r="M346" s="345"/>
      <c r="N346" s="345"/>
      <c r="O346" s="345"/>
      <c r="P346" s="345"/>
      <c r="Q346" s="345"/>
      <c r="R346" s="345"/>
      <c r="S346" s="345"/>
      <c r="T346" s="345"/>
      <c r="U346" s="345"/>
      <c r="V346" s="345"/>
      <c r="W346" s="345"/>
      <c r="X346" s="345"/>
      <c r="Y346" s="345"/>
      <c r="Z346" s="331"/>
    </row>
    <row r="347">
      <c r="A347" s="345"/>
      <c r="B347" s="369"/>
      <c r="C347" s="345"/>
      <c r="D347" s="345"/>
      <c r="E347" s="345"/>
      <c r="F347" s="345"/>
      <c r="G347" s="345"/>
      <c r="H347" s="345"/>
      <c r="I347" s="345"/>
      <c r="J347" s="345"/>
      <c r="K347" s="345"/>
      <c r="L347" s="345"/>
      <c r="M347" s="345"/>
      <c r="N347" s="345"/>
      <c r="O347" s="345"/>
      <c r="P347" s="345"/>
      <c r="Q347" s="345"/>
      <c r="R347" s="345"/>
      <c r="S347" s="345"/>
      <c r="T347" s="345"/>
      <c r="U347" s="345"/>
      <c r="V347" s="345"/>
      <c r="W347" s="345"/>
      <c r="X347" s="345"/>
      <c r="Y347" s="345"/>
      <c r="Z347" s="331"/>
    </row>
    <row r="348">
      <c r="A348" s="345"/>
      <c r="B348" s="369"/>
      <c r="C348" s="345"/>
      <c r="D348" s="345"/>
      <c r="E348" s="345"/>
      <c r="F348" s="345"/>
      <c r="G348" s="345"/>
      <c r="H348" s="345"/>
      <c r="I348" s="345"/>
      <c r="J348" s="345"/>
      <c r="K348" s="345"/>
      <c r="L348" s="345"/>
      <c r="M348" s="345"/>
      <c r="N348" s="345"/>
      <c r="O348" s="345"/>
      <c r="P348" s="345"/>
      <c r="Q348" s="345"/>
      <c r="R348" s="345"/>
      <c r="S348" s="345"/>
      <c r="T348" s="345"/>
      <c r="U348" s="345"/>
      <c r="V348" s="345"/>
      <c r="W348" s="345"/>
      <c r="X348" s="345"/>
      <c r="Y348" s="345"/>
      <c r="Z348" s="331"/>
    </row>
    <row r="349">
      <c r="A349" s="345"/>
      <c r="B349" s="369"/>
      <c r="C349" s="345"/>
      <c r="D349" s="345"/>
      <c r="E349" s="345"/>
      <c r="F349" s="345"/>
      <c r="G349" s="345"/>
      <c r="H349" s="345"/>
      <c r="I349" s="345"/>
      <c r="J349" s="345"/>
      <c r="K349" s="345"/>
      <c r="L349" s="345"/>
      <c r="M349" s="345"/>
      <c r="N349" s="345"/>
      <c r="O349" s="345"/>
      <c r="P349" s="345"/>
      <c r="Q349" s="345"/>
      <c r="R349" s="345"/>
      <c r="S349" s="345"/>
      <c r="T349" s="345"/>
      <c r="U349" s="345"/>
      <c r="V349" s="345"/>
      <c r="W349" s="345"/>
      <c r="X349" s="345"/>
      <c r="Y349" s="345"/>
      <c r="Z349" s="331"/>
    </row>
    <row r="350">
      <c r="A350" s="345"/>
      <c r="B350" s="369"/>
      <c r="C350" s="345"/>
      <c r="D350" s="345"/>
      <c r="E350" s="345"/>
      <c r="F350" s="345"/>
      <c r="G350" s="345"/>
      <c r="H350" s="345"/>
      <c r="I350" s="345"/>
      <c r="J350" s="345"/>
      <c r="K350" s="345"/>
      <c r="L350" s="345"/>
      <c r="M350" s="345"/>
      <c r="N350" s="345"/>
      <c r="O350" s="345"/>
      <c r="P350" s="345"/>
      <c r="Q350" s="345"/>
      <c r="R350" s="345"/>
      <c r="S350" s="345"/>
      <c r="T350" s="345"/>
      <c r="U350" s="345"/>
      <c r="V350" s="345"/>
      <c r="W350" s="345"/>
      <c r="X350" s="345"/>
      <c r="Y350" s="345"/>
      <c r="Z350" s="331"/>
    </row>
    <row r="351">
      <c r="A351" s="345"/>
      <c r="B351" s="369"/>
      <c r="C351" s="345"/>
      <c r="D351" s="345"/>
      <c r="E351" s="345"/>
      <c r="F351" s="345"/>
      <c r="G351" s="345"/>
      <c r="H351" s="345"/>
      <c r="I351" s="345"/>
      <c r="J351" s="345"/>
      <c r="K351" s="345"/>
      <c r="L351" s="345"/>
      <c r="M351" s="345"/>
      <c r="N351" s="345"/>
      <c r="O351" s="345"/>
      <c r="P351" s="345"/>
      <c r="Q351" s="345"/>
      <c r="R351" s="345"/>
      <c r="S351" s="345"/>
      <c r="T351" s="345"/>
      <c r="U351" s="345"/>
      <c r="V351" s="345"/>
      <c r="W351" s="345"/>
      <c r="X351" s="345"/>
      <c r="Y351" s="345"/>
      <c r="Z351" s="331"/>
    </row>
    <row r="352">
      <c r="A352" s="345"/>
      <c r="B352" s="369"/>
      <c r="C352" s="345"/>
      <c r="D352" s="345"/>
      <c r="E352" s="345"/>
      <c r="F352" s="345"/>
      <c r="G352" s="345"/>
      <c r="H352" s="345"/>
      <c r="I352" s="345"/>
      <c r="J352" s="345"/>
      <c r="K352" s="345"/>
      <c r="L352" s="345"/>
      <c r="M352" s="345"/>
      <c r="N352" s="345"/>
      <c r="O352" s="345"/>
      <c r="P352" s="345"/>
      <c r="Q352" s="345"/>
      <c r="R352" s="345"/>
      <c r="S352" s="345"/>
      <c r="T352" s="345"/>
      <c r="U352" s="345"/>
      <c r="V352" s="345"/>
      <c r="W352" s="345"/>
      <c r="X352" s="345"/>
      <c r="Y352" s="345"/>
      <c r="Z352" s="331"/>
    </row>
    <row r="353">
      <c r="A353" s="345"/>
      <c r="B353" s="369"/>
      <c r="C353" s="345"/>
      <c r="D353" s="345"/>
      <c r="E353" s="345"/>
      <c r="F353" s="345"/>
      <c r="G353" s="345"/>
      <c r="H353" s="345"/>
      <c r="I353" s="345"/>
      <c r="J353" s="345"/>
      <c r="K353" s="345"/>
      <c r="L353" s="345"/>
      <c r="M353" s="345"/>
      <c r="N353" s="345"/>
      <c r="O353" s="345"/>
      <c r="P353" s="345"/>
      <c r="Q353" s="345"/>
      <c r="R353" s="345"/>
      <c r="S353" s="345"/>
      <c r="T353" s="345"/>
      <c r="U353" s="345"/>
      <c r="V353" s="345"/>
      <c r="W353" s="345"/>
      <c r="X353" s="345"/>
      <c r="Y353" s="345"/>
      <c r="Z353" s="331"/>
    </row>
    <row r="354">
      <c r="A354" s="345"/>
      <c r="B354" s="369"/>
      <c r="C354" s="345"/>
      <c r="D354" s="345"/>
      <c r="E354" s="345"/>
      <c r="F354" s="345"/>
      <c r="G354" s="345"/>
      <c r="H354" s="345"/>
      <c r="I354" s="345"/>
      <c r="J354" s="345"/>
      <c r="K354" s="345"/>
      <c r="L354" s="345"/>
      <c r="M354" s="345"/>
      <c r="N354" s="345"/>
      <c r="O354" s="345"/>
      <c r="P354" s="345"/>
      <c r="Q354" s="345"/>
      <c r="R354" s="345"/>
      <c r="S354" s="345"/>
      <c r="T354" s="345"/>
      <c r="U354" s="345"/>
      <c r="V354" s="345"/>
      <c r="W354" s="345"/>
      <c r="X354" s="345"/>
      <c r="Y354" s="345"/>
      <c r="Z354" s="331"/>
    </row>
    <row r="355">
      <c r="A355" s="345"/>
      <c r="B355" s="369"/>
      <c r="C355" s="345"/>
      <c r="D355" s="345"/>
      <c r="E355" s="345"/>
      <c r="F355" s="345"/>
      <c r="G355" s="345"/>
      <c r="H355" s="345"/>
      <c r="I355" s="345"/>
      <c r="J355" s="345"/>
      <c r="K355" s="345"/>
      <c r="L355" s="345"/>
      <c r="M355" s="345"/>
      <c r="N355" s="345"/>
      <c r="O355" s="345"/>
      <c r="P355" s="345"/>
      <c r="Q355" s="345"/>
      <c r="R355" s="345"/>
      <c r="S355" s="345"/>
      <c r="T355" s="345"/>
      <c r="U355" s="345"/>
      <c r="V355" s="345"/>
      <c r="W355" s="345"/>
      <c r="X355" s="345"/>
      <c r="Y355" s="345"/>
      <c r="Z355" s="331"/>
    </row>
    <row r="356">
      <c r="A356" s="345"/>
      <c r="B356" s="369"/>
      <c r="C356" s="345"/>
      <c r="D356" s="345"/>
      <c r="E356" s="345"/>
      <c r="F356" s="345"/>
      <c r="G356" s="345"/>
      <c r="H356" s="345"/>
      <c r="I356" s="345"/>
      <c r="J356" s="345"/>
      <c r="K356" s="345"/>
      <c r="L356" s="345"/>
      <c r="M356" s="345"/>
      <c r="N356" s="345"/>
      <c r="O356" s="345"/>
      <c r="P356" s="345"/>
      <c r="Q356" s="345"/>
      <c r="R356" s="345"/>
      <c r="S356" s="345"/>
      <c r="T356" s="345"/>
      <c r="U356" s="345"/>
      <c r="V356" s="345"/>
      <c r="W356" s="345"/>
      <c r="X356" s="345"/>
      <c r="Y356" s="345"/>
      <c r="Z356" s="331"/>
    </row>
    <row r="357">
      <c r="A357" s="345"/>
      <c r="B357" s="369"/>
      <c r="C357" s="345"/>
      <c r="D357" s="345"/>
      <c r="E357" s="345"/>
      <c r="F357" s="345"/>
      <c r="G357" s="345"/>
      <c r="H357" s="345"/>
      <c r="I357" s="345"/>
      <c r="J357" s="345"/>
      <c r="K357" s="345"/>
      <c r="L357" s="345"/>
      <c r="M357" s="345"/>
      <c r="N357" s="345"/>
      <c r="O357" s="345"/>
      <c r="P357" s="345"/>
      <c r="Q357" s="345"/>
      <c r="R357" s="345"/>
      <c r="S357" s="345"/>
      <c r="T357" s="345"/>
      <c r="U357" s="345"/>
      <c r="V357" s="345"/>
      <c r="W357" s="345"/>
      <c r="X357" s="345"/>
      <c r="Y357" s="345"/>
      <c r="Z357" s="331"/>
    </row>
    <row r="358">
      <c r="A358" s="345"/>
      <c r="B358" s="369"/>
      <c r="C358" s="345"/>
      <c r="D358" s="345"/>
      <c r="E358" s="345"/>
      <c r="F358" s="345"/>
      <c r="G358" s="345"/>
      <c r="H358" s="345"/>
      <c r="I358" s="345"/>
      <c r="J358" s="345"/>
      <c r="K358" s="345"/>
      <c r="L358" s="345"/>
      <c r="M358" s="345"/>
      <c r="N358" s="345"/>
      <c r="O358" s="345"/>
      <c r="P358" s="345"/>
      <c r="Q358" s="345"/>
      <c r="R358" s="345"/>
      <c r="S358" s="345"/>
      <c r="T358" s="345"/>
      <c r="U358" s="345"/>
      <c r="V358" s="345"/>
      <c r="W358" s="345"/>
      <c r="X358" s="345"/>
      <c r="Y358" s="345"/>
      <c r="Z358" s="331"/>
    </row>
    <row r="359">
      <c r="A359" s="345"/>
      <c r="B359" s="369"/>
      <c r="C359" s="345"/>
      <c r="D359" s="345"/>
      <c r="E359" s="345"/>
      <c r="F359" s="345"/>
      <c r="G359" s="345"/>
      <c r="H359" s="345"/>
      <c r="I359" s="345"/>
      <c r="J359" s="345"/>
      <c r="K359" s="345"/>
      <c r="L359" s="345"/>
      <c r="M359" s="345"/>
      <c r="N359" s="345"/>
      <c r="O359" s="345"/>
      <c r="P359" s="345"/>
      <c r="Q359" s="345"/>
      <c r="R359" s="345"/>
      <c r="S359" s="345"/>
      <c r="T359" s="345"/>
      <c r="U359" s="345"/>
      <c r="V359" s="345"/>
      <c r="W359" s="345"/>
      <c r="X359" s="345"/>
      <c r="Y359" s="345"/>
      <c r="Z359" s="331"/>
    </row>
    <row r="360">
      <c r="A360" s="345"/>
      <c r="B360" s="369"/>
      <c r="C360" s="345"/>
      <c r="D360" s="345"/>
      <c r="E360" s="345"/>
      <c r="F360" s="345"/>
      <c r="G360" s="345"/>
      <c r="H360" s="345"/>
      <c r="I360" s="345"/>
      <c r="J360" s="345"/>
      <c r="K360" s="345"/>
      <c r="L360" s="345"/>
      <c r="M360" s="345"/>
      <c r="N360" s="345"/>
      <c r="O360" s="345"/>
      <c r="P360" s="345"/>
      <c r="Q360" s="345"/>
      <c r="R360" s="345"/>
      <c r="S360" s="345"/>
      <c r="T360" s="345"/>
      <c r="U360" s="345"/>
      <c r="V360" s="345"/>
      <c r="W360" s="345"/>
      <c r="X360" s="345"/>
      <c r="Y360" s="345"/>
      <c r="Z360" s="331"/>
    </row>
    <row r="361">
      <c r="A361" s="345"/>
      <c r="B361" s="369"/>
      <c r="C361" s="345"/>
      <c r="D361" s="345"/>
      <c r="E361" s="345"/>
      <c r="F361" s="345"/>
      <c r="G361" s="345"/>
      <c r="H361" s="345"/>
      <c r="I361" s="345"/>
      <c r="J361" s="345"/>
      <c r="K361" s="345"/>
      <c r="L361" s="345"/>
      <c r="M361" s="345"/>
      <c r="N361" s="345"/>
      <c r="O361" s="345"/>
      <c r="P361" s="345"/>
      <c r="Q361" s="345"/>
      <c r="R361" s="345"/>
      <c r="S361" s="345"/>
      <c r="T361" s="345"/>
      <c r="U361" s="345"/>
      <c r="V361" s="345"/>
      <c r="W361" s="345"/>
      <c r="X361" s="345"/>
      <c r="Y361" s="345"/>
      <c r="Z361" s="331"/>
    </row>
    <row r="362">
      <c r="A362" s="345"/>
      <c r="B362" s="369"/>
      <c r="C362" s="345"/>
      <c r="D362" s="345"/>
      <c r="E362" s="345"/>
      <c r="F362" s="345"/>
      <c r="G362" s="345"/>
      <c r="H362" s="345"/>
      <c r="I362" s="345"/>
      <c r="J362" s="345"/>
      <c r="K362" s="345"/>
      <c r="L362" s="345"/>
      <c r="M362" s="345"/>
      <c r="N362" s="345"/>
      <c r="O362" s="345"/>
      <c r="P362" s="345"/>
      <c r="Q362" s="345"/>
      <c r="R362" s="345"/>
      <c r="S362" s="345"/>
      <c r="T362" s="345"/>
      <c r="U362" s="345"/>
      <c r="V362" s="345"/>
      <c r="W362" s="345"/>
      <c r="X362" s="345"/>
      <c r="Y362" s="345"/>
      <c r="Z362" s="331"/>
    </row>
    <row r="363">
      <c r="A363" s="345"/>
      <c r="B363" s="369"/>
      <c r="C363" s="345"/>
      <c r="D363" s="345"/>
      <c r="E363" s="345"/>
      <c r="F363" s="345"/>
      <c r="G363" s="345"/>
      <c r="H363" s="345"/>
      <c r="I363" s="345"/>
      <c r="J363" s="345"/>
      <c r="K363" s="345"/>
      <c r="L363" s="345"/>
      <c r="M363" s="345"/>
      <c r="N363" s="345"/>
      <c r="O363" s="345"/>
      <c r="P363" s="345"/>
      <c r="Q363" s="345"/>
      <c r="R363" s="345"/>
      <c r="S363" s="345"/>
      <c r="T363" s="345"/>
      <c r="U363" s="345"/>
      <c r="V363" s="345"/>
      <c r="W363" s="345"/>
      <c r="X363" s="345"/>
      <c r="Y363" s="345"/>
      <c r="Z363" s="331"/>
    </row>
    <row r="364">
      <c r="A364" s="345"/>
      <c r="B364" s="369"/>
      <c r="C364" s="345"/>
      <c r="D364" s="345"/>
      <c r="E364" s="345"/>
      <c r="F364" s="345"/>
      <c r="G364" s="345"/>
      <c r="H364" s="345"/>
      <c r="I364" s="345"/>
      <c r="J364" s="345"/>
      <c r="K364" s="345"/>
      <c r="L364" s="345"/>
      <c r="M364" s="345"/>
      <c r="N364" s="345"/>
      <c r="O364" s="345"/>
      <c r="P364" s="345"/>
      <c r="Q364" s="345"/>
      <c r="R364" s="345"/>
      <c r="S364" s="345"/>
      <c r="T364" s="345"/>
      <c r="U364" s="345"/>
      <c r="V364" s="345"/>
      <c r="W364" s="345"/>
      <c r="X364" s="345"/>
      <c r="Y364" s="345"/>
      <c r="Z364" s="331"/>
    </row>
    <row r="365">
      <c r="A365" s="345"/>
      <c r="B365" s="369"/>
      <c r="C365" s="345"/>
      <c r="D365" s="345"/>
      <c r="E365" s="345"/>
      <c r="F365" s="345"/>
      <c r="G365" s="345"/>
      <c r="H365" s="345"/>
      <c r="I365" s="345"/>
      <c r="J365" s="345"/>
      <c r="K365" s="345"/>
      <c r="L365" s="345"/>
      <c r="M365" s="345"/>
      <c r="N365" s="345"/>
      <c r="O365" s="345"/>
      <c r="P365" s="345"/>
      <c r="Q365" s="345"/>
      <c r="R365" s="345"/>
      <c r="S365" s="345"/>
      <c r="T365" s="345"/>
      <c r="U365" s="345"/>
      <c r="V365" s="345"/>
      <c r="W365" s="345"/>
      <c r="X365" s="345"/>
      <c r="Y365" s="345"/>
      <c r="Z365" s="331"/>
    </row>
    <row r="366">
      <c r="A366" s="345"/>
      <c r="B366" s="369"/>
      <c r="C366" s="345"/>
      <c r="D366" s="345"/>
      <c r="E366" s="345"/>
      <c r="F366" s="345"/>
      <c r="G366" s="345"/>
      <c r="H366" s="345"/>
      <c r="I366" s="345"/>
      <c r="J366" s="345"/>
      <c r="K366" s="345"/>
      <c r="L366" s="345"/>
      <c r="M366" s="345"/>
      <c r="N366" s="345"/>
      <c r="O366" s="345"/>
      <c r="P366" s="345"/>
      <c r="Q366" s="345"/>
      <c r="R366" s="345"/>
      <c r="S366" s="345"/>
      <c r="T366" s="345"/>
      <c r="U366" s="345"/>
      <c r="V366" s="345"/>
      <c r="W366" s="345"/>
      <c r="X366" s="345"/>
      <c r="Y366" s="345"/>
      <c r="Z366" s="331"/>
    </row>
    <row r="367">
      <c r="A367" s="345"/>
      <c r="B367" s="369"/>
      <c r="C367" s="345"/>
      <c r="D367" s="345"/>
      <c r="E367" s="345"/>
      <c r="F367" s="345"/>
      <c r="G367" s="345"/>
      <c r="H367" s="345"/>
      <c r="I367" s="345"/>
      <c r="J367" s="345"/>
      <c r="K367" s="345"/>
      <c r="L367" s="345"/>
      <c r="M367" s="345"/>
      <c r="N367" s="345"/>
      <c r="O367" s="345"/>
      <c r="P367" s="345"/>
      <c r="Q367" s="345"/>
      <c r="R367" s="345"/>
      <c r="S367" s="345"/>
      <c r="T367" s="345"/>
      <c r="U367" s="345"/>
      <c r="V367" s="345"/>
      <c r="W367" s="345"/>
      <c r="X367" s="345"/>
      <c r="Y367" s="345"/>
      <c r="Z367" s="331"/>
    </row>
    <row r="368">
      <c r="A368" s="345"/>
      <c r="B368" s="369"/>
      <c r="C368" s="345"/>
      <c r="D368" s="345"/>
      <c r="E368" s="345"/>
      <c r="F368" s="345"/>
      <c r="G368" s="345"/>
      <c r="H368" s="345"/>
      <c r="I368" s="345"/>
      <c r="J368" s="345"/>
      <c r="K368" s="345"/>
      <c r="L368" s="345"/>
      <c r="M368" s="345"/>
      <c r="N368" s="345"/>
      <c r="O368" s="345"/>
      <c r="P368" s="345"/>
      <c r="Q368" s="345"/>
      <c r="R368" s="345"/>
      <c r="S368" s="345"/>
      <c r="T368" s="345"/>
      <c r="U368" s="345"/>
      <c r="V368" s="345"/>
      <c r="W368" s="345"/>
      <c r="X368" s="345"/>
      <c r="Y368" s="345"/>
      <c r="Z368" s="331"/>
    </row>
    <row r="369">
      <c r="A369" s="345"/>
      <c r="B369" s="369"/>
      <c r="C369" s="345"/>
      <c r="D369" s="345"/>
      <c r="E369" s="345"/>
      <c r="F369" s="345"/>
      <c r="G369" s="345"/>
      <c r="H369" s="345"/>
      <c r="I369" s="345"/>
      <c r="J369" s="345"/>
      <c r="K369" s="345"/>
      <c r="L369" s="345"/>
      <c r="M369" s="345"/>
      <c r="N369" s="345"/>
      <c r="O369" s="345"/>
      <c r="P369" s="345"/>
      <c r="Q369" s="345"/>
      <c r="R369" s="345"/>
      <c r="S369" s="345"/>
      <c r="T369" s="345"/>
      <c r="U369" s="345"/>
      <c r="V369" s="345"/>
      <c r="W369" s="345"/>
      <c r="X369" s="345"/>
      <c r="Y369" s="345"/>
      <c r="Z369" s="331"/>
    </row>
    <row r="370">
      <c r="A370" s="345"/>
      <c r="B370" s="369"/>
      <c r="C370" s="345"/>
      <c r="D370" s="345"/>
      <c r="E370" s="345"/>
      <c r="F370" s="345"/>
      <c r="G370" s="345"/>
      <c r="H370" s="345"/>
      <c r="I370" s="345"/>
      <c r="J370" s="345"/>
      <c r="K370" s="345"/>
      <c r="L370" s="345"/>
      <c r="M370" s="345"/>
      <c r="N370" s="345"/>
      <c r="O370" s="345"/>
      <c r="P370" s="345"/>
      <c r="Q370" s="345"/>
      <c r="R370" s="345"/>
      <c r="S370" s="345"/>
      <c r="T370" s="345"/>
      <c r="U370" s="345"/>
      <c r="V370" s="345"/>
      <c r="W370" s="345"/>
      <c r="X370" s="345"/>
      <c r="Y370" s="345"/>
      <c r="Z370" s="331"/>
    </row>
    <row r="371">
      <c r="A371" s="345"/>
      <c r="B371" s="369"/>
      <c r="C371" s="345"/>
      <c r="D371" s="345"/>
      <c r="E371" s="345"/>
      <c r="F371" s="345"/>
      <c r="G371" s="345"/>
      <c r="H371" s="345"/>
      <c r="I371" s="345"/>
      <c r="J371" s="345"/>
      <c r="K371" s="345"/>
      <c r="L371" s="345"/>
      <c r="M371" s="345"/>
      <c r="N371" s="345"/>
      <c r="O371" s="345"/>
      <c r="P371" s="345"/>
      <c r="Q371" s="345"/>
      <c r="R371" s="345"/>
      <c r="S371" s="345"/>
      <c r="T371" s="345"/>
      <c r="U371" s="345"/>
      <c r="V371" s="345"/>
      <c r="W371" s="345"/>
      <c r="X371" s="345"/>
      <c r="Y371" s="345"/>
      <c r="Z371" s="331"/>
    </row>
    <row r="372">
      <c r="A372" s="345"/>
      <c r="B372" s="369"/>
      <c r="C372" s="345"/>
      <c r="D372" s="345"/>
      <c r="E372" s="345"/>
      <c r="F372" s="345"/>
      <c r="G372" s="345"/>
      <c r="H372" s="345"/>
      <c r="I372" s="345"/>
      <c r="J372" s="345"/>
      <c r="K372" s="345"/>
      <c r="L372" s="345"/>
      <c r="M372" s="345"/>
      <c r="N372" s="345"/>
      <c r="O372" s="345"/>
      <c r="P372" s="345"/>
      <c r="Q372" s="345"/>
      <c r="R372" s="345"/>
      <c r="S372" s="345"/>
      <c r="T372" s="345"/>
      <c r="U372" s="345"/>
      <c r="V372" s="345"/>
      <c r="W372" s="345"/>
      <c r="X372" s="345"/>
      <c r="Y372" s="345"/>
      <c r="Z372" s="331"/>
    </row>
    <row r="373">
      <c r="A373" s="345"/>
      <c r="B373" s="369"/>
      <c r="C373" s="345"/>
      <c r="D373" s="345"/>
      <c r="E373" s="345"/>
      <c r="F373" s="345"/>
      <c r="G373" s="345"/>
      <c r="H373" s="345"/>
      <c r="I373" s="345"/>
      <c r="J373" s="345"/>
      <c r="K373" s="345"/>
      <c r="L373" s="345"/>
      <c r="M373" s="345"/>
      <c r="N373" s="345"/>
      <c r="O373" s="345"/>
      <c r="P373" s="345"/>
      <c r="Q373" s="345"/>
      <c r="R373" s="345"/>
      <c r="S373" s="345"/>
      <c r="T373" s="345"/>
      <c r="U373" s="345"/>
      <c r="V373" s="345"/>
      <c r="W373" s="345"/>
      <c r="X373" s="345"/>
      <c r="Y373" s="345"/>
      <c r="Z373" s="331"/>
    </row>
    <row r="374">
      <c r="A374" s="345"/>
      <c r="B374" s="369"/>
      <c r="C374" s="345"/>
      <c r="D374" s="345"/>
      <c r="E374" s="345"/>
      <c r="F374" s="345"/>
      <c r="G374" s="345"/>
      <c r="H374" s="345"/>
      <c r="I374" s="345"/>
      <c r="J374" s="345"/>
      <c r="K374" s="345"/>
      <c r="L374" s="345"/>
      <c r="M374" s="345"/>
      <c r="N374" s="345"/>
      <c r="O374" s="345"/>
      <c r="P374" s="345"/>
      <c r="Q374" s="345"/>
      <c r="R374" s="345"/>
      <c r="S374" s="345"/>
      <c r="T374" s="345"/>
      <c r="U374" s="345"/>
      <c r="V374" s="345"/>
      <c r="W374" s="345"/>
      <c r="X374" s="345"/>
      <c r="Y374" s="345"/>
      <c r="Z374" s="331"/>
    </row>
    <row r="375">
      <c r="A375" s="345"/>
      <c r="B375" s="369"/>
      <c r="C375" s="345"/>
      <c r="D375" s="345"/>
      <c r="E375" s="345"/>
      <c r="F375" s="345"/>
      <c r="G375" s="345"/>
      <c r="H375" s="345"/>
      <c r="I375" s="345"/>
      <c r="J375" s="345"/>
      <c r="K375" s="345"/>
      <c r="L375" s="345"/>
      <c r="M375" s="345"/>
      <c r="N375" s="345"/>
      <c r="O375" s="345"/>
      <c r="P375" s="345"/>
      <c r="Q375" s="345"/>
      <c r="R375" s="345"/>
      <c r="S375" s="345"/>
      <c r="T375" s="345"/>
      <c r="U375" s="345"/>
      <c r="V375" s="345"/>
      <c r="W375" s="345"/>
      <c r="X375" s="345"/>
      <c r="Y375" s="345"/>
      <c r="Z375" s="331"/>
    </row>
    <row r="376">
      <c r="A376" s="345"/>
      <c r="B376" s="369"/>
      <c r="C376" s="345"/>
      <c r="D376" s="345"/>
      <c r="E376" s="345"/>
      <c r="F376" s="345"/>
      <c r="G376" s="345"/>
      <c r="H376" s="345"/>
      <c r="I376" s="345"/>
      <c r="J376" s="345"/>
      <c r="K376" s="345"/>
      <c r="L376" s="345"/>
      <c r="M376" s="345"/>
      <c r="N376" s="345"/>
      <c r="O376" s="345"/>
      <c r="P376" s="345"/>
      <c r="Q376" s="345"/>
      <c r="R376" s="345"/>
      <c r="S376" s="345"/>
      <c r="T376" s="345"/>
      <c r="U376" s="345"/>
      <c r="V376" s="345"/>
      <c r="W376" s="345"/>
      <c r="X376" s="345"/>
      <c r="Y376" s="345"/>
      <c r="Z376" s="331"/>
    </row>
    <row r="377">
      <c r="A377" s="345"/>
      <c r="B377" s="369"/>
      <c r="C377" s="345"/>
      <c r="D377" s="345"/>
      <c r="E377" s="345"/>
      <c r="F377" s="345"/>
      <c r="G377" s="345"/>
      <c r="H377" s="345"/>
      <c r="I377" s="345"/>
      <c r="J377" s="345"/>
      <c r="K377" s="345"/>
      <c r="L377" s="345"/>
      <c r="M377" s="345"/>
      <c r="N377" s="345"/>
      <c r="O377" s="345"/>
      <c r="P377" s="345"/>
      <c r="Q377" s="345"/>
      <c r="R377" s="345"/>
      <c r="S377" s="345"/>
      <c r="T377" s="345"/>
      <c r="U377" s="345"/>
      <c r="V377" s="345"/>
      <c r="W377" s="345"/>
      <c r="X377" s="345"/>
      <c r="Y377" s="345"/>
      <c r="Z377" s="331"/>
    </row>
    <row r="378">
      <c r="A378" s="345"/>
      <c r="B378" s="369"/>
      <c r="C378" s="345"/>
      <c r="D378" s="345"/>
      <c r="E378" s="345"/>
      <c r="F378" s="345"/>
      <c r="G378" s="345"/>
      <c r="H378" s="345"/>
      <c r="I378" s="345"/>
      <c r="J378" s="345"/>
      <c r="K378" s="345"/>
      <c r="L378" s="345"/>
      <c r="M378" s="345"/>
      <c r="N378" s="345"/>
      <c r="O378" s="345"/>
      <c r="P378" s="345"/>
      <c r="Q378" s="345"/>
      <c r="R378" s="345"/>
      <c r="S378" s="345"/>
      <c r="T378" s="345"/>
      <c r="U378" s="345"/>
      <c r="V378" s="345"/>
      <c r="W378" s="345"/>
      <c r="X378" s="345"/>
      <c r="Y378" s="345"/>
      <c r="Z378" s="331"/>
    </row>
    <row r="379">
      <c r="A379" s="345"/>
      <c r="B379" s="369"/>
      <c r="C379" s="345"/>
      <c r="D379" s="345"/>
      <c r="E379" s="345"/>
      <c r="F379" s="345"/>
      <c r="G379" s="345"/>
      <c r="H379" s="345"/>
      <c r="I379" s="345"/>
      <c r="J379" s="345"/>
      <c r="K379" s="345"/>
      <c r="L379" s="345"/>
      <c r="M379" s="345"/>
      <c r="N379" s="345"/>
      <c r="O379" s="345"/>
      <c r="P379" s="345"/>
      <c r="Q379" s="345"/>
      <c r="R379" s="345"/>
      <c r="S379" s="345"/>
      <c r="T379" s="345"/>
      <c r="U379" s="345"/>
      <c r="V379" s="345"/>
      <c r="W379" s="345"/>
      <c r="X379" s="345"/>
      <c r="Y379" s="345"/>
      <c r="Z379" s="331"/>
    </row>
    <row r="380">
      <c r="A380" s="345"/>
      <c r="B380" s="369"/>
      <c r="C380" s="345"/>
      <c r="D380" s="345"/>
      <c r="E380" s="345"/>
      <c r="F380" s="345"/>
      <c r="G380" s="345"/>
      <c r="H380" s="345"/>
      <c r="I380" s="345"/>
      <c r="J380" s="345"/>
      <c r="K380" s="345"/>
      <c r="L380" s="345"/>
      <c r="M380" s="345"/>
      <c r="N380" s="345"/>
      <c r="O380" s="345"/>
      <c r="P380" s="345"/>
      <c r="Q380" s="345"/>
      <c r="R380" s="345"/>
      <c r="S380" s="345"/>
      <c r="T380" s="345"/>
      <c r="U380" s="345"/>
      <c r="V380" s="345"/>
      <c r="W380" s="345"/>
      <c r="X380" s="345"/>
      <c r="Y380" s="345"/>
      <c r="Z380" s="331"/>
    </row>
    <row r="381">
      <c r="A381" s="345"/>
      <c r="B381" s="369"/>
      <c r="C381" s="345"/>
      <c r="D381" s="345"/>
      <c r="E381" s="345"/>
      <c r="F381" s="345"/>
      <c r="G381" s="345"/>
      <c r="H381" s="345"/>
      <c r="I381" s="345"/>
      <c r="J381" s="345"/>
      <c r="K381" s="345"/>
      <c r="L381" s="345"/>
      <c r="M381" s="345"/>
      <c r="N381" s="345"/>
      <c r="O381" s="345"/>
      <c r="P381" s="345"/>
      <c r="Q381" s="345"/>
      <c r="R381" s="345"/>
      <c r="S381" s="345"/>
      <c r="T381" s="345"/>
      <c r="U381" s="345"/>
      <c r="V381" s="345"/>
      <c r="W381" s="345"/>
      <c r="X381" s="345"/>
      <c r="Y381" s="345"/>
      <c r="Z381" s="331"/>
    </row>
    <row r="382">
      <c r="A382" s="345"/>
      <c r="B382" s="369"/>
      <c r="C382" s="345"/>
      <c r="D382" s="345"/>
      <c r="E382" s="345"/>
      <c r="F382" s="345"/>
      <c r="G382" s="345"/>
      <c r="H382" s="345"/>
      <c r="I382" s="345"/>
      <c r="J382" s="345"/>
      <c r="K382" s="345"/>
      <c r="L382" s="345"/>
      <c r="M382" s="345"/>
      <c r="N382" s="345"/>
      <c r="O382" s="345"/>
      <c r="P382" s="345"/>
      <c r="Q382" s="345"/>
      <c r="R382" s="345"/>
      <c r="S382" s="345"/>
      <c r="T382" s="345"/>
      <c r="U382" s="345"/>
      <c r="V382" s="345"/>
      <c r="W382" s="345"/>
      <c r="X382" s="345"/>
      <c r="Y382" s="345"/>
      <c r="Z382" s="331"/>
    </row>
    <row r="383">
      <c r="A383" s="345"/>
      <c r="B383" s="369"/>
      <c r="C383" s="345"/>
      <c r="D383" s="345"/>
      <c r="E383" s="345"/>
      <c r="F383" s="345"/>
      <c r="G383" s="345"/>
      <c r="H383" s="345"/>
      <c r="I383" s="345"/>
      <c r="J383" s="345"/>
      <c r="K383" s="345"/>
      <c r="L383" s="345"/>
      <c r="M383" s="345"/>
      <c r="N383" s="345"/>
      <c r="O383" s="345"/>
      <c r="P383" s="345"/>
      <c r="Q383" s="345"/>
      <c r="R383" s="345"/>
      <c r="S383" s="345"/>
      <c r="T383" s="345"/>
      <c r="U383" s="345"/>
      <c r="V383" s="345"/>
      <c r="W383" s="345"/>
      <c r="X383" s="345"/>
      <c r="Y383" s="345"/>
      <c r="Z383" s="331"/>
    </row>
    <row r="384">
      <c r="A384" s="345"/>
      <c r="B384" s="369"/>
      <c r="C384" s="345"/>
      <c r="D384" s="345"/>
      <c r="E384" s="345"/>
      <c r="F384" s="345"/>
      <c r="G384" s="345"/>
      <c r="H384" s="345"/>
      <c r="I384" s="345"/>
      <c r="J384" s="345"/>
      <c r="K384" s="345"/>
      <c r="L384" s="345"/>
      <c r="M384" s="345"/>
      <c r="N384" s="345"/>
      <c r="O384" s="345"/>
      <c r="P384" s="345"/>
      <c r="Q384" s="345"/>
      <c r="R384" s="345"/>
      <c r="S384" s="345"/>
      <c r="T384" s="345"/>
      <c r="U384" s="345"/>
      <c r="V384" s="345"/>
      <c r="W384" s="345"/>
      <c r="X384" s="345"/>
      <c r="Y384" s="345"/>
      <c r="Z384" s="331"/>
    </row>
    <row r="385">
      <c r="A385" s="345"/>
      <c r="B385" s="369"/>
      <c r="C385" s="345"/>
      <c r="D385" s="345"/>
      <c r="E385" s="345"/>
      <c r="F385" s="345"/>
      <c r="G385" s="345"/>
      <c r="H385" s="345"/>
      <c r="I385" s="345"/>
      <c r="J385" s="345"/>
      <c r="K385" s="345"/>
      <c r="L385" s="345"/>
      <c r="M385" s="345"/>
      <c r="N385" s="345"/>
      <c r="O385" s="345"/>
      <c r="P385" s="345"/>
      <c r="Q385" s="345"/>
      <c r="R385" s="345"/>
      <c r="S385" s="345"/>
      <c r="T385" s="345"/>
      <c r="U385" s="345"/>
      <c r="V385" s="345"/>
      <c r="W385" s="345"/>
      <c r="X385" s="345"/>
      <c r="Y385" s="345"/>
      <c r="Z385" s="331"/>
    </row>
    <row r="386">
      <c r="A386" s="345"/>
      <c r="B386" s="369"/>
      <c r="C386" s="345"/>
      <c r="D386" s="345"/>
      <c r="E386" s="345"/>
      <c r="F386" s="345"/>
      <c r="G386" s="345"/>
      <c r="H386" s="345"/>
      <c r="I386" s="345"/>
      <c r="J386" s="345"/>
      <c r="K386" s="345"/>
      <c r="L386" s="345"/>
      <c r="M386" s="345"/>
      <c r="N386" s="345"/>
      <c r="O386" s="345"/>
      <c r="P386" s="345"/>
      <c r="Q386" s="345"/>
      <c r="R386" s="345"/>
      <c r="S386" s="345"/>
      <c r="T386" s="345"/>
      <c r="U386" s="345"/>
      <c r="V386" s="345"/>
      <c r="W386" s="345"/>
      <c r="X386" s="345"/>
      <c r="Y386" s="345"/>
      <c r="Z386" s="331"/>
    </row>
    <row r="387">
      <c r="A387" s="345"/>
      <c r="B387" s="369"/>
      <c r="C387" s="345"/>
      <c r="D387" s="345"/>
      <c r="E387" s="345"/>
      <c r="F387" s="345"/>
      <c r="G387" s="345"/>
      <c r="H387" s="345"/>
      <c r="I387" s="345"/>
      <c r="J387" s="345"/>
      <c r="K387" s="345"/>
      <c r="L387" s="345"/>
      <c r="M387" s="345"/>
      <c r="N387" s="345"/>
      <c r="O387" s="345"/>
      <c r="P387" s="345"/>
      <c r="Q387" s="345"/>
      <c r="R387" s="345"/>
      <c r="S387" s="345"/>
      <c r="T387" s="345"/>
      <c r="U387" s="345"/>
      <c r="V387" s="345"/>
      <c r="W387" s="345"/>
      <c r="X387" s="345"/>
      <c r="Y387" s="345"/>
      <c r="Z387" s="331"/>
    </row>
    <row r="388">
      <c r="A388" s="345"/>
      <c r="B388" s="369"/>
      <c r="C388" s="345"/>
      <c r="D388" s="345"/>
      <c r="E388" s="345"/>
      <c r="F388" s="345"/>
      <c r="G388" s="345"/>
      <c r="H388" s="345"/>
      <c r="I388" s="345"/>
      <c r="J388" s="345"/>
      <c r="K388" s="345"/>
      <c r="L388" s="345"/>
      <c r="M388" s="345"/>
      <c r="N388" s="345"/>
      <c r="O388" s="345"/>
      <c r="P388" s="345"/>
      <c r="Q388" s="345"/>
      <c r="R388" s="345"/>
      <c r="S388" s="345"/>
      <c r="T388" s="345"/>
      <c r="U388" s="345"/>
      <c r="V388" s="345"/>
      <c r="W388" s="345"/>
      <c r="X388" s="345"/>
      <c r="Y388" s="345"/>
      <c r="Z388" s="331"/>
    </row>
    <row r="389">
      <c r="A389" s="345"/>
      <c r="B389" s="369"/>
      <c r="C389" s="345"/>
      <c r="D389" s="345"/>
      <c r="E389" s="345"/>
      <c r="F389" s="345"/>
      <c r="G389" s="345"/>
      <c r="H389" s="345"/>
      <c r="I389" s="345"/>
      <c r="J389" s="345"/>
      <c r="K389" s="345"/>
      <c r="L389" s="345"/>
      <c r="M389" s="345"/>
      <c r="N389" s="345"/>
      <c r="O389" s="345"/>
      <c r="P389" s="345"/>
      <c r="Q389" s="345"/>
      <c r="R389" s="345"/>
      <c r="S389" s="345"/>
      <c r="T389" s="345"/>
      <c r="U389" s="345"/>
      <c r="V389" s="345"/>
      <c r="W389" s="345"/>
      <c r="X389" s="345"/>
      <c r="Y389" s="345"/>
      <c r="Z389" s="331"/>
    </row>
    <row r="390">
      <c r="A390" s="345"/>
      <c r="B390" s="369"/>
      <c r="C390" s="345"/>
      <c r="D390" s="345"/>
      <c r="E390" s="345"/>
      <c r="F390" s="345"/>
      <c r="G390" s="345"/>
      <c r="H390" s="345"/>
      <c r="I390" s="345"/>
      <c r="J390" s="345"/>
      <c r="K390" s="345"/>
      <c r="L390" s="345"/>
      <c r="M390" s="345"/>
      <c r="N390" s="345"/>
      <c r="O390" s="345"/>
      <c r="P390" s="345"/>
      <c r="Q390" s="345"/>
      <c r="R390" s="345"/>
      <c r="S390" s="345"/>
      <c r="T390" s="345"/>
      <c r="U390" s="345"/>
      <c r="V390" s="345"/>
      <c r="W390" s="345"/>
      <c r="X390" s="345"/>
      <c r="Y390" s="345"/>
      <c r="Z390" s="331"/>
    </row>
    <row r="391">
      <c r="A391" s="345"/>
      <c r="B391" s="369"/>
      <c r="C391" s="345"/>
      <c r="D391" s="345"/>
      <c r="E391" s="345"/>
      <c r="F391" s="345"/>
      <c r="G391" s="345"/>
      <c r="H391" s="345"/>
      <c r="I391" s="345"/>
      <c r="J391" s="345"/>
      <c r="K391" s="345"/>
      <c r="L391" s="345"/>
      <c r="M391" s="345"/>
      <c r="N391" s="345"/>
      <c r="O391" s="345"/>
      <c r="P391" s="345"/>
      <c r="Q391" s="345"/>
      <c r="R391" s="345"/>
      <c r="S391" s="345"/>
      <c r="T391" s="345"/>
      <c r="U391" s="345"/>
      <c r="V391" s="345"/>
      <c r="W391" s="345"/>
      <c r="X391" s="345"/>
      <c r="Y391" s="345"/>
      <c r="Z391" s="331"/>
    </row>
    <row r="392">
      <c r="A392" s="345"/>
      <c r="B392" s="369"/>
      <c r="C392" s="345"/>
      <c r="D392" s="345"/>
      <c r="E392" s="345"/>
      <c r="F392" s="345"/>
      <c r="G392" s="345"/>
      <c r="H392" s="345"/>
      <c r="I392" s="345"/>
      <c r="J392" s="345"/>
      <c r="K392" s="345"/>
      <c r="L392" s="345"/>
      <c r="M392" s="345"/>
      <c r="N392" s="345"/>
      <c r="O392" s="345"/>
      <c r="P392" s="345"/>
      <c r="Q392" s="345"/>
      <c r="R392" s="345"/>
      <c r="S392" s="345"/>
      <c r="T392" s="345"/>
      <c r="U392" s="345"/>
      <c r="V392" s="345"/>
      <c r="W392" s="345"/>
      <c r="X392" s="345"/>
      <c r="Y392" s="345"/>
      <c r="Z392" s="331"/>
    </row>
    <row r="393">
      <c r="A393" s="345"/>
      <c r="B393" s="369"/>
      <c r="C393" s="345"/>
      <c r="D393" s="345"/>
      <c r="E393" s="345"/>
      <c r="F393" s="345"/>
      <c r="G393" s="345"/>
      <c r="H393" s="345"/>
      <c r="I393" s="345"/>
      <c r="J393" s="345"/>
      <c r="K393" s="345"/>
      <c r="L393" s="345"/>
      <c r="M393" s="345"/>
      <c r="N393" s="345"/>
      <c r="O393" s="345"/>
      <c r="P393" s="345"/>
      <c r="Q393" s="345"/>
      <c r="R393" s="345"/>
      <c r="S393" s="345"/>
      <c r="T393" s="345"/>
      <c r="U393" s="345"/>
      <c r="V393" s="345"/>
      <c r="W393" s="345"/>
      <c r="X393" s="345"/>
      <c r="Y393" s="345"/>
      <c r="Z393" s="331"/>
    </row>
    <row r="394">
      <c r="A394" s="345"/>
      <c r="B394" s="369"/>
      <c r="C394" s="345"/>
      <c r="D394" s="345"/>
      <c r="E394" s="345"/>
      <c r="F394" s="345"/>
      <c r="G394" s="345"/>
      <c r="H394" s="345"/>
      <c r="I394" s="345"/>
      <c r="J394" s="345"/>
      <c r="K394" s="345"/>
      <c r="L394" s="345"/>
      <c r="M394" s="345"/>
      <c r="N394" s="345"/>
      <c r="O394" s="345"/>
      <c r="P394" s="345"/>
      <c r="Q394" s="345"/>
      <c r="R394" s="345"/>
      <c r="S394" s="345"/>
      <c r="T394" s="345"/>
      <c r="U394" s="345"/>
      <c r="V394" s="345"/>
      <c r="W394" s="345"/>
      <c r="X394" s="345"/>
      <c r="Y394" s="345"/>
      <c r="Z394" s="331"/>
    </row>
    <row r="395">
      <c r="A395" s="345"/>
      <c r="B395" s="369"/>
      <c r="C395" s="345"/>
      <c r="D395" s="345"/>
      <c r="E395" s="345"/>
      <c r="F395" s="345"/>
      <c r="G395" s="345"/>
      <c r="H395" s="345"/>
      <c r="I395" s="345"/>
      <c r="J395" s="345"/>
      <c r="K395" s="345"/>
      <c r="L395" s="345"/>
      <c r="M395" s="345"/>
      <c r="N395" s="345"/>
      <c r="O395" s="345"/>
      <c r="P395" s="345"/>
      <c r="Q395" s="345"/>
      <c r="R395" s="345"/>
      <c r="S395" s="345"/>
      <c r="T395" s="345"/>
      <c r="U395" s="345"/>
      <c r="V395" s="345"/>
      <c r="W395" s="345"/>
      <c r="X395" s="345"/>
      <c r="Y395" s="345"/>
      <c r="Z395" s="331"/>
    </row>
    <row r="396">
      <c r="A396" s="345"/>
      <c r="B396" s="369"/>
      <c r="C396" s="345"/>
      <c r="D396" s="345"/>
      <c r="E396" s="345"/>
      <c r="F396" s="345"/>
      <c r="G396" s="345"/>
      <c r="H396" s="345"/>
      <c r="I396" s="345"/>
      <c r="J396" s="345"/>
      <c r="K396" s="345"/>
      <c r="L396" s="345"/>
      <c r="M396" s="345"/>
      <c r="N396" s="345"/>
      <c r="O396" s="345"/>
      <c r="P396" s="345"/>
      <c r="Q396" s="345"/>
      <c r="R396" s="345"/>
      <c r="S396" s="345"/>
      <c r="T396" s="345"/>
      <c r="U396" s="345"/>
      <c r="V396" s="345"/>
      <c r="W396" s="345"/>
      <c r="X396" s="345"/>
      <c r="Y396" s="345"/>
      <c r="Z396" s="331"/>
    </row>
    <row r="397">
      <c r="A397" s="345"/>
      <c r="B397" s="369"/>
      <c r="C397" s="345"/>
      <c r="D397" s="345"/>
      <c r="E397" s="345"/>
      <c r="F397" s="345"/>
      <c r="G397" s="345"/>
      <c r="H397" s="345"/>
      <c r="I397" s="345"/>
      <c r="J397" s="345"/>
      <c r="K397" s="345"/>
      <c r="L397" s="345"/>
      <c r="M397" s="345"/>
      <c r="N397" s="345"/>
      <c r="O397" s="345"/>
      <c r="P397" s="345"/>
      <c r="Q397" s="345"/>
      <c r="R397" s="345"/>
      <c r="S397" s="345"/>
      <c r="T397" s="345"/>
      <c r="U397" s="345"/>
      <c r="V397" s="345"/>
      <c r="W397" s="345"/>
      <c r="X397" s="345"/>
      <c r="Y397" s="345"/>
      <c r="Z397" s="331"/>
    </row>
    <row r="398">
      <c r="A398" s="345"/>
      <c r="B398" s="369"/>
      <c r="C398" s="345"/>
      <c r="D398" s="345"/>
      <c r="E398" s="345"/>
      <c r="F398" s="345"/>
      <c r="G398" s="345"/>
      <c r="H398" s="345"/>
      <c r="I398" s="345"/>
      <c r="J398" s="345"/>
      <c r="K398" s="345"/>
      <c r="L398" s="345"/>
      <c r="M398" s="345"/>
      <c r="N398" s="345"/>
      <c r="O398" s="345"/>
      <c r="P398" s="345"/>
      <c r="Q398" s="345"/>
      <c r="R398" s="345"/>
      <c r="S398" s="345"/>
      <c r="T398" s="345"/>
      <c r="U398" s="345"/>
      <c r="V398" s="345"/>
      <c r="W398" s="345"/>
      <c r="X398" s="345"/>
      <c r="Y398" s="345"/>
      <c r="Z398" s="331"/>
    </row>
    <row r="399">
      <c r="A399" s="345"/>
      <c r="B399" s="369"/>
      <c r="C399" s="345"/>
      <c r="D399" s="345"/>
      <c r="E399" s="345"/>
      <c r="F399" s="345"/>
      <c r="G399" s="345"/>
      <c r="H399" s="345"/>
      <c r="I399" s="345"/>
      <c r="J399" s="345"/>
      <c r="K399" s="345"/>
      <c r="L399" s="345"/>
      <c r="M399" s="345"/>
      <c r="N399" s="345"/>
      <c r="O399" s="345"/>
      <c r="P399" s="345"/>
      <c r="Q399" s="345"/>
      <c r="R399" s="345"/>
      <c r="S399" s="345"/>
      <c r="T399" s="345"/>
      <c r="U399" s="345"/>
      <c r="V399" s="345"/>
      <c r="W399" s="345"/>
      <c r="X399" s="345"/>
      <c r="Y399" s="345"/>
      <c r="Z399" s="331"/>
    </row>
    <row r="400">
      <c r="A400" s="345"/>
      <c r="B400" s="369"/>
      <c r="C400" s="345"/>
      <c r="D400" s="345"/>
      <c r="E400" s="345"/>
      <c r="F400" s="345"/>
      <c r="G400" s="345"/>
      <c r="H400" s="345"/>
      <c r="I400" s="345"/>
      <c r="J400" s="345"/>
      <c r="K400" s="345"/>
      <c r="L400" s="345"/>
      <c r="M400" s="345"/>
      <c r="N400" s="345"/>
      <c r="O400" s="345"/>
      <c r="P400" s="345"/>
      <c r="Q400" s="345"/>
      <c r="R400" s="345"/>
      <c r="S400" s="345"/>
      <c r="T400" s="345"/>
      <c r="U400" s="345"/>
      <c r="V400" s="345"/>
      <c r="W400" s="345"/>
      <c r="X400" s="345"/>
      <c r="Y400" s="345"/>
      <c r="Z400" s="331"/>
    </row>
    <row r="401">
      <c r="A401" s="345"/>
      <c r="B401" s="369"/>
      <c r="C401" s="345"/>
      <c r="D401" s="345"/>
      <c r="E401" s="345"/>
      <c r="F401" s="345"/>
      <c r="G401" s="345"/>
      <c r="H401" s="345"/>
      <c r="I401" s="345"/>
      <c r="J401" s="345"/>
      <c r="K401" s="345"/>
      <c r="L401" s="345"/>
      <c r="M401" s="345"/>
      <c r="N401" s="345"/>
      <c r="O401" s="345"/>
      <c r="P401" s="345"/>
      <c r="Q401" s="345"/>
      <c r="R401" s="345"/>
      <c r="S401" s="345"/>
      <c r="T401" s="345"/>
      <c r="U401" s="345"/>
      <c r="V401" s="345"/>
      <c r="W401" s="345"/>
      <c r="X401" s="345"/>
      <c r="Y401" s="345"/>
      <c r="Z401" s="331"/>
    </row>
    <row r="402">
      <c r="A402" s="345"/>
      <c r="B402" s="369"/>
      <c r="C402" s="345"/>
      <c r="D402" s="345"/>
      <c r="E402" s="345"/>
      <c r="F402" s="345"/>
      <c r="G402" s="345"/>
      <c r="H402" s="345"/>
      <c r="I402" s="345"/>
      <c r="J402" s="345"/>
      <c r="K402" s="345"/>
      <c r="L402" s="345"/>
      <c r="M402" s="345"/>
      <c r="N402" s="345"/>
      <c r="O402" s="345"/>
      <c r="P402" s="345"/>
      <c r="Q402" s="345"/>
      <c r="R402" s="345"/>
      <c r="S402" s="345"/>
      <c r="T402" s="345"/>
      <c r="U402" s="345"/>
      <c r="V402" s="345"/>
      <c r="W402" s="345"/>
      <c r="X402" s="345"/>
      <c r="Y402" s="345"/>
      <c r="Z402" s="331"/>
    </row>
    <row r="403">
      <c r="A403" s="345"/>
      <c r="B403" s="369"/>
      <c r="C403" s="345"/>
      <c r="D403" s="345"/>
      <c r="E403" s="345"/>
      <c r="F403" s="345"/>
      <c r="G403" s="345"/>
      <c r="H403" s="345"/>
      <c r="I403" s="345"/>
      <c r="J403" s="345"/>
      <c r="K403" s="345"/>
      <c r="L403" s="345"/>
      <c r="M403" s="345"/>
      <c r="N403" s="345"/>
      <c r="O403" s="345"/>
      <c r="P403" s="345"/>
      <c r="Q403" s="345"/>
      <c r="R403" s="345"/>
      <c r="S403" s="345"/>
      <c r="T403" s="345"/>
      <c r="U403" s="345"/>
      <c r="V403" s="345"/>
      <c r="W403" s="345"/>
      <c r="X403" s="345"/>
      <c r="Y403" s="345"/>
      <c r="Z403" s="331"/>
    </row>
    <row r="404">
      <c r="A404" s="345"/>
      <c r="B404" s="369"/>
      <c r="C404" s="345"/>
      <c r="D404" s="345"/>
      <c r="E404" s="345"/>
      <c r="F404" s="345"/>
      <c r="G404" s="345"/>
      <c r="H404" s="345"/>
      <c r="I404" s="345"/>
      <c r="J404" s="345"/>
      <c r="K404" s="345"/>
      <c r="L404" s="345"/>
      <c r="M404" s="345"/>
      <c r="N404" s="345"/>
      <c r="O404" s="345"/>
      <c r="P404" s="345"/>
      <c r="Q404" s="345"/>
      <c r="R404" s="345"/>
      <c r="S404" s="345"/>
      <c r="T404" s="345"/>
      <c r="U404" s="345"/>
      <c r="V404" s="345"/>
      <c r="W404" s="345"/>
      <c r="X404" s="345"/>
      <c r="Y404" s="345"/>
      <c r="Z404" s="331"/>
    </row>
    <row r="405">
      <c r="A405" s="345"/>
      <c r="B405" s="369"/>
      <c r="C405" s="345"/>
      <c r="D405" s="345"/>
      <c r="E405" s="345"/>
      <c r="F405" s="345"/>
      <c r="G405" s="345"/>
      <c r="H405" s="345"/>
      <c r="I405" s="345"/>
      <c r="J405" s="345"/>
      <c r="K405" s="345"/>
      <c r="L405" s="345"/>
      <c r="M405" s="345"/>
      <c r="N405" s="345"/>
      <c r="O405" s="345"/>
      <c r="P405" s="345"/>
      <c r="Q405" s="345"/>
      <c r="R405" s="345"/>
      <c r="S405" s="345"/>
      <c r="T405" s="345"/>
      <c r="U405" s="345"/>
      <c r="V405" s="345"/>
      <c r="W405" s="345"/>
      <c r="X405" s="345"/>
      <c r="Y405" s="345"/>
      <c r="Z405" s="331"/>
    </row>
    <row r="406">
      <c r="A406" s="345"/>
      <c r="B406" s="369"/>
      <c r="C406" s="345"/>
      <c r="D406" s="345"/>
      <c r="E406" s="345"/>
      <c r="F406" s="345"/>
      <c r="G406" s="345"/>
      <c r="H406" s="345"/>
      <c r="I406" s="345"/>
      <c r="J406" s="345"/>
      <c r="K406" s="345"/>
      <c r="L406" s="345"/>
      <c r="M406" s="345"/>
      <c r="N406" s="345"/>
      <c r="O406" s="345"/>
      <c r="P406" s="345"/>
      <c r="Q406" s="345"/>
      <c r="R406" s="345"/>
      <c r="S406" s="345"/>
      <c r="T406" s="345"/>
      <c r="U406" s="345"/>
      <c r="V406" s="345"/>
      <c r="W406" s="345"/>
      <c r="X406" s="345"/>
      <c r="Y406" s="345"/>
      <c r="Z406" s="331"/>
    </row>
    <row r="407">
      <c r="A407" s="345"/>
      <c r="B407" s="369"/>
      <c r="C407" s="345"/>
      <c r="D407" s="345"/>
      <c r="E407" s="345"/>
      <c r="F407" s="345"/>
      <c r="G407" s="345"/>
      <c r="H407" s="345"/>
      <c r="I407" s="345"/>
      <c r="J407" s="345"/>
      <c r="K407" s="345"/>
      <c r="L407" s="345"/>
      <c r="M407" s="345"/>
      <c r="N407" s="345"/>
      <c r="O407" s="345"/>
      <c r="P407" s="345"/>
      <c r="Q407" s="345"/>
      <c r="R407" s="345"/>
      <c r="S407" s="345"/>
      <c r="T407" s="345"/>
      <c r="U407" s="345"/>
      <c r="V407" s="345"/>
      <c r="W407" s="345"/>
      <c r="X407" s="345"/>
      <c r="Y407" s="345"/>
      <c r="Z407" s="331"/>
    </row>
    <row r="408">
      <c r="A408" s="345"/>
      <c r="B408" s="369"/>
      <c r="C408" s="345"/>
      <c r="D408" s="345"/>
      <c r="E408" s="345"/>
      <c r="F408" s="345"/>
      <c r="G408" s="345"/>
      <c r="H408" s="345"/>
      <c r="I408" s="345"/>
      <c r="J408" s="345"/>
      <c r="K408" s="345"/>
      <c r="L408" s="345"/>
      <c r="M408" s="345"/>
      <c r="N408" s="345"/>
      <c r="O408" s="345"/>
      <c r="P408" s="345"/>
      <c r="Q408" s="345"/>
      <c r="R408" s="345"/>
      <c r="S408" s="345"/>
      <c r="T408" s="345"/>
      <c r="U408" s="345"/>
      <c r="V408" s="345"/>
      <c r="W408" s="345"/>
      <c r="X408" s="345"/>
      <c r="Y408" s="345"/>
      <c r="Z408" s="331"/>
    </row>
    <row r="409">
      <c r="A409" s="345"/>
      <c r="B409" s="369"/>
      <c r="C409" s="345"/>
      <c r="D409" s="345"/>
      <c r="E409" s="345"/>
      <c r="F409" s="345"/>
      <c r="G409" s="345"/>
      <c r="H409" s="345"/>
      <c r="I409" s="345"/>
      <c r="J409" s="345"/>
      <c r="K409" s="345"/>
      <c r="L409" s="345"/>
      <c r="M409" s="345"/>
      <c r="N409" s="345"/>
      <c r="O409" s="345"/>
      <c r="P409" s="345"/>
      <c r="Q409" s="345"/>
      <c r="R409" s="345"/>
      <c r="S409" s="345"/>
      <c r="T409" s="345"/>
      <c r="U409" s="345"/>
      <c r="V409" s="345"/>
      <c r="W409" s="345"/>
      <c r="X409" s="345"/>
      <c r="Y409" s="345"/>
      <c r="Z409" s="331"/>
    </row>
    <row r="410">
      <c r="A410" s="345"/>
      <c r="B410" s="369"/>
      <c r="C410" s="345"/>
      <c r="D410" s="345"/>
      <c r="E410" s="345"/>
      <c r="F410" s="345"/>
      <c r="G410" s="345"/>
      <c r="H410" s="345"/>
      <c r="I410" s="345"/>
      <c r="J410" s="345"/>
      <c r="K410" s="345"/>
      <c r="L410" s="345"/>
      <c r="M410" s="345"/>
      <c r="N410" s="345"/>
      <c r="O410" s="345"/>
      <c r="P410" s="345"/>
      <c r="Q410" s="345"/>
      <c r="R410" s="345"/>
      <c r="S410" s="345"/>
      <c r="T410" s="345"/>
      <c r="U410" s="345"/>
      <c r="V410" s="345"/>
      <c r="W410" s="345"/>
      <c r="X410" s="345"/>
      <c r="Y410" s="345"/>
      <c r="Z410" s="331"/>
    </row>
    <row r="411">
      <c r="A411" s="345"/>
      <c r="B411" s="369"/>
      <c r="C411" s="345"/>
      <c r="D411" s="345"/>
      <c r="E411" s="345"/>
      <c r="F411" s="345"/>
      <c r="G411" s="345"/>
      <c r="H411" s="345"/>
      <c r="I411" s="345"/>
      <c r="J411" s="345"/>
      <c r="K411" s="345"/>
      <c r="L411" s="345"/>
      <c r="M411" s="345"/>
      <c r="N411" s="345"/>
      <c r="O411" s="345"/>
      <c r="P411" s="345"/>
      <c r="Q411" s="345"/>
      <c r="R411" s="345"/>
      <c r="S411" s="345"/>
      <c r="T411" s="345"/>
      <c r="U411" s="345"/>
      <c r="V411" s="345"/>
      <c r="W411" s="345"/>
      <c r="X411" s="345"/>
      <c r="Y411" s="345"/>
      <c r="Z411" s="331"/>
    </row>
    <row r="412">
      <c r="A412" s="345"/>
      <c r="B412" s="369"/>
      <c r="C412" s="345"/>
      <c r="D412" s="345"/>
      <c r="E412" s="345"/>
      <c r="F412" s="345"/>
      <c r="G412" s="345"/>
      <c r="H412" s="345"/>
      <c r="I412" s="345"/>
      <c r="J412" s="345"/>
      <c r="K412" s="345"/>
      <c r="L412" s="345"/>
      <c r="M412" s="345"/>
      <c r="N412" s="345"/>
      <c r="O412" s="345"/>
      <c r="P412" s="345"/>
      <c r="Q412" s="345"/>
      <c r="R412" s="345"/>
      <c r="S412" s="345"/>
      <c r="T412" s="345"/>
      <c r="U412" s="345"/>
      <c r="V412" s="345"/>
      <c r="W412" s="345"/>
      <c r="X412" s="345"/>
      <c r="Y412" s="345"/>
      <c r="Z412" s="331"/>
    </row>
    <row r="413">
      <c r="A413" s="345"/>
      <c r="B413" s="369"/>
      <c r="C413" s="345"/>
      <c r="D413" s="345"/>
      <c r="E413" s="345"/>
      <c r="F413" s="345"/>
      <c r="G413" s="345"/>
      <c r="H413" s="345"/>
      <c r="I413" s="345"/>
      <c r="J413" s="345"/>
      <c r="K413" s="345"/>
      <c r="L413" s="345"/>
      <c r="M413" s="345"/>
      <c r="N413" s="345"/>
      <c r="O413" s="345"/>
      <c r="P413" s="345"/>
      <c r="Q413" s="345"/>
      <c r="R413" s="345"/>
      <c r="S413" s="345"/>
      <c r="T413" s="345"/>
      <c r="U413" s="345"/>
      <c r="V413" s="345"/>
      <c r="W413" s="345"/>
      <c r="X413" s="345"/>
      <c r="Y413" s="345"/>
      <c r="Z413" s="331"/>
    </row>
    <row r="414">
      <c r="A414" s="345"/>
      <c r="B414" s="369"/>
      <c r="C414" s="345"/>
      <c r="D414" s="345"/>
      <c r="E414" s="345"/>
      <c r="F414" s="345"/>
      <c r="G414" s="345"/>
      <c r="H414" s="345"/>
      <c r="I414" s="345"/>
      <c r="J414" s="345"/>
      <c r="K414" s="345"/>
      <c r="L414" s="345"/>
      <c r="M414" s="345"/>
      <c r="N414" s="345"/>
      <c r="O414" s="345"/>
      <c r="P414" s="345"/>
      <c r="Q414" s="345"/>
      <c r="R414" s="345"/>
      <c r="S414" s="345"/>
      <c r="T414" s="345"/>
      <c r="U414" s="345"/>
      <c r="V414" s="345"/>
      <c r="W414" s="345"/>
      <c r="X414" s="345"/>
      <c r="Y414" s="345"/>
      <c r="Z414" s="331"/>
    </row>
    <row r="415">
      <c r="A415" s="345"/>
      <c r="B415" s="369"/>
      <c r="C415" s="345"/>
      <c r="D415" s="345"/>
      <c r="E415" s="345"/>
      <c r="F415" s="345"/>
      <c r="G415" s="345"/>
      <c r="H415" s="345"/>
      <c r="I415" s="345"/>
      <c r="J415" s="345"/>
      <c r="K415" s="345"/>
      <c r="L415" s="345"/>
      <c r="M415" s="345"/>
      <c r="N415" s="345"/>
      <c r="O415" s="345"/>
      <c r="P415" s="345"/>
      <c r="Q415" s="345"/>
      <c r="R415" s="345"/>
      <c r="S415" s="345"/>
      <c r="T415" s="345"/>
      <c r="U415" s="345"/>
      <c r="V415" s="345"/>
      <c r="W415" s="345"/>
      <c r="X415" s="345"/>
      <c r="Y415" s="345"/>
      <c r="Z415" s="331"/>
    </row>
    <row r="416">
      <c r="A416" s="345"/>
      <c r="B416" s="369"/>
      <c r="C416" s="345"/>
      <c r="D416" s="345"/>
      <c r="E416" s="345"/>
      <c r="F416" s="345"/>
      <c r="G416" s="345"/>
      <c r="H416" s="345"/>
      <c r="I416" s="345"/>
      <c r="J416" s="345"/>
      <c r="K416" s="345"/>
      <c r="L416" s="345"/>
      <c r="M416" s="345"/>
      <c r="N416" s="345"/>
      <c r="O416" s="345"/>
      <c r="P416" s="345"/>
      <c r="Q416" s="345"/>
      <c r="R416" s="345"/>
      <c r="S416" s="345"/>
      <c r="T416" s="345"/>
      <c r="U416" s="345"/>
      <c r="V416" s="345"/>
      <c r="W416" s="345"/>
      <c r="X416" s="345"/>
      <c r="Y416" s="345"/>
      <c r="Z416" s="331"/>
    </row>
    <row r="417">
      <c r="A417" s="345"/>
      <c r="B417" s="369"/>
      <c r="C417" s="345"/>
      <c r="D417" s="345"/>
      <c r="E417" s="345"/>
      <c r="F417" s="345"/>
      <c r="G417" s="345"/>
      <c r="H417" s="345"/>
      <c r="I417" s="345"/>
      <c r="J417" s="345"/>
      <c r="K417" s="345"/>
      <c r="L417" s="345"/>
      <c r="M417" s="345"/>
      <c r="N417" s="345"/>
      <c r="O417" s="345"/>
      <c r="P417" s="345"/>
      <c r="Q417" s="345"/>
      <c r="R417" s="345"/>
      <c r="S417" s="345"/>
      <c r="T417" s="345"/>
      <c r="U417" s="345"/>
      <c r="V417" s="345"/>
      <c r="W417" s="345"/>
      <c r="X417" s="345"/>
      <c r="Y417" s="345"/>
      <c r="Z417" s="331"/>
    </row>
    <row r="418">
      <c r="A418" s="345"/>
      <c r="B418" s="369"/>
      <c r="C418" s="345"/>
      <c r="D418" s="345"/>
      <c r="E418" s="345"/>
      <c r="F418" s="345"/>
      <c r="G418" s="345"/>
      <c r="H418" s="345"/>
      <c r="I418" s="345"/>
      <c r="J418" s="345"/>
      <c r="K418" s="345"/>
      <c r="L418" s="345"/>
      <c r="M418" s="345"/>
      <c r="N418" s="345"/>
      <c r="O418" s="345"/>
      <c r="P418" s="345"/>
      <c r="Q418" s="345"/>
      <c r="R418" s="345"/>
      <c r="S418" s="345"/>
      <c r="T418" s="345"/>
      <c r="U418" s="345"/>
      <c r="V418" s="345"/>
      <c r="W418" s="345"/>
      <c r="X418" s="345"/>
      <c r="Y418" s="345"/>
      <c r="Z418" s="331"/>
    </row>
    <row r="419">
      <c r="A419" s="345"/>
      <c r="B419" s="369"/>
      <c r="C419" s="345"/>
      <c r="D419" s="345"/>
      <c r="E419" s="345"/>
      <c r="F419" s="345"/>
      <c r="G419" s="345"/>
      <c r="H419" s="345"/>
      <c r="I419" s="345"/>
      <c r="J419" s="345"/>
      <c r="K419" s="345"/>
      <c r="L419" s="345"/>
      <c r="M419" s="345"/>
      <c r="N419" s="345"/>
      <c r="O419" s="345"/>
      <c r="P419" s="345"/>
      <c r="Q419" s="345"/>
      <c r="R419" s="345"/>
      <c r="S419" s="345"/>
      <c r="T419" s="345"/>
      <c r="U419" s="345"/>
      <c r="V419" s="345"/>
      <c r="W419" s="345"/>
      <c r="X419" s="345"/>
      <c r="Y419" s="345"/>
      <c r="Z419" s="331"/>
    </row>
    <row r="420">
      <c r="A420" s="345"/>
      <c r="B420" s="369"/>
      <c r="C420" s="345"/>
      <c r="D420" s="345"/>
      <c r="E420" s="345"/>
      <c r="F420" s="345"/>
      <c r="G420" s="345"/>
      <c r="H420" s="345"/>
      <c r="I420" s="345"/>
      <c r="J420" s="345"/>
      <c r="K420" s="345"/>
      <c r="L420" s="345"/>
      <c r="M420" s="345"/>
      <c r="N420" s="345"/>
      <c r="O420" s="345"/>
      <c r="P420" s="345"/>
      <c r="Q420" s="345"/>
      <c r="R420" s="345"/>
      <c r="S420" s="345"/>
      <c r="T420" s="345"/>
      <c r="U420" s="345"/>
      <c r="V420" s="345"/>
      <c r="W420" s="345"/>
      <c r="X420" s="345"/>
      <c r="Y420" s="345"/>
      <c r="Z420" s="331"/>
    </row>
    <row r="421">
      <c r="A421" s="345"/>
      <c r="B421" s="369"/>
      <c r="C421" s="345"/>
      <c r="D421" s="345"/>
      <c r="E421" s="345"/>
      <c r="F421" s="345"/>
      <c r="G421" s="345"/>
      <c r="H421" s="345"/>
      <c r="I421" s="345"/>
      <c r="J421" s="345"/>
      <c r="K421" s="345"/>
      <c r="L421" s="345"/>
      <c r="M421" s="345"/>
      <c r="N421" s="345"/>
      <c r="O421" s="345"/>
      <c r="P421" s="345"/>
      <c r="Q421" s="345"/>
      <c r="R421" s="345"/>
      <c r="S421" s="345"/>
      <c r="T421" s="345"/>
      <c r="U421" s="345"/>
      <c r="V421" s="345"/>
      <c r="W421" s="345"/>
      <c r="X421" s="345"/>
      <c r="Y421" s="345"/>
      <c r="Z421" s="331"/>
    </row>
    <row r="422">
      <c r="A422" s="345"/>
      <c r="B422" s="369"/>
      <c r="C422" s="345"/>
      <c r="D422" s="345"/>
      <c r="E422" s="345"/>
      <c r="F422" s="345"/>
      <c r="G422" s="345"/>
      <c r="H422" s="345"/>
      <c r="I422" s="345"/>
      <c r="J422" s="345"/>
      <c r="K422" s="345"/>
      <c r="L422" s="345"/>
      <c r="M422" s="345"/>
      <c r="N422" s="345"/>
      <c r="O422" s="345"/>
      <c r="P422" s="345"/>
      <c r="Q422" s="345"/>
      <c r="R422" s="345"/>
      <c r="S422" s="345"/>
      <c r="T422" s="345"/>
      <c r="U422" s="345"/>
      <c r="V422" s="345"/>
      <c r="W422" s="345"/>
      <c r="X422" s="345"/>
      <c r="Y422" s="345"/>
      <c r="Z422" s="331"/>
    </row>
    <row r="423">
      <c r="A423" s="345"/>
      <c r="B423" s="369"/>
      <c r="C423" s="345"/>
      <c r="D423" s="345"/>
      <c r="E423" s="345"/>
      <c r="F423" s="345"/>
      <c r="G423" s="345"/>
      <c r="H423" s="345"/>
      <c r="I423" s="345"/>
      <c r="J423" s="345"/>
      <c r="K423" s="345"/>
      <c r="L423" s="345"/>
      <c r="M423" s="345"/>
      <c r="N423" s="345"/>
      <c r="O423" s="345"/>
      <c r="P423" s="345"/>
      <c r="Q423" s="345"/>
      <c r="R423" s="345"/>
      <c r="S423" s="345"/>
      <c r="T423" s="345"/>
      <c r="U423" s="345"/>
      <c r="V423" s="345"/>
      <c r="W423" s="345"/>
      <c r="X423" s="345"/>
      <c r="Y423" s="345"/>
      <c r="Z423" s="331"/>
    </row>
    <row r="424">
      <c r="A424" s="345"/>
      <c r="B424" s="369"/>
      <c r="C424" s="345"/>
      <c r="D424" s="345"/>
      <c r="E424" s="345"/>
      <c r="F424" s="345"/>
      <c r="G424" s="345"/>
      <c r="H424" s="345"/>
      <c r="I424" s="345"/>
      <c r="J424" s="345"/>
      <c r="K424" s="345"/>
      <c r="L424" s="345"/>
      <c r="M424" s="345"/>
      <c r="N424" s="345"/>
      <c r="O424" s="345"/>
      <c r="P424" s="345"/>
      <c r="Q424" s="345"/>
      <c r="R424" s="345"/>
      <c r="S424" s="345"/>
      <c r="T424" s="345"/>
      <c r="U424" s="345"/>
      <c r="V424" s="345"/>
      <c r="W424" s="345"/>
      <c r="X424" s="345"/>
      <c r="Y424" s="345"/>
      <c r="Z424" s="331"/>
    </row>
    <row r="425">
      <c r="A425" s="345"/>
      <c r="B425" s="369"/>
      <c r="C425" s="345"/>
      <c r="D425" s="345"/>
      <c r="E425" s="345"/>
      <c r="F425" s="345"/>
      <c r="G425" s="345"/>
      <c r="H425" s="345"/>
      <c r="I425" s="345"/>
      <c r="J425" s="345"/>
      <c r="K425" s="345"/>
      <c r="L425" s="345"/>
      <c r="M425" s="345"/>
      <c r="N425" s="345"/>
      <c r="O425" s="345"/>
      <c r="P425" s="345"/>
      <c r="Q425" s="345"/>
      <c r="R425" s="345"/>
      <c r="S425" s="345"/>
      <c r="T425" s="345"/>
      <c r="U425" s="345"/>
      <c r="V425" s="345"/>
      <c r="W425" s="345"/>
      <c r="X425" s="345"/>
      <c r="Y425" s="345"/>
      <c r="Z425" s="331"/>
    </row>
    <row r="426">
      <c r="A426" s="345"/>
      <c r="B426" s="369"/>
      <c r="C426" s="345"/>
      <c r="D426" s="345"/>
      <c r="E426" s="345"/>
      <c r="F426" s="345"/>
      <c r="G426" s="345"/>
      <c r="H426" s="345"/>
      <c r="I426" s="345"/>
      <c r="J426" s="345"/>
      <c r="K426" s="345"/>
      <c r="L426" s="345"/>
      <c r="M426" s="345"/>
      <c r="N426" s="345"/>
      <c r="O426" s="345"/>
      <c r="P426" s="345"/>
      <c r="Q426" s="345"/>
      <c r="R426" s="345"/>
      <c r="S426" s="345"/>
      <c r="T426" s="345"/>
      <c r="U426" s="345"/>
      <c r="V426" s="345"/>
      <c r="W426" s="345"/>
      <c r="X426" s="345"/>
      <c r="Y426" s="345"/>
      <c r="Z426" s="331"/>
    </row>
    <row r="427">
      <c r="A427" s="345"/>
      <c r="B427" s="369"/>
      <c r="C427" s="345"/>
      <c r="D427" s="345"/>
      <c r="E427" s="345"/>
      <c r="F427" s="345"/>
      <c r="G427" s="345"/>
      <c r="H427" s="345"/>
      <c r="I427" s="345"/>
      <c r="J427" s="345"/>
      <c r="K427" s="345"/>
      <c r="L427" s="345"/>
      <c r="M427" s="345"/>
      <c r="N427" s="345"/>
      <c r="O427" s="345"/>
      <c r="P427" s="345"/>
      <c r="Q427" s="345"/>
      <c r="R427" s="345"/>
      <c r="S427" s="345"/>
      <c r="T427" s="345"/>
      <c r="U427" s="345"/>
      <c r="V427" s="345"/>
      <c r="W427" s="345"/>
      <c r="X427" s="345"/>
      <c r="Y427" s="345"/>
      <c r="Z427" s="331"/>
    </row>
    <row r="428">
      <c r="A428" s="345"/>
      <c r="B428" s="369"/>
      <c r="C428" s="345"/>
      <c r="D428" s="345"/>
      <c r="E428" s="345"/>
      <c r="F428" s="345"/>
      <c r="G428" s="345"/>
      <c r="H428" s="345"/>
      <c r="I428" s="345"/>
      <c r="J428" s="345"/>
      <c r="K428" s="345"/>
      <c r="L428" s="345"/>
      <c r="M428" s="345"/>
      <c r="N428" s="345"/>
      <c r="O428" s="345"/>
      <c r="P428" s="345"/>
      <c r="Q428" s="345"/>
      <c r="R428" s="345"/>
      <c r="S428" s="345"/>
      <c r="T428" s="345"/>
      <c r="U428" s="345"/>
      <c r="V428" s="345"/>
      <c r="W428" s="345"/>
      <c r="X428" s="345"/>
      <c r="Y428" s="345"/>
      <c r="Z428" s="331"/>
    </row>
    <row r="429">
      <c r="A429" s="345"/>
      <c r="B429" s="369"/>
      <c r="C429" s="345"/>
      <c r="D429" s="345"/>
      <c r="E429" s="345"/>
      <c r="F429" s="345"/>
      <c r="G429" s="345"/>
      <c r="H429" s="345"/>
      <c r="I429" s="345"/>
      <c r="J429" s="345"/>
      <c r="K429" s="345"/>
      <c r="L429" s="345"/>
      <c r="M429" s="345"/>
      <c r="N429" s="345"/>
      <c r="O429" s="345"/>
      <c r="P429" s="345"/>
      <c r="Q429" s="345"/>
      <c r="R429" s="345"/>
      <c r="S429" s="345"/>
      <c r="T429" s="345"/>
      <c r="U429" s="345"/>
      <c r="V429" s="345"/>
      <c r="W429" s="345"/>
      <c r="X429" s="345"/>
      <c r="Y429" s="345"/>
      <c r="Z429" s="331"/>
    </row>
    <row r="430">
      <c r="A430" s="345"/>
      <c r="B430" s="369"/>
      <c r="C430" s="345"/>
      <c r="D430" s="345"/>
      <c r="E430" s="345"/>
      <c r="F430" s="345"/>
      <c r="G430" s="345"/>
      <c r="H430" s="345"/>
      <c r="I430" s="345"/>
      <c r="J430" s="345"/>
      <c r="K430" s="345"/>
      <c r="L430" s="345"/>
      <c r="M430" s="345"/>
      <c r="N430" s="345"/>
      <c r="O430" s="345"/>
      <c r="P430" s="345"/>
      <c r="Q430" s="345"/>
      <c r="R430" s="345"/>
      <c r="S430" s="345"/>
      <c r="T430" s="345"/>
      <c r="U430" s="345"/>
      <c r="V430" s="345"/>
      <c r="W430" s="345"/>
      <c r="X430" s="345"/>
      <c r="Y430" s="345"/>
      <c r="Z430" s="331"/>
    </row>
    <row r="431">
      <c r="A431" s="345"/>
      <c r="B431" s="369"/>
      <c r="C431" s="345"/>
      <c r="D431" s="345"/>
      <c r="E431" s="345"/>
      <c r="F431" s="345"/>
      <c r="G431" s="345"/>
      <c r="H431" s="345"/>
      <c r="I431" s="345"/>
      <c r="J431" s="345"/>
      <c r="K431" s="345"/>
      <c r="L431" s="345"/>
      <c r="M431" s="345"/>
      <c r="N431" s="345"/>
      <c r="O431" s="345"/>
      <c r="P431" s="345"/>
      <c r="Q431" s="345"/>
      <c r="R431" s="345"/>
      <c r="S431" s="345"/>
      <c r="T431" s="345"/>
      <c r="U431" s="345"/>
      <c r="V431" s="345"/>
      <c r="W431" s="345"/>
      <c r="X431" s="345"/>
      <c r="Y431" s="345"/>
      <c r="Z431" s="331"/>
    </row>
    <row r="432">
      <c r="A432" s="345"/>
      <c r="B432" s="369"/>
      <c r="C432" s="345"/>
      <c r="D432" s="345"/>
      <c r="E432" s="345"/>
      <c r="F432" s="345"/>
      <c r="G432" s="345"/>
      <c r="H432" s="345"/>
      <c r="I432" s="345"/>
      <c r="J432" s="345"/>
      <c r="K432" s="345"/>
      <c r="L432" s="345"/>
      <c r="M432" s="345"/>
      <c r="N432" s="345"/>
      <c r="O432" s="345"/>
      <c r="P432" s="345"/>
      <c r="Q432" s="345"/>
      <c r="R432" s="345"/>
      <c r="S432" s="345"/>
      <c r="T432" s="345"/>
      <c r="U432" s="345"/>
      <c r="V432" s="345"/>
      <c r="W432" s="345"/>
      <c r="X432" s="345"/>
      <c r="Y432" s="345"/>
      <c r="Z432" s="331"/>
    </row>
    <row r="433">
      <c r="A433" s="345"/>
      <c r="B433" s="369"/>
      <c r="C433" s="345"/>
      <c r="D433" s="345"/>
      <c r="E433" s="345"/>
      <c r="F433" s="345"/>
      <c r="G433" s="345"/>
      <c r="H433" s="345"/>
      <c r="I433" s="345"/>
      <c r="J433" s="345"/>
      <c r="K433" s="345"/>
      <c r="L433" s="345"/>
      <c r="M433" s="345"/>
      <c r="N433" s="345"/>
      <c r="O433" s="345"/>
      <c r="P433" s="345"/>
      <c r="Q433" s="345"/>
      <c r="R433" s="345"/>
      <c r="S433" s="345"/>
      <c r="T433" s="345"/>
      <c r="U433" s="345"/>
      <c r="V433" s="345"/>
      <c r="W433" s="345"/>
      <c r="X433" s="345"/>
      <c r="Y433" s="345"/>
      <c r="Z433" s="331"/>
    </row>
    <row r="434">
      <c r="A434" s="345"/>
      <c r="B434" s="369"/>
      <c r="C434" s="345"/>
      <c r="D434" s="345"/>
      <c r="E434" s="345"/>
      <c r="F434" s="345"/>
      <c r="G434" s="345"/>
      <c r="H434" s="345"/>
      <c r="I434" s="345"/>
      <c r="J434" s="345"/>
      <c r="K434" s="345"/>
      <c r="L434" s="345"/>
      <c r="M434" s="345"/>
      <c r="N434" s="345"/>
      <c r="O434" s="345"/>
      <c r="P434" s="345"/>
      <c r="Q434" s="345"/>
      <c r="R434" s="345"/>
      <c r="S434" s="345"/>
      <c r="T434" s="345"/>
      <c r="U434" s="345"/>
      <c r="V434" s="345"/>
      <c r="W434" s="345"/>
      <c r="X434" s="345"/>
      <c r="Y434" s="345"/>
      <c r="Z434" s="331"/>
    </row>
    <row r="435">
      <c r="A435" s="345"/>
      <c r="B435" s="369"/>
      <c r="C435" s="345"/>
      <c r="D435" s="345"/>
      <c r="E435" s="345"/>
      <c r="F435" s="345"/>
      <c r="G435" s="345"/>
      <c r="H435" s="345"/>
      <c r="I435" s="345"/>
      <c r="J435" s="345"/>
      <c r="K435" s="345"/>
      <c r="L435" s="345"/>
      <c r="M435" s="345"/>
      <c r="N435" s="345"/>
      <c r="O435" s="345"/>
      <c r="P435" s="345"/>
      <c r="Q435" s="345"/>
      <c r="R435" s="345"/>
      <c r="S435" s="345"/>
      <c r="T435" s="345"/>
      <c r="U435" s="345"/>
      <c r="V435" s="345"/>
      <c r="W435" s="345"/>
      <c r="X435" s="345"/>
      <c r="Y435" s="345"/>
      <c r="Z435" s="331"/>
    </row>
    <row r="436">
      <c r="A436" s="345"/>
      <c r="B436" s="369"/>
      <c r="C436" s="345"/>
      <c r="D436" s="345"/>
      <c r="E436" s="345"/>
      <c r="F436" s="345"/>
      <c r="G436" s="345"/>
      <c r="H436" s="345"/>
      <c r="I436" s="345"/>
      <c r="J436" s="345"/>
      <c r="K436" s="345"/>
      <c r="L436" s="345"/>
      <c r="M436" s="345"/>
      <c r="N436" s="345"/>
      <c r="O436" s="345"/>
      <c r="P436" s="345"/>
      <c r="Q436" s="345"/>
      <c r="R436" s="345"/>
      <c r="S436" s="345"/>
      <c r="T436" s="345"/>
      <c r="U436" s="345"/>
      <c r="V436" s="345"/>
      <c r="W436" s="345"/>
      <c r="X436" s="345"/>
      <c r="Y436" s="345"/>
      <c r="Z436" s="331"/>
    </row>
    <row r="437">
      <c r="A437" s="345"/>
      <c r="B437" s="369"/>
      <c r="C437" s="345"/>
      <c r="D437" s="345"/>
      <c r="E437" s="345"/>
      <c r="F437" s="345"/>
      <c r="G437" s="345"/>
      <c r="H437" s="345"/>
      <c r="I437" s="345"/>
      <c r="J437" s="345"/>
      <c r="K437" s="345"/>
      <c r="L437" s="345"/>
      <c r="M437" s="345"/>
      <c r="N437" s="345"/>
      <c r="O437" s="345"/>
      <c r="P437" s="345"/>
      <c r="Q437" s="345"/>
      <c r="R437" s="345"/>
      <c r="S437" s="345"/>
      <c r="T437" s="345"/>
      <c r="U437" s="345"/>
      <c r="V437" s="345"/>
      <c r="W437" s="345"/>
      <c r="X437" s="345"/>
      <c r="Y437" s="345"/>
      <c r="Z437" s="331"/>
    </row>
    <row r="438">
      <c r="A438" s="345"/>
      <c r="B438" s="369"/>
      <c r="C438" s="345"/>
      <c r="D438" s="345"/>
      <c r="E438" s="345"/>
      <c r="F438" s="345"/>
      <c r="G438" s="345"/>
      <c r="H438" s="345"/>
      <c r="I438" s="345"/>
      <c r="J438" s="345"/>
      <c r="K438" s="345"/>
      <c r="L438" s="345"/>
      <c r="M438" s="345"/>
      <c r="N438" s="345"/>
      <c r="O438" s="345"/>
      <c r="P438" s="345"/>
      <c r="Q438" s="345"/>
      <c r="R438" s="345"/>
      <c r="S438" s="345"/>
      <c r="T438" s="345"/>
      <c r="U438" s="345"/>
      <c r="V438" s="345"/>
      <c r="W438" s="345"/>
      <c r="X438" s="345"/>
      <c r="Y438" s="345"/>
      <c r="Z438" s="331"/>
    </row>
    <row r="439">
      <c r="A439" s="345"/>
      <c r="B439" s="369"/>
      <c r="C439" s="345"/>
      <c r="D439" s="345"/>
      <c r="E439" s="345"/>
      <c r="F439" s="345"/>
      <c r="G439" s="345"/>
      <c r="H439" s="345"/>
      <c r="I439" s="345"/>
      <c r="J439" s="345"/>
      <c r="K439" s="345"/>
      <c r="L439" s="345"/>
      <c r="M439" s="345"/>
      <c r="N439" s="345"/>
      <c r="O439" s="345"/>
      <c r="P439" s="345"/>
      <c r="Q439" s="345"/>
      <c r="R439" s="345"/>
      <c r="S439" s="345"/>
      <c r="T439" s="345"/>
      <c r="U439" s="345"/>
      <c r="V439" s="345"/>
      <c r="W439" s="345"/>
      <c r="X439" s="345"/>
      <c r="Y439" s="345"/>
      <c r="Z439" s="331"/>
    </row>
    <row r="440">
      <c r="A440" s="345"/>
      <c r="B440" s="369"/>
      <c r="C440" s="345"/>
      <c r="D440" s="345"/>
      <c r="E440" s="345"/>
      <c r="F440" s="345"/>
      <c r="G440" s="345"/>
      <c r="H440" s="345"/>
      <c r="I440" s="345"/>
      <c r="J440" s="345"/>
      <c r="K440" s="345"/>
      <c r="L440" s="345"/>
      <c r="M440" s="345"/>
      <c r="N440" s="345"/>
      <c r="O440" s="345"/>
      <c r="P440" s="345"/>
      <c r="Q440" s="345"/>
      <c r="R440" s="345"/>
      <c r="S440" s="345"/>
      <c r="T440" s="345"/>
      <c r="U440" s="345"/>
      <c r="V440" s="345"/>
      <c r="W440" s="345"/>
      <c r="X440" s="345"/>
      <c r="Y440" s="345"/>
      <c r="Z440" s="331"/>
    </row>
    <row r="441">
      <c r="A441" s="345"/>
      <c r="B441" s="369"/>
      <c r="C441" s="345"/>
      <c r="D441" s="345"/>
      <c r="E441" s="345"/>
      <c r="F441" s="345"/>
      <c r="G441" s="345"/>
      <c r="H441" s="345"/>
      <c r="I441" s="345"/>
      <c r="J441" s="345"/>
      <c r="K441" s="345"/>
      <c r="L441" s="345"/>
      <c r="M441" s="345"/>
      <c r="N441" s="345"/>
      <c r="O441" s="345"/>
      <c r="P441" s="345"/>
      <c r="Q441" s="345"/>
      <c r="R441" s="345"/>
      <c r="S441" s="345"/>
      <c r="T441" s="345"/>
      <c r="U441" s="345"/>
      <c r="V441" s="345"/>
      <c r="W441" s="345"/>
      <c r="X441" s="345"/>
      <c r="Y441" s="345"/>
      <c r="Z441" s="331"/>
    </row>
    <row r="442">
      <c r="A442" s="345"/>
      <c r="B442" s="369"/>
      <c r="C442" s="345"/>
      <c r="D442" s="345"/>
      <c r="E442" s="345"/>
      <c r="F442" s="345"/>
      <c r="G442" s="345"/>
      <c r="H442" s="345"/>
      <c r="I442" s="345"/>
      <c r="J442" s="345"/>
      <c r="K442" s="345"/>
      <c r="L442" s="345"/>
      <c r="M442" s="345"/>
      <c r="N442" s="345"/>
      <c r="O442" s="345"/>
      <c r="P442" s="345"/>
      <c r="Q442" s="345"/>
      <c r="R442" s="345"/>
      <c r="S442" s="345"/>
      <c r="T442" s="345"/>
      <c r="U442" s="345"/>
      <c r="V442" s="345"/>
      <c r="W442" s="345"/>
      <c r="X442" s="345"/>
      <c r="Y442" s="345"/>
      <c r="Z442" s="331"/>
    </row>
    <row r="443">
      <c r="A443" s="345"/>
      <c r="B443" s="369"/>
      <c r="C443" s="345"/>
      <c r="D443" s="345"/>
      <c r="E443" s="345"/>
      <c r="F443" s="345"/>
      <c r="G443" s="345"/>
      <c r="H443" s="345"/>
      <c r="I443" s="345"/>
      <c r="J443" s="345"/>
      <c r="K443" s="345"/>
      <c r="L443" s="345"/>
      <c r="M443" s="345"/>
      <c r="N443" s="345"/>
      <c r="O443" s="345"/>
      <c r="P443" s="345"/>
      <c r="Q443" s="345"/>
      <c r="R443" s="345"/>
      <c r="S443" s="345"/>
      <c r="T443" s="345"/>
      <c r="U443" s="345"/>
      <c r="V443" s="345"/>
      <c r="W443" s="345"/>
      <c r="X443" s="345"/>
      <c r="Y443" s="345"/>
      <c r="Z443" s="331"/>
    </row>
    <row r="444">
      <c r="A444" s="345"/>
      <c r="B444" s="369"/>
      <c r="C444" s="345"/>
      <c r="D444" s="345"/>
      <c r="E444" s="345"/>
      <c r="F444" s="345"/>
      <c r="G444" s="345"/>
      <c r="H444" s="345"/>
      <c r="I444" s="345"/>
      <c r="J444" s="345"/>
      <c r="K444" s="345"/>
      <c r="L444" s="345"/>
      <c r="M444" s="345"/>
      <c r="N444" s="345"/>
      <c r="O444" s="345"/>
      <c r="P444" s="345"/>
      <c r="Q444" s="345"/>
      <c r="R444" s="345"/>
      <c r="S444" s="345"/>
      <c r="T444" s="345"/>
      <c r="U444" s="345"/>
      <c r="V444" s="345"/>
      <c r="W444" s="345"/>
      <c r="X444" s="345"/>
      <c r="Y444" s="345"/>
      <c r="Z444" s="331"/>
    </row>
    <row r="445">
      <c r="A445" s="345"/>
      <c r="B445" s="369"/>
      <c r="C445" s="345"/>
      <c r="D445" s="345"/>
      <c r="E445" s="345"/>
      <c r="F445" s="345"/>
      <c r="G445" s="345"/>
      <c r="H445" s="345"/>
      <c r="I445" s="345"/>
      <c r="J445" s="345"/>
      <c r="K445" s="345"/>
      <c r="L445" s="345"/>
      <c r="M445" s="345"/>
      <c r="N445" s="345"/>
      <c r="O445" s="345"/>
      <c r="P445" s="345"/>
      <c r="Q445" s="345"/>
      <c r="R445" s="345"/>
      <c r="S445" s="345"/>
      <c r="T445" s="345"/>
      <c r="U445" s="345"/>
      <c r="V445" s="345"/>
      <c r="W445" s="345"/>
      <c r="X445" s="345"/>
      <c r="Y445" s="345"/>
      <c r="Z445" s="331"/>
    </row>
    <row r="446">
      <c r="A446" s="345"/>
      <c r="B446" s="369"/>
      <c r="C446" s="345"/>
      <c r="D446" s="345"/>
      <c r="E446" s="345"/>
      <c r="F446" s="345"/>
      <c r="G446" s="345"/>
      <c r="H446" s="345"/>
      <c r="I446" s="345"/>
      <c r="J446" s="345"/>
      <c r="K446" s="345"/>
      <c r="L446" s="345"/>
      <c r="M446" s="345"/>
      <c r="N446" s="345"/>
      <c r="O446" s="345"/>
      <c r="P446" s="345"/>
      <c r="Q446" s="345"/>
      <c r="R446" s="345"/>
      <c r="S446" s="345"/>
      <c r="T446" s="345"/>
      <c r="U446" s="345"/>
      <c r="V446" s="345"/>
      <c r="W446" s="345"/>
      <c r="X446" s="345"/>
      <c r="Y446" s="345"/>
      <c r="Z446" s="331"/>
    </row>
    <row r="447">
      <c r="A447" s="345"/>
      <c r="B447" s="369"/>
      <c r="C447" s="345"/>
      <c r="D447" s="345"/>
      <c r="E447" s="345"/>
      <c r="F447" s="345"/>
      <c r="G447" s="345"/>
      <c r="H447" s="345"/>
      <c r="I447" s="345"/>
      <c r="J447" s="345"/>
      <c r="K447" s="345"/>
      <c r="L447" s="345"/>
      <c r="M447" s="345"/>
      <c r="N447" s="345"/>
      <c r="O447" s="345"/>
      <c r="P447" s="345"/>
      <c r="Q447" s="345"/>
      <c r="R447" s="345"/>
      <c r="S447" s="345"/>
      <c r="T447" s="345"/>
      <c r="U447" s="345"/>
      <c r="V447" s="345"/>
      <c r="W447" s="345"/>
      <c r="X447" s="345"/>
      <c r="Y447" s="345"/>
      <c r="Z447" s="331"/>
    </row>
    <row r="448">
      <c r="A448" s="345"/>
      <c r="B448" s="369"/>
      <c r="C448" s="345"/>
      <c r="D448" s="345"/>
      <c r="E448" s="345"/>
      <c r="F448" s="345"/>
      <c r="G448" s="345"/>
      <c r="H448" s="345"/>
      <c r="I448" s="345"/>
      <c r="J448" s="345"/>
      <c r="K448" s="345"/>
      <c r="L448" s="345"/>
      <c r="M448" s="345"/>
      <c r="N448" s="345"/>
      <c r="O448" s="345"/>
      <c r="P448" s="345"/>
      <c r="Q448" s="345"/>
      <c r="R448" s="345"/>
      <c r="S448" s="345"/>
      <c r="T448" s="345"/>
      <c r="U448" s="345"/>
      <c r="V448" s="345"/>
      <c r="W448" s="345"/>
      <c r="X448" s="345"/>
      <c r="Y448" s="345"/>
      <c r="Z448" s="331"/>
    </row>
    <row r="449">
      <c r="A449" s="345"/>
      <c r="B449" s="369"/>
      <c r="C449" s="345"/>
      <c r="D449" s="345"/>
      <c r="E449" s="345"/>
      <c r="F449" s="345"/>
      <c r="G449" s="345"/>
      <c r="H449" s="345"/>
      <c r="I449" s="345"/>
      <c r="J449" s="345"/>
      <c r="K449" s="345"/>
      <c r="L449" s="345"/>
      <c r="M449" s="345"/>
      <c r="N449" s="345"/>
      <c r="O449" s="345"/>
      <c r="P449" s="345"/>
      <c r="Q449" s="345"/>
      <c r="R449" s="345"/>
      <c r="S449" s="345"/>
      <c r="T449" s="345"/>
      <c r="U449" s="345"/>
      <c r="V449" s="345"/>
      <c r="W449" s="345"/>
      <c r="X449" s="345"/>
      <c r="Y449" s="345"/>
      <c r="Z449" s="331"/>
    </row>
    <row r="450">
      <c r="A450" s="345"/>
      <c r="B450" s="369"/>
      <c r="C450" s="345"/>
      <c r="D450" s="345"/>
      <c r="E450" s="345"/>
      <c r="F450" s="345"/>
      <c r="G450" s="345"/>
      <c r="H450" s="345"/>
      <c r="I450" s="345"/>
      <c r="J450" s="345"/>
      <c r="K450" s="345"/>
      <c r="L450" s="345"/>
      <c r="M450" s="345"/>
      <c r="N450" s="345"/>
      <c r="O450" s="345"/>
      <c r="P450" s="345"/>
      <c r="Q450" s="345"/>
      <c r="R450" s="345"/>
      <c r="S450" s="345"/>
      <c r="T450" s="345"/>
      <c r="U450" s="345"/>
      <c r="V450" s="345"/>
      <c r="W450" s="345"/>
      <c r="X450" s="345"/>
      <c r="Y450" s="345"/>
      <c r="Z450" s="331"/>
    </row>
    <row r="451">
      <c r="A451" s="345"/>
      <c r="B451" s="369"/>
      <c r="C451" s="345"/>
      <c r="D451" s="345"/>
      <c r="E451" s="345"/>
      <c r="F451" s="345"/>
      <c r="G451" s="345"/>
      <c r="H451" s="345"/>
      <c r="I451" s="345"/>
      <c r="J451" s="345"/>
      <c r="K451" s="345"/>
      <c r="L451" s="345"/>
      <c r="M451" s="345"/>
      <c r="N451" s="345"/>
      <c r="O451" s="345"/>
      <c r="P451" s="345"/>
      <c r="Q451" s="345"/>
      <c r="R451" s="345"/>
      <c r="S451" s="345"/>
      <c r="T451" s="345"/>
      <c r="U451" s="345"/>
      <c r="V451" s="345"/>
      <c r="W451" s="345"/>
      <c r="X451" s="345"/>
      <c r="Y451" s="345"/>
      <c r="Z451" s="331"/>
    </row>
    <row r="452">
      <c r="A452" s="345"/>
      <c r="B452" s="369"/>
      <c r="C452" s="345"/>
      <c r="D452" s="345"/>
      <c r="E452" s="345"/>
      <c r="F452" s="345"/>
      <c r="G452" s="345"/>
      <c r="H452" s="345"/>
      <c r="I452" s="345"/>
      <c r="J452" s="345"/>
      <c r="K452" s="345"/>
      <c r="L452" s="345"/>
      <c r="M452" s="345"/>
      <c r="N452" s="345"/>
      <c r="O452" s="345"/>
      <c r="P452" s="345"/>
      <c r="Q452" s="345"/>
      <c r="R452" s="345"/>
      <c r="S452" s="345"/>
      <c r="T452" s="345"/>
      <c r="U452" s="345"/>
      <c r="V452" s="345"/>
      <c r="W452" s="345"/>
      <c r="X452" s="345"/>
      <c r="Y452" s="345"/>
      <c r="Z452" s="331"/>
    </row>
    <row r="453">
      <c r="A453" s="345"/>
      <c r="B453" s="369"/>
      <c r="C453" s="345"/>
      <c r="D453" s="345"/>
      <c r="E453" s="345"/>
      <c r="F453" s="345"/>
      <c r="G453" s="345"/>
      <c r="H453" s="345"/>
      <c r="I453" s="345"/>
      <c r="J453" s="345"/>
      <c r="K453" s="345"/>
      <c r="L453" s="345"/>
      <c r="M453" s="345"/>
      <c r="N453" s="345"/>
      <c r="O453" s="345"/>
      <c r="P453" s="345"/>
      <c r="Q453" s="345"/>
      <c r="R453" s="345"/>
      <c r="S453" s="345"/>
      <c r="T453" s="345"/>
      <c r="U453" s="345"/>
      <c r="V453" s="345"/>
      <c r="W453" s="345"/>
      <c r="X453" s="345"/>
      <c r="Y453" s="345"/>
      <c r="Z453" s="331"/>
    </row>
    <row r="454">
      <c r="A454" s="345"/>
      <c r="B454" s="369"/>
      <c r="C454" s="345"/>
      <c r="D454" s="345"/>
      <c r="E454" s="345"/>
      <c r="F454" s="345"/>
      <c r="G454" s="345"/>
      <c r="H454" s="345"/>
      <c r="I454" s="345"/>
      <c r="J454" s="345"/>
      <c r="K454" s="345"/>
      <c r="L454" s="345"/>
      <c r="M454" s="345"/>
      <c r="N454" s="345"/>
      <c r="O454" s="345"/>
      <c r="P454" s="345"/>
      <c r="Q454" s="345"/>
      <c r="R454" s="345"/>
      <c r="S454" s="345"/>
      <c r="T454" s="345"/>
      <c r="U454" s="345"/>
      <c r="V454" s="345"/>
      <c r="W454" s="345"/>
      <c r="X454" s="345"/>
      <c r="Y454" s="345"/>
      <c r="Z454" s="331"/>
    </row>
    <row r="455">
      <c r="A455" s="345"/>
      <c r="B455" s="369"/>
      <c r="C455" s="345"/>
      <c r="D455" s="345"/>
      <c r="E455" s="345"/>
      <c r="F455" s="345"/>
      <c r="G455" s="345"/>
      <c r="H455" s="345"/>
      <c r="I455" s="345"/>
      <c r="J455" s="345"/>
      <c r="K455" s="345"/>
      <c r="L455" s="345"/>
      <c r="M455" s="345"/>
      <c r="N455" s="345"/>
      <c r="O455" s="345"/>
      <c r="P455" s="345"/>
      <c r="Q455" s="345"/>
      <c r="R455" s="345"/>
      <c r="S455" s="345"/>
      <c r="T455" s="345"/>
      <c r="U455" s="345"/>
      <c r="V455" s="345"/>
      <c r="W455" s="345"/>
      <c r="X455" s="345"/>
      <c r="Y455" s="345"/>
      <c r="Z455" s="331"/>
    </row>
    <row r="456">
      <c r="A456" s="345"/>
      <c r="B456" s="369"/>
      <c r="C456" s="345"/>
      <c r="D456" s="345"/>
      <c r="E456" s="345"/>
      <c r="F456" s="345"/>
      <c r="G456" s="345"/>
      <c r="H456" s="345"/>
      <c r="I456" s="345"/>
      <c r="J456" s="345"/>
      <c r="K456" s="345"/>
      <c r="L456" s="345"/>
      <c r="M456" s="345"/>
      <c r="N456" s="345"/>
      <c r="O456" s="345"/>
      <c r="P456" s="345"/>
      <c r="Q456" s="345"/>
      <c r="R456" s="345"/>
      <c r="S456" s="345"/>
      <c r="T456" s="345"/>
      <c r="U456" s="345"/>
      <c r="V456" s="345"/>
      <c r="W456" s="345"/>
      <c r="X456" s="345"/>
      <c r="Y456" s="345"/>
      <c r="Z456" s="331"/>
    </row>
    <row r="457">
      <c r="A457" s="345"/>
      <c r="B457" s="369"/>
      <c r="C457" s="345"/>
      <c r="D457" s="345"/>
      <c r="E457" s="345"/>
      <c r="F457" s="345"/>
      <c r="G457" s="345"/>
      <c r="H457" s="345"/>
      <c r="I457" s="345"/>
      <c r="J457" s="345"/>
      <c r="K457" s="345"/>
      <c r="L457" s="345"/>
      <c r="M457" s="345"/>
      <c r="N457" s="345"/>
      <c r="O457" s="345"/>
      <c r="P457" s="345"/>
      <c r="Q457" s="345"/>
      <c r="R457" s="345"/>
      <c r="S457" s="345"/>
      <c r="T457" s="345"/>
      <c r="U457" s="345"/>
      <c r="V457" s="345"/>
      <c r="W457" s="345"/>
      <c r="X457" s="345"/>
      <c r="Y457" s="345"/>
      <c r="Z457" s="331"/>
    </row>
    <row r="458">
      <c r="A458" s="345"/>
      <c r="B458" s="369"/>
      <c r="C458" s="345"/>
      <c r="D458" s="345"/>
      <c r="E458" s="345"/>
      <c r="F458" s="345"/>
      <c r="G458" s="345"/>
      <c r="H458" s="345"/>
      <c r="I458" s="345"/>
      <c r="J458" s="345"/>
      <c r="K458" s="345"/>
      <c r="L458" s="345"/>
      <c r="M458" s="345"/>
      <c r="N458" s="345"/>
      <c r="O458" s="345"/>
      <c r="P458" s="345"/>
      <c r="Q458" s="345"/>
      <c r="R458" s="345"/>
      <c r="S458" s="345"/>
      <c r="T458" s="345"/>
      <c r="U458" s="345"/>
      <c r="V458" s="345"/>
      <c r="W458" s="345"/>
      <c r="X458" s="345"/>
      <c r="Y458" s="345"/>
      <c r="Z458" s="331"/>
    </row>
    <row r="459">
      <c r="A459" s="345"/>
      <c r="B459" s="369"/>
      <c r="C459" s="345"/>
      <c r="D459" s="345"/>
      <c r="E459" s="345"/>
      <c r="F459" s="345"/>
      <c r="G459" s="345"/>
      <c r="H459" s="345"/>
      <c r="I459" s="345"/>
      <c r="J459" s="345"/>
      <c r="K459" s="345"/>
      <c r="L459" s="345"/>
      <c r="M459" s="345"/>
      <c r="N459" s="345"/>
      <c r="O459" s="345"/>
      <c r="P459" s="345"/>
      <c r="Q459" s="345"/>
      <c r="R459" s="345"/>
      <c r="S459" s="345"/>
      <c r="T459" s="345"/>
      <c r="U459" s="345"/>
      <c r="V459" s="345"/>
      <c r="W459" s="345"/>
      <c r="X459" s="345"/>
      <c r="Y459" s="345"/>
      <c r="Z459" s="331"/>
    </row>
    <row r="460">
      <c r="A460" s="345"/>
      <c r="B460" s="369"/>
      <c r="C460" s="345"/>
      <c r="D460" s="345"/>
      <c r="E460" s="345"/>
      <c r="F460" s="345"/>
      <c r="G460" s="345"/>
      <c r="H460" s="345"/>
      <c r="I460" s="345"/>
      <c r="J460" s="345"/>
      <c r="K460" s="345"/>
      <c r="L460" s="345"/>
      <c r="M460" s="345"/>
      <c r="N460" s="345"/>
      <c r="O460" s="345"/>
      <c r="P460" s="345"/>
      <c r="Q460" s="345"/>
      <c r="R460" s="345"/>
      <c r="S460" s="345"/>
      <c r="T460" s="345"/>
      <c r="U460" s="345"/>
      <c r="V460" s="345"/>
      <c r="W460" s="345"/>
      <c r="X460" s="345"/>
      <c r="Y460" s="345"/>
      <c r="Z460" s="331"/>
    </row>
    <row r="461">
      <c r="A461" s="345"/>
      <c r="B461" s="369"/>
      <c r="C461" s="345"/>
      <c r="D461" s="345"/>
      <c r="E461" s="345"/>
      <c r="F461" s="345"/>
      <c r="G461" s="345"/>
      <c r="H461" s="345"/>
      <c r="I461" s="345"/>
      <c r="J461" s="345"/>
      <c r="K461" s="345"/>
      <c r="L461" s="345"/>
      <c r="M461" s="345"/>
      <c r="N461" s="345"/>
      <c r="O461" s="345"/>
      <c r="P461" s="345"/>
      <c r="Q461" s="345"/>
      <c r="R461" s="345"/>
      <c r="S461" s="345"/>
      <c r="T461" s="345"/>
      <c r="U461" s="345"/>
      <c r="V461" s="345"/>
      <c r="W461" s="345"/>
      <c r="X461" s="345"/>
      <c r="Y461" s="345"/>
      <c r="Z461" s="331"/>
    </row>
    <row r="462">
      <c r="A462" s="345"/>
      <c r="B462" s="369"/>
      <c r="C462" s="345"/>
      <c r="D462" s="345"/>
      <c r="E462" s="345"/>
      <c r="F462" s="345"/>
      <c r="G462" s="345"/>
      <c r="H462" s="345"/>
      <c r="I462" s="345"/>
      <c r="J462" s="345"/>
      <c r="K462" s="345"/>
      <c r="L462" s="345"/>
      <c r="M462" s="345"/>
      <c r="N462" s="345"/>
      <c r="O462" s="345"/>
      <c r="P462" s="345"/>
      <c r="Q462" s="345"/>
      <c r="R462" s="345"/>
      <c r="S462" s="345"/>
      <c r="T462" s="345"/>
      <c r="U462" s="345"/>
      <c r="V462" s="345"/>
      <c r="W462" s="345"/>
      <c r="X462" s="345"/>
      <c r="Y462" s="345"/>
      <c r="Z462" s="331"/>
    </row>
    <row r="463">
      <c r="A463" s="345"/>
      <c r="B463" s="369"/>
      <c r="C463" s="345"/>
      <c r="D463" s="345"/>
      <c r="E463" s="345"/>
      <c r="F463" s="345"/>
      <c r="G463" s="345"/>
      <c r="H463" s="345"/>
      <c r="I463" s="345"/>
      <c r="J463" s="345"/>
      <c r="K463" s="345"/>
      <c r="L463" s="345"/>
      <c r="M463" s="345"/>
      <c r="N463" s="345"/>
      <c r="O463" s="345"/>
      <c r="P463" s="345"/>
      <c r="Q463" s="345"/>
      <c r="R463" s="345"/>
      <c r="S463" s="345"/>
      <c r="T463" s="345"/>
      <c r="U463" s="345"/>
      <c r="V463" s="345"/>
      <c r="W463" s="345"/>
      <c r="X463" s="345"/>
      <c r="Y463" s="345"/>
      <c r="Z463" s="331"/>
    </row>
    <row r="464">
      <c r="A464" s="345"/>
      <c r="B464" s="369"/>
      <c r="C464" s="345"/>
      <c r="D464" s="345"/>
      <c r="E464" s="345"/>
      <c r="F464" s="345"/>
      <c r="G464" s="345"/>
      <c r="H464" s="345"/>
      <c r="I464" s="345"/>
      <c r="J464" s="345"/>
      <c r="K464" s="345"/>
      <c r="L464" s="345"/>
      <c r="M464" s="345"/>
      <c r="N464" s="345"/>
      <c r="O464" s="345"/>
      <c r="P464" s="345"/>
      <c r="Q464" s="345"/>
      <c r="R464" s="345"/>
      <c r="S464" s="345"/>
      <c r="T464" s="345"/>
      <c r="U464" s="345"/>
      <c r="V464" s="345"/>
      <c r="W464" s="345"/>
      <c r="X464" s="345"/>
      <c r="Y464" s="345"/>
      <c r="Z464" s="331"/>
    </row>
    <row r="465">
      <c r="A465" s="345"/>
      <c r="B465" s="369"/>
      <c r="C465" s="345"/>
      <c r="D465" s="345"/>
      <c r="E465" s="345"/>
      <c r="F465" s="345"/>
      <c r="G465" s="345"/>
      <c r="H465" s="345"/>
      <c r="I465" s="345"/>
      <c r="J465" s="345"/>
      <c r="K465" s="345"/>
      <c r="L465" s="345"/>
      <c r="M465" s="345"/>
      <c r="N465" s="345"/>
      <c r="O465" s="345"/>
      <c r="P465" s="345"/>
      <c r="Q465" s="345"/>
      <c r="R465" s="345"/>
      <c r="S465" s="345"/>
      <c r="T465" s="345"/>
      <c r="U465" s="345"/>
      <c r="V465" s="345"/>
      <c r="W465" s="345"/>
      <c r="X465" s="345"/>
      <c r="Y465" s="345"/>
      <c r="Z465" s="331"/>
    </row>
    <row r="466">
      <c r="A466" s="345"/>
      <c r="B466" s="369"/>
      <c r="C466" s="345"/>
      <c r="D466" s="345"/>
      <c r="E466" s="345"/>
      <c r="F466" s="345"/>
      <c r="G466" s="345"/>
      <c r="H466" s="345"/>
      <c r="I466" s="345"/>
      <c r="J466" s="345"/>
      <c r="K466" s="345"/>
      <c r="L466" s="345"/>
      <c r="M466" s="345"/>
      <c r="N466" s="345"/>
      <c r="O466" s="345"/>
      <c r="P466" s="345"/>
      <c r="Q466" s="345"/>
      <c r="R466" s="345"/>
      <c r="S466" s="345"/>
      <c r="T466" s="345"/>
      <c r="U466" s="345"/>
      <c r="V466" s="345"/>
      <c r="W466" s="345"/>
      <c r="X466" s="345"/>
      <c r="Y466" s="345"/>
      <c r="Z466" s="331"/>
    </row>
    <row r="467">
      <c r="A467" s="345"/>
      <c r="B467" s="369"/>
      <c r="C467" s="345"/>
      <c r="D467" s="345"/>
      <c r="E467" s="345"/>
      <c r="F467" s="345"/>
      <c r="G467" s="345"/>
      <c r="H467" s="345"/>
      <c r="I467" s="345"/>
      <c r="J467" s="345"/>
      <c r="K467" s="345"/>
      <c r="L467" s="345"/>
      <c r="M467" s="345"/>
      <c r="N467" s="345"/>
      <c r="O467" s="345"/>
      <c r="P467" s="345"/>
      <c r="Q467" s="345"/>
      <c r="R467" s="345"/>
      <c r="S467" s="345"/>
      <c r="T467" s="345"/>
      <c r="U467" s="345"/>
      <c r="V467" s="345"/>
      <c r="W467" s="345"/>
      <c r="X467" s="345"/>
      <c r="Y467" s="345"/>
      <c r="Z467" s="331"/>
    </row>
    <row r="468">
      <c r="A468" s="345"/>
      <c r="B468" s="369"/>
      <c r="C468" s="345"/>
      <c r="D468" s="345"/>
      <c r="E468" s="345"/>
      <c r="F468" s="345"/>
      <c r="G468" s="345"/>
      <c r="H468" s="345"/>
      <c r="I468" s="345"/>
      <c r="J468" s="345"/>
      <c r="K468" s="345"/>
      <c r="L468" s="345"/>
      <c r="M468" s="345"/>
      <c r="N468" s="345"/>
      <c r="O468" s="345"/>
      <c r="P468" s="345"/>
      <c r="Q468" s="345"/>
      <c r="R468" s="345"/>
      <c r="S468" s="345"/>
      <c r="T468" s="345"/>
      <c r="U468" s="345"/>
      <c r="V468" s="345"/>
      <c r="W468" s="345"/>
      <c r="X468" s="345"/>
      <c r="Y468" s="345"/>
      <c r="Z468" s="331"/>
    </row>
    <row r="469">
      <c r="A469" s="345"/>
      <c r="B469" s="369"/>
      <c r="C469" s="345"/>
      <c r="D469" s="345"/>
      <c r="E469" s="345"/>
      <c r="F469" s="345"/>
      <c r="G469" s="345"/>
      <c r="H469" s="345"/>
      <c r="I469" s="345"/>
      <c r="J469" s="345"/>
      <c r="K469" s="345"/>
      <c r="L469" s="345"/>
      <c r="M469" s="345"/>
      <c r="N469" s="345"/>
      <c r="O469" s="345"/>
      <c r="P469" s="345"/>
      <c r="Q469" s="345"/>
      <c r="R469" s="345"/>
      <c r="S469" s="345"/>
      <c r="T469" s="345"/>
      <c r="U469" s="345"/>
      <c r="V469" s="345"/>
      <c r="W469" s="345"/>
      <c r="X469" s="345"/>
      <c r="Y469" s="345"/>
      <c r="Z469" s="331"/>
    </row>
    <row r="470">
      <c r="A470" s="345"/>
      <c r="B470" s="369"/>
      <c r="C470" s="345"/>
      <c r="D470" s="345"/>
      <c r="E470" s="345"/>
      <c r="F470" s="345"/>
      <c r="G470" s="345"/>
      <c r="H470" s="345"/>
      <c r="I470" s="345"/>
      <c r="J470" s="345"/>
      <c r="K470" s="345"/>
      <c r="L470" s="345"/>
      <c r="M470" s="345"/>
      <c r="N470" s="345"/>
      <c r="O470" s="345"/>
      <c r="P470" s="345"/>
      <c r="Q470" s="345"/>
      <c r="R470" s="345"/>
      <c r="S470" s="345"/>
      <c r="T470" s="345"/>
      <c r="U470" s="345"/>
      <c r="V470" s="345"/>
      <c r="W470" s="345"/>
      <c r="X470" s="345"/>
      <c r="Y470" s="345"/>
      <c r="Z470" s="331"/>
    </row>
    <row r="471">
      <c r="A471" s="345"/>
      <c r="B471" s="369"/>
      <c r="C471" s="345"/>
      <c r="D471" s="345"/>
      <c r="E471" s="345"/>
      <c r="F471" s="345"/>
      <c r="G471" s="345"/>
      <c r="H471" s="345"/>
      <c r="I471" s="345"/>
      <c r="J471" s="345"/>
      <c r="K471" s="345"/>
      <c r="L471" s="345"/>
      <c r="M471" s="345"/>
      <c r="N471" s="345"/>
      <c r="O471" s="345"/>
      <c r="P471" s="345"/>
      <c r="Q471" s="345"/>
      <c r="R471" s="345"/>
      <c r="S471" s="345"/>
      <c r="T471" s="345"/>
      <c r="U471" s="345"/>
      <c r="V471" s="345"/>
      <c r="W471" s="345"/>
      <c r="X471" s="345"/>
      <c r="Y471" s="345"/>
      <c r="Z471" s="331"/>
    </row>
    <row r="472">
      <c r="A472" s="345"/>
      <c r="B472" s="369"/>
      <c r="C472" s="345"/>
      <c r="D472" s="345"/>
      <c r="E472" s="345"/>
      <c r="F472" s="345"/>
      <c r="G472" s="345"/>
      <c r="H472" s="345"/>
      <c r="I472" s="345"/>
      <c r="J472" s="345"/>
      <c r="K472" s="345"/>
      <c r="L472" s="345"/>
      <c r="M472" s="345"/>
      <c r="N472" s="345"/>
      <c r="O472" s="345"/>
      <c r="P472" s="345"/>
      <c r="Q472" s="345"/>
      <c r="R472" s="345"/>
      <c r="S472" s="345"/>
      <c r="T472" s="345"/>
      <c r="U472" s="345"/>
      <c r="V472" s="345"/>
      <c r="W472" s="345"/>
      <c r="X472" s="345"/>
      <c r="Y472" s="345"/>
      <c r="Z472" s="331"/>
    </row>
    <row r="473">
      <c r="A473" s="345"/>
      <c r="B473" s="369"/>
      <c r="C473" s="345"/>
      <c r="D473" s="345"/>
      <c r="E473" s="345"/>
      <c r="F473" s="345"/>
      <c r="G473" s="345"/>
      <c r="H473" s="345"/>
      <c r="I473" s="345"/>
      <c r="J473" s="345"/>
      <c r="K473" s="345"/>
      <c r="L473" s="345"/>
      <c r="M473" s="345"/>
      <c r="N473" s="345"/>
      <c r="O473" s="345"/>
      <c r="P473" s="345"/>
      <c r="Q473" s="345"/>
      <c r="R473" s="345"/>
      <c r="S473" s="345"/>
      <c r="T473" s="345"/>
      <c r="U473" s="345"/>
      <c r="V473" s="345"/>
      <c r="W473" s="345"/>
      <c r="X473" s="345"/>
      <c r="Y473" s="345"/>
      <c r="Z473" s="331"/>
    </row>
    <row r="474">
      <c r="A474" s="345"/>
      <c r="B474" s="369"/>
      <c r="C474" s="345"/>
      <c r="D474" s="345"/>
      <c r="E474" s="345"/>
      <c r="F474" s="345"/>
      <c r="G474" s="345"/>
      <c r="H474" s="345"/>
      <c r="I474" s="345"/>
      <c r="J474" s="345"/>
      <c r="K474" s="345"/>
      <c r="L474" s="345"/>
      <c r="M474" s="345"/>
      <c r="N474" s="345"/>
      <c r="O474" s="345"/>
      <c r="P474" s="345"/>
      <c r="Q474" s="345"/>
      <c r="R474" s="345"/>
      <c r="S474" s="345"/>
      <c r="T474" s="345"/>
      <c r="U474" s="345"/>
      <c r="V474" s="345"/>
      <c r="W474" s="345"/>
      <c r="X474" s="345"/>
      <c r="Y474" s="345"/>
      <c r="Z474" s="331"/>
    </row>
    <row r="475">
      <c r="A475" s="345"/>
      <c r="B475" s="369"/>
      <c r="C475" s="345"/>
      <c r="D475" s="345"/>
      <c r="E475" s="345"/>
      <c r="F475" s="345"/>
      <c r="G475" s="345"/>
      <c r="H475" s="345"/>
      <c r="I475" s="345"/>
      <c r="J475" s="345"/>
      <c r="K475" s="345"/>
      <c r="L475" s="345"/>
      <c r="M475" s="345"/>
      <c r="N475" s="345"/>
      <c r="O475" s="345"/>
      <c r="P475" s="345"/>
      <c r="Q475" s="345"/>
      <c r="R475" s="345"/>
      <c r="S475" s="345"/>
      <c r="T475" s="345"/>
      <c r="U475" s="345"/>
      <c r="V475" s="345"/>
      <c r="W475" s="345"/>
      <c r="X475" s="345"/>
      <c r="Y475" s="345"/>
      <c r="Z475" s="331"/>
    </row>
    <row r="476">
      <c r="A476" s="345"/>
      <c r="B476" s="369"/>
      <c r="C476" s="345"/>
      <c r="D476" s="345"/>
      <c r="E476" s="345"/>
      <c r="F476" s="345"/>
      <c r="G476" s="345"/>
      <c r="H476" s="345"/>
      <c r="I476" s="345"/>
      <c r="J476" s="345"/>
      <c r="K476" s="345"/>
      <c r="L476" s="345"/>
      <c r="M476" s="345"/>
      <c r="N476" s="345"/>
      <c r="O476" s="345"/>
      <c r="P476" s="345"/>
      <c r="Q476" s="345"/>
      <c r="R476" s="345"/>
      <c r="S476" s="345"/>
      <c r="T476" s="345"/>
      <c r="U476" s="345"/>
      <c r="V476" s="345"/>
      <c r="W476" s="345"/>
      <c r="X476" s="345"/>
      <c r="Y476" s="345"/>
      <c r="Z476" s="331"/>
    </row>
    <row r="477">
      <c r="A477" s="345"/>
      <c r="B477" s="369"/>
      <c r="C477" s="345"/>
      <c r="D477" s="345"/>
      <c r="E477" s="345"/>
      <c r="F477" s="345"/>
      <c r="G477" s="345"/>
      <c r="H477" s="345"/>
      <c r="I477" s="345"/>
      <c r="J477" s="345"/>
      <c r="K477" s="345"/>
      <c r="L477" s="345"/>
      <c r="M477" s="345"/>
      <c r="N477" s="345"/>
      <c r="O477" s="345"/>
      <c r="P477" s="345"/>
      <c r="Q477" s="345"/>
      <c r="R477" s="345"/>
      <c r="S477" s="345"/>
      <c r="T477" s="345"/>
      <c r="U477" s="345"/>
      <c r="V477" s="345"/>
      <c r="W477" s="345"/>
      <c r="X477" s="345"/>
      <c r="Y477" s="345"/>
      <c r="Z477" s="331"/>
    </row>
    <row r="478">
      <c r="A478" s="345"/>
      <c r="B478" s="369"/>
      <c r="C478" s="345"/>
      <c r="D478" s="345"/>
      <c r="E478" s="345"/>
      <c r="F478" s="345"/>
      <c r="G478" s="345"/>
      <c r="H478" s="345"/>
      <c r="I478" s="345"/>
      <c r="J478" s="345"/>
      <c r="K478" s="345"/>
      <c r="L478" s="345"/>
      <c r="M478" s="345"/>
      <c r="N478" s="345"/>
      <c r="O478" s="345"/>
      <c r="P478" s="345"/>
      <c r="Q478" s="345"/>
      <c r="R478" s="345"/>
      <c r="S478" s="345"/>
      <c r="T478" s="345"/>
      <c r="U478" s="345"/>
      <c r="V478" s="345"/>
      <c r="W478" s="345"/>
      <c r="X478" s="345"/>
      <c r="Y478" s="345"/>
      <c r="Z478" s="331"/>
    </row>
    <row r="479">
      <c r="A479" s="345"/>
      <c r="B479" s="369"/>
      <c r="C479" s="345"/>
      <c r="D479" s="345"/>
      <c r="E479" s="345"/>
      <c r="F479" s="345"/>
      <c r="G479" s="345"/>
      <c r="H479" s="345"/>
      <c r="I479" s="345"/>
      <c r="J479" s="345"/>
      <c r="K479" s="345"/>
      <c r="L479" s="345"/>
      <c r="M479" s="345"/>
      <c r="N479" s="345"/>
      <c r="O479" s="345"/>
      <c r="P479" s="345"/>
      <c r="Q479" s="345"/>
      <c r="R479" s="345"/>
      <c r="S479" s="345"/>
      <c r="T479" s="345"/>
      <c r="U479" s="345"/>
      <c r="V479" s="345"/>
      <c r="W479" s="345"/>
      <c r="X479" s="345"/>
      <c r="Y479" s="345"/>
      <c r="Z479" s="331"/>
    </row>
    <row r="480">
      <c r="A480" s="345"/>
      <c r="B480" s="369"/>
      <c r="C480" s="345"/>
      <c r="D480" s="345"/>
      <c r="E480" s="345"/>
      <c r="F480" s="345"/>
      <c r="G480" s="345"/>
      <c r="H480" s="345"/>
      <c r="I480" s="345"/>
      <c r="J480" s="345"/>
      <c r="K480" s="345"/>
      <c r="L480" s="345"/>
      <c r="M480" s="345"/>
      <c r="N480" s="345"/>
      <c r="O480" s="345"/>
      <c r="P480" s="345"/>
      <c r="Q480" s="345"/>
      <c r="R480" s="345"/>
      <c r="S480" s="345"/>
      <c r="T480" s="345"/>
      <c r="U480" s="345"/>
      <c r="V480" s="345"/>
      <c r="W480" s="345"/>
      <c r="X480" s="345"/>
      <c r="Y480" s="345"/>
      <c r="Z480" s="331"/>
    </row>
    <row r="481">
      <c r="A481" s="345"/>
      <c r="B481" s="369"/>
      <c r="C481" s="345"/>
      <c r="D481" s="345"/>
      <c r="E481" s="345"/>
      <c r="F481" s="345"/>
      <c r="G481" s="345"/>
      <c r="H481" s="345"/>
      <c r="I481" s="345"/>
      <c r="J481" s="345"/>
      <c r="K481" s="345"/>
      <c r="L481" s="345"/>
      <c r="M481" s="345"/>
      <c r="N481" s="345"/>
      <c r="O481" s="345"/>
      <c r="P481" s="345"/>
      <c r="Q481" s="345"/>
      <c r="R481" s="345"/>
      <c r="S481" s="345"/>
      <c r="T481" s="345"/>
      <c r="U481" s="345"/>
      <c r="V481" s="345"/>
      <c r="W481" s="345"/>
      <c r="X481" s="345"/>
      <c r="Y481" s="345"/>
      <c r="Z481" s="331"/>
    </row>
    <row r="482">
      <c r="A482" s="345"/>
      <c r="B482" s="369"/>
      <c r="C482" s="345"/>
      <c r="D482" s="345"/>
      <c r="E482" s="345"/>
      <c r="F482" s="345"/>
      <c r="G482" s="345"/>
      <c r="H482" s="345"/>
      <c r="I482" s="345"/>
      <c r="J482" s="345"/>
      <c r="K482" s="345"/>
      <c r="L482" s="345"/>
      <c r="M482" s="345"/>
      <c r="N482" s="345"/>
      <c r="O482" s="345"/>
      <c r="P482" s="345"/>
      <c r="Q482" s="345"/>
      <c r="R482" s="345"/>
      <c r="S482" s="345"/>
      <c r="T482" s="345"/>
      <c r="U482" s="345"/>
      <c r="V482" s="345"/>
      <c r="W482" s="345"/>
      <c r="X482" s="345"/>
      <c r="Y482" s="345"/>
      <c r="Z482" s="331"/>
    </row>
    <row r="483">
      <c r="A483" s="345"/>
      <c r="B483" s="369"/>
      <c r="C483" s="345"/>
      <c r="D483" s="345"/>
      <c r="E483" s="345"/>
      <c r="F483" s="345"/>
      <c r="G483" s="345"/>
      <c r="H483" s="345"/>
      <c r="I483" s="345"/>
      <c r="J483" s="345"/>
      <c r="K483" s="345"/>
      <c r="L483" s="345"/>
      <c r="M483" s="345"/>
      <c r="N483" s="345"/>
      <c r="O483" s="345"/>
      <c r="P483" s="345"/>
      <c r="Q483" s="345"/>
      <c r="R483" s="345"/>
      <c r="S483" s="345"/>
      <c r="T483" s="345"/>
      <c r="U483" s="345"/>
      <c r="V483" s="345"/>
      <c r="W483" s="345"/>
      <c r="X483" s="345"/>
      <c r="Y483" s="345"/>
      <c r="Z483" s="331"/>
    </row>
    <row r="484">
      <c r="A484" s="345"/>
      <c r="B484" s="369"/>
      <c r="C484" s="345"/>
      <c r="D484" s="345"/>
      <c r="E484" s="345"/>
      <c r="F484" s="345"/>
      <c r="G484" s="345"/>
      <c r="H484" s="345"/>
      <c r="I484" s="345"/>
      <c r="J484" s="345"/>
      <c r="K484" s="345"/>
      <c r="L484" s="345"/>
      <c r="M484" s="345"/>
      <c r="N484" s="345"/>
      <c r="O484" s="345"/>
      <c r="P484" s="345"/>
      <c r="Q484" s="345"/>
      <c r="R484" s="345"/>
      <c r="S484" s="345"/>
      <c r="T484" s="345"/>
      <c r="U484" s="345"/>
      <c r="V484" s="345"/>
      <c r="W484" s="345"/>
      <c r="X484" s="345"/>
      <c r="Y484" s="345"/>
      <c r="Z484" s="331"/>
    </row>
    <row r="485">
      <c r="A485" s="345"/>
      <c r="B485" s="369"/>
      <c r="C485" s="345"/>
      <c r="D485" s="345"/>
      <c r="E485" s="345"/>
      <c r="F485" s="345"/>
      <c r="G485" s="345"/>
      <c r="H485" s="345"/>
      <c r="I485" s="345"/>
      <c r="J485" s="345"/>
      <c r="K485" s="345"/>
      <c r="L485" s="345"/>
      <c r="M485" s="345"/>
      <c r="N485" s="345"/>
      <c r="O485" s="345"/>
      <c r="P485" s="345"/>
      <c r="Q485" s="345"/>
      <c r="R485" s="345"/>
      <c r="S485" s="345"/>
      <c r="T485" s="345"/>
      <c r="U485" s="345"/>
      <c r="V485" s="345"/>
      <c r="W485" s="345"/>
      <c r="X485" s="345"/>
      <c r="Y485" s="345"/>
      <c r="Z485" s="331"/>
    </row>
    <row r="486">
      <c r="A486" s="345"/>
      <c r="B486" s="369"/>
      <c r="C486" s="345"/>
      <c r="D486" s="345"/>
      <c r="E486" s="345"/>
      <c r="F486" s="345"/>
      <c r="G486" s="345"/>
      <c r="H486" s="345"/>
      <c r="I486" s="345"/>
      <c r="J486" s="345"/>
      <c r="K486" s="345"/>
      <c r="L486" s="345"/>
      <c r="M486" s="345"/>
      <c r="N486" s="345"/>
      <c r="O486" s="345"/>
      <c r="P486" s="345"/>
      <c r="Q486" s="345"/>
      <c r="R486" s="345"/>
      <c r="S486" s="345"/>
      <c r="T486" s="345"/>
      <c r="U486" s="345"/>
      <c r="V486" s="345"/>
      <c r="W486" s="345"/>
      <c r="X486" s="345"/>
      <c r="Y486" s="345"/>
      <c r="Z486" s="331"/>
    </row>
    <row r="487">
      <c r="A487" s="345"/>
      <c r="B487" s="369"/>
      <c r="C487" s="345"/>
      <c r="D487" s="345"/>
      <c r="E487" s="345"/>
      <c r="F487" s="345"/>
      <c r="G487" s="345"/>
      <c r="H487" s="345"/>
      <c r="I487" s="345"/>
      <c r="J487" s="345"/>
      <c r="K487" s="345"/>
      <c r="L487" s="345"/>
      <c r="M487" s="345"/>
      <c r="N487" s="345"/>
      <c r="O487" s="345"/>
      <c r="P487" s="345"/>
      <c r="Q487" s="345"/>
      <c r="R487" s="345"/>
      <c r="S487" s="345"/>
      <c r="T487" s="345"/>
      <c r="U487" s="345"/>
      <c r="V487" s="345"/>
      <c r="W487" s="345"/>
      <c r="X487" s="345"/>
      <c r="Y487" s="345"/>
      <c r="Z487" s="331"/>
    </row>
    <row r="488">
      <c r="A488" s="345"/>
      <c r="B488" s="369"/>
      <c r="C488" s="345"/>
      <c r="D488" s="345"/>
      <c r="E488" s="345"/>
      <c r="F488" s="345"/>
      <c r="G488" s="345"/>
      <c r="H488" s="345"/>
      <c r="I488" s="345"/>
      <c r="J488" s="345"/>
      <c r="K488" s="345"/>
      <c r="L488" s="345"/>
      <c r="M488" s="345"/>
      <c r="N488" s="345"/>
      <c r="O488" s="345"/>
      <c r="P488" s="345"/>
      <c r="Q488" s="345"/>
      <c r="R488" s="345"/>
      <c r="S488" s="345"/>
      <c r="T488" s="345"/>
      <c r="U488" s="345"/>
      <c r="V488" s="345"/>
      <c r="W488" s="345"/>
      <c r="X488" s="345"/>
      <c r="Y488" s="345"/>
      <c r="Z488" s="331"/>
    </row>
    <row r="489">
      <c r="A489" s="345"/>
      <c r="B489" s="369"/>
      <c r="C489" s="345"/>
      <c r="D489" s="345"/>
      <c r="E489" s="345"/>
      <c r="F489" s="345"/>
      <c r="G489" s="345"/>
      <c r="H489" s="345"/>
      <c r="I489" s="345"/>
      <c r="J489" s="345"/>
      <c r="K489" s="345"/>
      <c r="L489" s="345"/>
      <c r="M489" s="345"/>
      <c r="N489" s="345"/>
      <c r="O489" s="345"/>
      <c r="P489" s="345"/>
      <c r="Q489" s="345"/>
      <c r="R489" s="345"/>
      <c r="S489" s="345"/>
      <c r="T489" s="345"/>
      <c r="U489" s="345"/>
      <c r="V489" s="345"/>
      <c r="W489" s="345"/>
      <c r="X489" s="345"/>
      <c r="Y489" s="345"/>
      <c r="Z489" s="331"/>
    </row>
    <row r="490">
      <c r="A490" s="345"/>
      <c r="B490" s="369"/>
      <c r="C490" s="345"/>
      <c r="D490" s="345"/>
      <c r="E490" s="345"/>
      <c r="F490" s="345"/>
      <c r="G490" s="345"/>
      <c r="H490" s="345"/>
      <c r="I490" s="345"/>
      <c r="J490" s="345"/>
      <c r="K490" s="345"/>
      <c r="L490" s="345"/>
      <c r="M490" s="345"/>
      <c r="N490" s="345"/>
      <c r="O490" s="345"/>
      <c r="P490" s="345"/>
      <c r="Q490" s="345"/>
      <c r="R490" s="345"/>
      <c r="S490" s="345"/>
      <c r="T490" s="345"/>
      <c r="U490" s="345"/>
      <c r="V490" s="345"/>
      <c r="W490" s="345"/>
      <c r="X490" s="345"/>
      <c r="Y490" s="345"/>
      <c r="Z490" s="331"/>
    </row>
    <row r="491">
      <c r="A491" s="345"/>
      <c r="B491" s="369"/>
      <c r="C491" s="345"/>
      <c r="D491" s="345"/>
      <c r="E491" s="345"/>
      <c r="F491" s="345"/>
      <c r="G491" s="345"/>
      <c r="H491" s="345"/>
      <c r="I491" s="345"/>
      <c r="J491" s="345"/>
      <c r="K491" s="345"/>
      <c r="L491" s="345"/>
      <c r="M491" s="345"/>
      <c r="N491" s="345"/>
      <c r="O491" s="345"/>
      <c r="P491" s="345"/>
      <c r="Q491" s="345"/>
      <c r="R491" s="345"/>
      <c r="S491" s="345"/>
      <c r="T491" s="345"/>
      <c r="U491" s="345"/>
      <c r="V491" s="345"/>
      <c r="W491" s="345"/>
      <c r="X491" s="345"/>
      <c r="Y491" s="345"/>
      <c r="Z491" s="331"/>
    </row>
    <row r="492">
      <c r="A492" s="345"/>
      <c r="B492" s="369"/>
      <c r="C492" s="345"/>
      <c r="D492" s="345"/>
      <c r="E492" s="345"/>
      <c r="F492" s="345"/>
      <c r="G492" s="345"/>
      <c r="H492" s="345"/>
      <c r="I492" s="345"/>
      <c r="J492" s="345"/>
      <c r="K492" s="345"/>
      <c r="L492" s="345"/>
      <c r="M492" s="345"/>
      <c r="N492" s="345"/>
      <c r="O492" s="345"/>
      <c r="P492" s="345"/>
      <c r="Q492" s="345"/>
      <c r="R492" s="345"/>
      <c r="S492" s="345"/>
      <c r="T492" s="345"/>
      <c r="U492" s="345"/>
      <c r="V492" s="345"/>
      <c r="W492" s="345"/>
      <c r="X492" s="345"/>
      <c r="Y492" s="345"/>
      <c r="Z492" s="331"/>
    </row>
    <row r="493">
      <c r="A493" s="345"/>
      <c r="B493" s="369"/>
      <c r="C493" s="345"/>
      <c r="D493" s="345"/>
      <c r="E493" s="345"/>
      <c r="F493" s="345"/>
      <c r="G493" s="345"/>
      <c r="H493" s="345"/>
      <c r="I493" s="345"/>
      <c r="J493" s="345"/>
      <c r="K493" s="345"/>
      <c r="L493" s="345"/>
      <c r="M493" s="345"/>
      <c r="N493" s="345"/>
      <c r="O493" s="345"/>
      <c r="P493" s="345"/>
      <c r="Q493" s="345"/>
      <c r="R493" s="345"/>
      <c r="S493" s="345"/>
      <c r="T493" s="345"/>
      <c r="U493" s="345"/>
      <c r="V493" s="345"/>
      <c r="W493" s="345"/>
      <c r="X493" s="345"/>
      <c r="Y493" s="345"/>
      <c r="Z493" s="331"/>
    </row>
    <row r="494">
      <c r="A494" s="345"/>
      <c r="B494" s="369"/>
      <c r="C494" s="345"/>
      <c r="D494" s="345"/>
      <c r="E494" s="345"/>
      <c r="F494" s="345"/>
      <c r="G494" s="345"/>
      <c r="H494" s="345"/>
      <c r="I494" s="345"/>
      <c r="J494" s="345"/>
      <c r="K494" s="345"/>
      <c r="L494" s="345"/>
      <c r="M494" s="345"/>
      <c r="N494" s="345"/>
      <c r="O494" s="345"/>
      <c r="P494" s="345"/>
      <c r="Q494" s="345"/>
      <c r="R494" s="345"/>
      <c r="S494" s="345"/>
      <c r="T494" s="345"/>
      <c r="U494" s="345"/>
      <c r="V494" s="345"/>
      <c r="W494" s="345"/>
      <c r="X494" s="345"/>
      <c r="Y494" s="345"/>
      <c r="Z494" s="331"/>
    </row>
    <row r="495">
      <c r="A495" s="345"/>
      <c r="B495" s="369"/>
      <c r="C495" s="345"/>
      <c r="D495" s="345"/>
      <c r="E495" s="345"/>
      <c r="F495" s="345"/>
      <c r="G495" s="345"/>
      <c r="H495" s="345"/>
      <c r="I495" s="345"/>
      <c r="J495" s="345"/>
      <c r="K495" s="345"/>
      <c r="L495" s="345"/>
      <c r="M495" s="345"/>
      <c r="N495" s="345"/>
      <c r="O495" s="345"/>
      <c r="P495" s="345"/>
      <c r="Q495" s="345"/>
      <c r="R495" s="345"/>
      <c r="S495" s="345"/>
      <c r="T495" s="345"/>
      <c r="U495" s="345"/>
      <c r="V495" s="345"/>
      <c r="W495" s="345"/>
      <c r="X495" s="345"/>
      <c r="Y495" s="345"/>
      <c r="Z495" s="331"/>
    </row>
    <row r="496">
      <c r="A496" s="345"/>
      <c r="B496" s="369"/>
      <c r="C496" s="345"/>
      <c r="D496" s="345"/>
      <c r="E496" s="345"/>
      <c r="F496" s="345"/>
      <c r="G496" s="345"/>
      <c r="H496" s="345"/>
      <c r="I496" s="345"/>
      <c r="J496" s="345"/>
      <c r="K496" s="345"/>
      <c r="L496" s="345"/>
      <c r="M496" s="345"/>
      <c r="N496" s="345"/>
      <c r="O496" s="345"/>
      <c r="P496" s="345"/>
      <c r="Q496" s="345"/>
      <c r="R496" s="345"/>
      <c r="S496" s="345"/>
      <c r="T496" s="345"/>
      <c r="U496" s="345"/>
      <c r="V496" s="345"/>
      <c r="W496" s="345"/>
      <c r="X496" s="345"/>
      <c r="Y496" s="345"/>
      <c r="Z496" s="331"/>
    </row>
    <row r="497">
      <c r="A497" s="345"/>
      <c r="B497" s="369"/>
      <c r="C497" s="345"/>
      <c r="D497" s="345"/>
      <c r="E497" s="345"/>
      <c r="F497" s="345"/>
      <c r="G497" s="345"/>
      <c r="H497" s="345"/>
      <c r="I497" s="345"/>
      <c r="J497" s="345"/>
      <c r="K497" s="345"/>
      <c r="L497" s="345"/>
      <c r="M497" s="345"/>
      <c r="N497" s="345"/>
      <c r="O497" s="345"/>
      <c r="P497" s="345"/>
      <c r="Q497" s="345"/>
      <c r="R497" s="345"/>
      <c r="S497" s="345"/>
      <c r="T497" s="345"/>
      <c r="U497" s="345"/>
      <c r="V497" s="345"/>
      <c r="W497" s="345"/>
      <c r="X497" s="345"/>
      <c r="Y497" s="345"/>
      <c r="Z497" s="331"/>
    </row>
    <row r="498">
      <c r="A498" s="345"/>
      <c r="B498" s="369"/>
      <c r="C498" s="345"/>
      <c r="D498" s="345"/>
      <c r="E498" s="345"/>
      <c r="F498" s="345"/>
      <c r="G498" s="345"/>
      <c r="H498" s="345"/>
      <c r="I498" s="345"/>
      <c r="J498" s="345"/>
      <c r="K498" s="345"/>
      <c r="L498" s="345"/>
      <c r="M498" s="345"/>
      <c r="N498" s="345"/>
      <c r="O498" s="345"/>
      <c r="P498" s="345"/>
      <c r="Q498" s="345"/>
      <c r="R498" s="345"/>
      <c r="S498" s="345"/>
      <c r="T498" s="345"/>
      <c r="U498" s="345"/>
      <c r="V498" s="345"/>
      <c r="W498" s="345"/>
      <c r="X498" s="345"/>
      <c r="Y498" s="345"/>
      <c r="Z498" s="331"/>
    </row>
    <row r="499">
      <c r="A499" s="345"/>
      <c r="B499" s="369"/>
      <c r="C499" s="345"/>
      <c r="D499" s="345"/>
      <c r="E499" s="345"/>
      <c r="F499" s="345"/>
      <c r="G499" s="345"/>
      <c r="H499" s="345"/>
      <c r="I499" s="345"/>
      <c r="J499" s="345"/>
      <c r="K499" s="345"/>
      <c r="L499" s="345"/>
      <c r="M499" s="345"/>
      <c r="N499" s="345"/>
      <c r="O499" s="345"/>
      <c r="P499" s="345"/>
      <c r="Q499" s="345"/>
      <c r="R499" s="345"/>
      <c r="S499" s="345"/>
      <c r="T499" s="345"/>
      <c r="U499" s="345"/>
      <c r="V499" s="345"/>
      <c r="W499" s="345"/>
      <c r="X499" s="345"/>
      <c r="Y499" s="345"/>
      <c r="Z499" s="331"/>
    </row>
    <row r="500">
      <c r="A500" s="345"/>
      <c r="B500" s="369"/>
      <c r="C500" s="345"/>
      <c r="D500" s="345"/>
      <c r="E500" s="345"/>
      <c r="F500" s="345"/>
      <c r="G500" s="345"/>
      <c r="H500" s="345"/>
      <c r="I500" s="345"/>
      <c r="J500" s="345"/>
      <c r="K500" s="345"/>
      <c r="L500" s="345"/>
      <c r="M500" s="345"/>
      <c r="N500" s="345"/>
      <c r="O500" s="345"/>
      <c r="P500" s="345"/>
      <c r="Q500" s="345"/>
      <c r="R500" s="345"/>
      <c r="S500" s="345"/>
      <c r="T500" s="345"/>
      <c r="U500" s="345"/>
      <c r="V500" s="345"/>
      <c r="W500" s="345"/>
      <c r="X500" s="345"/>
      <c r="Y500" s="345"/>
      <c r="Z500" s="331"/>
    </row>
    <row r="501">
      <c r="A501" s="345"/>
      <c r="B501" s="369"/>
      <c r="C501" s="345"/>
      <c r="D501" s="345"/>
      <c r="E501" s="345"/>
      <c r="F501" s="345"/>
      <c r="G501" s="345"/>
      <c r="H501" s="345"/>
      <c r="I501" s="345"/>
      <c r="J501" s="345"/>
      <c r="K501" s="345"/>
      <c r="L501" s="345"/>
      <c r="M501" s="345"/>
      <c r="N501" s="345"/>
      <c r="O501" s="345"/>
      <c r="P501" s="345"/>
      <c r="Q501" s="345"/>
      <c r="R501" s="345"/>
      <c r="S501" s="345"/>
      <c r="T501" s="345"/>
      <c r="U501" s="345"/>
      <c r="V501" s="345"/>
      <c r="W501" s="345"/>
      <c r="X501" s="345"/>
      <c r="Y501" s="345"/>
      <c r="Z501" s="331"/>
    </row>
    <row r="502">
      <c r="A502" s="345"/>
      <c r="B502" s="369"/>
      <c r="C502" s="345"/>
      <c r="D502" s="345"/>
      <c r="E502" s="345"/>
      <c r="F502" s="345"/>
      <c r="G502" s="345"/>
      <c r="H502" s="345"/>
      <c r="I502" s="345"/>
      <c r="J502" s="345"/>
      <c r="K502" s="345"/>
      <c r="L502" s="345"/>
      <c r="M502" s="345"/>
      <c r="N502" s="345"/>
      <c r="O502" s="345"/>
      <c r="P502" s="345"/>
      <c r="Q502" s="345"/>
      <c r="R502" s="345"/>
      <c r="S502" s="345"/>
      <c r="T502" s="345"/>
      <c r="U502" s="345"/>
      <c r="V502" s="345"/>
      <c r="W502" s="345"/>
      <c r="X502" s="345"/>
      <c r="Y502" s="345"/>
      <c r="Z502" s="331"/>
    </row>
    <row r="503">
      <c r="A503" s="345"/>
      <c r="B503" s="369"/>
      <c r="C503" s="345"/>
      <c r="D503" s="345"/>
      <c r="E503" s="345"/>
      <c r="F503" s="345"/>
      <c r="G503" s="345"/>
      <c r="H503" s="345"/>
      <c r="I503" s="345"/>
      <c r="J503" s="345"/>
      <c r="K503" s="345"/>
      <c r="L503" s="345"/>
      <c r="M503" s="345"/>
      <c r="N503" s="345"/>
      <c r="O503" s="345"/>
      <c r="P503" s="345"/>
      <c r="Q503" s="345"/>
      <c r="R503" s="345"/>
      <c r="S503" s="345"/>
      <c r="T503" s="345"/>
      <c r="U503" s="345"/>
      <c r="V503" s="345"/>
      <c r="W503" s="345"/>
      <c r="X503" s="345"/>
      <c r="Y503" s="345"/>
      <c r="Z503" s="331"/>
    </row>
    <row r="504">
      <c r="A504" s="345"/>
      <c r="B504" s="369"/>
      <c r="C504" s="345"/>
      <c r="D504" s="345"/>
      <c r="E504" s="345"/>
      <c r="F504" s="345"/>
      <c r="G504" s="345"/>
      <c r="H504" s="345"/>
      <c r="I504" s="345"/>
      <c r="J504" s="345"/>
      <c r="K504" s="345"/>
      <c r="L504" s="345"/>
      <c r="M504" s="345"/>
      <c r="N504" s="345"/>
      <c r="O504" s="345"/>
      <c r="P504" s="345"/>
      <c r="Q504" s="345"/>
      <c r="R504" s="345"/>
      <c r="S504" s="345"/>
      <c r="T504" s="345"/>
      <c r="U504" s="345"/>
      <c r="V504" s="345"/>
      <c r="W504" s="345"/>
      <c r="X504" s="345"/>
      <c r="Y504" s="345"/>
      <c r="Z504" s="331"/>
    </row>
    <row r="505">
      <c r="A505" s="345"/>
      <c r="B505" s="369"/>
      <c r="C505" s="345"/>
      <c r="D505" s="345"/>
      <c r="E505" s="345"/>
      <c r="F505" s="345"/>
      <c r="G505" s="345"/>
      <c r="H505" s="345"/>
      <c r="I505" s="345"/>
      <c r="J505" s="345"/>
      <c r="K505" s="345"/>
      <c r="L505" s="345"/>
      <c r="M505" s="345"/>
      <c r="N505" s="345"/>
      <c r="O505" s="345"/>
      <c r="P505" s="345"/>
      <c r="Q505" s="345"/>
      <c r="R505" s="345"/>
      <c r="S505" s="345"/>
      <c r="T505" s="345"/>
      <c r="U505" s="345"/>
      <c r="V505" s="345"/>
      <c r="W505" s="345"/>
      <c r="X505" s="345"/>
      <c r="Y505" s="345"/>
      <c r="Z505" s="331"/>
    </row>
    <row r="506">
      <c r="A506" s="345"/>
      <c r="B506" s="369"/>
      <c r="C506" s="345"/>
      <c r="D506" s="345"/>
      <c r="E506" s="345"/>
      <c r="F506" s="345"/>
      <c r="G506" s="345"/>
      <c r="H506" s="345"/>
      <c r="I506" s="345"/>
      <c r="J506" s="345"/>
      <c r="K506" s="345"/>
      <c r="L506" s="345"/>
      <c r="M506" s="345"/>
      <c r="N506" s="345"/>
      <c r="O506" s="345"/>
      <c r="P506" s="345"/>
      <c r="Q506" s="345"/>
      <c r="R506" s="345"/>
      <c r="S506" s="345"/>
      <c r="T506" s="345"/>
      <c r="U506" s="345"/>
      <c r="V506" s="345"/>
      <c r="W506" s="345"/>
      <c r="X506" s="345"/>
      <c r="Y506" s="345"/>
      <c r="Z506" s="331"/>
    </row>
    <row r="507">
      <c r="A507" s="345"/>
      <c r="B507" s="369"/>
      <c r="C507" s="345"/>
      <c r="D507" s="345"/>
      <c r="E507" s="345"/>
      <c r="F507" s="345"/>
      <c r="G507" s="345"/>
      <c r="H507" s="345"/>
      <c r="I507" s="345"/>
      <c r="J507" s="345"/>
      <c r="K507" s="345"/>
      <c r="L507" s="345"/>
      <c r="M507" s="345"/>
      <c r="N507" s="345"/>
      <c r="O507" s="345"/>
      <c r="P507" s="345"/>
      <c r="Q507" s="345"/>
      <c r="R507" s="345"/>
      <c r="S507" s="345"/>
      <c r="T507" s="345"/>
      <c r="U507" s="345"/>
      <c r="V507" s="345"/>
      <c r="W507" s="345"/>
      <c r="X507" s="345"/>
      <c r="Y507" s="345"/>
      <c r="Z507" s="331"/>
    </row>
    <row r="508">
      <c r="A508" s="345"/>
      <c r="B508" s="369"/>
      <c r="C508" s="345"/>
      <c r="D508" s="345"/>
      <c r="E508" s="345"/>
      <c r="F508" s="345"/>
      <c r="G508" s="345"/>
      <c r="H508" s="345"/>
      <c r="I508" s="345"/>
      <c r="J508" s="345"/>
      <c r="K508" s="345"/>
      <c r="L508" s="345"/>
      <c r="M508" s="345"/>
      <c r="N508" s="345"/>
      <c r="O508" s="345"/>
      <c r="P508" s="345"/>
      <c r="Q508" s="345"/>
      <c r="R508" s="345"/>
      <c r="S508" s="345"/>
      <c r="T508" s="345"/>
      <c r="U508" s="345"/>
      <c r="V508" s="345"/>
      <c r="W508" s="345"/>
      <c r="X508" s="345"/>
      <c r="Y508" s="345"/>
      <c r="Z508" s="331"/>
    </row>
    <row r="509">
      <c r="A509" s="345"/>
      <c r="B509" s="369"/>
      <c r="C509" s="345"/>
      <c r="D509" s="345"/>
      <c r="E509" s="345"/>
      <c r="F509" s="345"/>
      <c r="G509" s="345"/>
      <c r="H509" s="345"/>
      <c r="I509" s="345"/>
      <c r="J509" s="345"/>
      <c r="K509" s="345"/>
      <c r="L509" s="345"/>
      <c r="M509" s="345"/>
      <c r="N509" s="345"/>
      <c r="O509" s="345"/>
      <c r="P509" s="345"/>
      <c r="Q509" s="345"/>
      <c r="R509" s="345"/>
      <c r="S509" s="345"/>
      <c r="T509" s="345"/>
      <c r="U509" s="345"/>
      <c r="V509" s="345"/>
      <c r="W509" s="345"/>
      <c r="X509" s="345"/>
      <c r="Y509" s="345"/>
      <c r="Z509" s="331"/>
    </row>
    <row r="510">
      <c r="A510" s="345"/>
      <c r="B510" s="369"/>
      <c r="C510" s="345"/>
      <c r="D510" s="345"/>
      <c r="E510" s="345"/>
      <c r="F510" s="345"/>
      <c r="G510" s="345"/>
      <c r="H510" s="345"/>
      <c r="I510" s="345"/>
      <c r="J510" s="345"/>
      <c r="K510" s="345"/>
      <c r="L510" s="345"/>
      <c r="M510" s="345"/>
      <c r="N510" s="345"/>
      <c r="O510" s="345"/>
      <c r="P510" s="345"/>
      <c r="Q510" s="345"/>
      <c r="R510" s="345"/>
      <c r="S510" s="345"/>
      <c r="T510" s="345"/>
      <c r="U510" s="345"/>
      <c r="V510" s="345"/>
      <c r="W510" s="345"/>
      <c r="X510" s="345"/>
      <c r="Y510" s="345"/>
      <c r="Z510" s="331"/>
    </row>
    <row r="511">
      <c r="A511" s="345"/>
      <c r="B511" s="369"/>
      <c r="C511" s="345"/>
      <c r="D511" s="345"/>
      <c r="E511" s="345"/>
      <c r="F511" s="345"/>
      <c r="G511" s="345"/>
      <c r="H511" s="345"/>
      <c r="I511" s="345"/>
      <c r="J511" s="345"/>
      <c r="K511" s="345"/>
      <c r="L511" s="345"/>
      <c r="M511" s="345"/>
      <c r="N511" s="345"/>
      <c r="O511" s="345"/>
      <c r="P511" s="345"/>
      <c r="Q511" s="345"/>
      <c r="R511" s="345"/>
      <c r="S511" s="345"/>
      <c r="T511" s="345"/>
      <c r="U511" s="345"/>
      <c r="V511" s="345"/>
      <c r="W511" s="345"/>
      <c r="X511" s="345"/>
      <c r="Y511" s="345"/>
      <c r="Z511" s="331"/>
    </row>
    <row r="512">
      <c r="A512" s="345"/>
      <c r="B512" s="369"/>
      <c r="C512" s="345"/>
      <c r="D512" s="345"/>
      <c r="E512" s="345"/>
      <c r="F512" s="345"/>
      <c r="G512" s="345"/>
      <c r="H512" s="345"/>
      <c r="I512" s="345"/>
      <c r="J512" s="345"/>
      <c r="K512" s="345"/>
      <c r="L512" s="345"/>
      <c r="M512" s="345"/>
      <c r="N512" s="345"/>
      <c r="O512" s="345"/>
      <c r="P512" s="345"/>
      <c r="Q512" s="345"/>
      <c r="R512" s="345"/>
      <c r="S512" s="345"/>
      <c r="T512" s="345"/>
      <c r="U512" s="345"/>
      <c r="V512" s="345"/>
      <c r="W512" s="345"/>
      <c r="X512" s="345"/>
      <c r="Y512" s="345"/>
      <c r="Z512" s="331"/>
    </row>
    <row r="513">
      <c r="A513" s="345"/>
      <c r="B513" s="369"/>
      <c r="C513" s="345"/>
      <c r="D513" s="345"/>
      <c r="E513" s="345"/>
      <c r="F513" s="345"/>
      <c r="G513" s="345"/>
      <c r="H513" s="345"/>
      <c r="I513" s="345"/>
      <c r="J513" s="345"/>
      <c r="K513" s="345"/>
      <c r="L513" s="345"/>
      <c r="M513" s="345"/>
      <c r="N513" s="345"/>
      <c r="O513" s="345"/>
      <c r="P513" s="345"/>
      <c r="Q513" s="345"/>
      <c r="R513" s="345"/>
      <c r="S513" s="345"/>
      <c r="T513" s="345"/>
      <c r="U513" s="345"/>
      <c r="V513" s="345"/>
      <c r="W513" s="345"/>
      <c r="X513" s="345"/>
      <c r="Y513" s="345"/>
      <c r="Z513" s="331"/>
    </row>
    <row r="514">
      <c r="A514" s="345"/>
      <c r="B514" s="369"/>
      <c r="C514" s="345"/>
      <c r="D514" s="345"/>
      <c r="E514" s="345"/>
      <c r="F514" s="345"/>
      <c r="G514" s="345"/>
      <c r="H514" s="345"/>
      <c r="I514" s="345"/>
      <c r="J514" s="345"/>
      <c r="K514" s="345"/>
      <c r="L514" s="345"/>
      <c r="M514" s="345"/>
      <c r="N514" s="345"/>
      <c r="O514" s="345"/>
      <c r="P514" s="345"/>
      <c r="Q514" s="345"/>
      <c r="R514" s="345"/>
      <c r="S514" s="345"/>
      <c r="T514" s="345"/>
      <c r="U514" s="345"/>
      <c r="V514" s="345"/>
      <c r="W514" s="345"/>
      <c r="X514" s="345"/>
      <c r="Y514" s="345"/>
      <c r="Z514" s="331"/>
    </row>
    <row r="515">
      <c r="A515" s="345"/>
      <c r="B515" s="369"/>
      <c r="C515" s="345"/>
      <c r="D515" s="345"/>
      <c r="E515" s="345"/>
      <c r="F515" s="345"/>
      <c r="G515" s="345"/>
      <c r="H515" s="345"/>
      <c r="I515" s="345"/>
      <c r="J515" s="345"/>
      <c r="K515" s="345"/>
      <c r="L515" s="345"/>
      <c r="M515" s="345"/>
      <c r="N515" s="345"/>
      <c r="O515" s="345"/>
      <c r="P515" s="345"/>
      <c r="Q515" s="345"/>
      <c r="R515" s="345"/>
      <c r="S515" s="345"/>
      <c r="T515" s="345"/>
      <c r="U515" s="345"/>
      <c r="V515" s="345"/>
      <c r="W515" s="345"/>
      <c r="X515" s="345"/>
      <c r="Y515" s="345"/>
      <c r="Z515" s="331"/>
    </row>
    <row r="516">
      <c r="A516" s="345"/>
      <c r="B516" s="369"/>
      <c r="C516" s="345"/>
      <c r="D516" s="345"/>
      <c r="E516" s="345"/>
      <c r="F516" s="345"/>
      <c r="G516" s="345"/>
      <c r="H516" s="345"/>
      <c r="I516" s="345"/>
      <c r="J516" s="345"/>
      <c r="K516" s="345"/>
      <c r="L516" s="345"/>
      <c r="M516" s="345"/>
      <c r="N516" s="345"/>
      <c r="O516" s="345"/>
      <c r="P516" s="345"/>
      <c r="Q516" s="345"/>
      <c r="R516" s="345"/>
      <c r="S516" s="345"/>
      <c r="T516" s="345"/>
      <c r="U516" s="345"/>
      <c r="V516" s="345"/>
      <c r="W516" s="345"/>
      <c r="X516" s="345"/>
      <c r="Y516" s="345"/>
      <c r="Z516" s="331"/>
    </row>
    <row r="517">
      <c r="A517" s="345"/>
      <c r="B517" s="369"/>
      <c r="C517" s="345"/>
      <c r="D517" s="345"/>
      <c r="E517" s="345"/>
      <c r="F517" s="345"/>
      <c r="G517" s="345"/>
      <c r="H517" s="345"/>
      <c r="I517" s="345"/>
      <c r="J517" s="345"/>
      <c r="K517" s="345"/>
      <c r="L517" s="345"/>
      <c r="M517" s="345"/>
      <c r="N517" s="345"/>
      <c r="O517" s="345"/>
      <c r="P517" s="345"/>
      <c r="Q517" s="345"/>
      <c r="R517" s="345"/>
      <c r="S517" s="345"/>
      <c r="T517" s="345"/>
      <c r="U517" s="345"/>
      <c r="V517" s="345"/>
      <c r="W517" s="345"/>
      <c r="X517" s="345"/>
      <c r="Y517" s="345"/>
      <c r="Z517" s="331"/>
    </row>
    <row r="518">
      <c r="A518" s="345"/>
      <c r="B518" s="369"/>
      <c r="C518" s="345"/>
      <c r="D518" s="345"/>
      <c r="E518" s="345"/>
      <c r="F518" s="345"/>
      <c r="G518" s="345"/>
      <c r="H518" s="345"/>
      <c r="I518" s="345"/>
      <c r="J518" s="345"/>
      <c r="K518" s="345"/>
      <c r="L518" s="345"/>
      <c r="M518" s="345"/>
      <c r="N518" s="345"/>
      <c r="O518" s="345"/>
      <c r="P518" s="345"/>
      <c r="Q518" s="345"/>
      <c r="R518" s="345"/>
      <c r="S518" s="345"/>
      <c r="T518" s="345"/>
      <c r="U518" s="345"/>
      <c r="V518" s="345"/>
      <c r="W518" s="345"/>
      <c r="X518" s="345"/>
      <c r="Y518" s="345"/>
      <c r="Z518" s="331"/>
    </row>
    <row r="519">
      <c r="A519" s="345"/>
      <c r="B519" s="369"/>
      <c r="C519" s="345"/>
      <c r="D519" s="345"/>
      <c r="E519" s="345"/>
      <c r="F519" s="345"/>
      <c r="G519" s="345"/>
      <c r="H519" s="345"/>
      <c r="I519" s="345"/>
      <c r="J519" s="345"/>
      <c r="K519" s="345"/>
      <c r="L519" s="345"/>
      <c r="M519" s="345"/>
      <c r="N519" s="345"/>
      <c r="O519" s="345"/>
      <c r="P519" s="345"/>
      <c r="Q519" s="345"/>
      <c r="R519" s="345"/>
      <c r="S519" s="345"/>
      <c r="T519" s="345"/>
      <c r="U519" s="345"/>
      <c r="V519" s="345"/>
      <c r="W519" s="345"/>
      <c r="X519" s="345"/>
      <c r="Y519" s="345"/>
      <c r="Z519" s="331"/>
    </row>
    <row r="520">
      <c r="A520" s="345"/>
      <c r="B520" s="369"/>
      <c r="C520" s="345"/>
      <c r="D520" s="345"/>
      <c r="E520" s="345"/>
      <c r="F520" s="345"/>
      <c r="G520" s="345"/>
      <c r="H520" s="345"/>
      <c r="I520" s="345"/>
      <c r="J520" s="345"/>
      <c r="K520" s="345"/>
      <c r="L520" s="345"/>
      <c r="M520" s="345"/>
      <c r="N520" s="345"/>
      <c r="O520" s="345"/>
      <c r="P520" s="345"/>
      <c r="Q520" s="345"/>
      <c r="R520" s="345"/>
      <c r="S520" s="345"/>
      <c r="T520" s="345"/>
      <c r="U520" s="345"/>
      <c r="V520" s="345"/>
      <c r="W520" s="345"/>
      <c r="X520" s="345"/>
      <c r="Y520" s="345"/>
      <c r="Z520" s="331"/>
    </row>
    <row r="521">
      <c r="A521" s="345"/>
      <c r="B521" s="369"/>
      <c r="C521" s="345"/>
      <c r="D521" s="345"/>
      <c r="E521" s="345"/>
      <c r="F521" s="345"/>
      <c r="G521" s="345"/>
      <c r="H521" s="345"/>
      <c r="I521" s="345"/>
      <c r="J521" s="345"/>
      <c r="K521" s="345"/>
      <c r="L521" s="345"/>
      <c r="M521" s="345"/>
      <c r="N521" s="345"/>
      <c r="O521" s="345"/>
      <c r="P521" s="345"/>
      <c r="Q521" s="345"/>
      <c r="R521" s="345"/>
      <c r="S521" s="345"/>
      <c r="T521" s="345"/>
      <c r="U521" s="345"/>
      <c r="V521" s="345"/>
      <c r="W521" s="345"/>
      <c r="X521" s="345"/>
      <c r="Y521" s="345"/>
      <c r="Z521" s="331"/>
    </row>
    <row r="522">
      <c r="A522" s="345"/>
      <c r="B522" s="369"/>
      <c r="C522" s="345"/>
      <c r="D522" s="345"/>
      <c r="E522" s="345"/>
      <c r="F522" s="345"/>
      <c r="G522" s="345"/>
      <c r="H522" s="345"/>
      <c r="I522" s="345"/>
      <c r="J522" s="345"/>
      <c r="K522" s="345"/>
      <c r="L522" s="345"/>
      <c r="M522" s="345"/>
      <c r="N522" s="345"/>
      <c r="O522" s="345"/>
      <c r="P522" s="345"/>
      <c r="Q522" s="345"/>
      <c r="R522" s="345"/>
      <c r="S522" s="345"/>
      <c r="T522" s="345"/>
      <c r="U522" s="345"/>
      <c r="V522" s="345"/>
      <c r="W522" s="345"/>
      <c r="X522" s="345"/>
      <c r="Y522" s="345"/>
      <c r="Z522" s="331"/>
    </row>
    <row r="523">
      <c r="A523" s="345"/>
      <c r="B523" s="369"/>
      <c r="C523" s="345"/>
      <c r="D523" s="345"/>
      <c r="E523" s="345"/>
      <c r="F523" s="345"/>
      <c r="G523" s="345"/>
      <c r="H523" s="345"/>
      <c r="I523" s="345"/>
      <c r="J523" s="345"/>
      <c r="K523" s="345"/>
      <c r="L523" s="345"/>
      <c r="M523" s="345"/>
      <c r="N523" s="345"/>
      <c r="O523" s="345"/>
      <c r="P523" s="345"/>
      <c r="Q523" s="345"/>
      <c r="R523" s="345"/>
      <c r="S523" s="345"/>
      <c r="T523" s="345"/>
      <c r="U523" s="345"/>
      <c r="V523" s="345"/>
      <c r="W523" s="345"/>
      <c r="X523" s="345"/>
      <c r="Y523" s="345"/>
      <c r="Z523" s="331"/>
    </row>
    <row r="524">
      <c r="A524" s="345"/>
      <c r="B524" s="369"/>
      <c r="C524" s="345"/>
      <c r="D524" s="345"/>
      <c r="E524" s="345"/>
      <c r="F524" s="345"/>
      <c r="G524" s="345"/>
      <c r="H524" s="345"/>
      <c r="I524" s="345"/>
      <c r="J524" s="345"/>
      <c r="K524" s="345"/>
      <c r="L524" s="345"/>
      <c r="M524" s="345"/>
      <c r="N524" s="345"/>
      <c r="O524" s="345"/>
      <c r="P524" s="345"/>
      <c r="Q524" s="345"/>
      <c r="R524" s="345"/>
      <c r="S524" s="345"/>
      <c r="T524" s="345"/>
      <c r="U524" s="345"/>
      <c r="V524" s="345"/>
      <c r="W524" s="345"/>
      <c r="X524" s="345"/>
      <c r="Y524" s="345"/>
      <c r="Z524" s="331"/>
    </row>
    <row r="525">
      <c r="A525" s="345"/>
      <c r="B525" s="369"/>
      <c r="C525" s="345"/>
      <c r="D525" s="345"/>
      <c r="E525" s="345"/>
      <c r="F525" s="345"/>
      <c r="G525" s="345"/>
      <c r="H525" s="345"/>
      <c r="I525" s="345"/>
      <c r="J525" s="345"/>
      <c r="K525" s="345"/>
      <c r="L525" s="345"/>
      <c r="M525" s="345"/>
      <c r="N525" s="345"/>
      <c r="O525" s="345"/>
      <c r="P525" s="345"/>
      <c r="Q525" s="345"/>
      <c r="R525" s="345"/>
      <c r="S525" s="345"/>
      <c r="T525" s="345"/>
      <c r="U525" s="345"/>
      <c r="V525" s="345"/>
      <c r="W525" s="345"/>
      <c r="X525" s="345"/>
      <c r="Y525" s="345"/>
      <c r="Z525" s="331"/>
    </row>
    <row r="526">
      <c r="A526" s="345"/>
      <c r="B526" s="369"/>
      <c r="C526" s="345"/>
      <c r="D526" s="345"/>
      <c r="E526" s="345"/>
      <c r="F526" s="345"/>
      <c r="G526" s="345"/>
      <c r="H526" s="345"/>
      <c r="I526" s="345"/>
      <c r="J526" s="345"/>
      <c r="K526" s="345"/>
      <c r="L526" s="345"/>
      <c r="M526" s="345"/>
      <c r="N526" s="345"/>
      <c r="O526" s="345"/>
      <c r="P526" s="345"/>
      <c r="Q526" s="345"/>
      <c r="R526" s="345"/>
      <c r="S526" s="345"/>
      <c r="T526" s="345"/>
      <c r="U526" s="345"/>
      <c r="V526" s="345"/>
      <c r="W526" s="345"/>
      <c r="X526" s="345"/>
      <c r="Y526" s="345"/>
      <c r="Z526" s="331"/>
    </row>
    <row r="527">
      <c r="A527" s="345"/>
      <c r="B527" s="369"/>
      <c r="C527" s="345"/>
      <c r="D527" s="345"/>
      <c r="E527" s="345"/>
      <c r="F527" s="345"/>
      <c r="G527" s="345"/>
      <c r="H527" s="345"/>
      <c r="I527" s="345"/>
      <c r="J527" s="345"/>
      <c r="K527" s="345"/>
      <c r="L527" s="345"/>
      <c r="M527" s="345"/>
      <c r="N527" s="345"/>
      <c r="O527" s="345"/>
      <c r="P527" s="345"/>
      <c r="Q527" s="345"/>
      <c r="R527" s="345"/>
      <c r="S527" s="345"/>
      <c r="T527" s="345"/>
      <c r="U527" s="345"/>
      <c r="V527" s="345"/>
      <c r="W527" s="345"/>
      <c r="X527" s="345"/>
      <c r="Y527" s="345"/>
      <c r="Z527" s="331"/>
    </row>
    <row r="528">
      <c r="A528" s="345"/>
      <c r="B528" s="369"/>
      <c r="C528" s="345"/>
      <c r="D528" s="345"/>
      <c r="E528" s="345"/>
      <c r="F528" s="345"/>
      <c r="G528" s="345"/>
      <c r="H528" s="345"/>
      <c r="I528" s="345"/>
      <c r="J528" s="345"/>
      <c r="K528" s="345"/>
      <c r="L528" s="345"/>
      <c r="M528" s="345"/>
      <c r="N528" s="345"/>
      <c r="O528" s="345"/>
      <c r="P528" s="345"/>
      <c r="Q528" s="345"/>
      <c r="R528" s="345"/>
      <c r="S528" s="345"/>
      <c r="T528" s="345"/>
      <c r="U528" s="345"/>
      <c r="V528" s="345"/>
      <c r="W528" s="345"/>
      <c r="X528" s="345"/>
      <c r="Y528" s="345"/>
      <c r="Z528" s="331"/>
    </row>
    <row r="529">
      <c r="A529" s="345"/>
      <c r="B529" s="369"/>
      <c r="C529" s="345"/>
      <c r="D529" s="345"/>
      <c r="E529" s="345"/>
      <c r="F529" s="345"/>
      <c r="G529" s="345"/>
      <c r="H529" s="345"/>
      <c r="I529" s="345"/>
      <c r="J529" s="345"/>
      <c r="K529" s="345"/>
      <c r="L529" s="345"/>
      <c r="M529" s="345"/>
      <c r="N529" s="345"/>
      <c r="O529" s="345"/>
      <c r="P529" s="345"/>
      <c r="Q529" s="345"/>
      <c r="R529" s="345"/>
      <c r="S529" s="345"/>
      <c r="T529" s="345"/>
      <c r="U529" s="345"/>
      <c r="V529" s="345"/>
      <c r="W529" s="345"/>
      <c r="X529" s="345"/>
      <c r="Y529" s="345"/>
      <c r="Z529" s="331"/>
    </row>
    <row r="530">
      <c r="A530" s="345"/>
      <c r="B530" s="369"/>
      <c r="C530" s="345"/>
      <c r="D530" s="345"/>
      <c r="E530" s="345"/>
      <c r="F530" s="345"/>
      <c r="G530" s="345"/>
      <c r="H530" s="345"/>
      <c r="I530" s="345"/>
      <c r="J530" s="345"/>
      <c r="K530" s="345"/>
      <c r="L530" s="345"/>
      <c r="M530" s="345"/>
      <c r="N530" s="345"/>
      <c r="O530" s="345"/>
      <c r="P530" s="345"/>
      <c r="Q530" s="345"/>
      <c r="R530" s="345"/>
      <c r="S530" s="345"/>
      <c r="T530" s="345"/>
      <c r="U530" s="345"/>
      <c r="V530" s="345"/>
      <c r="W530" s="345"/>
      <c r="X530" s="345"/>
      <c r="Y530" s="345"/>
      <c r="Z530" s="331"/>
    </row>
    <row r="531">
      <c r="A531" s="345"/>
      <c r="B531" s="369"/>
      <c r="C531" s="345"/>
      <c r="D531" s="345"/>
      <c r="E531" s="345"/>
      <c r="F531" s="345"/>
      <c r="G531" s="345"/>
      <c r="H531" s="345"/>
      <c r="I531" s="345"/>
      <c r="J531" s="345"/>
      <c r="K531" s="345"/>
      <c r="L531" s="345"/>
      <c r="M531" s="345"/>
      <c r="N531" s="345"/>
      <c r="O531" s="345"/>
      <c r="P531" s="345"/>
      <c r="Q531" s="345"/>
      <c r="R531" s="345"/>
      <c r="S531" s="345"/>
      <c r="T531" s="345"/>
      <c r="U531" s="345"/>
      <c r="V531" s="345"/>
      <c r="W531" s="345"/>
      <c r="X531" s="345"/>
      <c r="Y531" s="345"/>
      <c r="Z531" s="331"/>
    </row>
    <row r="532">
      <c r="A532" s="345"/>
      <c r="B532" s="369"/>
      <c r="C532" s="345"/>
      <c r="D532" s="345"/>
      <c r="E532" s="345"/>
      <c r="F532" s="345"/>
      <c r="G532" s="345"/>
      <c r="H532" s="345"/>
      <c r="I532" s="345"/>
      <c r="J532" s="345"/>
      <c r="K532" s="345"/>
      <c r="L532" s="345"/>
      <c r="M532" s="345"/>
      <c r="N532" s="345"/>
      <c r="O532" s="345"/>
      <c r="P532" s="345"/>
      <c r="Q532" s="345"/>
      <c r="R532" s="345"/>
      <c r="S532" s="345"/>
      <c r="T532" s="345"/>
      <c r="U532" s="345"/>
      <c r="V532" s="345"/>
      <c r="W532" s="345"/>
      <c r="X532" s="345"/>
      <c r="Y532" s="345"/>
      <c r="Z532" s="331"/>
    </row>
    <row r="533">
      <c r="A533" s="345"/>
      <c r="B533" s="369"/>
      <c r="C533" s="345"/>
      <c r="D533" s="345"/>
      <c r="E533" s="345"/>
      <c r="F533" s="345"/>
      <c r="G533" s="345"/>
      <c r="H533" s="345"/>
      <c r="I533" s="345"/>
      <c r="J533" s="345"/>
      <c r="K533" s="345"/>
      <c r="L533" s="345"/>
      <c r="M533" s="345"/>
      <c r="N533" s="345"/>
      <c r="O533" s="345"/>
      <c r="P533" s="345"/>
      <c r="Q533" s="345"/>
      <c r="R533" s="345"/>
      <c r="S533" s="345"/>
      <c r="T533" s="345"/>
      <c r="U533" s="345"/>
      <c r="V533" s="345"/>
      <c r="W533" s="345"/>
      <c r="X533" s="345"/>
      <c r="Y533" s="345"/>
      <c r="Z533" s="331"/>
    </row>
    <row r="534">
      <c r="A534" s="345"/>
      <c r="B534" s="369"/>
      <c r="C534" s="345"/>
      <c r="D534" s="345"/>
      <c r="E534" s="345"/>
      <c r="F534" s="345"/>
      <c r="G534" s="345"/>
      <c r="H534" s="345"/>
      <c r="I534" s="345"/>
      <c r="J534" s="345"/>
      <c r="K534" s="345"/>
      <c r="L534" s="345"/>
      <c r="M534" s="345"/>
      <c r="N534" s="345"/>
      <c r="O534" s="345"/>
      <c r="P534" s="345"/>
      <c r="Q534" s="345"/>
      <c r="R534" s="345"/>
      <c r="S534" s="345"/>
      <c r="T534" s="345"/>
      <c r="U534" s="345"/>
      <c r="V534" s="345"/>
      <c r="W534" s="345"/>
      <c r="X534" s="345"/>
      <c r="Y534" s="345"/>
      <c r="Z534" s="331"/>
    </row>
    <row r="535">
      <c r="A535" s="345"/>
      <c r="B535" s="369"/>
      <c r="C535" s="345"/>
      <c r="D535" s="345"/>
      <c r="E535" s="345"/>
      <c r="F535" s="345"/>
      <c r="G535" s="345"/>
      <c r="H535" s="345"/>
      <c r="I535" s="345"/>
      <c r="J535" s="345"/>
      <c r="K535" s="345"/>
      <c r="L535" s="345"/>
      <c r="M535" s="345"/>
      <c r="N535" s="345"/>
      <c r="O535" s="345"/>
      <c r="P535" s="345"/>
      <c r="Q535" s="345"/>
      <c r="R535" s="345"/>
      <c r="S535" s="345"/>
      <c r="T535" s="345"/>
      <c r="U535" s="345"/>
      <c r="V535" s="345"/>
      <c r="W535" s="345"/>
      <c r="X535" s="345"/>
      <c r="Y535" s="345"/>
      <c r="Z535" s="331"/>
    </row>
    <row r="536">
      <c r="A536" s="345"/>
      <c r="B536" s="369"/>
      <c r="C536" s="345"/>
      <c r="D536" s="345"/>
      <c r="E536" s="345"/>
      <c r="F536" s="345"/>
      <c r="G536" s="345"/>
      <c r="H536" s="345"/>
      <c r="I536" s="345"/>
      <c r="J536" s="345"/>
      <c r="K536" s="345"/>
      <c r="L536" s="345"/>
      <c r="M536" s="345"/>
      <c r="N536" s="345"/>
      <c r="O536" s="345"/>
      <c r="P536" s="345"/>
      <c r="Q536" s="345"/>
      <c r="R536" s="345"/>
      <c r="S536" s="345"/>
      <c r="T536" s="345"/>
      <c r="U536" s="345"/>
      <c r="V536" s="345"/>
      <c r="W536" s="345"/>
      <c r="X536" s="345"/>
      <c r="Y536" s="345"/>
      <c r="Z536" s="331"/>
    </row>
    <row r="537">
      <c r="A537" s="345"/>
      <c r="B537" s="369"/>
      <c r="C537" s="345"/>
      <c r="D537" s="345"/>
      <c r="E537" s="345"/>
      <c r="F537" s="345"/>
      <c r="G537" s="345"/>
      <c r="H537" s="345"/>
      <c r="I537" s="345"/>
      <c r="J537" s="345"/>
      <c r="K537" s="345"/>
      <c r="L537" s="345"/>
      <c r="M537" s="345"/>
      <c r="N537" s="345"/>
      <c r="O537" s="345"/>
      <c r="P537" s="345"/>
      <c r="Q537" s="345"/>
      <c r="R537" s="345"/>
      <c r="S537" s="345"/>
      <c r="T537" s="345"/>
      <c r="U537" s="345"/>
      <c r="V537" s="345"/>
      <c r="W537" s="345"/>
      <c r="X537" s="345"/>
      <c r="Y537" s="345"/>
      <c r="Z537" s="331"/>
    </row>
    <row r="538">
      <c r="A538" s="345"/>
      <c r="B538" s="369"/>
      <c r="C538" s="345"/>
      <c r="D538" s="345"/>
      <c r="E538" s="345"/>
      <c r="F538" s="345"/>
      <c r="G538" s="345"/>
      <c r="H538" s="345"/>
      <c r="I538" s="345"/>
      <c r="J538" s="345"/>
      <c r="K538" s="345"/>
      <c r="L538" s="345"/>
      <c r="M538" s="345"/>
      <c r="N538" s="345"/>
      <c r="O538" s="345"/>
      <c r="P538" s="345"/>
      <c r="Q538" s="345"/>
      <c r="R538" s="345"/>
      <c r="S538" s="345"/>
      <c r="T538" s="345"/>
      <c r="U538" s="345"/>
      <c r="V538" s="345"/>
      <c r="W538" s="345"/>
      <c r="X538" s="345"/>
      <c r="Y538" s="345"/>
      <c r="Z538" s="331"/>
    </row>
    <row r="539">
      <c r="A539" s="345"/>
      <c r="B539" s="369"/>
      <c r="C539" s="345"/>
      <c r="D539" s="345"/>
      <c r="E539" s="345"/>
      <c r="F539" s="345"/>
      <c r="G539" s="345"/>
      <c r="H539" s="345"/>
      <c r="I539" s="345"/>
      <c r="J539" s="345"/>
      <c r="K539" s="345"/>
      <c r="L539" s="345"/>
      <c r="M539" s="345"/>
      <c r="N539" s="345"/>
      <c r="O539" s="345"/>
      <c r="P539" s="345"/>
      <c r="Q539" s="345"/>
      <c r="R539" s="345"/>
      <c r="S539" s="345"/>
      <c r="T539" s="345"/>
      <c r="U539" s="345"/>
      <c r="V539" s="345"/>
      <c r="W539" s="345"/>
      <c r="X539" s="345"/>
      <c r="Y539" s="345"/>
      <c r="Z539" s="331"/>
    </row>
    <row r="540">
      <c r="A540" s="345"/>
      <c r="B540" s="369"/>
      <c r="C540" s="345"/>
      <c r="D540" s="345"/>
      <c r="E540" s="345"/>
      <c r="F540" s="345"/>
      <c r="G540" s="345"/>
      <c r="H540" s="345"/>
      <c r="I540" s="345"/>
      <c r="J540" s="345"/>
      <c r="K540" s="345"/>
      <c r="L540" s="345"/>
      <c r="M540" s="345"/>
      <c r="N540" s="345"/>
      <c r="O540" s="345"/>
      <c r="P540" s="345"/>
      <c r="Q540" s="345"/>
      <c r="R540" s="345"/>
      <c r="S540" s="345"/>
      <c r="T540" s="345"/>
      <c r="U540" s="345"/>
      <c r="V540" s="345"/>
      <c r="W540" s="345"/>
      <c r="X540" s="345"/>
      <c r="Y540" s="345"/>
      <c r="Z540" s="331"/>
    </row>
    <row r="541">
      <c r="A541" s="345"/>
      <c r="B541" s="369"/>
      <c r="C541" s="345"/>
      <c r="D541" s="345"/>
      <c r="E541" s="345"/>
      <c r="F541" s="345"/>
      <c r="G541" s="345"/>
      <c r="H541" s="345"/>
      <c r="I541" s="345"/>
      <c r="J541" s="345"/>
      <c r="K541" s="345"/>
      <c r="L541" s="345"/>
      <c r="M541" s="345"/>
      <c r="N541" s="345"/>
      <c r="O541" s="345"/>
      <c r="P541" s="345"/>
      <c r="Q541" s="345"/>
      <c r="R541" s="345"/>
      <c r="S541" s="345"/>
      <c r="T541" s="345"/>
      <c r="U541" s="345"/>
      <c r="V541" s="345"/>
      <c r="W541" s="345"/>
      <c r="X541" s="345"/>
      <c r="Y541" s="345"/>
      <c r="Z541" s="331"/>
    </row>
    <row r="542">
      <c r="A542" s="345"/>
      <c r="B542" s="369"/>
      <c r="C542" s="345"/>
      <c r="D542" s="345"/>
      <c r="E542" s="345"/>
      <c r="F542" s="345"/>
      <c r="G542" s="345"/>
      <c r="H542" s="345"/>
      <c r="I542" s="345"/>
      <c r="J542" s="345"/>
      <c r="K542" s="345"/>
      <c r="L542" s="345"/>
      <c r="M542" s="345"/>
      <c r="N542" s="345"/>
      <c r="O542" s="345"/>
      <c r="P542" s="345"/>
      <c r="Q542" s="345"/>
      <c r="R542" s="345"/>
      <c r="S542" s="345"/>
      <c r="T542" s="345"/>
      <c r="U542" s="345"/>
      <c r="V542" s="345"/>
      <c r="W542" s="345"/>
      <c r="X542" s="345"/>
      <c r="Y542" s="345"/>
      <c r="Z542" s="331"/>
    </row>
    <row r="543">
      <c r="A543" s="345"/>
      <c r="B543" s="369"/>
      <c r="C543" s="345"/>
      <c r="D543" s="345"/>
      <c r="E543" s="345"/>
      <c r="F543" s="345"/>
      <c r="G543" s="345"/>
      <c r="H543" s="345"/>
      <c r="I543" s="345"/>
      <c r="J543" s="345"/>
      <c r="K543" s="345"/>
      <c r="L543" s="345"/>
      <c r="M543" s="345"/>
      <c r="N543" s="345"/>
      <c r="O543" s="345"/>
      <c r="P543" s="345"/>
      <c r="Q543" s="345"/>
      <c r="R543" s="345"/>
      <c r="S543" s="345"/>
      <c r="T543" s="345"/>
      <c r="U543" s="345"/>
      <c r="V543" s="345"/>
      <c r="W543" s="345"/>
      <c r="X543" s="345"/>
      <c r="Y543" s="345"/>
      <c r="Z543" s="331"/>
    </row>
    <row r="544">
      <c r="A544" s="345"/>
      <c r="B544" s="369"/>
      <c r="C544" s="345"/>
      <c r="D544" s="345"/>
      <c r="E544" s="345"/>
      <c r="F544" s="345"/>
      <c r="G544" s="345"/>
      <c r="H544" s="345"/>
      <c r="I544" s="345"/>
      <c r="J544" s="345"/>
      <c r="K544" s="345"/>
      <c r="L544" s="345"/>
      <c r="M544" s="345"/>
      <c r="N544" s="345"/>
      <c r="O544" s="345"/>
      <c r="P544" s="345"/>
      <c r="Q544" s="345"/>
      <c r="R544" s="345"/>
      <c r="S544" s="345"/>
      <c r="T544" s="345"/>
      <c r="U544" s="345"/>
      <c r="V544" s="345"/>
      <c r="W544" s="345"/>
      <c r="X544" s="345"/>
      <c r="Y544" s="345"/>
      <c r="Z544" s="331"/>
    </row>
    <row r="545">
      <c r="A545" s="345"/>
      <c r="B545" s="369"/>
      <c r="C545" s="345"/>
      <c r="D545" s="345"/>
      <c r="E545" s="345"/>
      <c r="F545" s="345"/>
      <c r="G545" s="345"/>
      <c r="H545" s="345"/>
      <c r="I545" s="345"/>
      <c r="J545" s="345"/>
      <c r="K545" s="345"/>
      <c r="L545" s="345"/>
      <c r="M545" s="345"/>
      <c r="N545" s="345"/>
      <c r="O545" s="345"/>
      <c r="P545" s="345"/>
      <c r="Q545" s="345"/>
      <c r="R545" s="345"/>
      <c r="S545" s="345"/>
      <c r="T545" s="345"/>
      <c r="U545" s="345"/>
      <c r="V545" s="345"/>
      <c r="W545" s="345"/>
      <c r="X545" s="345"/>
      <c r="Y545" s="345"/>
      <c r="Z545" s="331"/>
    </row>
    <row r="546">
      <c r="A546" s="345"/>
      <c r="B546" s="369"/>
      <c r="C546" s="345"/>
      <c r="D546" s="345"/>
      <c r="E546" s="345"/>
      <c r="F546" s="345"/>
      <c r="G546" s="345"/>
      <c r="H546" s="345"/>
      <c r="I546" s="345"/>
      <c r="J546" s="345"/>
      <c r="K546" s="345"/>
      <c r="L546" s="345"/>
      <c r="M546" s="345"/>
      <c r="N546" s="345"/>
      <c r="O546" s="345"/>
      <c r="P546" s="345"/>
      <c r="Q546" s="345"/>
      <c r="R546" s="345"/>
      <c r="S546" s="345"/>
      <c r="T546" s="345"/>
      <c r="U546" s="345"/>
      <c r="V546" s="345"/>
      <c r="W546" s="345"/>
      <c r="X546" s="345"/>
      <c r="Y546" s="345"/>
      <c r="Z546" s="331"/>
    </row>
    <row r="547">
      <c r="A547" s="345"/>
      <c r="B547" s="369"/>
      <c r="C547" s="345"/>
      <c r="D547" s="345"/>
      <c r="E547" s="345"/>
      <c r="F547" s="345"/>
      <c r="G547" s="345"/>
      <c r="H547" s="345"/>
      <c r="I547" s="345"/>
      <c r="J547" s="345"/>
      <c r="K547" s="345"/>
      <c r="L547" s="345"/>
      <c r="M547" s="345"/>
      <c r="N547" s="345"/>
      <c r="O547" s="345"/>
      <c r="P547" s="345"/>
      <c r="Q547" s="345"/>
      <c r="R547" s="345"/>
      <c r="S547" s="345"/>
      <c r="T547" s="345"/>
      <c r="U547" s="345"/>
      <c r="V547" s="345"/>
      <c r="W547" s="345"/>
      <c r="X547" s="345"/>
      <c r="Y547" s="345"/>
      <c r="Z547" s="331"/>
    </row>
    <row r="548">
      <c r="A548" s="345"/>
      <c r="B548" s="369"/>
      <c r="C548" s="345"/>
      <c r="D548" s="345"/>
      <c r="E548" s="345"/>
      <c r="F548" s="345"/>
      <c r="G548" s="345"/>
      <c r="H548" s="345"/>
      <c r="I548" s="345"/>
      <c r="J548" s="345"/>
      <c r="K548" s="345"/>
      <c r="L548" s="345"/>
      <c r="M548" s="345"/>
      <c r="N548" s="345"/>
      <c r="O548" s="345"/>
      <c r="P548" s="345"/>
      <c r="Q548" s="345"/>
      <c r="R548" s="345"/>
      <c r="S548" s="345"/>
      <c r="T548" s="345"/>
      <c r="U548" s="345"/>
      <c r="V548" s="345"/>
      <c r="W548" s="345"/>
      <c r="X548" s="345"/>
      <c r="Y548" s="345"/>
      <c r="Z548" s="331"/>
    </row>
    <row r="549">
      <c r="A549" s="345"/>
      <c r="B549" s="369"/>
      <c r="C549" s="345"/>
      <c r="D549" s="345"/>
      <c r="E549" s="345"/>
      <c r="F549" s="345"/>
      <c r="G549" s="345"/>
      <c r="H549" s="345"/>
      <c r="I549" s="345"/>
      <c r="J549" s="345"/>
      <c r="K549" s="345"/>
      <c r="L549" s="345"/>
      <c r="M549" s="345"/>
      <c r="N549" s="345"/>
      <c r="O549" s="345"/>
      <c r="P549" s="345"/>
      <c r="Q549" s="345"/>
      <c r="R549" s="345"/>
      <c r="S549" s="345"/>
      <c r="T549" s="345"/>
      <c r="U549" s="345"/>
      <c r="V549" s="345"/>
      <c r="W549" s="345"/>
      <c r="X549" s="345"/>
      <c r="Y549" s="345"/>
      <c r="Z549" s="331"/>
    </row>
    <row r="550">
      <c r="A550" s="345"/>
      <c r="B550" s="369"/>
      <c r="C550" s="345"/>
      <c r="D550" s="345"/>
      <c r="E550" s="345"/>
      <c r="F550" s="345"/>
      <c r="G550" s="345"/>
      <c r="H550" s="345"/>
      <c r="I550" s="345"/>
      <c r="J550" s="345"/>
      <c r="K550" s="345"/>
      <c r="L550" s="345"/>
      <c r="M550" s="345"/>
      <c r="N550" s="345"/>
      <c r="O550" s="345"/>
      <c r="P550" s="345"/>
      <c r="Q550" s="345"/>
      <c r="R550" s="345"/>
      <c r="S550" s="345"/>
      <c r="T550" s="345"/>
      <c r="U550" s="345"/>
      <c r="V550" s="345"/>
      <c r="W550" s="345"/>
      <c r="X550" s="345"/>
      <c r="Y550" s="345"/>
      <c r="Z550" s="331"/>
    </row>
    <row r="551">
      <c r="A551" s="345"/>
      <c r="B551" s="369"/>
      <c r="C551" s="345"/>
      <c r="D551" s="345"/>
      <c r="E551" s="345"/>
      <c r="F551" s="345"/>
      <c r="G551" s="345"/>
      <c r="H551" s="345"/>
      <c r="I551" s="345"/>
      <c r="J551" s="345"/>
      <c r="K551" s="345"/>
      <c r="L551" s="345"/>
      <c r="M551" s="345"/>
      <c r="N551" s="345"/>
      <c r="O551" s="345"/>
      <c r="P551" s="345"/>
      <c r="Q551" s="345"/>
      <c r="R551" s="345"/>
      <c r="S551" s="345"/>
      <c r="T551" s="345"/>
      <c r="U551" s="345"/>
      <c r="V551" s="345"/>
      <c r="W551" s="345"/>
      <c r="X551" s="345"/>
      <c r="Y551" s="345"/>
      <c r="Z551" s="331"/>
    </row>
    <row r="552">
      <c r="A552" s="345"/>
      <c r="B552" s="369"/>
      <c r="C552" s="345"/>
      <c r="D552" s="345"/>
      <c r="E552" s="345"/>
      <c r="F552" s="345"/>
      <c r="G552" s="345"/>
      <c r="H552" s="345"/>
      <c r="I552" s="345"/>
      <c r="J552" s="345"/>
      <c r="K552" s="345"/>
      <c r="L552" s="345"/>
      <c r="M552" s="345"/>
      <c r="N552" s="345"/>
      <c r="O552" s="345"/>
      <c r="P552" s="345"/>
      <c r="Q552" s="345"/>
      <c r="R552" s="345"/>
      <c r="S552" s="345"/>
      <c r="T552" s="345"/>
      <c r="U552" s="345"/>
      <c r="V552" s="345"/>
      <c r="W552" s="345"/>
      <c r="X552" s="345"/>
      <c r="Y552" s="345"/>
      <c r="Z552" s="331"/>
    </row>
    <row r="553">
      <c r="A553" s="345"/>
      <c r="B553" s="369"/>
      <c r="C553" s="345"/>
      <c r="D553" s="345"/>
      <c r="E553" s="345"/>
      <c r="F553" s="345"/>
      <c r="G553" s="345"/>
      <c r="H553" s="345"/>
      <c r="I553" s="345"/>
      <c r="J553" s="345"/>
      <c r="K553" s="345"/>
      <c r="L553" s="345"/>
      <c r="M553" s="345"/>
      <c r="N553" s="345"/>
      <c r="O553" s="345"/>
      <c r="P553" s="345"/>
      <c r="Q553" s="345"/>
      <c r="R553" s="345"/>
      <c r="S553" s="345"/>
      <c r="T553" s="345"/>
      <c r="U553" s="345"/>
      <c r="V553" s="345"/>
      <c r="W553" s="345"/>
      <c r="X553" s="345"/>
      <c r="Y553" s="345"/>
      <c r="Z553" s="331"/>
    </row>
    <row r="554">
      <c r="A554" s="345"/>
      <c r="B554" s="369"/>
      <c r="C554" s="345"/>
      <c r="D554" s="345"/>
      <c r="E554" s="345"/>
      <c r="F554" s="345"/>
      <c r="G554" s="345"/>
      <c r="H554" s="345"/>
      <c r="I554" s="345"/>
      <c r="J554" s="345"/>
      <c r="K554" s="345"/>
      <c r="L554" s="345"/>
      <c r="M554" s="345"/>
      <c r="N554" s="345"/>
      <c r="O554" s="345"/>
      <c r="P554" s="345"/>
      <c r="Q554" s="345"/>
      <c r="R554" s="345"/>
      <c r="S554" s="345"/>
      <c r="T554" s="345"/>
      <c r="U554" s="345"/>
      <c r="V554" s="345"/>
      <c r="W554" s="345"/>
      <c r="X554" s="345"/>
      <c r="Y554" s="345"/>
      <c r="Z554" s="331"/>
    </row>
    <row r="555">
      <c r="A555" s="345"/>
      <c r="B555" s="369"/>
      <c r="C555" s="345"/>
      <c r="D555" s="345"/>
      <c r="E555" s="345"/>
      <c r="F555" s="345"/>
      <c r="G555" s="345"/>
      <c r="H555" s="345"/>
      <c r="I555" s="345"/>
      <c r="J555" s="345"/>
      <c r="K555" s="345"/>
      <c r="L555" s="345"/>
      <c r="M555" s="345"/>
      <c r="N555" s="345"/>
      <c r="O555" s="345"/>
      <c r="P555" s="345"/>
      <c r="Q555" s="345"/>
      <c r="R555" s="345"/>
      <c r="S555" s="345"/>
      <c r="T555" s="345"/>
      <c r="U555" s="345"/>
      <c r="V555" s="345"/>
      <c r="W555" s="345"/>
      <c r="X555" s="345"/>
      <c r="Y555" s="345"/>
      <c r="Z555" s="331"/>
    </row>
    <row r="556">
      <c r="A556" s="345"/>
      <c r="B556" s="369"/>
      <c r="C556" s="345"/>
      <c r="D556" s="345"/>
      <c r="E556" s="345"/>
      <c r="F556" s="345"/>
      <c r="G556" s="345"/>
      <c r="H556" s="345"/>
      <c r="I556" s="345"/>
      <c r="J556" s="345"/>
      <c r="K556" s="345"/>
      <c r="L556" s="345"/>
      <c r="M556" s="345"/>
      <c r="N556" s="345"/>
      <c r="O556" s="345"/>
      <c r="P556" s="345"/>
      <c r="Q556" s="345"/>
      <c r="R556" s="345"/>
      <c r="S556" s="345"/>
      <c r="T556" s="345"/>
      <c r="U556" s="345"/>
      <c r="V556" s="345"/>
      <c r="W556" s="345"/>
      <c r="X556" s="345"/>
      <c r="Y556" s="345"/>
      <c r="Z556" s="331"/>
    </row>
    <row r="557">
      <c r="A557" s="345"/>
      <c r="B557" s="369"/>
      <c r="C557" s="345"/>
      <c r="D557" s="345"/>
      <c r="E557" s="345"/>
      <c r="F557" s="345"/>
      <c r="G557" s="345"/>
      <c r="H557" s="345"/>
      <c r="I557" s="345"/>
      <c r="J557" s="345"/>
      <c r="K557" s="345"/>
      <c r="L557" s="345"/>
      <c r="M557" s="345"/>
      <c r="N557" s="345"/>
      <c r="O557" s="345"/>
      <c r="P557" s="345"/>
      <c r="Q557" s="345"/>
      <c r="R557" s="345"/>
      <c r="S557" s="345"/>
      <c r="T557" s="345"/>
      <c r="U557" s="345"/>
      <c r="V557" s="345"/>
      <c r="W557" s="345"/>
      <c r="X557" s="345"/>
      <c r="Y557" s="345"/>
      <c r="Z557" s="331"/>
    </row>
    <row r="558">
      <c r="A558" s="345"/>
      <c r="B558" s="369"/>
      <c r="C558" s="345"/>
      <c r="D558" s="345"/>
      <c r="E558" s="345"/>
      <c r="F558" s="345"/>
      <c r="G558" s="345"/>
      <c r="H558" s="345"/>
      <c r="I558" s="345"/>
      <c r="J558" s="345"/>
      <c r="K558" s="345"/>
      <c r="L558" s="345"/>
      <c r="M558" s="345"/>
      <c r="N558" s="345"/>
      <c r="O558" s="345"/>
      <c r="P558" s="345"/>
      <c r="Q558" s="345"/>
      <c r="R558" s="345"/>
      <c r="S558" s="345"/>
      <c r="T558" s="345"/>
      <c r="U558" s="345"/>
      <c r="V558" s="345"/>
      <c r="W558" s="345"/>
      <c r="X558" s="345"/>
      <c r="Y558" s="345"/>
      <c r="Z558" s="331"/>
    </row>
    <row r="559">
      <c r="A559" s="345"/>
      <c r="B559" s="369"/>
      <c r="C559" s="345"/>
      <c r="D559" s="345"/>
      <c r="E559" s="345"/>
      <c r="F559" s="345"/>
      <c r="G559" s="345"/>
      <c r="H559" s="345"/>
      <c r="I559" s="345"/>
      <c r="J559" s="345"/>
      <c r="K559" s="345"/>
      <c r="L559" s="345"/>
      <c r="M559" s="345"/>
      <c r="N559" s="345"/>
      <c r="O559" s="345"/>
      <c r="P559" s="345"/>
      <c r="Q559" s="345"/>
      <c r="R559" s="345"/>
      <c r="S559" s="345"/>
      <c r="T559" s="345"/>
      <c r="U559" s="345"/>
      <c r="V559" s="345"/>
      <c r="W559" s="345"/>
      <c r="X559" s="345"/>
      <c r="Y559" s="345"/>
      <c r="Z559" s="331"/>
    </row>
    <row r="560">
      <c r="A560" s="345"/>
      <c r="B560" s="369"/>
      <c r="C560" s="345"/>
      <c r="D560" s="345"/>
      <c r="E560" s="345"/>
      <c r="F560" s="345"/>
      <c r="G560" s="345"/>
      <c r="H560" s="345"/>
      <c r="I560" s="345"/>
      <c r="J560" s="345"/>
      <c r="K560" s="345"/>
      <c r="L560" s="345"/>
      <c r="M560" s="345"/>
      <c r="N560" s="345"/>
      <c r="O560" s="345"/>
      <c r="P560" s="345"/>
      <c r="Q560" s="345"/>
      <c r="R560" s="345"/>
      <c r="S560" s="345"/>
      <c r="T560" s="345"/>
      <c r="U560" s="345"/>
      <c r="V560" s="345"/>
      <c r="W560" s="345"/>
      <c r="X560" s="345"/>
      <c r="Y560" s="345"/>
      <c r="Z560" s="331"/>
    </row>
    <row r="561">
      <c r="A561" s="345"/>
      <c r="B561" s="369"/>
      <c r="C561" s="345"/>
      <c r="D561" s="345"/>
      <c r="E561" s="345"/>
      <c r="F561" s="345"/>
      <c r="G561" s="345"/>
      <c r="H561" s="345"/>
      <c r="I561" s="345"/>
      <c r="J561" s="345"/>
      <c r="K561" s="345"/>
      <c r="L561" s="345"/>
      <c r="M561" s="345"/>
      <c r="N561" s="345"/>
      <c r="O561" s="345"/>
      <c r="P561" s="345"/>
      <c r="Q561" s="345"/>
      <c r="R561" s="345"/>
      <c r="S561" s="345"/>
      <c r="T561" s="345"/>
      <c r="U561" s="345"/>
      <c r="V561" s="345"/>
      <c r="W561" s="345"/>
      <c r="X561" s="345"/>
      <c r="Y561" s="345"/>
      <c r="Z561" s="331"/>
    </row>
    <row r="562">
      <c r="A562" s="345"/>
      <c r="B562" s="369"/>
      <c r="C562" s="345"/>
      <c r="D562" s="345"/>
      <c r="E562" s="345"/>
      <c r="F562" s="345"/>
      <c r="G562" s="345"/>
      <c r="H562" s="345"/>
      <c r="I562" s="345"/>
      <c r="J562" s="345"/>
      <c r="K562" s="345"/>
      <c r="L562" s="345"/>
      <c r="M562" s="345"/>
      <c r="N562" s="345"/>
      <c r="O562" s="345"/>
      <c r="P562" s="345"/>
      <c r="Q562" s="345"/>
      <c r="R562" s="345"/>
      <c r="S562" s="345"/>
      <c r="T562" s="345"/>
      <c r="U562" s="345"/>
      <c r="V562" s="345"/>
      <c r="W562" s="345"/>
      <c r="X562" s="345"/>
      <c r="Y562" s="345"/>
      <c r="Z562" s="331"/>
    </row>
    <row r="563">
      <c r="A563" s="345"/>
      <c r="B563" s="369"/>
      <c r="C563" s="345"/>
      <c r="D563" s="345"/>
      <c r="E563" s="345"/>
      <c r="F563" s="345"/>
      <c r="G563" s="345"/>
      <c r="H563" s="345"/>
      <c r="I563" s="345"/>
      <c r="J563" s="345"/>
      <c r="K563" s="345"/>
      <c r="L563" s="345"/>
      <c r="M563" s="345"/>
      <c r="N563" s="345"/>
      <c r="O563" s="345"/>
      <c r="P563" s="345"/>
      <c r="Q563" s="345"/>
      <c r="R563" s="345"/>
      <c r="S563" s="345"/>
      <c r="T563" s="345"/>
      <c r="U563" s="345"/>
      <c r="V563" s="345"/>
      <c r="W563" s="345"/>
      <c r="X563" s="345"/>
      <c r="Y563" s="345"/>
      <c r="Z563" s="331"/>
    </row>
    <row r="564">
      <c r="A564" s="345"/>
      <c r="B564" s="369"/>
      <c r="C564" s="345"/>
      <c r="D564" s="345"/>
      <c r="E564" s="345"/>
      <c r="F564" s="345"/>
      <c r="G564" s="345"/>
      <c r="H564" s="345"/>
      <c r="I564" s="345"/>
      <c r="J564" s="345"/>
      <c r="K564" s="345"/>
      <c r="L564" s="345"/>
      <c r="M564" s="345"/>
      <c r="N564" s="345"/>
      <c r="O564" s="345"/>
      <c r="P564" s="345"/>
      <c r="Q564" s="345"/>
      <c r="R564" s="345"/>
      <c r="S564" s="345"/>
      <c r="T564" s="345"/>
      <c r="U564" s="345"/>
      <c r="V564" s="345"/>
      <c r="W564" s="345"/>
      <c r="X564" s="345"/>
      <c r="Y564" s="345"/>
      <c r="Z564" s="331"/>
    </row>
    <row r="565">
      <c r="A565" s="345"/>
      <c r="B565" s="369"/>
      <c r="C565" s="345"/>
      <c r="D565" s="345"/>
      <c r="E565" s="345"/>
      <c r="F565" s="345"/>
      <c r="G565" s="345"/>
      <c r="H565" s="345"/>
      <c r="I565" s="345"/>
      <c r="J565" s="345"/>
      <c r="K565" s="345"/>
      <c r="L565" s="345"/>
      <c r="M565" s="345"/>
      <c r="N565" s="345"/>
      <c r="O565" s="345"/>
      <c r="P565" s="345"/>
      <c r="Q565" s="345"/>
      <c r="R565" s="345"/>
      <c r="S565" s="345"/>
      <c r="T565" s="345"/>
      <c r="U565" s="345"/>
      <c r="V565" s="345"/>
      <c r="W565" s="345"/>
      <c r="X565" s="345"/>
      <c r="Y565" s="345"/>
      <c r="Z565" s="331"/>
    </row>
    <row r="566">
      <c r="A566" s="345"/>
      <c r="B566" s="369"/>
      <c r="C566" s="345"/>
      <c r="D566" s="345"/>
      <c r="E566" s="345"/>
      <c r="F566" s="345"/>
      <c r="G566" s="345"/>
      <c r="H566" s="345"/>
      <c r="I566" s="345"/>
      <c r="J566" s="345"/>
      <c r="K566" s="345"/>
      <c r="L566" s="345"/>
      <c r="M566" s="345"/>
      <c r="N566" s="345"/>
      <c r="O566" s="345"/>
      <c r="P566" s="345"/>
      <c r="Q566" s="345"/>
      <c r="R566" s="345"/>
      <c r="S566" s="345"/>
      <c r="T566" s="345"/>
      <c r="U566" s="345"/>
      <c r="V566" s="345"/>
      <c r="W566" s="345"/>
      <c r="X566" s="345"/>
      <c r="Y566" s="345"/>
      <c r="Z566" s="331"/>
    </row>
    <row r="567">
      <c r="A567" s="345"/>
      <c r="B567" s="369"/>
      <c r="C567" s="345"/>
      <c r="D567" s="345"/>
      <c r="E567" s="345"/>
      <c r="F567" s="345"/>
      <c r="G567" s="345"/>
      <c r="H567" s="345"/>
      <c r="I567" s="345"/>
      <c r="J567" s="345"/>
      <c r="K567" s="345"/>
      <c r="L567" s="345"/>
      <c r="M567" s="345"/>
      <c r="N567" s="345"/>
      <c r="O567" s="345"/>
      <c r="P567" s="345"/>
      <c r="Q567" s="345"/>
      <c r="R567" s="345"/>
      <c r="S567" s="345"/>
      <c r="T567" s="345"/>
      <c r="U567" s="345"/>
      <c r="V567" s="345"/>
      <c r="W567" s="345"/>
      <c r="X567" s="345"/>
      <c r="Y567" s="345"/>
      <c r="Z567" s="331"/>
    </row>
    <row r="568">
      <c r="A568" s="345"/>
      <c r="B568" s="369"/>
      <c r="C568" s="345"/>
      <c r="D568" s="345"/>
      <c r="E568" s="345"/>
      <c r="F568" s="345"/>
      <c r="G568" s="345"/>
      <c r="H568" s="345"/>
      <c r="I568" s="345"/>
      <c r="J568" s="345"/>
      <c r="K568" s="345"/>
      <c r="L568" s="345"/>
      <c r="M568" s="345"/>
      <c r="N568" s="345"/>
      <c r="O568" s="345"/>
      <c r="P568" s="345"/>
      <c r="Q568" s="345"/>
      <c r="R568" s="345"/>
      <c r="S568" s="345"/>
      <c r="T568" s="345"/>
      <c r="U568" s="345"/>
      <c r="V568" s="345"/>
      <c r="W568" s="345"/>
      <c r="X568" s="345"/>
      <c r="Y568" s="345"/>
      <c r="Z568" s="331"/>
    </row>
    <row r="569">
      <c r="A569" s="345"/>
      <c r="B569" s="369"/>
      <c r="C569" s="345"/>
      <c r="D569" s="345"/>
      <c r="E569" s="345"/>
      <c r="F569" s="345"/>
      <c r="G569" s="345"/>
      <c r="H569" s="345"/>
      <c r="I569" s="345"/>
      <c r="J569" s="345"/>
      <c r="K569" s="345"/>
      <c r="L569" s="345"/>
      <c r="M569" s="345"/>
      <c r="N569" s="345"/>
      <c r="O569" s="345"/>
      <c r="P569" s="345"/>
      <c r="Q569" s="345"/>
      <c r="R569" s="345"/>
      <c r="S569" s="345"/>
      <c r="T569" s="345"/>
      <c r="U569" s="345"/>
      <c r="V569" s="345"/>
      <c r="W569" s="345"/>
      <c r="X569" s="345"/>
      <c r="Y569" s="345"/>
      <c r="Z569" s="331"/>
    </row>
    <row r="570">
      <c r="A570" s="345"/>
      <c r="B570" s="369"/>
      <c r="C570" s="345"/>
      <c r="D570" s="345"/>
      <c r="E570" s="345"/>
      <c r="F570" s="345"/>
      <c r="G570" s="345"/>
      <c r="H570" s="345"/>
      <c r="I570" s="345"/>
      <c r="J570" s="345"/>
      <c r="K570" s="345"/>
      <c r="L570" s="345"/>
      <c r="M570" s="345"/>
      <c r="N570" s="345"/>
      <c r="O570" s="345"/>
      <c r="P570" s="345"/>
      <c r="Q570" s="345"/>
      <c r="R570" s="345"/>
      <c r="S570" s="345"/>
      <c r="T570" s="345"/>
      <c r="U570" s="345"/>
      <c r="V570" s="345"/>
      <c r="W570" s="345"/>
      <c r="X570" s="345"/>
      <c r="Y570" s="345"/>
      <c r="Z570" s="331"/>
    </row>
    <row r="571">
      <c r="A571" s="345"/>
      <c r="B571" s="369"/>
      <c r="C571" s="345"/>
      <c r="D571" s="345"/>
      <c r="E571" s="345"/>
      <c r="F571" s="345"/>
      <c r="G571" s="345"/>
      <c r="H571" s="345"/>
      <c r="I571" s="345"/>
      <c r="J571" s="345"/>
      <c r="K571" s="345"/>
      <c r="L571" s="345"/>
      <c r="M571" s="345"/>
      <c r="N571" s="345"/>
      <c r="O571" s="345"/>
      <c r="P571" s="345"/>
      <c r="Q571" s="345"/>
      <c r="R571" s="345"/>
      <c r="S571" s="345"/>
      <c r="T571" s="345"/>
      <c r="U571" s="345"/>
      <c r="V571" s="345"/>
      <c r="W571" s="345"/>
      <c r="X571" s="345"/>
      <c r="Y571" s="345"/>
      <c r="Z571" s="331"/>
    </row>
    <row r="572">
      <c r="A572" s="345"/>
      <c r="B572" s="369"/>
      <c r="C572" s="345"/>
      <c r="D572" s="345"/>
      <c r="E572" s="345"/>
      <c r="F572" s="345"/>
      <c r="G572" s="345"/>
      <c r="H572" s="345"/>
      <c r="I572" s="345"/>
      <c r="J572" s="345"/>
      <c r="K572" s="345"/>
      <c r="L572" s="345"/>
      <c r="M572" s="345"/>
      <c r="N572" s="345"/>
      <c r="O572" s="345"/>
      <c r="P572" s="345"/>
      <c r="Q572" s="345"/>
      <c r="R572" s="345"/>
      <c r="S572" s="345"/>
      <c r="T572" s="345"/>
      <c r="U572" s="345"/>
      <c r="V572" s="345"/>
      <c r="W572" s="345"/>
      <c r="X572" s="345"/>
      <c r="Y572" s="345"/>
      <c r="Z572" s="331"/>
    </row>
    <row r="573">
      <c r="A573" s="345"/>
      <c r="B573" s="369"/>
      <c r="C573" s="345"/>
      <c r="D573" s="345"/>
      <c r="E573" s="345"/>
      <c r="F573" s="345"/>
      <c r="G573" s="345"/>
      <c r="H573" s="345"/>
      <c r="I573" s="345"/>
      <c r="J573" s="345"/>
      <c r="K573" s="345"/>
      <c r="L573" s="345"/>
      <c r="M573" s="345"/>
      <c r="N573" s="345"/>
      <c r="O573" s="345"/>
      <c r="P573" s="345"/>
      <c r="Q573" s="345"/>
      <c r="R573" s="345"/>
      <c r="S573" s="345"/>
      <c r="T573" s="345"/>
      <c r="U573" s="345"/>
      <c r="V573" s="345"/>
      <c r="W573" s="345"/>
      <c r="X573" s="345"/>
      <c r="Y573" s="345"/>
      <c r="Z573" s="331"/>
    </row>
    <row r="574">
      <c r="A574" s="345"/>
      <c r="B574" s="369"/>
      <c r="C574" s="345"/>
      <c r="D574" s="345"/>
      <c r="E574" s="345"/>
      <c r="F574" s="345"/>
      <c r="G574" s="345"/>
      <c r="H574" s="345"/>
      <c r="I574" s="345"/>
      <c r="J574" s="345"/>
      <c r="K574" s="345"/>
      <c r="L574" s="345"/>
      <c r="M574" s="345"/>
      <c r="N574" s="345"/>
      <c r="O574" s="345"/>
      <c r="P574" s="345"/>
      <c r="Q574" s="345"/>
      <c r="R574" s="345"/>
      <c r="S574" s="345"/>
      <c r="T574" s="345"/>
      <c r="U574" s="345"/>
      <c r="V574" s="345"/>
      <c r="W574" s="345"/>
      <c r="X574" s="345"/>
      <c r="Y574" s="345"/>
      <c r="Z574" s="331"/>
    </row>
    <row r="575">
      <c r="A575" s="345"/>
      <c r="B575" s="369"/>
      <c r="C575" s="345"/>
      <c r="D575" s="345"/>
      <c r="E575" s="345"/>
      <c r="F575" s="345"/>
      <c r="G575" s="345"/>
      <c r="H575" s="345"/>
      <c r="I575" s="345"/>
      <c r="J575" s="345"/>
      <c r="K575" s="345"/>
      <c r="L575" s="345"/>
      <c r="M575" s="345"/>
      <c r="N575" s="345"/>
      <c r="O575" s="345"/>
      <c r="P575" s="345"/>
      <c r="Q575" s="345"/>
      <c r="R575" s="345"/>
      <c r="S575" s="345"/>
      <c r="T575" s="345"/>
      <c r="U575" s="345"/>
      <c r="V575" s="345"/>
      <c r="W575" s="345"/>
      <c r="X575" s="345"/>
      <c r="Y575" s="345"/>
      <c r="Z575" s="331"/>
    </row>
    <row r="576">
      <c r="A576" s="345"/>
      <c r="B576" s="369"/>
      <c r="C576" s="345"/>
      <c r="D576" s="345"/>
      <c r="E576" s="345"/>
      <c r="F576" s="345"/>
      <c r="G576" s="345"/>
      <c r="H576" s="345"/>
      <c r="I576" s="345"/>
      <c r="J576" s="345"/>
      <c r="K576" s="345"/>
      <c r="L576" s="345"/>
      <c r="M576" s="345"/>
      <c r="N576" s="345"/>
      <c r="O576" s="345"/>
      <c r="P576" s="345"/>
      <c r="Q576" s="345"/>
      <c r="R576" s="345"/>
      <c r="S576" s="345"/>
      <c r="T576" s="345"/>
      <c r="U576" s="345"/>
      <c r="V576" s="345"/>
      <c r="W576" s="345"/>
      <c r="X576" s="345"/>
      <c r="Y576" s="345"/>
      <c r="Z576" s="331"/>
    </row>
    <row r="577">
      <c r="A577" s="345"/>
      <c r="B577" s="369"/>
      <c r="C577" s="345"/>
      <c r="D577" s="345"/>
      <c r="E577" s="345"/>
      <c r="F577" s="345"/>
      <c r="G577" s="345"/>
      <c r="H577" s="345"/>
      <c r="I577" s="345"/>
      <c r="J577" s="345"/>
      <c r="K577" s="345"/>
      <c r="L577" s="345"/>
      <c r="M577" s="345"/>
      <c r="N577" s="345"/>
      <c r="O577" s="345"/>
      <c r="P577" s="345"/>
      <c r="Q577" s="345"/>
      <c r="R577" s="345"/>
      <c r="S577" s="345"/>
      <c r="T577" s="345"/>
      <c r="U577" s="345"/>
      <c r="V577" s="345"/>
      <c r="W577" s="345"/>
      <c r="X577" s="345"/>
      <c r="Y577" s="345"/>
      <c r="Z577" s="331"/>
    </row>
    <row r="578">
      <c r="A578" s="345"/>
      <c r="B578" s="369"/>
      <c r="C578" s="345"/>
      <c r="D578" s="345"/>
      <c r="E578" s="345"/>
      <c r="F578" s="345"/>
      <c r="G578" s="345"/>
      <c r="H578" s="345"/>
      <c r="I578" s="345"/>
      <c r="J578" s="345"/>
      <c r="K578" s="345"/>
      <c r="L578" s="345"/>
      <c r="M578" s="345"/>
      <c r="N578" s="345"/>
      <c r="O578" s="345"/>
      <c r="P578" s="345"/>
      <c r="Q578" s="345"/>
      <c r="R578" s="345"/>
      <c r="S578" s="345"/>
      <c r="T578" s="345"/>
      <c r="U578" s="345"/>
      <c r="V578" s="345"/>
      <c r="W578" s="345"/>
      <c r="X578" s="345"/>
      <c r="Y578" s="345"/>
      <c r="Z578" s="331"/>
    </row>
    <row r="579">
      <c r="A579" s="345"/>
      <c r="B579" s="369"/>
      <c r="C579" s="345"/>
      <c r="D579" s="345"/>
      <c r="E579" s="345"/>
      <c r="F579" s="345"/>
      <c r="G579" s="345"/>
      <c r="H579" s="345"/>
      <c r="I579" s="345"/>
      <c r="J579" s="345"/>
      <c r="K579" s="345"/>
      <c r="L579" s="345"/>
      <c r="M579" s="345"/>
      <c r="N579" s="345"/>
      <c r="O579" s="345"/>
      <c r="P579" s="345"/>
      <c r="Q579" s="345"/>
      <c r="R579" s="345"/>
      <c r="S579" s="345"/>
      <c r="T579" s="345"/>
      <c r="U579" s="345"/>
      <c r="V579" s="345"/>
      <c r="W579" s="345"/>
      <c r="X579" s="345"/>
      <c r="Y579" s="345"/>
      <c r="Z579" s="331"/>
    </row>
    <row r="580">
      <c r="A580" s="345"/>
      <c r="B580" s="369"/>
      <c r="C580" s="345"/>
      <c r="D580" s="345"/>
      <c r="E580" s="345"/>
      <c r="F580" s="345"/>
      <c r="G580" s="345"/>
      <c r="H580" s="345"/>
      <c r="I580" s="345"/>
      <c r="J580" s="345"/>
      <c r="K580" s="345"/>
      <c r="L580" s="345"/>
      <c r="M580" s="345"/>
      <c r="N580" s="345"/>
      <c r="O580" s="345"/>
      <c r="P580" s="345"/>
      <c r="Q580" s="345"/>
      <c r="R580" s="345"/>
      <c r="S580" s="345"/>
      <c r="T580" s="345"/>
      <c r="U580" s="345"/>
      <c r="V580" s="345"/>
      <c r="W580" s="345"/>
      <c r="X580" s="345"/>
      <c r="Y580" s="345"/>
      <c r="Z580" s="331"/>
    </row>
    <row r="581">
      <c r="A581" s="345"/>
      <c r="B581" s="369"/>
      <c r="C581" s="345"/>
      <c r="D581" s="345"/>
      <c r="E581" s="345"/>
      <c r="F581" s="345"/>
      <c r="G581" s="345"/>
      <c r="H581" s="345"/>
      <c r="I581" s="345"/>
      <c r="J581" s="345"/>
      <c r="K581" s="345"/>
      <c r="L581" s="345"/>
      <c r="M581" s="345"/>
      <c r="N581" s="345"/>
      <c r="O581" s="345"/>
      <c r="P581" s="345"/>
      <c r="Q581" s="345"/>
      <c r="R581" s="345"/>
      <c r="S581" s="345"/>
      <c r="T581" s="345"/>
      <c r="U581" s="345"/>
      <c r="V581" s="345"/>
      <c r="W581" s="345"/>
      <c r="X581" s="345"/>
      <c r="Y581" s="345"/>
      <c r="Z581" s="331"/>
    </row>
    <row r="582">
      <c r="A582" s="345"/>
      <c r="B582" s="369"/>
      <c r="C582" s="345"/>
      <c r="D582" s="345"/>
      <c r="E582" s="345"/>
      <c r="F582" s="345"/>
      <c r="G582" s="345"/>
      <c r="H582" s="345"/>
      <c r="I582" s="345"/>
      <c r="J582" s="345"/>
      <c r="K582" s="345"/>
      <c r="L582" s="345"/>
      <c r="M582" s="345"/>
      <c r="N582" s="345"/>
      <c r="O582" s="345"/>
      <c r="P582" s="345"/>
      <c r="Q582" s="345"/>
      <c r="R582" s="345"/>
      <c r="S582" s="345"/>
      <c r="T582" s="345"/>
      <c r="U582" s="345"/>
      <c r="V582" s="345"/>
      <c r="W582" s="345"/>
      <c r="X582" s="345"/>
      <c r="Y582" s="345"/>
      <c r="Z582" s="331"/>
    </row>
    <row r="583">
      <c r="A583" s="345"/>
      <c r="B583" s="369"/>
      <c r="C583" s="345"/>
      <c r="D583" s="345"/>
      <c r="E583" s="345"/>
      <c r="F583" s="345"/>
      <c r="G583" s="345"/>
      <c r="H583" s="345"/>
      <c r="I583" s="345"/>
      <c r="J583" s="345"/>
      <c r="K583" s="345"/>
      <c r="L583" s="345"/>
      <c r="M583" s="345"/>
      <c r="N583" s="345"/>
      <c r="O583" s="345"/>
      <c r="P583" s="345"/>
      <c r="Q583" s="345"/>
      <c r="R583" s="345"/>
      <c r="S583" s="345"/>
      <c r="T583" s="345"/>
      <c r="U583" s="345"/>
      <c r="V583" s="345"/>
      <c r="W583" s="345"/>
      <c r="X583" s="345"/>
      <c r="Y583" s="345"/>
      <c r="Z583" s="331"/>
    </row>
    <row r="584">
      <c r="A584" s="345"/>
      <c r="B584" s="369"/>
      <c r="C584" s="345"/>
      <c r="D584" s="345"/>
      <c r="E584" s="345"/>
      <c r="F584" s="345"/>
      <c r="G584" s="345"/>
      <c r="H584" s="345"/>
      <c r="I584" s="345"/>
      <c r="J584" s="345"/>
      <c r="K584" s="345"/>
      <c r="L584" s="345"/>
      <c r="M584" s="345"/>
      <c r="N584" s="345"/>
      <c r="O584" s="345"/>
      <c r="P584" s="345"/>
      <c r="Q584" s="345"/>
      <c r="R584" s="345"/>
      <c r="S584" s="345"/>
      <c r="T584" s="345"/>
      <c r="U584" s="345"/>
      <c r="V584" s="345"/>
      <c r="W584" s="345"/>
      <c r="X584" s="345"/>
      <c r="Y584" s="345"/>
      <c r="Z584" s="331"/>
    </row>
    <row r="585">
      <c r="A585" s="345"/>
      <c r="B585" s="369"/>
      <c r="C585" s="345"/>
      <c r="D585" s="345"/>
      <c r="E585" s="345"/>
      <c r="F585" s="345"/>
      <c r="G585" s="345"/>
      <c r="H585" s="345"/>
      <c r="I585" s="345"/>
      <c r="J585" s="345"/>
      <c r="K585" s="345"/>
      <c r="L585" s="345"/>
      <c r="M585" s="345"/>
      <c r="N585" s="345"/>
      <c r="O585" s="345"/>
      <c r="P585" s="345"/>
      <c r="Q585" s="345"/>
      <c r="R585" s="345"/>
      <c r="S585" s="345"/>
      <c r="T585" s="345"/>
      <c r="U585" s="345"/>
      <c r="V585" s="345"/>
      <c r="W585" s="345"/>
      <c r="X585" s="345"/>
      <c r="Y585" s="345"/>
      <c r="Z585" s="331"/>
    </row>
    <row r="586">
      <c r="A586" s="345"/>
      <c r="B586" s="369"/>
      <c r="C586" s="345"/>
      <c r="D586" s="345"/>
      <c r="E586" s="345"/>
      <c r="F586" s="345"/>
      <c r="G586" s="345"/>
      <c r="H586" s="345"/>
      <c r="I586" s="345"/>
      <c r="J586" s="345"/>
      <c r="K586" s="345"/>
      <c r="L586" s="345"/>
      <c r="M586" s="345"/>
      <c r="N586" s="345"/>
      <c r="O586" s="345"/>
      <c r="P586" s="345"/>
      <c r="Q586" s="345"/>
      <c r="R586" s="345"/>
      <c r="S586" s="345"/>
      <c r="T586" s="345"/>
      <c r="U586" s="345"/>
      <c r="V586" s="345"/>
      <c r="W586" s="345"/>
      <c r="X586" s="345"/>
      <c r="Y586" s="345"/>
      <c r="Z586" s="331"/>
    </row>
    <row r="587">
      <c r="A587" s="345"/>
      <c r="B587" s="369"/>
      <c r="C587" s="345"/>
      <c r="D587" s="345"/>
      <c r="E587" s="345"/>
      <c r="F587" s="345"/>
      <c r="G587" s="345"/>
      <c r="H587" s="345"/>
      <c r="I587" s="345"/>
      <c r="J587" s="345"/>
      <c r="K587" s="345"/>
      <c r="L587" s="345"/>
      <c r="M587" s="345"/>
      <c r="N587" s="345"/>
      <c r="O587" s="345"/>
      <c r="P587" s="345"/>
      <c r="Q587" s="345"/>
      <c r="R587" s="345"/>
      <c r="S587" s="345"/>
      <c r="T587" s="345"/>
      <c r="U587" s="345"/>
      <c r="V587" s="345"/>
      <c r="W587" s="345"/>
      <c r="X587" s="345"/>
      <c r="Y587" s="345"/>
      <c r="Z587" s="331"/>
    </row>
    <row r="588">
      <c r="A588" s="345"/>
      <c r="B588" s="369"/>
      <c r="C588" s="345"/>
      <c r="D588" s="345"/>
      <c r="E588" s="345"/>
      <c r="F588" s="345"/>
      <c r="G588" s="345"/>
      <c r="H588" s="345"/>
      <c r="I588" s="345"/>
      <c r="J588" s="345"/>
      <c r="K588" s="345"/>
      <c r="L588" s="345"/>
      <c r="M588" s="345"/>
      <c r="N588" s="345"/>
      <c r="O588" s="345"/>
      <c r="P588" s="345"/>
      <c r="Q588" s="345"/>
      <c r="R588" s="345"/>
      <c r="S588" s="345"/>
      <c r="T588" s="345"/>
      <c r="U588" s="345"/>
      <c r="V588" s="345"/>
      <c r="W588" s="345"/>
      <c r="X588" s="345"/>
      <c r="Y588" s="345"/>
      <c r="Z588" s="331"/>
    </row>
    <row r="589">
      <c r="A589" s="345"/>
      <c r="B589" s="369"/>
      <c r="C589" s="345"/>
      <c r="D589" s="345"/>
      <c r="E589" s="345"/>
      <c r="F589" s="345"/>
      <c r="G589" s="345"/>
      <c r="H589" s="345"/>
      <c r="I589" s="345"/>
      <c r="J589" s="345"/>
      <c r="K589" s="345"/>
      <c r="L589" s="345"/>
      <c r="M589" s="345"/>
      <c r="N589" s="345"/>
      <c r="O589" s="345"/>
      <c r="P589" s="345"/>
      <c r="Q589" s="345"/>
      <c r="R589" s="345"/>
      <c r="S589" s="345"/>
      <c r="T589" s="345"/>
      <c r="U589" s="345"/>
      <c r="V589" s="345"/>
      <c r="W589" s="345"/>
      <c r="X589" s="345"/>
      <c r="Y589" s="345"/>
      <c r="Z589" s="331"/>
    </row>
    <row r="590">
      <c r="A590" s="345"/>
      <c r="B590" s="369"/>
      <c r="C590" s="345"/>
      <c r="D590" s="345"/>
      <c r="E590" s="345"/>
      <c r="F590" s="345"/>
      <c r="G590" s="345"/>
      <c r="H590" s="345"/>
      <c r="I590" s="345"/>
      <c r="J590" s="345"/>
      <c r="K590" s="345"/>
      <c r="L590" s="345"/>
      <c r="M590" s="345"/>
      <c r="N590" s="345"/>
      <c r="O590" s="345"/>
      <c r="P590" s="345"/>
      <c r="Q590" s="345"/>
      <c r="R590" s="345"/>
      <c r="S590" s="345"/>
      <c r="T590" s="345"/>
      <c r="U590" s="345"/>
      <c r="V590" s="345"/>
      <c r="W590" s="345"/>
      <c r="X590" s="345"/>
      <c r="Y590" s="345"/>
      <c r="Z590" s="331"/>
    </row>
    <row r="591">
      <c r="A591" s="345"/>
      <c r="B591" s="369"/>
      <c r="C591" s="345"/>
      <c r="D591" s="345"/>
      <c r="E591" s="345"/>
      <c r="F591" s="345"/>
      <c r="G591" s="345"/>
      <c r="H591" s="345"/>
      <c r="I591" s="345"/>
      <c r="J591" s="345"/>
      <c r="K591" s="345"/>
      <c r="L591" s="345"/>
      <c r="M591" s="345"/>
      <c r="N591" s="345"/>
      <c r="O591" s="345"/>
      <c r="P591" s="345"/>
      <c r="Q591" s="345"/>
      <c r="R591" s="345"/>
      <c r="S591" s="345"/>
      <c r="T591" s="345"/>
      <c r="U591" s="345"/>
      <c r="V591" s="345"/>
      <c r="W591" s="345"/>
      <c r="X591" s="345"/>
      <c r="Y591" s="345"/>
      <c r="Z591" s="331"/>
    </row>
    <row r="592">
      <c r="A592" s="345"/>
      <c r="B592" s="369"/>
      <c r="C592" s="345"/>
      <c r="D592" s="345"/>
      <c r="E592" s="345"/>
      <c r="F592" s="345"/>
      <c r="G592" s="345"/>
      <c r="H592" s="345"/>
      <c r="I592" s="345"/>
      <c r="J592" s="345"/>
      <c r="K592" s="345"/>
      <c r="L592" s="345"/>
      <c r="M592" s="345"/>
      <c r="N592" s="345"/>
      <c r="O592" s="345"/>
      <c r="P592" s="345"/>
      <c r="Q592" s="345"/>
      <c r="R592" s="345"/>
      <c r="S592" s="345"/>
      <c r="T592" s="345"/>
      <c r="U592" s="345"/>
      <c r="V592" s="345"/>
      <c r="W592" s="345"/>
      <c r="X592" s="345"/>
      <c r="Y592" s="345"/>
      <c r="Z592" s="331"/>
    </row>
    <row r="593">
      <c r="A593" s="345"/>
      <c r="B593" s="369"/>
      <c r="C593" s="345"/>
      <c r="D593" s="345"/>
      <c r="E593" s="345"/>
      <c r="F593" s="345"/>
      <c r="G593" s="345"/>
      <c r="H593" s="345"/>
      <c r="I593" s="345"/>
      <c r="J593" s="345"/>
      <c r="K593" s="345"/>
      <c r="L593" s="345"/>
      <c r="M593" s="345"/>
      <c r="N593" s="345"/>
      <c r="O593" s="345"/>
      <c r="P593" s="345"/>
      <c r="Q593" s="345"/>
      <c r="R593" s="345"/>
      <c r="S593" s="345"/>
      <c r="T593" s="345"/>
      <c r="U593" s="345"/>
      <c r="V593" s="345"/>
      <c r="W593" s="345"/>
      <c r="X593" s="345"/>
      <c r="Y593" s="345"/>
      <c r="Z593" s="331"/>
    </row>
    <row r="594">
      <c r="A594" s="345"/>
      <c r="B594" s="369"/>
      <c r="C594" s="345"/>
      <c r="D594" s="345"/>
      <c r="E594" s="345"/>
      <c r="F594" s="345"/>
      <c r="G594" s="345"/>
      <c r="H594" s="345"/>
      <c r="I594" s="345"/>
      <c r="J594" s="345"/>
      <c r="K594" s="345"/>
      <c r="L594" s="345"/>
      <c r="M594" s="345"/>
      <c r="N594" s="345"/>
      <c r="O594" s="345"/>
      <c r="P594" s="345"/>
      <c r="Q594" s="345"/>
      <c r="R594" s="345"/>
      <c r="S594" s="345"/>
      <c r="T594" s="345"/>
      <c r="U594" s="345"/>
      <c r="V594" s="345"/>
      <c r="W594" s="345"/>
      <c r="X594" s="345"/>
      <c r="Y594" s="345"/>
      <c r="Z594" s="331"/>
    </row>
    <row r="595">
      <c r="A595" s="345"/>
      <c r="B595" s="369"/>
      <c r="C595" s="345"/>
      <c r="D595" s="345"/>
      <c r="E595" s="345"/>
      <c r="F595" s="345"/>
      <c r="G595" s="345"/>
      <c r="H595" s="345"/>
      <c r="I595" s="345"/>
      <c r="J595" s="345"/>
      <c r="K595" s="345"/>
      <c r="L595" s="345"/>
      <c r="M595" s="345"/>
      <c r="N595" s="345"/>
      <c r="O595" s="345"/>
      <c r="P595" s="345"/>
      <c r="Q595" s="345"/>
      <c r="R595" s="345"/>
      <c r="S595" s="345"/>
      <c r="T595" s="345"/>
      <c r="U595" s="345"/>
      <c r="V595" s="345"/>
      <c r="W595" s="345"/>
      <c r="X595" s="345"/>
      <c r="Y595" s="345"/>
      <c r="Z595" s="331"/>
    </row>
    <row r="596">
      <c r="A596" s="345"/>
      <c r="B596" s="369"/>
      <c r="C596" s="345"/>
      <c r="D596" s="345"/>
      <c r="E596" s="345"/>
      <c r="F596" s="345"/>
      <c r="G596" s="345"/>
      <c r="H596" s="345"/>
      <c r="I596" s="345"/>
      <c r="J596" s="345"/>
      <c r="K596" s="345"/>
      <c r="L596" s="345"/>
      <c r="M596" s="345"/>
      <c r="N596" s="345"/>
      <c r="O596" s="345"/>
      <c r="P596" s="345"/>
      <c r="Q596" s="345"/>
      <c r="R596" s="345"/>
      <c r="S596" s="345"/>
      <c r="T596" s="345"/>
      <c r="U596" s="345"/>
      <c r="V596" s="345"/>
      <c r="W596" s="345"/>
      <c r="X596" s="345"/>
      <c r="Y596" s="345"/>
      <c r="Z596" s="331"/>
    </row>
    <row r="597">
      <c r="A597" s="345"/>
      <c r="B597" s="369"/>
      <c r="C597" s="345"/>
      <c r="D597" s="345"/>
      <c r="E597" s="345"/>
      <c r="F597" s="345"/>
      <c r="G597" s="345"/>
      <c r="H597" s="345"/>
      <c r="I597" s="345"/>
      <c r="J597" s="345"/>
      <c r="K597" s="345"/>
      <c r="L597" s="345"/>
      <c r="M597" s="345"/>
      <c r="N597" s="345"/>
      <c r="O597" s="345"/>
      <c r="P597" s="345"/>
      <c r="Q597" s="345"/>
      <c r="R597" s="345"/>
      <c r="S597" s="345"/>
      <c r="T597" s="345"/>
      <c r="U597" s="345"/>
      <c r="V597" s="345"/>
      <c r="W597" s="345"/>
      <c r="X597" s="345"/>
      <c r="Y597" s="345"/>
      <c r="Z597" s="331"/>
    </row>
    <row r="598">
      <c r="A598" s="345"/>
      <c r="B598" s="369"/>
      <c r="C598" s="345"/>
      <c r="D598" s="345"/>
      <c r="E598" s="345"/>
      <c r="F598" s="345"/>
      <c r="G598" s="345"/>
      <c r="H598" s="345"/>
      <c r="I598" s="345"/>
      <c r="J598" s="345"/>
      <c r="K598" s="345"/>
      <c r="L598" s="345"/>
      <c r="M598" s="345"/>
      <c r="N598" s="345"/>
      <c r="O598" s="345"/>
      <c r="P598" s="345"/>
      <c r="Q598" s="345"/>
      <c r="R598" s="345"/>
      <c r="S598" s="345"/>
      <c r="T598" s="345"/>
      <c r="U598" s="345"/>
      <c r="V598" s="345"/>
      <c r="W598" s="345"/>
      <c r="X598" s="345"/>
      <c r="Y598" s="345"/>
      <c r="Z598" s="331"/>
    </row>
    <row r="599">
      <c r="A599" s="345"/>
      <c r="B599" s="369"/>
      <c r="C599" s="345"/>
      <c r="D599" s="345"/>
      <c r="E599" s="345"/>
      <c r="F599" s="345"/>
      <c r="G599" s="345"/>
      <c r="H599" s="345"/>
      <c r="I599" s="345"/>
      <c r="J599" s="345"/>
      <c r="K599" s="345"/>
      <c r="L599" s="345"/>
      <c r="M599" s="345"/>
      <c r="N599" s="345"/>
      <c r="O599" s="345"/>
      <c r="P599" s="345"/>
      <c r="Q599" s="345"/>
      <c r="R599" s="345"/>
      <c r="S599" s="345"/>
      <c r="T599" s="345"/>
      <c r="U599" s="345"/>
      <c r="V599" s="345"/>
      <c r="W599" s="345"/>
      <c r="X599" s="345"/>
      <c r="Y599" s="345"/>
      <c r="Z599" s="331"/>
    </row>
    <row r="600">
      <c r="A600" s="345"/>
      <c r="B600" s="369"/>
      <c r="C600" s="345"/>
      <c r="D600" s="345"/>
      <c r="E600" s="345"/>
      <c r="F600" s="345"/>
      <c r="G600" s="345"/>
      <c r="H600" s="345"/>
      <c r="I600" s="345"/>
      <c r="J600" s="345"/>
      <c r="K600" s="345"/>
      <c r="L600" s="345"/>
      <c r="M600" s="345"/>
      <c r="N600" s="345"/>
      <c r="O600" s="345"/>
      <c r="P600" s="345"/>
      <c r="Q600" s="345"/>
      <c r="R600" s="345"/>
      <c r="S600" s="345"/>
      <c r="T600" s="345"/>
      <c r="U600" s="345"/>
      <c r="V600" s="345"/>
      <c r="W600" s="345"/>
      <c r="X600" s="345"/>
      <c r="Y600" s="345"/>
      <c r="Z600" s="331"/>
    </row>
    <row r="601">
      <c r="A601" s="345"/>
      <c r="B601" s="369"/>
      <c r="C601" s="345"/>
      <c r="D601" s="345"/>
      <c r="E601" s="345"/>
      <c r="F601" s="345"/>
      <c r="G601" s="345"/>
      <c r="H601" s="345"/>
      <c r="I601" s="345"/>
      <c r="J601" s="345"/>
      <c r="K601" s="345"/>
      <c r="L601" s="345"/>
      <c r="M601" s="345"/>
      <c r="N601" s="345"/>
      <c r="O601" s="345"/>
      <c r="P601" s="345"/>
      <c r="Q601" s="345"/>
      <c r="R601" s="345"/>
      <c r="S601" s="345"/>
      <c r="T601" s="345"/>
      <c r="U601" s="345"/>
      <c r="V601" s="345"/>
      <c r="W601" s="345"/>
      <c r="X601" s="345"/>
      <c r="Y601" s="345"/>
      <c r="Z601" s="331"/>
    </row>
    <row r="602">
      <c r="A602" s="345"/>
      <c r="B602" s="369"/>
      <c r="C602" s="345"/>
      <c r="D602" s="345"/>
      <c r="E602" s="345"/>
      <c r="F602" s="345"/>
      <c r="G602" s="345"/>
      <c r="H602" s="345"/>
      <c r="I602" s="345"/>
      <c r="J602" s="345"/>
      <c r="K602" s="345"/>
      <c r="L602" s="345"/>
      <c r="M602" s="345"/>
      <c r="N602" s="345"/>
      <c r="O602" s="345"/>
      <c r="P602" s="345"/>
      <c r="Q602" s="345"/>
      <c r="R602" s="345"/>
      <c r="S602" s="345"/>
      <c r="T602" s="345"/>
      <c r="U602" s="345"/>
      <c r="V602" s="345"/>
      <c r="W602" s="345"/>
      <c r="X602" s="345"/>
      <c r="Y602" s="345"/>
      <c r="Z602" s="331"/>
    </row>
    <row r="603">
      <c r="A603" s="345"/>
      <c r="B603" s="369"/>
      <c r="C603" s="345"/>
      <c r="D603" s="345"/>
      <c r="E603" s="345"/>
      <c r="F603" s="345"/>
      <c r="G603" s="345"/>
      <c r="H603" s="345"/>
      <c r="I603" s="345"/>
      <c r="J603" s="345"/>
      <c r="K603" s="345"/>
      <c r="L603" s="345"/>
      <c r="M603" s="345"/>
      <c r="N603" s="345"/>
      <c r="O603" s="345"/>
      <c r="P603" s="345"/>
      <c r="Q603" s="345"/>
      <c r="R603" s="345"/>
      <c r="S603" s="345"/>
      <c r="T603" s="345"/>
      <c r="U603" s="345"/>
      <c r="V603" s="345"/>
      <c r="W603" s="345"/>
      <c r="X603" s="345"/>
      <c r="Y603" s="345"/>
      <c r="Z603" s="331"/>
    </row>
    <row r="604">
      <c r="A604" s="345"/>
      <c r="B604" s="369"/>
      <c r="C604" s="345"/>
      <c r="D604" s="345"/>
      <c r="E604" s="345"/>
      <c r="F604" s="345"/>
      <c r="G604" s="345"/>
      <c r="H604" s="345"/>
      <c r="I604" s="345"/>
      <c r="J604" s="345"/>
      <c r="K604" s="345"/>
      <c r="L604" s="345"/>
      <c r="M604" s="345"/>
      <c r="N604" s="345"/>
      <c r="O604" s="345"/>
      <c r="P604" s="345"/>
      <c r="Q604" s="345"/>
      <c r="R604" s="345"/>
      <c r="S604" s="345"/>
      <c r="T604" s="345"/>
      <c r="U604" s="345"/>
      <c r="V604" s="345"/>
      <c r="W604" s="345"/>
      <c r="X604" s="345"/>
      <c r="Y604" s="345"/>
      <c r="Z604" s="331"/>
    </row>
    <row r="605">
      <c r="A605" s="345"/>
      <c r="B605" s="369"/>
      <c r="C605" s="345"/>
      <c r="D605" s="345"/>
      <c r="E605" s="345"/>
      <c r="F605" s="345"/>
      <c r="G605" s="345"/>
      <c r="H605" s="345"/>
      <c r="I605" s="345"/>
      <c r="J605" s="345"/>
      <c r="K605" s="345"/>
      <c r="L605" s="345"/>
      <c r="M605" s="345"/>
      <c r="N605" s="345"/>
      <c r="O605" s="345"/>
      <c r="P605" s="345"/>
      <c r="Q605" s="345"/>
      <c r="R605" s="345"/>
      <c r="S605" s="345"/>
      <c r="T605" s="345"/>
      <c r="U605" s="345"/>
      <c r="V605" s="345"/>
      <c r="W605" s="345"/>
      <c r="X605" s="345"/>
      <c r="Y605" s="345"/>
      <c r="Z605" s="331"/>
    </row>
    <row r="606">
      <c r="A606" s="345"/>
      <c r="B606" s="369"/>
      <c r="C606" s="345"/>
      <c r="D606" s="345"/>
      <c r="E606" s="345"/>
      <c r="F606" s="345"/>
      <c r="G606" s="345"/>
      <c r="H606" s="345"/>
      <c r="I606" s="345"/>
      <c r="J606" s="345"/>
      <c r="K606" s="345"/>
      <c r="L606" s="345"/>
      <c r="M606" s="345"/>
      <c r="N606" s="345"/>
      <c r="O606" s="345"/>
      <c r="P606" s="345"/>
      <c r="Q606" s="345"/>
      <c r="R606" s="345"/>
      <c r="S606" s="345"/>
      <c r="T606" s="345"/>
      <c r="U606" s="345"/>
      <c r="V606" s="345"/>
      <c r="W606" s="345"/>
      <c r="X606" s="345"/>
      <c r="Y606" s="345"/>
      <c r="Z606" s="331"/>
    </row>
    <row r="607">
      <c r="A607" s="345"/>
      <c r="B607" s="369"/>
      <c r="C607" s="345"/>
      <c r="D607" s="345"/>
      <c r="E607" s="345"/>
      <c r="F607" s="345"/>
      <c r="G607" s="345"/>
      <c r="H607" s="345"/>
      <c r="I607" s="345"/>
      <c r="J607" s="345"/>
      <c r="K607" s="345"/>
      <c r="L607" s="345"/>
      <c r="M607" s="345"/>
      <c r="N607" s="345"/>
      <c r="O607" s="345"/>
      <c r="P607" s="345"/>
      <c r="Q607" s="345"/>
      <c r="R607" s="345"/>
      <c r="S607" s="345"/>
      <c r="T607" s="345"/>
      <c r="U607" s="345"/>
      <c r="V607" s="345"/>
      <c r="W607" s="345"/>
      <c r="X607" s="345"/>
      <c r="Y607" s="345"/>
      <c r="Z607" s="331"/>
    </row>
    <row r="608">
      <c r="A608" s="345"/>
      <c r="B608" s="369"/>
      <c r="C608" s="345"/>
      <c r="D608" s="345"/>
      <c r="E608" s="345"/>
      <c r="F608" s="345"/>
      <c r="G608" s="345"/>
      <c r="H608" s="345"/>
      <c r="I608" s="345"/>
      <c r="J608" s="345"/>
      <c r="K608" s="345"/>
      <c r="L608" s="345"/>
      <c r="M608" s="345"/>
      <c r="N608" s="345"/>
      <c r="O608" s="345"/>
      <c r="P608" s="345"/>
      <c r="Q608" s="345"/>
      <c r="R608" s="345"/>
      <c r="S608" s="345"/>
      <c r="T608" s="345"/>
      <c r="U608" s="345"/>
      <c r="V608" s="345"/>
      <c r="W608" s="345"/>
      <c r="X608" s="345"/>
      <c r="Y608" s="345"/>
      <c r="Z608" s="331"/>
    </row>
    <row r="609">
      <c r="A609" s="345"/>
      <c r="B609" s="369"/>
      <c r="C609" s="345"/>
      <c r="D609" s="345"/>
      <c r="E609" s="345"/>
      <c r="F609" s="345"/>
      <c r="G609" s="345"/>
      <c r="H609" s="345"/>
      <c r="I609" s="345"/>
      <c r="J609" s="345"/>
      <c r="K609" s="345"/>
      <c r="L609" s="345"/>
      <c r="M609" s="345"/>
      <c r="N609" s="345"/>
      <c r="O609" s="345"/>
      <c r="P609" s="345"/>
      <c r="Q609" s="345"/>
      <c r="R609" s="345"/>
      <c r="S609" s="345"/>
      <c r="T609" s="345"/>
      <c r="U609" s="345"/>
      <c r="V609" s="345"/>
      <c r="W609" s="345"/>
      <c r="X609" s="345"/>
      <c r="Y609" s="345"/>
      <c r="Z609" s="331"/>
    </row>
    <row r="610">
      <c r="A610" s="345"/>
      <c r="B610" s="369"/>
      <c r="C610" s="345"/>
      <c r="D610" s="345"/>
      <c r="E610" s="345"/>
      <c r="F610" s="345"/>
      <c r="G610" s="345"/>
      <c r="H610" s="345"/>
      <c r="I610" s="345"/>
      <c r="J610" s="345"/>
      <c r="K610" s="345"/>
      <c r="L610" s="345"/>
      <c r="M610" s="345"/>
      <c r="N610" s="345"/>
      <c r="O610" s="345"/>
      <c r="P610" s="345"/>
      <c r="Q610" s="345"/>
      <c r="R610" s="345"/>
      <c r="S610" s="345"/>
      <c r="T610" s="345"/>
      <c r="U610" s="345"/>
      <c r="V610" s="345"/>
      <c r="W610" s="345"/>
      <c r="X610" s="345"/>
      <c r="Y610" s="345"/>
      <c r="Z610" s="331"/>
    </row>
    <row r="611">
      <c r="A611" s="345"/>
      <c r="B611" s="369"/>
      <c r="C611" s="345"/>
      <c r="D611" s="345"/>
      <c r="E611" s="345"/>
      <c r="F611" s="345"/>
      <c r="G611" s="345"/>
      <c r="H611" s="345"/>
      <c r="I611" s="345"/>
      <c r="J611" s="345"/>
      <c r="K611" s="345"/>
      <c r="L611" s="345"/>
      <c r="M611" s="345"/>
      <c r="N611" s="345"/>
      <c r="O611" s="345"/>
      <c r="P611" s="345"/>
      <c r="Q611" s="345"/>
      <c r="R611" s="345"/>
      <c r="S611" s="345"/>
      <c r="T611" s="345"/>
      <c r="U611" s="345"/>
      <c r="V611" s="345"/>
      <c r="W611" s="345"/>
      <c r="X611" s="345"/>
      <c r="Y611" s="345"/>
      <c r="Z611" s="331"/>
    </row>
    <row r="612">
      <c r="A612" s="345"/>
      <c r="B612" s="369"/>
      <c r="C612" s="345"/>
      <c r="D612" s="345"/>
      <c r="E612" s="345"/>
      <c r="F612" s="345"/>
      <c r="G612" s="345"/>
      <c r="H612" s="345"/>
      <c r="I612" s="345"/>
      <c r="J612" s="345"/>
      <c r="K612" s="345"/>
      <c r="L612" s="345"/>
      <c r="M612" s="345"/>
      <c r="N612" s="345"/>
      <c r="O612" s="345"/>
      <c r="P612" s="345"/>
      <c r="Q612" s="345"/>
      <c r="R612" s="345"/>
      <c r="S612" s="345"/>
      <c r="T612" s="345"/>
      <c r="U612" s="345"/>
      <c r="V612" s="345"/>
      <c r="W612" s="345"/>
      <c r="X612" s="345"/>
      <c r="Y612" s="345"/>
      <c r="Z612" s="331"/>
    </row>
    <row r="613">
      <c r="A613" s="345"/>
      <c r="B613" s="369"/>
      <c r="C613" s="345"/>
      <c r="D613" s="345"/>
      <c r="E613" s="345"/>
      <c r="F613" s="345"/>
      <c r="G613" s="345"/>
      <c r="H613" s="345"/>
      <c r="I613" s="345"/>
      <c r="J613" s="345"/>
      <c r="K613" s="345"/>
      <c r="L613" s="345"/>
      <c r="M613" s="345"/>
      <c r="N613" s="345"/>
      <c r="O613" s="345"/>
      <c r="P613" s="345"/>
      <c r="Q613" s="345"/>
      <c r="R613" s="345"/>
      <c r="S613" s="345"/>
      <c r="T613" s="345"/>
      <c r="U613" s="345"/>
      <c r="V613" s="345"/>
      <c r="W613" s="345"/>
      <c r="X613" s="345"/>
      <c r="Y613" s="345"/>
      <c r="Z613" s="331"/>
    </row>
    <row r="614">
      <c r="A614" s="345"/>
      <c r="B614" s="369"/>
      <c r="C614" s="345"/>
      <c r="D614" s="345"/>
      <c r="E614" s="345"/>
      <c r="F614" s="345"/>
      <c r="G614" s="345"/>
      <c r="H614" s="345"/>
      <c r="I614" s="345"/>
      <c r="J614" s="345"/>
      <c r="K614" s="345"/>
      <c r="L614" s="345"/>
      <c r="M614" s="345"/>
      <c r="N614" s="345"/>
      <c r="O614" s="345"/>
      <c r="P614" s="345"/>
      <c r="Q614" s="345"/>
      <c r="R614" s="345"/>
      <c r="S614" s="345"/>
      <c r="T614" s="345"/>
      <c r="U614" s="345"/>
      <c r="V614" s="345"/>
      <c r="W614" s="345"/>
      <c r="X614" s="345"/>
      <c r="Y614" s="345"/>
      <c r="Z614" s="331"/>
    </row>
    <row r="615">
      <c r="A615" s="345"/>
      <c r="B615" s="369"/>
      <c r="C615" s="345"/>
      <c r="D615" s="345"/>
      <c r="E615" s="345"/>
      <c r="F615" s="345"/>
      <c r="G615" s="345"/>
      <c r="H615" s="345"/>
      <c r="I615" s="345"/>
      <c r="J615" s="345"/>
      <c r="K615" s="345"/>
      <c r="L615" s="345"/>
      <c r="M615" s="345"/>
      <c r="N615" s="345"/>
      <c r="O615" s="345"/>
      <c r="P615" s="345"/>
      <c r="Q615" s="345"/>
      <c r="R615" s="345"/>
      <c r="S615" s="345"/>
      <c r="T615" s="345"/>
      <c r="U615" s="345"/>
      <c r="V615" s="345"/>
      <c r="W615" s="345"/>
      <c r="X615" s="345"/>
      <c r="Y615" s="345"/>
      <c r="Z615" s="331"/>
    </row>
    <row r="616">
      <c r="A616" s="345"/>
      <c r="B616" s="369"/>
      <c r="C616" s="345"/>
      <c r="D616" s="345"/>
      <c r="E616" s="345"/>
      <c r="F616" s="345"/>
      <c r="G616" s="345"/>
      <c r="H616" s="345"/>
      <c r="I616" s="345"/>
      <c r="J616" s="345"/>
      <c r="K616" s="345"/>
      <c r="L616" s="345"/>
      <c r="M616" s="345"/>
      <c r="N616" s="345"/>
      <c r="O616" s="345"/>
      <c r="P616" s="345"/>
      <c r="Q616" s="345"/>
      <c r="R616" s="345"/>
      <c r="S616" s="345"/>
      <c r="T616" s="345"/>
      <c r="U616" s="345"/>
      <c r="V616" s="345"/>
      <c r="W616" s="345"/>
      <c r="X616" s="345"/>
      <c r="Y616" s="345"/>
      <c r="Z616" s="331"/>
    </row>
    <row r="617">
      <c r="A617" s="345"/>
      <c r="B617" s="369"/>
      <c r="C617" s="345"/>
      <c r="D617" s="345"/>
      <c r="E617" s="345"/>
      <c r="F617" s="345"/>
      <c r="G617" s="345"/>
      <c r="H617" s="345"/>
      <c r="I617" s="345"/>
      <c r="J617" s="345"/>
      <c r="K617" s="345"/>
      <c r="L617" s="345"/>
      <c r="M617" s="345"/>
      <c r="N617" s="345"/>
      <c r="O617" s="345"/>
      <c r="P617" s="345"/>
      <c r="Q617" s="345"/>
      <c r="R617" s="345"/>
      <c r="S617" s="345"/>
      <c r="T617" s="345"/>
      <c r="U617" s="345"/>
      <c r="V617" s="345"/>
      <c r="W617" s="345"/>
      <c r="X617" s="345"/>
      <c r="Y617" s="345"/>
      <c r="Z617" s="331"/>
    </row>
    <row r="618">
      <c r="A618" s="345"/>
      <c r="B618" s="369"/>
      <c r="C618" s="345"/>
      <c r="D618" s="345"/>
      <c r="E618" s="345"/>
      <c r="F618" s="345"/>
      <c r="G618" s="345"/>
      <c r="H618" s="345"/>
      <c r="I618" s="345"/>
      <c r="J618" s="345"/>
      <c r="K618" s="345"/>
      <c r="L618" s="345"/>
      <c r="M618" s="345"/>
      <c r="N618" s="345"/>
      <c r="O618" s="345"/>
      <c r="P618" s="345"/>
      <c r="Q618" s="345"/>
      <c r="R618" s="345"/>
      <c r="S618" s="345"/>
      <c r="T618" s="345"/>
      <c r="U618" s="345"/>
      <c r="V618" s="345"/>
      <c r="W618" s="345"/>
      <c r="X618" s="345"/>
      <c r="Y618" s="345"/>
      <c r="Z618" s="331"/>
    </row>
    <row r="619">
      <c r="A619" s="345"/>
      <c r="B619" s="369"/>
      <c r="C619" s="345"/>
      <c r="D619" s="345"/>
      <c r="E619" s="345"/>
      <c r="F619" s="345"/>
      <c r="G619" s="345"/>
      <c r="H619" s="345"/>
      <c r="I619" s="345"/>
      <c r="J619" s="345"/>
      <c r="K619" s="345"/>
      <c r="L619" s="345"/>
      <c r="M619" s="345"/>
      <c r="N619" s="345"/>
      <c r="O619" s="345"/>
      <c r="P619" s="345"/>
      <c r="Q619" s="345"/>
      <c r="R619" s="345"/>
      <c r="S619" s="345"/>
      <c r="T619" s="345"/>
      <c r="U619" s="345"/>
      <c r="V619" s="345"/>
      <c r="W619" s="345"/>
      <c r="X619" s="345"/>
      <c r="Y619" s="345"/>
      <c r="Z619" s="331"/>
    </row>
    <row r="620">
      <c r="A620" s="345"/>
      <c r="B620" s="369"/>
      <c r="C620" s="345"/>
      <c r="D620" s="345"/>
      <c r="E620" s="345"/>
      <c r="F620" s="345"/>
      <c r="G620" s="345"/>
      <c r="H620" s="345"/>
      <c r="I620" s="345"/>
      <c r="J620" s="345"/>
      <c r="K620" s="345"/>
      <c r="L620" s="345"/>
      <c r="M620" s="345"/>
      <c r="N620" s="345"/>
      <c r="O620" s="345"/>
      <c r="P620" s="345"/>
      <c r="Q620" s="345"/>
      <c r="R620" s="345"/>
      <c r="S620" s="345"/>
      <c r="T620" s="345"/>
      <c r="U620" s="345"/>
      <c r="V620" s="345"/>
      <c r="W620" s="345"/>
      <c r="X620" s="345"/>
      <c r="Y620" s="345"/>
      <c r="Z620" s="331"/>
    </row>
    <row r="621">
      <c r="A621" s="345"/>
      <c r="B621" s="369"/>
      <c r="C621" s="345"/>
      <c r="D621" s="345"/>
      <c r="E621" s="345"/>
      <c r="F621" s="345"/>
      <c r="G621" s="345"/>
      <c r="H621" s="345"/>
      <c r="I621" s="345"/>
      <c r="J621" s="345"/>
      <c r="K621" s="345"/>
      <c r="L621" s="345"/>
      <c r="M621" s="345"/>
      <c r="N621" s="345"/>
      <c r="O621" s="345"/>
      <c r="P621" s="345"/>
      <c r="Q621" s="345"/>
      <c r="R621" s="345"/>
      <c r="S621" s="345"/>
      <c r="T621" s="345"/>
      <c r="U621" s="345"/>
      <c r="V621" s="345"/>
      <c r="W621" s="345"/>
      <c r="X621" s="345"/>
      <c r="Y621" s="345"/>
      <c r="Z621" s="331"/>
    </row>
    <row r="622">
      <c r="A622" s="345"/>
      <c r="B622" s="369"/>
      <c r="C622" s="345"/>
      <c r="D622" s="345"/>
      <c r="E622" s="345"/>
      <c r="F622" s="345"/>
      <c r="G622" s="345"/>
      <c r="H622" s="345"/>
      <c r="I622" s="345"/>
      <c r="J622" s="345"/>
      <c r="K622" s="345"/>
      <c r="L622" s="345"/>
      <c r="M622" s="345"/>
      <c r="N622" s="345"/>
      <c r="O622" s="345"/>
      <c r="P622" s="345"/>
      <c r="Q622" s="345"/>
      <c r="R622" s="345"/>
      <c r="S622" s="345"/>
      <c r="T622" s="345"/>
      <c r="U622" s="345"/>
      <c r="V622" s="345"/>
      <c r="W622" s="345"/>
      <c r="X622" s="345"/>
      <c r="Y622" s="345"/>
      <c r="Z622" s="331"/>
    </row>
    <row r="623">
      <c r="A623" s="345"/>
      <c r="B623" s="369"/>
      <c r="C623" s="345"/>
      <c r="D623" s="345"/>
      <c r="E623" s="345"/>
      <c r="F623" s="345"/>
      <c r="G623" s="345"/>
      <c r="H623" s="345"/>
      <c r="I623" s="345"/>
      <c r="J623" s="345"/>
      <c r="K623" s="345"/>
      <c r="L623" s="345"/>
      <c r="M623" s="345"/>
      <c r="N623" s="345"/>
      <c r="O623" s="345"/>
      <c r="P623" s="345"/>
      <c r="Q623" s="345"/>
      <c r="R623" s="345"/>
      <c r="S623" s="345"/>
      <c r="T623" s="345"/>
      <c r="U623" s="345"/>
      <c r="V623" s="345"/>
      <c r="W623" s="345"/>
      <c r="X623" s="345"/>
      <c r="Y623" s="345"/>
      <c r="Z623" s="331"/>
    </row>
    <row r="624">
      <c r="A624" s="345"/>
      <c r="B624" s="369"/>
      <c r="C624" s="345"/>
      <c r="D624" s="345"/>
      <c r="E624" s="345"/>
      <c r="F624" s="345"/>
      <c r="G624" s="345"/>
      <c r="H624" s="345"/>
      <c r="I624" s="345"/>
      <c r="J624" s="345"/>
      <c r="K624" s="345"/>
      <c r="L624" s="345"/>
      <c r="M624" s="345"/>
      <c r="N624" s="345"/>
      <c r="O624" s="345"/>
      <c r="P624" s="345"/>
      <c r="Q624" s="345"/>
      <c r="R624" s="345"/>
      <c r="S624" s="345"/>
      <c r="T624" s="345"/>
      <c r="U624" s="345"/>
      <c r="V624" s="345"/>
      <c r="W624" s="345"/>
      <c r="X624" s="345"/>
      <c r="Y624" s="345"/>
      <c r="Z624" s="331"/>
    </row>
    <row r="625">
      <c r="A625" s="345"/>
      <c r="B625" s="369"/>
      <c r="C625" s="345"/>
      <c r="D625" s="345"/>
      <c r="E625" s="345"/>
      <c r="F625" s="345"/>
      <c r="G625" s="345"/>
      <c r="H625" s="345"/>
      <c r="I625" s="345"/>
      <c r="J625" s="345"/>
      <c r="K625" s="345"/>
      <c r="L625" s="345"/>
      <c r="M625" s="345"/>
      <c r="N625" s="345"/>
      <c r="O625" s="345"/>
      <c r="P625" s="345"/>
      <c r="Q625" s="345"/>
      <c r="R625" s="345"/>
      <c r="S625" s="345"/>
      <c r="T625" s="345"/>
      <c r="U625" s="345"/>
      <c r="V625" s="345"/>
      <c r="W625" s="345"/>
      <c r="X625" s="345"/>
      <c r="Y625" s="345"/>
      <c r="Z625" s="331"/>
    </row>
    <row r="626">
      <c r="A626" s="345"/>
      <c r="B626" s="369"/>
      <c r="C626" s="345"/>
      <c r="D626" s="345"/>
      <c r="E626" s="345"/>
      <c r="F626" s="345"/>
      <c r="G626" s="345"/>
      <c r="H626" s="345"/>
      <c r="I626" s="345"/>
      <c r="J626" s="345"/>
      <c r="K626" s="345"/>
      <c r="L626" s="345"/>
      <c r="M626" s="345"/>
      <c r="N626" s="345"/>
      <c r="O626" s="345"/>
      <c r="P626" s="345"/>
      <c r="Q626" s="345"/>
      <c r="R626" s="345"/>
      <c r="S626" s="345"/>
      <c r="T626" s="345"/>
      <c r="U626" s="345"/>
      <c r="V626" s="345"/>
      <c r="W626" s="345"/>
      <c r="X626" s="345"/>
      <c r="Y626" s="345"/>
      <c r="Z626" s="331"/>
    </row>
    <row r="627">
      <c r="A627" s="345"/>
      <c r="B627" s="369"/>
      <c r="C627" s="345"/>
      <c r="D627" s="345"/>
      <c r="E627" s="345"/>
      <c r="F627" s="345"/>
      <c r="G627" s="345"/>
      <c r="H627" s="345"/>
      <c r="I627" s="345"/>
      <c r="J627" s="345"/>
      <c r="K627" s="345"/>
      <c r="L627" s="345"/>
      <c r="M627" s="345"/>
      <c r="N627" s="345"/>
      <c r="O627" s="345"/>
      <c r="P627" s="345"/>
      <c r="Q627" s="345"/>
      <c r="R627" s="345"/>
      <c r="S627" s="345"/>
      <c r="T627" s="345"/>
      <c r="U627" s="345"/>
      <c r="V627" s="345"/>
      <c r="W627" s="345"/>
      <c r="X627" s="345"/>
      <c r="Y627" s="345"/>
      <c r="Z627" s="331"/>
    </row>
    <row r="628">
      <c r="A628" s="345"/>
      <c r="B628" s="369"/>
      <c r="C628" s="345"/>
      <c r="D628" s="345"/>
      <c r="E628" s="345"/>
      <c r="F628" s="345"/>
      <c r="G628" s="345"/>
      <c r="H628" s="345"/>
      <c r="I628" s="345"/>
      <c r="J628" s="345"/>
      <c r="K628" s="345"/>
      <c r="L628" s="345"/>
      <c r="M628" s="345"/>
      <c r="N628" s="345"/>
      <c r="O628" s="345"/>
      <c r="P628" s="345"/>
      <c r="Q628" s="345"/>
      <c r="R628" s="345"/>
      <c r="S628" s="345"/>
      <c r="T628" s="345"/>
      <c r="U628" s="345"/>
      <c r="V628" s="345"/>
      <c r="W628" s="345"/>
      <c r="X628" s="345"/>
      <c r="Y628" s="345"/>
      <c r="Z628" s="331"/>
    </row>
    <row r="629">
      <c r="A629" s="345"/>
      <c r="B629" s="369"/>
      <c r="C629" s="345"/>
      <c r="D629" s="345"/>
      <c r="E629" s="345"/>
      <c r="F629" s="345"/>
      <c r="G629" s="345"/>
      <c r="H629" s="345"/>
      <c r="I629" s="345"/>
      <c r="J629" s="345"/>
      <c r="K629" s="345"/>
      <c r="L629" s="345"/>
      <c r="M629" s="345"/>
      <c r="N629" s="345"/>
      <c r="O629" s="345"/>
      <c r="P629" s="345"/>
      <c r="Q629" s="345"/>
      <c r="R629" s="345"/>
      <c r="S629" s="345"/>
      <c r="T629" s="345"/>
      <c r="U629" s="345"/>
      <c r="V629" s="345"/>
      <c r="W629" s="345"/>
      <c r="X629" s="345"/>
      <c r="Y629" s="345"/>
      <c r="Z629" s="331"/>
    </row>
    <row r="630">
      <c r="A630" s="345"/>
      <c r="B630" s="369"/>
      <c r="C630" s="345"/>
      <c r="D630" s="345"/>
      <c r="E630" s="345"/>
      <c r="F630" s="345"/>
      <c r="G630" s="345"/>
      <c r="H630" s="345"/>
      <c r="I630" s="345"/>
      <c r="J630" s="345"/>
      <c r="K630" s="345"/>
      <c r="L630" s="345"/>
      <c r="M630" s="345"/>
      <c r="N630" s="345"/>
      <c r="O630" s="345"/>
      <c r="P630" s="345"/>
      <c r="Q630" s="345"/>
      <c r="R630" s="345"/>
      <c r="S630" s="345"/>
      <c r="T630" s="345"/>
      <c r="U630" s="345"/>
      <c r="V630" s="345"/>
      <c r="W630" s="345"/>
      <c r="X630" s="345"/>
      <c r="Y630" s="345"/>
      <c r="Z630" s="331"/>
    </row>
    <row r="631">
      <c r="A631" s="345"/>
      <c r="B631" s="369"/>
      <c r="C631" s="345"/>
      <c r="D631" s="345"/>
      <c r="E631" s="345"/>
      <c r="F631" s="345"/>
      <c r="G631" s="345"/>
      <c r="H631" s="345"/>
      <c r="I631" s="345"/>
      <c r="J631" s="345"/>
      <c r="K631" s="345"/>
      <c r="L631" s="345"/>
      <c r="M631" s="345"/>
      <c r="N631" s="345"/>
      <c r="O631" s="345"/>
      <c r="P631" s="345"/>
      <c r="Q631" s="345"/>
      <c r="R631" s="345"/>
      <c r="S631" s="345"/>
      <c r="T631" s="345"/>
      <c r="U631" s="345"/>
      <c r="V631" s="345"/>
      <c r="W631" s="345"/>
      <c r="X631" s="345"/>
      <c r="Y631" s="345"/>
      <c r="Z631" s="331"/>
    </row>
    <row r="632">
      <c r="A632" s="345"/>
      <c r="B632" s="369"/>
      <c r="C632" s="345"/>
      <c r="D632" s="345"/>
      <c r="E632" s="345"/>
      <c r="F632" s="345"/>
      <c r="G632" s="345"/>
      <c r="H632" s="345"/>
      <c r="I632" s="345"/>
      <c r="J632" s="345"/>
      <c r="K632" s="345"/>
      <c r="L632" s="345"/>
      <c r="M632" s="345"/>
      <c r="N632" s="345"/>
      <c r="O632" s="345"/>
      <c r="P632" s="345"/>
      <c r="Q632" s="345"/>
      <c r="R632" s="345"/>
      <c r="S632" s="345"/>
      <c r="T632" s="345"/>
      <c r="U632" s="345"/>
      <c r="V632" s="345"/>
      <c r="W632" s="345"/>
      <c r="X632" s="345"/>
      <c r="Y632" s="345"/>
      <c r="Z632" s="331"/>
    </row>
    <row r="633">
      <c r="A633" s="345"/>
      <c r="B633" s="369"/>
      <c r="C633" s="345"/>
      <c r="D633" s="345"/>
      <c r="E633" s="345"/>
      <c r="F633" s="345"/>
      <c r="G633" s="345"/>
      <c r="H633" s="345"/>
      <c r="I633" s="345"/>
      <c r="J633" s="345"/>
      <c r="K633" s="345"/>
      <c r="L633" s="345"/>
      <c r="M633" s="345"/>
      <c r="N633" s="345"/>
      <c r="O633" s="345"/>
      <c r="P633" s="345"/>
      <c r="Q633" s="345"/>
      <c r="R633" s="345"/>
      <c r="S633" s="345"/>
      <c r="T633" s="345"/>
      <c r="U633" s="345"/>
      <c r="V633" s="345"/>
      <c r="W633" s="345"/>
      <c r="X633" s="345"/>
      <c r="Y633" s="345"/>
      <c r="Z633" s="331"/>
    </row>
    <row r="634">
      <c r="A634" s="345"/>
      <c r="B634" s="369"/>
      <c r="C634" s="345"/>
      <c r="D634" s="345"/>
      <c r="E634" s="345"/>
      <c r="F634" s="345"/>
      <c r="G634" s="345"/>
      <c r="H634" s="345"/>
      <c r="I634" s="345"/>
      <c r="J634" s="345"/>
      <c r="K634" s="345"/>
      <c r="L634" s="345"/>
      <c r="M634" s="345"/>
      <c r="N634" s="345"/>
      <c r="O634" s="345"/>
      <c r="P634" s="345"/>
      <c r="Q634" s="345"/>
      <c r="R634" s="345"/>
      <c r="S634" s="345"/>
      <c r="T634" s="345"/>
      <c r="U634" s="345"/>
      <c r="V634" s="345"/>
      <c r="W634" s="345"/>
      <c r="X634" s="345"/>
      <c r="Y634" s="345"/>
      <c r="Z634" s="331"/>
    </row>
    <row r="635">
      <c r="A635" s="345"/>
      <c r="B635" s="369"/>
      <c r="C635" s="345"/>
      <c r="D635" s="345"/>
      <c r="E635" s="345"/>
      <c r="F635" s="345"/>
      <c r="G635" s="345"/>
      <c r="H635" s="345"/>
      <c r="I635" s="345"/>
      <c r="J635" s="345"/>
      <c r="K635" s="345"/>
      <c r="L635" s="345"/>
      <c r="M635" s="345"/>
      <c r="N635" s="345"/>
      <c r="O635" s="345"/>
      <c r="P635" s="345"/>
      <c r="Q635" s="345"/>
      <c r="R635" s="345"/>
      <c r="S635" s="345"/>
      <c r="T635" s="345"/>
      <c r="U635" s="345"/>
      <c r="V635" s="345"/>
      <c r="W635" s="345"/>
      <c r="X635" s="345"/>
      <c r="Y635" s="345"/>
      <c r="Z635" s="331"/>
    </row>
    <row r="636">
      <c r="A636" s="345"/>
      <c r="B636" s="369"/>
      <c r="C636" s="345"/>
      <c r="D636" s="345"/>
      <c r="E636" s="345"/>
      <c r="F636" s="345"/>
      <c r="G636" s="345"/>
      <c r="H636" s="345"/>
      <c r="I636" s="345"/>
      <c r="J636" s="345"/>
      <c r="K636" s="345"/>
      <c r="L636" s="345"/>
      <c r="M636" s="345"/>
      <c r="N636" s="345"/>
      <c r="O636" s="345"/>
      <c r="P636" s="345"/>
      <c r="Q636" s="345"/>
      <c r="R636" s="345"/>
      <c r="S636" s="345"/>
      <c r="T636" s="345"/>
      <c r="U636" s="345"/>
      <c r="V636" s="345"/>
      <c r="W636" s="345"/>
      <c r="X636" s="345"/>
      <c r="Y636" s="345"/>
      <c r="Z636" s="331"/>
    </row>
    <row r="637">
      <c r="A637" s="345"/>
      <c r="B637" s="369"/>
      <c r="C637" s="345"/>
      <c r="D637" s="345"/>
      <c r="E637" s="345"/>
      <c r="F637" s="345"/>
      <c r="G637" s="345"/>
      <c r="H637" s="345"/>
      <c r="I637" s="345"/>
      <c r="J637" s="345"/>
      <c r="K637" s="345"/>
      <c r="L637" s="345"/>
      <c r="M637" s="345"/>
      <c r="N637" s="345"/>
      <c r="O637" s="345"/>
      <c r="P637" s="345"/>
      <c r="Q637" s="345"/>
      <c r="R637" s="345"/>
      <c r="S637" s="345"/>
      <c r="T637" s="345"/>
      <c r="U637" s="345"/>
      <c r="V637" s="345"/>
      <c r="W637" s="345"/>
      <c r="X637" s="345"/>
      <c r="Y637" s="345"/>
      <c r="Z637" s="345"/>
    </row>
    <row r="638">
      <c r="A638" s="345"/>
      <c r="B638" s="369"/>
      <c r="C638" s="345"/>
      <c r="D638" s="345"/>
      <c r="E638" s="345"/>
      <c r="F638" s="345"/>
      <c r="G638" s="345"/>
      <c r="H638" s="345"/>
      <c r="I638" s="345"/>
      <c r="J638" s="345"/>
      <c r="K638" s="345"/>
      <c r="L638" s="345"/>
      <c r="M638" s="345"/>
      <c r="N638" s="345"/>
      <c r="O638" s="345"/>
      <c r="P638" s="345"/>
      <c r="Q638" s="345"/>
      <c r="R638" s="345"/>
      <c r="S638" s="345"/>
      <c r="T638" s="345"/>
      <c r="U638" s="345"/>
      <c r="V638" s="345"/>
      <c r="W638" s="345"/>
      <c r="X638" s="345"/>
      <c r="Y638" s="345"/>
      <c r="Z638" s="345"/>
    </row>
    <row r="639">
      <c r="A639" s="345"/>
      <c r="B639" s="369"/>
      <c r="C639" s="345"/>
      <c r="D639" s="345"/>
      <c r="E639" s="345"/>
      <c r="F639" s="345"/>
      <c r="G639" s="345"/>
      <c r="H639" s="345"/>
      <c r="I639" s="345"/>
      <c r="J639" s="345"/>
      <c r="K639" s="345"/>
      <c r="L639" s="345"/>
      <c r="M639" s="345"/>
      <c r="N639" s="345"/>
      <c r="O639" s="345"/>
      <c r="P639" s="345"/>
      <c r="Q639" s="345"/>
      <c r="R639" s="345"/>
      <c r="S639" s="345"/>
      <c r="T639" s="345"/>
      <c r="U639" s="345"/>
      <c r="V639" s="345"/>
      <c r="W639" s="345"/>
      <c r="X639" s="345"/>
      <c r="Y639" s="345"/>
      <c r="Z639" s="345"/>
    </row>
    <row r="640">
      <c r="A640" s="345"/>
      <c r="B640" s="369"/>
      <c r="C640" s="345"/>
      <c r="D640" s="345"/>
      <c r="E640" s="345"/>
      <c r="F640" s="345"/>
      <c r="G640" s="345"/>
      <c r="H640" s="345"/>
      <c r="I640" s="345"/>
      <c r="J640" s="345"/>
      <c r="K640" s="345"/>
      <c r="L640" s="345"/>
      <c r="M640" s="345"/>
      <c r="N640" s="345"/>
      <c r="O640" s="345"/>
      <c r="P640" s="345"/>
      <c r="Q640" s="345"/>
      <c r="R640" s="345"/>
      <c r="S640" s="345"/>
      <c r="T640" s="345"/>
      <c r="U640" s="345"/>
      <c r="V640" s="345"/>
      <c r="W640" s="345"/>
      <c r="X640" s="345"/>
      <c r="Y640" s="345"/>
      <c r="Z640" s="345"/>
    </row>
    <row r="641">
      <c r="A641" s="345"/>
      <c r="B641" s="369"/>
      <c r="C641" s="345"/>
      <c r="D641" s="345"/>
      <c r="E641" s="345"/>
      <c r="F641" s="345"/>
      <c r="G641" s="345"/>
      <c r="H641" s="345"/>
      <c r="I641" s="345"/>
      <c r="J641" s="345"/>
      <c r="K641" s="345"/>
      <c r="L641" s="345"/>
      <c r="M641" s="345"/>
      <c r="N641" s="345"/>
      <c r="O641" s="345"/>
      <c r="P641" s="345"/>
      <c r="Q641" s="345"/>
      <c r="R641" s="345"/>
      <c r="S641" s="345"/>
      <c r="T641" s="345"/>
      <c r="U641" s="345"/>
      <c r="V641" s="345"/>
      <c r="W641" s="345"/>
      <c r="X641" s="345"/>
      <c r="Y641" s="345"/>
      <c r="Z641" s="345"/>
    </row>
    <row r="642">
      <c r="A642" s="345"/>
      <c r="B642" s="369"/>
      <c r="C642" s="345"/>
      <c r="D642" s="345"/>
      <c r="E642" s="345"/>
      <c r="F642" s="345"/>
      <c r="G642" s="345"/>
      <c r="H642" s="345"/>
      <c r="I642" s="345"/>
      <c r="J642" s="345"/>
      <c r="K642" s="345"/>
      <c r="L642" s="345"/>
      <c r="M642" s="345"/>
      <c r="N642" s="345"/>
      <c r="O642" s="345"/>
      <c r="P642" s="345"/>
      <c r="Q642" s="345"/>
      <c r="R642" s="345"/>
      <c r="S642" s="345"/>
      <c r="T642" s="345"/>
      <c r="U642" s="345"/>
      <c r="V642" s="345"/>
      <c r="W642" s="345"/>
      <c r="X642" s="345"/>
      <c r="Y642" s="345"/>
      <c r="Z642" s="345"/>
    </row>
    <row r="643">
      <c r="A643" s="345"/>
      <c r="B643" s="369"/>
      <c r="C643" s="345"/>
      <c r="D643" s="345"/>
      <c r="E643" s="345"/>
      <c r="F643" s="345"/>
      <c r="G643" s="345"/>
      <c r="H643" s="345"/>
      <c r="I643" s="345"/>
      <c r="J643" s="345"/>
      <c r="K643" s="345"/>
      <c r="L643" s="345"/>
      <c r="M643" s="345"/>
      <c r="N643" s="345"/>
      <c r="O643" s="345"/>
      <c r="P643" s="345"/>
      <c r="Q643" s="345"/>
      <c r="R643" s="345"/>
      <c r="S643" s="345"/>
      <c r="T643" s="345"/>
      <c r="U643" s="345"/>
      <c r="V643" s="345"/>
      <c r="W643" s="345"/>
      <c r="X643" s="345"/>
      <c r="Y643" s="345"/>
      <c r="Z643" s="345"/>
    </row>
    <row r="644">
      <c r="A644" s="345"/>
      <c r="B644" s="369"/>
      <c r="C644" s="345"/>
      <c r="D644" s="345"/>
      <c r="E644" s="345"/>
      <c r="F644" s="345"/>
      <c r="G644" s="345"/>
      <c r="H644" s="345"/>
      <c r="I644" s="345"/>
      <c r="J644" s="345"/>
      <c r="K644" s="345"/>
      <c r="L644" s="345"/>
      <c r="M644" s="345"/>
      <c r="N644" s="345"/>
      <c r="O644" s="345"/>
      <c r="P644" s="345"/>
      <c r="Q644" s="345"/>
      <c r="R644" s="345"/>
      <c r="S644" s="345"/>
      <c r="T644" s="345"/>
      <c r="U644" s="345"/>
      <c r="V644" s="345"/>
      <c r="W644" s="345"/>
      <c r="X644" s="345"/>
      <c r="Y644" s="345"/>
      <c r="Z644" s="345"/>
    </row>
    <row r="645">
      <c r="A645" s="345"/>
      <c r="B645" s="369"/>
      <c r="C645" s="345"/>
      <c r="D645" s="345"/>
      <c r="E645" s="345"/>
      <c r="F645" s="345"/>
      <c r="G645" s="345"/>
      <c r="H645" s="345"/>
      <c r="I645" s="345"/>
      <c r="J645" s="345"/>
      <c r="K645" s="345"/>
      <c r="L645" s="345"/>
      <c r="M645" s="345"/>
      <c r="N645" s="345"/>
      <c r="O645" s="345"/>
      <c r="P645" s="345"/>
      <c r="Q645" s="345"/>
      <c r="R645" s="345"/>
      <c r="S645" s="345"/>
      <c r="T645" s="345"/>
      <c r="U645" s="345"/>
      <c r="V645" s="345"/>
      <c r="W645" s="345"/>
      <c r="X645" s="345"/>
      <c r="Y645" s="345"/>
      <c r="Z645" s="345"/>
    </row>
    <row r="646">
      <c r="A646" s="345"/>
      <c r="B646" s="369"/>
      <c r="C646" s="345"/>
      <c r="D646" s="345"/>
      <c r="E646" s="345"/>
      <c r="F646" s="345"/>
      <c r="G646" s="345"/>
      <c r="H646" s="345"/>
      <c r="I646" s="345"/>
      <c r="J646" s="345"/>
      <c r="K646" s="345"/>
      <c r="L646" s="345"/>
      <c r="M646" s="345"/>
      <c r="N646" s="345"/>
      <c r="O646" s="345"/>
      <c r="P646" s="345"/>
      <c r="Q646" s="345"/>
      <c r="R646" s="345"/>
      <c r="S646" s="345"/>
      <c r="T646" s="345"/>
      <c r="U646" s="345"/>
      <c r="V646" s="345"/>
      <c r="W646" s="345"/>
      <c r="X646" s="345"/>
      <c r="Y646" s="345"/>
      <c r="Z646" s="345"/>
    </row>
    <row r="647">
      <c r="A647" s="345"/>
      <c r="B647" s="369"/>
      <c r="C647" s="345"/>
      <c r="D647" s="345"/>
      <c r="E647" s="345"/>
      <c r="F647" s="345"/>
      <c r="G647" s="345"/>
      <c r="H647" s="345"/>
      <c r="I647" s="345"/>
      <c r="J647" s="345"/>
      <c r="K647" s="345"/>
      <c r="L647" s="345"/>
      <c r="M647" s="345"/>
      <c r="N647" s="345"/>
      <c r="O647" s="345"/>
      <c r="P647" s="345"/>
      <c r="Q647" s="345"/>
      <c r="R647" s="345"/>
      <c r="S647" s="345"/>
      <c r="T647" s="345"/>
      <c r="U647" s="345"/>
      <c r="V647" s="345"/>
      <c r="W647" s="345"/>
      <c r="X647" s="345"/>
      <c r="Y647" s="345"/>
      <c r="Z647" s="345"/>
    </row>
    <row r="648">
      <c r="A648" s="345"/>
      <c r="B648" s="369"/>
      <c r="C648" s="345"/>
      <c r="D648" s="345"/>
      <c r="E648" s="345"/>
      <c r="F648" s="345"/>
      <c r="G648" s="345"/>
      <c r="H648" s="345"/>
      <c r="I648" s="345"/>
      <c r="J648" s="345"/>
      <c r="K648" s="345"/>
      <c r="L648" s="345"/>
      <c r="M648" s="345"/>
      <c r="N648" s="345"/>
      <c r="O648" s="345"/>
      <c r="P648" s="345"/>
      <c r="Q648" s="345"/>
      <c r="R648" s="345"/>
      <c r="S648" s="345"/>
      <c r="T648" s="345"/>
      <c r="U648" s="345"/>
      <c r="V648" s="345"/>
      <c r="W648" s="345"/>
      <c r="X648" s="345"/>
      <c r="Y648" s="345"/>
      <c r="Z648" s="345"/>
    </row>
    <row r="649">
      <c r="A649" s="345"/>
      <c r="B649" s="369"/>
      <c r="C649" s="345"/>
      <c r="D649" s="345"/>
      <c r="E649" s="345"/>
      <c r="F649" s="345"/>
      <c r="G649" s="345"/>
      <c r="H649" s="345"/>
      <c r="I649" s="345"/>
      <c r="J649" s="345"/>
      <c r="K649" s="345"/>
      <c r="L649" s="345"/>
      <c r="M649" s="345"/>
      <c r="N649" s="345"/>
      <c r="O649" s="345"/>
      <c r="P649" s="345"/>
      <c r="Q649" s="345"/>
      <c r="R649" s="345"/>
      <c r="S649" s="345"/>
      <c r="T649" s="345"/>
      <c r="U649" s="345"/>
      <c r="V649" s="345"/>
      <c r="W649" s="345"/>
      <c r="X649" s="345"/>
      <c r="Y649" s="345"/>
      <c r="Z649" s="345"/>
    </row>
    <row r="650">
      <c r="A650" s="345"/>
      <c r="B650" s="369"/>
      <c r="C650" s="345"/>
      <c r="D650" s="345"/>
      <c r="E650" s="345"/>
      <c r="F650" s="345"/>
      <c r="G650" s="345"/>
      <c r="H650" s="345"/>
      <c r="I650" s="345"/>
      <c r="J650" s="345"/>
      <c r="K650" s="345"/>
      <c r="L650" s="345"/>
      <c r="M650" s="345"/>
      <c r="N650" s="345"/>
      <c r="O650" s="345"/>
      <c r="P650" s="345"/>
      <c r="Q650" s="345"/>
      <c r="R650" s="345"/>
      <c r="S650" s="345"/>
      <c r="T650" s="345"/>
      <c r="U650" s="345"/>
      <c r="V650" s="345"/>
      <c r="W650" s="345"/>
      <c r="X650" s="345"/>
      <c r="Y650" s="345"/>
      <c r="Z650" s="345"/>
    </row>
    <row r="651">
      <c r="A651" s="345"/>
      <c r="B651" s="369"/>
      <c r="C651" s="345"/>
      <c r="D651" s="345"/>
      <c r="E651" s="345"/>
      <c r="F651" s="345"/>
      <c r="G651" s="345"/>
      <c r="H651" s="345"/>
      <c r="I651" s="345"/>
      <c r="J651" s="345"/>
      <c r="K651" s="345"/>
      <c r="L651" s="345"/>
      <c r="M651" s="345"/>
      <c r="N651" s="345"/>
      <c r="O651" s="345"/>
      <c r="P651" s="345"/>
      <c r="Q651" s="345"/>
      <c r="R651" s="345"/>
      <c r="S651" s="345"/>
      <c r="T651" s="345"/>
      <c r="U651" s="345"/>
      <c r="V651" s="345"/>
      <c r="W651" s="345"/>
      <c r="X651" s="345"/>
      <c r="Y651" s="345"/>
      <c r="Z651" s="345"/>
    </row>
    <row r="652">
      <c r="A652" s="345"/>
      <c r="B652" s="369"/>
      <c r="C652" s="345"/>
      <c r="D652" s="345"/>
      <c r="E652" s="345"/>
      <c r="F652" s="345"/>
      <c r="G652" s="345"/>
      <c r="H652" s="345"/>
      <c r="I652" s="345"/>
      <c r="J652" s="345"/>
      <c r="K652" s="345"/>
      <c r="L652" s="345"/>
      <c r="M652" s="345"/>
      <c r="N652" s="345"/>
      <c r="O652" s="345"/>
      <c r="P652" s="345"/>
      <c r="Q652" s="345"/>
      <c r="R652" s="345"/>
      <c r="S652" s="345"/>
      <c r="T652" s="345"/>
      <c r="U652" s="345"/>
      <c r="V652" s="345"/>
      <c r="W652" s="345"/>
      <c r="X652" s="345"/>
      <c r="Y652" s="345"/>
      <c r="Z652" s="345"/>
    </row>
    <row r="653">
      <c r="A653" s="345"/>
      <c r="B653" s="369"/>
      <c r="C653" s="345"/>
      <c r="D653" s="345"/>
      <c r="E653" s="345"/>
      <c r="F653" s="345"/>
      <c r="G653" s="345"/>
      <c r="H653" s="345"/>
      <c r="I653" s="345"/>
      <c r="J653" s="345"/>
      <c r="K653" s="345"/>
      <c r="L653" s="345"/>
      <c r="M653" s="345"/>
      <c r="N653" s="345"/>
      <c r="O653" s="345"/>
      <c r="P653" s="345"/>
      <c r="Q653" s="345"/>
      <c r="R653" s="345"/>
      <c r="S653" s="345"/>
      <c r="T653" s="345"/>
      <c r="U653" s="345"/>
      <c r="V653" s="345"/>
      <c r="W653" s="345"/>
      <c r="X653" s="345"/>
      <c r="Y653" s="345"/>
      <c r="Z653" s="345"/>
    </row>
    <row r="654">
      <c r="A654" s="345"/>
      <c r="B654" s="369"/>
      <c r="C654" s="345"/>
      <c r="D654" s="345"/>
      <c r="E654" s="345"/>
      <c r="F654" s="345"/>
      <c r="G654" s="345"/>
      <c r="H654" s="345"/>
      <c r="I654" s="345"/>
      <c r="J654" s="345"/>
      <c r="K654" s="345"/>
      <c r="L654" s="345"/>
      <c r="M654" s="345"/>
      <c r="N654" s="345"/>
      <c r="O654" s="345"/>
      <c r="P654" s="345"/>
      <c r="Q654" s="345"/>
      <c r="R654" s="345"/>
      <c r="S654" s="345"/>
      <c r="T654" s="345"/>
      <c r="U654" s="345"/>
      <c r="V654" s="345"/>
      <c r="W654" s="345"/>
      <c r="X654" s="345"/>
      <c r="Y654" s="345"/>
      <c r="Z654" s="345"/>
    </row>
    <row r="655">
      <c r="A655" s="345"/>
      <c r="B655" s="369"/>
      <c r="C655" s="345"/>
      <c r="D655" s="345"/>
      <c r="E655" s="345"/>
      <c r="F655" s="345"/>
      <c r="G655" s="345"/>
      <c r="H655" s="345"/>
      <c r="I655" s="345"/>
      <c r="J655" s="345"/>
      <c r="K655" s="345"/>
      <c r="L655" s="345"/>
      <c r="M655" s="345"/>
      <c r="N655" s="345"/>
      <c r="O655" s="345"/>
      <c r="P655" s="345"/>
      <c r="Q655" s="345"/>
      <c r="R655" s="345"/>
      <c r="S655" s="345"/>
      <c r="T655" s="345"/>
      <c r="U655" s="345"/>
      <c r="V655" s="345"/>
      <c r="W655" s="345"/>
      <c r="X655" s="345"/>
      <c r="Y655" s="345"/>
      <c r="Z655" s="345"/>
    </row>
    <row r="656">
      <c r="A656" s="345"/>
      <c r="B656" s="369"/>
      <c r="C656" s="345"/>
      <c r="D656" s="345"/>
      <c r="E656" s="345"/>
      <c r="F656" s="345"/>
      <c r="G656" s="345"/>
      <c r="H656" s="345"/>
      <c r="I656" s="345"/>
      <c r="J656" s="345"/>
      <c r="K656" s="345"/>
      <c r="L656" s="345"/>
      <c r="M656" s="345"/>
      <c r="N656" s="345"/>
      <c r="O656" s="345"/>
      <c r="P656" s="345"/>
      <c r="Q656" s="345"/>
      <c r="R656" s="345"/>
      <c r="S656" s="345"/>
      <c r="T656" s="345"/>
      <c r="U656" s="345"/>
      <c r="V656" s="345"/>
      <c r="W656" s="345"/>
      <c r="X656" s="345"/>
      <c r="Y656" s="345"/>
      <c r="Z656" s="345"/>
    </row>
    <row r="657">
      <c r="A657" s="345"/>
      <c r="B657" s="369"/>
      <c r="C657" s="345"/>
      <c r="D657" s="345"/>
      <c r="E657" s="345"/>
      <c r="F657" s="345"/>
      <c r="G657" s="345"/>
      <c r="H657" s="345"/>
      <c r="I657" s="345"/>
      <c r="J657" s="345"/>
      <c r="K657" s="345"/>
      <c r="L657" s="345"/>
      <c r="M657" s="345"/>
      <c r="N657" s="345"/>
      <c r="O657" s="345"/>
      <c r="P657" s="345"/>
      <c r="Q657" s="345"/>
      <c r="R657" s="345"/>
      <c r="S657" s="345"/>
      <c r="T657" s="345"/>
      <c r="U657" s="345"/>
      <c r="V657" s="345"/>
      <c r="W657" s="345"/>
      <c r="X657" s="345"/>
      <c r="Y657" s="345"/>
      <c r="Z657" s="345"/>
    </row>
    <row r="658">
      <c r="A658" s="345"/>
      <c r="B658" s="369"/>
      <c r="C658" s="345"/>
      <c r="D658" s="345"/>
      <c r="E658" s="345"/>
      <c r="F658" s="345"/>
      <c r="G658" s="345"/>
      <c r="H658" s="345"/>
      <c r="I658" s="345"/>
      <c r="J658" s="345"/>
      <c r="K658" s="345"/>
      <c r="L658" s="345"/>
      <c r="M658" s="345"/>
      <c r="N658" s="345"/>
      <c r="O658" s="345"/>
      <c r="P658" s="345"/>
      <c r="Q658" s="345"/>
      <c r="R658" s="345"/>
      <c r="S658" s="345"/>
      <c r="T658" s="345"/>
      <c r="U658" s="345"/>
      <c r="V658" s="345"/>
      <c r="W658" s="345"/>
      <c r="X658" s="345"/>
      <c r="Y658" s="345"/>
      <c r="Z658" s="345"/>
    </row>
    <row r="659">
      <c r="A659" s="345"/>
      <c r="B659" s="369"/>
      <c r="C659" s="345"/>
      <c r="D659" s="345"/>
      <c r="E659" s="345"/>
      <c r="F659" s="345"/>
      <c r="G659" s="345"/>
      <c r="H659" s="345"/>
      <c r="I659" s="345"/>
      <c r="J659" s="345"/>
      <c r="K659" s="345"/>
      <c r="L659" s="345"/>
      <c r="M659" s="345"/>
      <c r="N659" s="345"/>
      <c r="O659" s="345"/>
      <c r="P659" s="345"/>
      <c r="Q659" s="345"/>
      <c r="R659" s="345"/>
      <c r="S659" s="345"/>
      <c r="T659" s="345"/>
      <c r="U659" s="345"/>
      <c r="V659" s="345"/>
      <c r="W659" s="345"/>
      <c r="X659" s="345"/>
      <c r="Y659" s="345"/>
      <c r="Z659" s="345"/>
    </row>
    <row r="660">
      <c r="A660" s="345"/>
      <c r="B660" s="369"/>
      <c r="C660" s="345"/>
      <c r="D660" s="345"/>
      <c r="E660" s="345"/>
      <c r="F660" s="345"/>
      <c r="G660" s="345"/>
      <c r="H660" s="345"/>
      <c r="I660" s="345"/>
      <c r="J660" s="345"/>
      <c r="K660" s="345"/>
      <c r="L660" s="345"/>
      <c r="M660" s="345"/>
      <c r="N660" s="345"/>
      <c r="O660" s="345"/>
      <c r="P660" s="345"/>
      <c r="Q660" s="345"/>
      <c r="R660" s="345"/>
      <c r="S660" s="345"/>
      <c r="T660" s="345"/>
      <c r="U660" s="345"/>
      <c r="V660" s="345"/>
      <c r="W660" s="345"/>
      <c r="X660" s="345"/>
      <c r="Y660" s="345"/>
      <c r="Z660" s="345"/>
    </row>
    <row r="661">
      <c r="A661" s="345"/>
      <c r="B661" s="369"/>
      <c r="C661" s="345"/>
      <c r="D661" s="345"/>
      <c r="E661" s="345"/>
      <c r="F661" s="345"/>
      <c r="G661" s="345"/>
      <c r="H661" s="345"/>
      <c r="I661" s="345"/>
      <c r="J661" s="345"/>
      <c r="K661" s="345"/>
      <c r="L661" s="345"/>
      <c r="M661" s="345"/>
      <c r="N661" s="345"/>
      <c r="O661" s="345"/>
      <c r="P661" s="345"/>
      <c r="Q661" s="345"/>
      <c r="R661" s="345"/>
      <c r="S661" s="345"/>
      <c r="T661" s="345"/>
      <c r="U661" s="345"/>
      <c r="V661" s="345"/>
      <c r="W661" s="345"/>
      <c r="X661" s="345"/>
      <c r="Y661" s="345"/>
      <c r="Z661" s="345"/>
    </row>
    <row r="662">
      <c r="A662" s="345"/>
      <c r="B662" s="369"/>
      <c r="C662" s="345"/>
      <c r="D662" s="345"/>
      <c r="E662" s="345"/>
      <c r="F662" s="345"/>
      <c r="G662" s="345"/>
      <c r="H662" s="345"/>
      <c r="I662" s="345"/>
      <c r="J662" s="345"/>
      <c r="K662" s="345"/>
      <c r="L662" s="345"/>
      <c r="M662" s="345"/>
      <c r="N662" s="345"/>
      <c r="O662" s="345"/>
      <c r="P662" s="345"/>
      <c r="Q662" s="345"/>
      <c r="R662" s="345"/>
      <c r="S662" s="345"/>
      <c r="T662" s="345"/>
      <c r="U662" s="345"/>
      <c r="V662" s="345"/>
      <c r="W662" s="345"/>
      <c r="X662" s="345"/>
      <c r="Y662" s="345"/>
      <c r="Z662" s="345"/>
    </row>
    <row r="663">
      <c r="A663" s="345"/>
      <c r="B663" s="369"/>
      <c r="C663" s="345"/>
      <c r="D663" s="345"/>
      <c r="E663" s="345"/>
      <c r="F663" s="345"/>
      <c r="G663" s="345"/>
      <c r="H663" s="345"/>
      <c r="I663" s="345"/>
      <c r="J663" s="345"/>
      <c r="K663" s="345"/>
      <c r="L663" s="345"/>
      <c r="M663" s="345"/>
      <c r="N663" s="345"/>
      <c r="O663" s="345"/>
      <c r="P663" s="345"/>
      <c r="Q663" s="345"/>
      <c r="R663" s="345"/>
      <c r="S663" s="345"/>
      <c r="T663" s="345"/>
      <c r="U663" s="345"/>
      <c r="V663" s="345"/>
      <c r="W663" s="345"/>
      <c r="X663" s="345"/>
      <c r="Y663" s="345"/>
      <c r="Z663" s="345"/>
    </row>
    <row r="664">
      <c r="A664" s="345"/>
      <c r="B664" s="369"/>
      <c r="C664" s="345"/>
      <c r="D664" s="345"/>
      <c r="E664" s="345"/>
      <c r="F664" s="345"/>
      <c r="G664" s="345"/>
      <c r="H664" s="345"/>
      <c r="I664" s="345"/>
      <c r="J664" s="345"/>
      <c r="K664" s="345"/>
      <c r="L664" s="345"/>
      <c r="M664" s="345"/>
      <c r="N664" s="345"/>
      <c r="O664" s="345"/>
      <c r="P664" s="345"/>
      <c r="Q664" s="345"/>
      <c r="R664" s="345"/>
      <c r="S664" s="345"/>
      <c r="T664" s="345"/>
      <c r="U664" s="345"/>
      <c r="V664" s="345"/>
      <c r="W664" s="345"/>
      <c r="X664" s="345"/>
      <c r="Y664" s="345"/>
      <c r="Z664" s="345"/>
    </row>
    <row r="665">
      <c r="A665" s="345"/>
      <c r="B665" s="369"/>
      <c r="C665" s="345"/>
      <c r="D665" s="345"/>
      <c r="E665" s="345"/>
      <c r="F665" s="345"/>
      <c r="G665" s="345"/>
      <c r="H665" s="345"/>
      <c r="I665" s="345"/>
      <c r="J665" s="345"/>
      <c r="K665" s="345"/>
      <c r="L665" s="345"/>
      <c r="M665" s="345"/>
      <c r="N665" s="345"/>
      <c r="O665" s="345"/>
      <c r="P665" s="345"/>
      <c r="Q665" s="345"/>
      <c r="R665" s="345"/>
      <c r="S665" s="345"/>
      <c r="T665" s="345"/>
      <c r="U665" s="345"/>
      <c r="V665" s="345"/>
      <c r="W665" s="345"/>
      <c r="X665" s="345"/>
      <c r="Y665" s="345"/>
      <c r="Z665" s="345"/>
    </row>
    <row r="666">
      <c r="A666" s="345"/>
      <c r="B666" s="369"/>
      <c r="C666" s="345"/>
      <c r="D666" s="345"/>
      <c r="E666" s="345"/>
      <c r="F666" s="345"/>
      <c r="G666" s="345"/>
      <c r="H666" s="345"/>
      <c r="I666" s="345"/>
      <c r="J666" s="345"/>
      <c r="K666" s="345"/>
      <c r="L666" s="345"/>
      <c r="M666" s="345"/>
      <c r="N666" s="345"/>
      <c r="O666" s="345"/>
      <c r="P666" s="345"/>
      <c r="Q666" s="345"/>
      <c r="R666" s="345"/>
      <c r="S666" s="345"/>
      <c r="T666" s="345"/>
      <c r="U666" s="345"/>
      <c r="V666" s="345"/>
      <c r="W666" s="345"/>
      <c r="X666" s="345"/>
      <c r="Y666" s="345"/>
      <c r="Z666" s="345"/>
    </row>
    <row r="667">
      <c r="A667" s="345"/>
      <c r="B667" s="369"/>
      <c r="C667" s="345"/>
      <c r="D667" s="345"/>
      <c r="E667" s="345"/>
      <c r="F667" s="345"/>
      <c r="G667" s="345"/>
      <c r="H667" s="345"/>
      <c r="I667" s="345"/>
      <c r="J667" s="345"/>
      <c r="K667" s="345"/>
      <c r="L667" s="345"/>
      <c r="M667" s="345"/>
      <c r="N667" s="345"/>
      <c r="O667" s="345"/>
      <c r="P667" s="345"/>
      <c r="Q667" s="345"/>
      <c r="R667" s="345"/>
      <c r="S667" s="345"/>
      <c r="T667" s="345"/>
      <c r="U667" s="345"/>
      <c r="V667" s="345"/>
      <c r="W667" s="345"/>
      <c r="X667" s="345"/>
      <c r="Y667" s="345"/>
      <c r="Z667" s="345"/>
    </row>
    <row r="668">
      <c r="A668" s="345"/>
      <c r="B668" s="369"/>
      <c r="C668" s="345"/>
      <c r="D668" s="345"/>
      <c r="E668" s="345"/>
      <c r="F668" s="345"/>
      <c r="G668" s="345"/>
      <c r="H668" s="345"/>
      <c r="I668" s="345"/>
      <c r="J668" s="345"/>
      <c r="K668" s="345"/>
      <c r="L668" s="345"/>
      <c r="M668" s="345"/>
      <c r="N668" s="345"/>
      <c r="O668" s="345"/>
      <c r="P668" s="345"/>
      <c r="Q668" s="345"/>
      <c r="R668" s="345"/>
      <c r="S668" s="345"/>
      <c r="T668" s="345"/>
      <c r="U668" s="345"/>
      <c r="V668" s="345"/>
      <c r="W668" s="345"/>
      <c r="X668" s="345"/>
      <c r="Y668" s="345"/>
      <c r="Z668" s="345"/>
    </row>
    <row r="669">
      <c r="A669" s="345"/>
      <c r="B669" s="369"/>
      <c r="C669" s="345"/>
      <c r="D669" s="345"/>
      <c r="E669" s="345"/>
      <c r="F669" s="345"/>
      <c r="G669" s="345"/>
      <c r="H669" s="345"/>
      <c r="I669" s="345"/>
      <c r="J669" s="345"/>
      <c r="K669" s="345"/>
      <c r="L669" s="345"/>
      <c r="M669" s="345"/>
      <c r="N669" s="345"/>
      <c r="O669" s="345"/>
      <c r="P669" s="345"/>
      <c r="Q669" s="345"/>
      <c r="R669" s="345"/>
      <c r="S669" s="345"/>
      <c r="T669" s="345"/>
      <c r="U669" s="345"/>
      <c r="V669" s="345"/>
      <c r="W669" s="345"/>
      <c r="X669" s="345"/>
      <c r="Y669" s="345"/>
      <c r="Z669" s="345"/>
    </row>
    <row r="670">
      <c r="A670" s="345"/>
      <c r="B670" s="369"/>
      <c r="C670" s="345"/>
      <c r="D670" s="345"/>
      <c r="E670" s="345"/>
      <c r="F670" s="345"/>
      <c r="G670" s="345"/>
      <c r="H670" s="345"/>
      <c r="I670" s="345"/>
      <c r="J670" s="345"/>
      <c r="K670" s="345"/>
      <c r="L670" s="345"/>
      <c r="M670" s="345"/>
      <c r="N670" s="345"/>
      <c r="O670" s="345"/>
      <c r="P670" s="345"/>
      <c r="Q670" s="345"/>
      <c r="R670" s="345"/>
      <c r="S670" s="345"/>
      <c r="T670" s="345"/>
      <c r="U670" s="345"/>
      <c r="V670" s="345"/>
      <c r="W670" s="345"/>
      <c r="X670" s="345"/>
      <c r="Y670" s="345"/>
      <c r="Z670" s="345"/>
    </row>
    <row r="671">
      <c r="A671" s="345"/>
      <c r="B671" s="369"/>
      <c r="C671" s="345"/>
      <c r="D671" s="345"/>
      <c r="E671" s="345"/>
      <c r="F671" s="345"/>
      <c r="G671" s="345"/>
      <c r="H671" s="345"/>
      <c r="I671" s="345"/>
      <c r="J671" s="345"/>
      <c r="K671" s="345"/>
      <c r="L671" s="345"/>
      <c r="M671" s="345"/>
      <c r="N671" s="345"/>
      <c r="O671" s="345"/>
      <c r="P671" s="345"/>
      <c r="Q671" s="345"/>
      <c r="R671" s="345"/>
      <c r="S671" s="345"/>
      <c r="T671" s="345"/>
      <c r="U671" s="345"/>
      <c r="V671" s="345"/>
      <c r="W671" s="345"/>
      <c r="X671" s="345"/>
      <c r="Y671" s="345"/>
      <c r="Z671" s="345"/>
    </row>
    <row r="672">
      <c r="A672" s="345"/>
      <c r="B672" s="369"/>
      <c r="C672" s="345"/>
      <c r="D672" s="345"/>
      <c r="E672" s="345"/>
      <c r="F672" s="345"/>
      <c r="G672" s="345"/>
      <c r="H672" s="345"/>
      <c r="I672" s="345"/>
      <c r="J672" s="345"/>
      <c r="K672" s="345"/>
      <c r="L672" s="345"/>
      <c r="M672" s="345"/>
      <c r="N672" s="345"/>
      <c r="O672" s="345"/>
      <c r="P672" s="345"/>
      <c r="Q672" s="345"/>
      <c r="R672" s="345"/>
      <c r="S672" s="345"/>
      <c r="T672" s="345"/>
      <c r="U672" s="345"/>
      <c r="V672" s="345"/>
      <c r="W672" s="345"/>
      <c r="X672" s="345"/>
      <c r="Y672" s="345"/>
      <c r="Z672" s="345"/>
    </row>
    <row r="673">
      <c r="A673" s="345"/>
      <c r="B673" s="369"/>
      <c r="C673" s="345"/>
      <c r="D673" s="345"/>
      <c r="E673" s="345"/>
      <c r="F673" s="345"/>
      <c r="G673" s="345"/>
      <c r="H673" s="345"/>
      <c r="I673" s="345"/>
      <c r="J673" s="345"/>
      <c r="K673" s="345"/>
      <c r="L673" s="345"/>
      <c r="M673" s="345"/>
      <c r="N673" s="345"/>
      <c r="O673" s="345"/>
      <c r="P673" s="345"/>
      <c r="Q673" s="345"/>
      <c r="R673" s="345"/>
      <c r="S673" s="345"/>
      <c r="T673" s="345"/>
      <c r="U673" s="345"/>
      <c r="V673" s="345"/>
      <c r="W673" s="345"/>
      <c r="X673" s="345"/>
      <c r="Y673" s="345"/>
      <c r="Z673" s="345"/>
    </row>
    <row r="674">
      <c r="A674" s="345"/>
      <c r="B674" s="369"/>
      <c r="C674" s="345"/>
      <c r="D674" s="345"/>
      <c r="E674" s="345"/>
      <c r="F674" s="345"/>
      <c r="G674" s="345"/>
      <c r="H674" s="345"/>
      <c r="I674" s="345"/>
      <c r="J674" s="345"/>
      <c r="K674" s="345"/>
      <c r="L674" s="345"/>
      <c r="M674" s="345"/>
      <c r="N674" s="345"/>
      <c r="O674" s="345"/>
      <c r="P674" s="345"/>
      <c r="Q674" s="345"/>
      <c r="R674" s="345"/>
      <c r="S674" s="345"/>
      <c r="T674" s="345"/>
      <c r="U674" s="345"/>
      <c r="V674" s="345"/>
      <c r="W674" s="345"/>
      <c r="X674" s="345"/>
      <c r="Y674" s="345"/>
      <c r="Z674" s="345"/>
    </row>
    <row r="675">
      <c r="A675" s="345"/>
      <c r="B675" s="369"/>
      <c r="C675" s="345"/>
      <c r="D675" s="345"/>
      <c r="E675" s="345"/>
      <c r="F675" s="345"/>
      <c r="G675" s="345"/>
      <c r="H675" s="345"/>
      <c r="I675" s="345"/>
      <c r="J675" s="345"/>
      <c r="K675" s="345"/>
      <c r="L675" s="345"/>
      <c r="M675" s="345"/>
      <c r="N675" s="345"/>
      <c r="O675" s="345"/>
      <c r="P675" s="345"/>
      <c r="Q675" s="345"/>
      <c r="R675" s="345"/>
      <c r="S675" s="345"/>
      <c r="T675" s="345"/>
      <c r="U675" s="345"/>
      <c r="V675" s="345"/>
      <c r="W675" s="345"/>
      <c r="X675" s="345"/>
      <c r="Y675" s="345"/>
      <c r="Z675" s="345"/>
    </row>
    <row r="676">
      <c r="A676" s="345"/>
      <c r="B676" s="369"/>
      <c r="C676" s="345"/>
      <c r="D676" s="345"/>
      <c r="E676" s="345"/>
      <c r="F676" s="345"/>
      <c r="G676" s="345"/>
      <c r="H676" s="345"/>
      <c r="I676" s="345"/>
      <c r="J676" s="345"/>
      <c r="K676" s="345"/>
      <c r="L676" s="345"/>
      <c r="M676" s="345"/>
      <c r="N676" s="345"/>
      <c r="O676" s="345"/>
      <c r="P676" s="345"/>
      <c r="Q676" s="345"/>
      <c r="R676" s="345"/>
      <c r="S676" s="345"/>
      <c r="T676" s="345"/>
      <c r="U676" s="345"/>
      <c r="V676" s="345"/>
      <c r="W676" s="345"/>
      <c r="X676" s="345"/>
      <c r="Y676" s="345"/>
      <c r="Z676" s="345"/>
    </row>
    <row r="677">
      <c r="A677" s="345"/>
      <c r="B677" s="369"/>
      <c r="C677" s="345"/>
      <c r="D677" s="345"/>
      <c r="E677" s="345"/>
      <c r="F677" s="345"/>
      <c r="G677" s="345"/>
      <c r="H677" s="345"/>
      <c r="I677" s="345"/>
      <c r="J677" s="345"/>
      <c r="K677" s="345"/>
      <c r="L677" s="345"/>
      <c r="M677" s="345"/>
      <c r="N677" s="345"/>
      <c r="O677" s="345"/>
      <c r="P677" s="345"/>
      <c r="Q677" s="345"/>
      <c r="R677" s="345"/>
      <c r="S677" s="345"/>
      <c r="T677" s="345"/>
      <c r="U677" s="345"/>
      <c r="V677" s="345"/>
      <c r="W677" s="345"/>
      <c r="X677" s="345"/>
      <c r="Y677" s="345"/>
      <c r="Z677" s="345"/>
    </row>
    <row r="678">
      <c r="A678" s="345"/>
      <c r="B678" s="369"/>
      <c r="C678" s="345"/>
      <c r="D678" s="345"/>
      <c r="E678" s="345"/>
      <c r="F678" s="345"/>
      <c r="G678" s="345"/>
      <c r="H678" s="345"/>
      <c r="I678" s="345"/>
      <c r="J678" s="345"/>
      <c r="K678" s="345"/>
      <c r="L678" s="345"/>
      <c r="M678" s="345"/>
      <c r="N678" s="345"/>
      <c r="O678" s="345"/>
      <c r="P678" s="345"/>
      <c r="Q678" s="345"/>
      <c r="R678" s="345"/>
      <c r="S678" s="345"/>
      <c r="T678" s="345"/>
      <c r="U678" s="345"/>
      <c r="V678" s="345"/>
      <c r="W678" s="345"/>
      <c r="X678" s="345"/>
      <c r="Y678" s="345"/>
      <c r="Z678" s="345"/>
    </row>
    <row r="679">
      <c r="A679" s="345"/>
      <c r="B679" s="369"/>
      <c r="C679" s="345"/>
      <c r="D679" s="345"/>
      <c r="E679" s="345"/>
      <c r="F679" s="345"/>
      <c r="G679" s="345"/>
      <c r="H679" s="345"/>
      <c r="I679" s="345"/>
      <c r="J679" s="345"/>
      <c r="K679" s="345"/>
      <c r="L679" s="345"/>
      <c r="M679" s="345"/>
      <c r="N679" s="345"/>
      <c r="O679" s="345"/>
      <c r="P679" s="345"/>
      <c r="Q679" s="345"/>
      <c r="R679" s="345"/>
      <c r="S679" s="345"/>
      <c r="T679" s="345"/>
      <c r="U679" s="345"/>
      <c r="V679" s="345"/>
      <c r="W679" s="345"/>
      <c r="X679" s="345"/>
      <c r="Y679" s="345"/>
      <c r="Z679" s="345"/>
    </row>
    <row r="680">
      <c r="A680" s="345"/>
      <c r="B680" s="369"/>
      <c r="C680" s="345"/>
      <c r="D680" s="345"/>
      <c r="E680" s="345"/>
      <c r="F680" s="345"/>
      <c r="G680" s="345"/>
      <c r="H680" s="345"/>
      <c r="I680" s="345"/>
      <c r="J680" s="345"/>
      <c r="K680" s="345"/>
      <c r="L680" s="345"/>
      <c r="M680" s="345"/>
      <c r="N680" s="345"/>
      <c r="O680" s="345"/>
      <c r="P680" s="345"/>
      <c r="Q680" s="345"/>
      <c r="R680" s="345"/>
      <c r="S680" s="345"/>
      <c r="T680" s="345"/>
      <c r="U680" s="345"/>
      <c r="V680" s="345"/>
      <c r="W680" s="345"/>
      <c r="X680" s="345"/>
      <c r="Y680" s="345"/>
      <c r="Z680" s="345"/>
    </row>
    <row r="681">
      <c r="A681" s="345"/>
      <c r="B681" s="369"/>
      <c r="C681" s="345"/>
      <c r="D681" s="345"/>
      <c r="E681" s="345"/>
      <c r="F681" s="345"/>
      <c r="G681" s="345"/>
      <c r="H681" s="345"/>
      <c r="I681" s="345"/>
      <c r="J681" s="345"/>
      <c r="K681" s="345"/>
      <c r="L681" s="345"/>
      <c r="M681" s="345"/>
      <c r="N681" s="345"/>
      <c r="O681" s="345"/>
      <c r="P681" s="345"/>
      <c r="Q681" s="345"/>
      <c r="R681" s="345"/>
      <c r="S681" s="345"/>
      <c r="T681" s="345"/>
      <c r="U681" s="345"/>
      <c r="V681" s="345"/>
      <c r="W681" s="345"/>
      <c r="X681" s="345"/>
      <c r="Y681" s="345"/>
      <c r="Z681" s="345"/>
    </row>
    <row r="682">
      <c r="A682" s="345"/>
      <c r="B682" s="369"/>
      <c r="C682" s="345"/>
      <c r="D682" s="345"/>
      <c r="E682" s="345"/>
      <c r="F682" s="345"/>
      <c r="G682" s="345"/>
      <c r="H682" s="345"/>
      <c r="I682" s="345"/>
      <c r="J682" s="345"/>
      <c r="K682" s="345"/>
      <c r="L682" s="345"/>
      <c r="M682" s="345"/>
      <c r="N682" s="345"/>
      <c r="O682" s="345"/>
      <c r="P682" s="345"/>
      <c r="Q682" s="345"/>
      <c r="R682" s="345"/>
      <c r="S682" s="345"/>
      <c r="T682" s="345"/>
      <c r="U682" s="345"/>
      <c r="V682" s="345"/>
      <c r="W682" s="345"/>
      <c r="X682" s="345"/>
      <c r="Y682" s="345"/>
      <c r="Z682" s="345"/>
    </row>
    <row r="683">
      <c r="A683" s="345"/>
      <c r="B683" s="369"/>
      <c r="C683" s="345"/>
      <c r="D683" s="345"/>
      <c r="E683" s="345"/>
      <c r="F683" s="345"/>
      <c r="G683" s="345"/>
      <c r="H683" s="345"/>
      <c r="I683" s="345"/>
      <c r="J683" s="345"/>
      <c r="K683" s="345"/>
      <c r="L683" s="345"/>
      <c r="M683" s="345"/>
      <c r="N683" s="345"/>
      <c r="O683" s="345"/>
      <c r="P683" s="345"/>
      <c r="Q683" s="345"/>
      <c r="R683" s="345"/>
      <c r="S683" s="345"/>
      <c r="T683" s="345"/>
      <c r="U683" s="345"/>
      <c r="V683" s="345"/>
      <c r="W683" s="345"/>
      <c r="X683" s="345"/>
      <c r="Y683" s="345"/>
      <c r="Z683" s="345"/>
    </row>
    <row r="684">
      <c r="A684" s="345"/>
      <c r="B684" s="369"/>
      <c r="C684" s="345"/>
      <c r="D684" s="345"/>
      <c r="E684" s="345"/>
      <c r="F684" s="345"/>
      <c r="G684" s="345"/>
      <c r="H684" s="345"/>
      <c r="I684" s="345"/>
      <c r="J684" s="345"/>
      <c r="K684" s="345"/>
      <c r="L684" s="345"/>
      <c r="M684" s="345"/>
      <c r="N684" s="345"/>
      <c r="O684" s="345"/>
      <c r="P684" s="345"/>
      <c r="Q684" s="345"/>
      <c r="R684" s="345"/>
      <c r="S684" s="345"/>
      <c r="T684" s="345"/>
      <c r="U684" s="345"/>
      <c r="V684" s="345"/>
      <c r="W684" s="345"/>
      <c r="X684" s="345"/>
      <c r="Y684" s="345"/>
      <c r="Z684" s="345"/>
    </row>
    <row r="685">
      <c r="A685" s="345"/>
      <c r="B685" s="369"/>
      <c r="C685" s="345"/>
      <c r="D685" s="345"/>
      <c r="E685" s="345"/>
      <c r="F685" s="345"/>
      <c r="G685" s="345"/>
      <c r="H685" s="345"/>
      <c r="I685" s="345"/>
      <c r="J685" s="345"/>
      <c r="K685" s="345"/>
      <c r="L685" s="345"/>
      <c r="M685" s="345"/>
      <c r="N685" s="345"/>
      <c r="O685" s="345"/>
      <c r="P685" s="345"/>
      <c r="Q685" s="345"/>
      <c r="R685" s="345"/>
      <c r="S685" s="345"/>
      <c r="T685" s="345"/>
      <c r="U685" s="345"/>
      <c r="V685" s="345"/>
      <c r="W685" s="345"/>
      <c r="X685" s="345"/>
      <c r="Y685" s="345"/>
      <c r="Z685" s="345"/>
    </row>
    <row r="686">
      <c r="A686" s="345"/>
      <c r="B686" s="369"/>
      <c r="C686" s="345"/>
      <c r="D686" s="345"/>
      <c r="E686" s="345"/>
      <c r="F686" s="345"/>
      <c r="G686" s="345"/>
      <c r="H686" s="345"/>
      <c r="I686" s="345"/>
      <c r="J686" s="345"/>
      <c r="K686" s="345"/>
      <c r="L686" s="345"/>
      <c r="M686" s="345"/>
      <c r="N686" s="345"/>
      <c r="O686" s="345"/>
      <c r="P686" s="345"/>
      <c r="Q686" s="345"/>
      <c r="R686" s="345"/>
      <c r="S686" s="345"/>
      <c r="T686" s="345"/>
      <c r="U686" s="345"/>
      <c r="V686" s="345"/>
      <c r="W686" s="345"/>
      <c r="X686" s="345"/>
      <c r="Y686" s="345"/>
      <c r="Z686" s="345"/>
    </row>
    <row r="687">
      <c r="A687" s="345"/>
      <c r="B687" s="369"/>
      <c r="C687" s="345"/>
      <c r="D687" s="345"/>
      <c r="E687" s="345"/>
      <c r="F687" s="345"/>
      <c r="G687" s="345"/>
      <c r="H687" s="345"/>
      <c r="I687" s="345"/>
      <c r="J687" s="345"/>
      <c r="K687" s="345"/>
      <c r="L687" s="345"/>
      <c r="M687" s="345"/>
      <c r="N687" s="345"/>
      <c r="O687" s="345"/>
      <c r="P687" s="345"/>
      <c r="Q687" s="345"/>
      <c r="R687" s="345"/>
      <c r="S687" s="345"/>
      <c r="T687" s="345"/>
      <c r="U687" s="345"/>
      <c r="V687" s="345"/>
      <c r="W687" s="345"/>
      <c r="X687" s="345"/>
      <c r="Y687" s="345"/>
      <c r="Z687" s="345"/>
    </row>
    <row r="688">
      <c r="A688" s="345"/>
      <c r="B688" s="369"/>
      <c r="C688" s="345"/>
      <c r="D688" s="345"/>
      <c r="E688" s="345"/>
      <c r="F688" s="345"/>
      <c r="G688" s="345"/>
      <c r="H688" s="345"/>
      <c r="I688" s="345"/>
      <c r="J688" s="345"/>
      <c r="K688" s="345"/>
      <c r="L688" s="345"/>
      <c r="M688" s="345"/>
      <c r="N688" s="345"/>
      <c r="O688" s="345"/>
      <c r="P688" s="345"/>
      <c r="Q688" s="345"/>
      <c r="R688" s="345"/>
      <c r="S688" s="345"/>
      <c r="T688" s="345"/>
      <c r="U688" s="345"/>
      <c r="V688" s="345"/>
      <c r="W688" s="345"/>
      <c r="X688" s="345"/>
      <c r="Y688" s="345"/>
      <c r="Z688" s="345"/>
    </row>
    <row r="689">
      <c r="A689" s="345"/>
      <c r="B689" s="369"/>
      <c r="C689" s="345"/>
      <c r="D689" s="345"/>
      <c r="E689" s="345"/>
      <c r="F689" s="345"/>
      <c r="G689" s="345"/>
      <c r="H689" s="345"/>
      <c r="I689" s="345"/>
      <c r="J689" s="345"/>
      <c r="K689" s="345"/>
      <c r="L689" s="345"/>
      <c r="M689" s="345"/>
      <c r="N689" s="345"/>
      <c r="O689" s="345"/>
      <c r="P689" s="345"/>
      <c r="Q689" s="345"/>
      <c r="R689" s="345"/>
      <c r="S689" s="345"/>
      <c r="T689" s="345"/>
      <c r="U689" s="345"/>
      <c r="V689" s="345"/>
      <c r="W689" s="345"/>
      <c r="X689" s="345"/>
      <c r="Y689" s="345"/>
      <c r="Z689" s="345"/>
    </row>
    <row r="690">
      <c r="A690" s="345"/>
      <c r="B690" s="369"/>
      <c r="C690" s="345"/>
      <c r="D690" s="345"/>
      <c r="E690" s="345"/>
      <c r="F690" s="345"/>
      <c r="G690" s="345"/>
      <c r="H690" s="345"/>
      <c r="I690" s="345"/>
      <c r="J690" s="345"/>
      <c r="K690" s="345"/>
      <c r="L690" s="345"/>
      <c r="M690" s="345"/>
      <c r="N690" s="345"/>
      <c r="O690" s="345"/>
      <c r="P690" s="345"/>
      <c r="Q690" s="345"/>
      <c r="R690" s="345"/>
      <c r="S690" s="345"/>
      <c r="T690" s="345"/>
      <c r="U690" s="345"/>
      <c r="V690" s="345"/>
      <c r="W690" s="345"/>
      <c r="X690" s="345"/>
      <c r="Y690" s="345"/>
      <c r="Z690" s="345"/>
    </row>
    <row r="691">
      <c r="A691" s="345"/>
      <c r="B691" s="369"/>
      <c r="C691" s="345"/>
      <c r="D691" s="345"/>
      <c r="E691" s="345"/>
      <c r="F691" s="345"/>
      <c r="G691" s="345"/>
      <c r="H691" s="345"/>
      <c r="I691" s="345"/>
      <c r="J691" s="345"/>
      <c r="K691" s="345"/>
      <c r="L691" s="345"/>
      <c r="M691" s="345"/>
      <c r="N691" s="345"/>
      <c r="O691" s="345"/>
      <c r="P691" s="345"/>
      <c r="Q691" s="345"/>
      <c r="R691" s="345"/>
      <c r="S691" s="345"/>
      <c r="T691" s="345"/>
      <c r="U691" s="345"/>
      <c r="V691" s="345"/>
      <c r="W691" s="345"/>
      <c r="X691" s="345"/>
      <c r="Y691" s="345"/>
      <c r="Z691" s="345"/>
    </row>
    <row r="692">
      <c r="A692" s="345"/>
      <c r="B692" s="369"/>
      <c r="C692" s="345"/>
      <c r="D692" s="345"/>
      <c r="E692" s="345"/>
      <c r="F692" s="345"/>
      <c r="G692" s="345"/>
      <c r="H692" s="345"/>
      <c r="I692" s="345"/>
      <c r="J692" s="345"/>
      <c r="K692" s="345"/>
      <c r="L692" s="345"/>
      <c r="M692" s="345"/>
      <c r="N692" s="345"/>
      <c r="O692" s="345"/>
      <c r="P692" s="345"/>
      <c r="Q692" s="345"/>
      <c r="R692" s="345"/>
      <c r="S692" s="345"/>
      <c r="T692" s="345"/>
      <c r="U692" s="345"/>
      <c r="V692" s="345"/>
      <c r="W692" s="345"/>
      <c r="X692" s="345"/>
      <c r="Y692" s="345"/>
      <c r="Z692" s="345"/>
    </row>
    <row r="693">
      <c r="A693" s="345"/>
      <c r="B693" s="369"/>
      <c r="C693" s="345"/>
      <c r="D693" s="345"/>
      <c r="E693" s="345"/>
      <c r="F693" s="345"/>
      <c r="G693" s="345"/>
      <c r="H693" s="345"/>
      <c r="I693" s="345"/>
      <c r="J693" s="345"/>
      <c r="K693" s="345"/>
      <c r="L693" s="345"/>
      <c r="M693" s="345"/>
      <c r="N693" s="345"/>
      <c r="O693" s="345"/>
      <c r="P693" s="345"/>
      <c r="Q693" s="345"/>
      <c r="R693" s="345"/>
      <c r="S693" s="345"/>
      <c r="T693" s="345"/>
      <c r="U693" s="345"/>
      <c r="V693" s="345"/>
      <c r="W693" s="345"/>
      <c r="X693" s="345"/>
      <c r="Y693" s="345"/>
      <c r="Z693" s="345"/>
    </row>
    <row r="694">
      <c r="A694" s="345"/>
      <c r="B694" s="369"/>
      <c r="C694" s="345"/>
      <c r="D694" s="345"/>
      <c r="E694" s="345"/>
      <c r="F694" s="345"/>
      <c r="G694" s="345"/>
      <c r="H694" s="345"/>
      <c r="I694" s="345"/>
      <c r="J694" s="345"/>
      <c r="K694" s="345"/>
      <c r="L694" s="345"/>
      <c r="M694" s="345"/>
      <c r="N694" s="345"/>
      <c r="O694" s="345"/>
      <c r="P694" s="345"/>
      <c r="Q694" s="345"/>
      <c r="R694" s="345"/>
      <c r="S694" s="345"/>
      <c r="T694" s="345"/>
      <c r="U694" s="345"/>
      <c r="V694" s="345"/>
      <c r="W694" s="345"/>
      <c r="X694" s="345"/>
      <c r="Y694" s="345"/>
      <c r="Z694" s="345"/>
    </row>
    <row r="695">
      <c r="A695" s="345"/>
      <c r="B695" s="369"/>
      <c r="C695" s="345"/>
      <c r="D695" s="345"/>
      <c r="E695" s="345"/>
      <c r="F695" s="345"/>
      <c r="G695" s="345"/>
      <c r="H695" s="345"/>
      <c r="I695" s="345"/>
      <c r="J695" s="345"/>
      <c r="K695" s="345"/>
      <c r="L695" s="345"/>
      <c r="M695" s="345"/>
      <c r="N695" s="345"/>
      <c r="O695" s="345"/>
      <c r="P695" s="345"/>
      <c r="Q695" s="345"/>
      <c r="R695" s="345"/>
      <c r="S695" s="345"/>
      <c r="T695" s="345"/>
      <c r="U695" s="345"/>
      <c r="V695" s="345"/>
      <c r="W695" s="345"/>
      <c r="X695" s="345"/>
      <c r="Y695" s="345"/>
      <c r="Z695" s="345"/>
    </row>
    <row r="696">
      <c r="A696" s="345"/>
      <c r="B696" s="369"/>
      <c r="C696" s="345"/>
      <c r="D696" s="345"/>
      <c r="E696" s="345"/>
      <c r="F696" s="345"/>
      <c r="G696" s="345"/>
      <c r="H696" s="345"/>
      <c r="I696" s="345"/>
      <c r="J696" s="345"/>
      <c r="K696" s="345"/>
      <c r="L696" s="345"/>
      <c r="M696" s="345"/>
      <c r="N696" s="345"/>
      <c r="O696" s="345"/>
      <c r="P696" s="345"/>
      <c r="Q696" s="345"/>
      <c r="R696" s="345"/>
      <c r="S696" s="345"/>
      <c r="T696" s="345"/>
      <c r="U696" s="345"/>
      <c r="V696" s="345"/>
      <c r="W696" s="345"/>
      <c r="X696" s="345"/>
      <c r="Y696" s="345"/>
      <c r="Z696" s="345"/>
    </row>
    <row r="697">
      <c r="A697" s="345"/>
      <c r="B697" s="369"/>
      <c r="C697" s="345"/>
      <c r="D697" s="345"/>
      <c r="E697" s="345"/>
      <c r="F697" s="345"/>
      <c r="G697" s="345"/>
      <c r="H697" s="345"/>
      <c r="I697" s="345"/>
      <c r="J697" s="345"/>
      <c r="K697" s="345"/>
      <c r="L697" s="345"/>
      <c r="M697" s="345"/>
      <c r="N697" s="345"/>
      <c r="O697" s="345"/>
      <c r="P697" s="345"/>
      <c r="Q697" s="345"/>
      <c r="R697" s="345"/>
      <c r="S697" s="345"/>
      <c r="T697" s="345"/>
      <c r="U697" s="345"/>
      <c r="V697" s="345"/>
      <c r="W697" s="345"/>
      <c r="X697" s="345"/>
      <c r="Y697" s="345"/>
      <c r="Z697" s="345"/>
    </row>
    <row r="698">
      <c r="A698" s="345"/>
      <c r="B698" s="369"/>
      <c r="C698" s="345"/>
      <c r="D698" s="345"/>
      <c r="E698" s="345"/>
      <c r="F698" s="345"/>
      <c r="G698" s="345"/>
      <c r="H698" s="345"/>
      <c r="I698" s="345"/>
      <c r="J698" s="345"/>
      <c r="K698" s="345"/>
      <c r="L698" s="345"/>
      <c r="M698" s="345"/>
      <c r="N698" s="345"/>
      <c r="O698" s="345"/>
      <c r="P698" s="345"/>
      <c r="Q698" s="345"/>
      <c r="R698" s="345"/>
      <c r="S698" s="345"/>
      <c r="T698" s="345"/>
      <c r="U698" s="345"/>
      <c r="V698" s="345"/>
      <c r="W698" s="345"/>
      <c r="X698" s="345"/>
      <c r="Y698" s="345"/>
      <c r="Z698" s="345"/>
    </row>
    <row r="699">
      <c r="A699" s="345"/>
      <c r="B699" s="369"/>
      <c r="C699" s="345"/>
      <c r="D699" s="345"/>
      <c r="E699" s="345"/>
      <c r="F699" s="345"/>
      <c r="G699" s="345"/>
      <c r="H699" s="345"/>
      <c r="I699" s="345"/>
      <c r="J699" s="345"/>
      <c r="K699" s="345"/>
      <c r="L699" s="345"/>
      <c r="M699" s="345"/>
      <c r="N699" s="345"/>
      <c r="O699" s="345"/>
      <c r="P699" s="345"/>
      <c r="Q699" s="345"/>
      <c r="R699" s="345"/>
      <c r="S699" s="345"/>
      <c r="T699" s="345"/>
      <c r="U699" s="345"/>
      <c r="V699" s="345"/>
      <c r="W699" s="345"/>
      <c r="X699" s="345"/>
      <c r="Y699" s="345"/>
      <c r="Z699" s="345"/>
    </row>
    <row r="700">
      <c r="A700" s="345"/>
      <c r="B700" s="369"/>
      <c r="C700" s="345"/>
      <c r="D700" s="345"/>
      <c r="E700" s="345"/>
      <c r="F700" s="345"/>
      <c r="G700" s="345"/>
      <c r="H700" s="345"/>
      <c r="I700" s="345"/>
      <c r="J700" s="345"/>
      <c r="K700" s="345"/>
      <c r="L700" s="345"/>
      <c r="M700" s="345"/>
      <c r="N700" s="345"/>
      <c r="O700" s="345"/>
      <c r="P700" s="345"/>
      <c r="Q700" s="345"/>
      <c r="R700" s="345"/>
      <c r="S700" s="345"/>
      <c r="T700" s="345"/>
      <c r="U700" s="345"/>
      <c r="V700" s="345"/>
      <c r="W700" s="345"/>
      <c r="X700" s="345"/>
      <c r="Y700" s="345"/>
      <c r="Z700" s="345"/>
    </row>
    <row r="701">
      <c r="A701" s="345"/>
      <c r="B701" s="369"/>
      <c r="C701" s="345"/>
      <c r="D701" s="345"/>
      <c r="E701" s="345"/>
      <c r="F701" s="345"/>
      <c r="G701" s="345"/>
      <c r="H701" s="345"/>
      <c r="I701" s="345"/>
      <c r="J701" s="345"/>
      <c r="K701" s="345"/>
      <c r="L701" s="345"/>
      <c r="M701" s="345"/>
      <c r="N701" s="345"/>
      <c r="O701" s="345"/>
      <c r="P701" s="345"/>
      <c r="Q701" s="345"/>
      <c r="R701" s="345"/>
      <c r="S701" s="345"/>
      <c r="T701" s="345"/>
      <c r="U701" s="345"/>
      <c r="V701" s="345"/>
      <c r="W701" s="345"/>
      <c r="X701" s="345"/>
      <c r="Y701" s="345"/>
      <c r="Z701" s="345"/>
    </row>
    <row r="702">
      <c r="A702" s="345"/>
      <c r="B702" s="369"/>
      <c r="C702" s="345"/>
      <c r="D702" s="345"/>
      <c r="E702" s="345"/>
      <c r="F702" s="345"/>
      <c r="G702" s="345"/>
      <c r="H702" s="345"/>
      <c r="I702" s="345"/>
      <c r="J702" s="345"/>
      <c r="K702" s="345"/>
      <c r="L702" s="345"/>
      <c r="M702" s="345"/>
      <c r="N702" s="345"/>
      <c r="O702" s="345"/>
      <c r="P702" s="345"/>
      <c r="Q702" s="345"/>
      <c r="R702" s="345"/>
      <c r="S702" s="345"/>
      <c r="T702" s="345"/>
      <c r="U702" s="345"/>
      <c r="V702" s="345"/>
      <c r="W702" s="345"/>
      <c r="X702" s="345"/>
      <c r="Y702" s="345"/>
      <c r="Z702" s="345"/>
    </row>
    <row r="703">
      <c r="A703" s="345"/>
      <c r="B703" s="369"/>
      <c r="C703" s="345"/>
      <c r="D703" s="345"/>
      <c r="E703" s="345"/>
      <c r="F703" s="345"/>
      <c r="G703" s="345"/>
      <c r="H703" s="345"/>
      <c r="I703" s="345"/>
      <c r="J703" s="345"/>
      <c r="K703" s="345"/>
      <c r="L703" s="345"/>
      <c r="M703" s="345"/>
      <c r="N703" s="345"/>
      <c r="O703" s="345"/>
      <c r="P703" s="345"/>
      <c r="Q703" s="345"/>
      <c r="R703" s="345"/>
      <c r="S703" s="345"/>
      <c r="T703" s="345"/>
      <c r="U703" s="345"/>
      <c r="V703" s="345"/>
      <c r="W703" s="345"/>
      <c r="X703" s="345"/>
      <c r="Y703" s="345"/>
      <c r="Z703" s="345"/>
    </row>
    <row r="704">
      <c r="A704" s="345"/>
      <c r="B704" s="369"/>
      <c r="C704" s="345"/>
      <c r="D704" s="345"/>
      <c r="E704" s="345"/>
      <c r="F704" s="345"/>
      <c r="G704" s="345"/>
      <c r="H704" s="345"/>
      <c r="I704" s="345"/>
      <c r="J704" s="345"/>
      <c r="K704" s="345"/>
      <c r="L704" s="345"/>
      <c r="M704" s="345"/>
      <c r="N704" s="345"/>
      <c r="O704" s="345"/>
      <c r="P704" s="345"/>
      <c r="Q704" s="345"/>
      <c r="R704" s="345"/>
      <c r="S704" s="345"/>
      <c r="T704" s="345"/>
      <c r="U704" s="345"/>
      <c r="V704" s="345"/>
      <c r="W704" s="345"/>
      <c r="X704" s="345"/>
      <c r="Y704" s="345"/>
      <c r="Z704" s="345"/>
    </row>
    <row r="705">
      <c r="A705" s="345"/>
      <c r="B705" s="369"/>
      <c r="C705" s="345"/>
      <c r="D705" s="345"/>
      <c r="E705" s="345"/>
      <c r="F705" s="345"/>
      <c r="G705" s="345"/>
      <c r="H705" s="345"/>
      <c r="I705" s="345"/>
      <c r="J705" s="345"/>
      <c r="K705" s="345"/>
      <c r="L705" s="345"/>
      <c r="M705" s="345"/>
      <c r="N705" s="345"/>
      <c r="O705" s="345"/>
      <c r="P705" s="345"/>
      <c r="Q705" s="345"/>
      <c r="R705" s="345"/>
      <c r="S705" s="345"/>
      <c r="T705" s="345"/>
      <c r="U705" s="345"/>
      <c r="V705" s="345"/>
      <c r="W705" s="345"/>
      <c r="X705" s="345"/>
      <c r="Y705" s="345"/>
      <c r="Z705" s="345"/>
    </row>
    <row r="706">
      <c r="A706" s="345"/>
      <c r="B706" s="369"/>
      <c r="C706" s="345"/>
      <c r="D706" s="345"/>
      <c r="E706" s="345"/>
      <c r="F706" s="345"/>
      <c r="G706" s="345"/>
      <c r="H706" s="345"/>
      <c r="I706" s="345"/>
      <c r="J706" s="345"/>
      <c r="K706" s="345"/>
      <c r="L706" s="345"/>
      <c r="M706" s="345"/>
      <c r="N706" s="345"/>
      <c r="O706" s="345"/>
      <c r="P706" s="345"/>
      <c r="Q706" s="345"/>
      <c r="R706" s="345"/>
      <c r="S706" s="345"/>
      <c r="T706" s="345"/>
      <c r="U706" s="345"/>
      <c r="V706" s="345"/>
      <c r="W706" s="345"/>
      <c r="X706" s="345"/>
      <c r="Y706" s="345"/>
      <c r="Z706" s="345"/>
    </row>
    <row r="707">
      <c r="A707" s="345"/>
      <c r="B707" s="369"/>
      <c r="C707" s="345"/>
      <c r="D707" s="345"/>
      <c r="E707" s="345"/>
      <c r="F707" s="345"/>
      <c r="G707" s="345"/>
      <c r="H707" s="345"/>
      <c r="I707" s="345"/>
      <c r="J707" s="345"/>
      <c r="K707" s="345"/>
      <c r="L707" s="345"/>
      <c r="M707" s="345"/>
      <c r="N707" s="345"/>
      <c r="O707" s="345"/>
      <c r="P707" s="345"/>
      <c r="Q707" s="345"/>
      <c r="R707" s="345"/>
      <c r="S707" s="345"/>
      <c r="T707" s="345"/>
      <c r="U707" s="345"/>
      <c r="V707" s="345"/>
      <c r="W707" s="345"/>
      <c r="X707" s="345"/>
      <c r="Y707" s="345"/>
      <c r="Z707" s="345"/>
    </row>
    <row r="708">
      <c r="A708" s="345"/>
      <c r="B708" s="369"/>
      <c r="C708" s="345"/>
      <c r="D708" s="345"/>
      <c r="E708" s="345"/>
      <c r="F708" s="345"/>
      <c r="G708" s="345"/>
      <c r="H708" s="345"/>
      <c r="I708" s="345"/>
      <c r="J708" s="345"/>
      <c r="K708" s="345"/>
      <c r="L708" s="345"/>
      <c r="M708" s="345"/>
      <c r="N708" s="345"/>
      <c r="O708" s="345"/>
      <c r="P708" s="345"/>
      <c r="Q708" s="345"/>
      <c r="R708" s="345"/>
      <c r="S708" s="345"/>
      <c r="T708" s="345"/>
      <c r="U708" s="345"/>
      <c r="V708" s="345"/>
      <c r="W708" s="345"/>
      <c r="X708" s="345"/>
      <c r="Y708" s="345"/>
      <c r="Z708" s="345"/>
    </row>
    <row r="709">
      <c r="A709" s="345"/>
      <c r="B709" s="369"/>
      <c r="C709" s="345"/>
      <c r="D709" s="345"/>
      <c r="E709" s="345"/>
      <c r="F709" s="345"/>
      <c r="G709" s="345"/>
      <c r="H709" s="345"/>
      <c r="I709" s="345"/>
      <c r="J709" s="345"/>
      <c r="K709" s="345"/>
      <c r="L709" s="345"/>
      <c r="M709" s="345"/>
      <c r="N709" s="345"/>
      <c r="O709" s="345"/>
      <c r="P709" s="345"/>
      <c r="Q709" s="345"/>
      <c r="R709" s="345"/>
      <c r="S709" s="345"/>
      <c r="T709" s="345"/>
      <c r="U709" s="345"/>
      <c r="V709" s="345"/>
      <c r="W709" s="345"/>
      <c r="X709" s="345"/>
      <c r="Y709" s="345"/>
      <c r="Z709" s="345"/>
    </row>
    <row r="710">
      <c r="A710" s="345"/>
      <c r="B710" s="369"/>
      <c r="C710" s="345"/>
      <c r="D710" s="345"/>
      <c r="E710" s="345"/>
      <c r="F710" s="345"/>
      <c r="G710" s="345"/>
      <c r="H710" s="345"/>
      <c r="I710" s="345"/>
      <c r="J710" s="345"/>
      <c r="K710" s="345"/>
      <c r="L710" s="345"/>
      <c r="M710" s="345"/>
      <c r="N710" s="345"/>
      <c r="O710" s="345"/>
      <c r="P710" s="345"/>
      <c r="Q710" s="345"/>
      <c r="R710" s="345"/>
      <c r="S710" s="345"/>
      <c r="T710" s="345"/>
      <c r="U710" s="345"/>
      <c r="V710" s="345"/>
      <c r="W710" s="345"/>
      <c r="X710" s="345"/>
      <c r="Y710" s="345"/>
      <c r="Z710" s="345"/>
    </row>
    <row r="711">
      <c r="A711" s="345"/>
      <c r="B711" s="369"/>
      <c r="C711" s="345"/>
      <c r="D711" s="345"/>
      <c r="E711" s="345"/>
      <c r="F711" s="345"/>
      <c r="G711" s="345"/>
      <c r="H711" s="345"/>
      <c r="I711" s="345"/>
      <c r="J711" s="345"/>
      <c r="K711" s="345"/>
      <c r="L711" s="345"/>
      <c r="M711" s="345"/>
      <c r="N711" s="345"/>
      <c r="O711" s="345"/>
      <c r="P711" s="345"/>
      <c r="Q711" s="345"/>
      <c r="R711" s="345"/>
      <c r="S711" s="345"/>
      <c r="T711" s="345"/>
      <c r="U711" s="345"/>
      <c r="V711" s="345"/>
      <c r="W711" s="345"/>
      <c r="X711" s="345"/>
      <c r="Y711" s="345"/>
      <c r="Z711" s="345"/>
    </row>
    <row r="712">
      <c r="A712" s="345"/>
      <c r="B712" s="369"/>
      <c r="C712" s="345"/>
      <c r="D712" s="345"/>
      <c r="E712" s="345"/>
      <c r="F712" s="345"/>
      <c r="G712" s="345"/>
      <c r="H712" s="345"/>
      <c r="I712" s="345"/>
      <c r="J712" s="345"/>
      <c r="K712" s="345"/>
      <c r="L712" s="345"/>
      <c r="M712" s="345"/>
      <c r="N712" s="345"/>
      <c r="O712" s="345"/>
      <c r="P712" s="345"/>
      <c r="Q712" s="345"/>
      <c r="R712" s="345"/>
      <c r="S712" s="345"/>
      <c r="T712" s="345"/>
      <c r="U712" s="345"/>
      <c r="V712" s="345"/>
      <c r="W712" s="345"/>
      <c r="X712" s="345"/>
      <c r="Y712" s="345"/>
      <c r="Z712" s="345"/>
    </row>
    <row r="713">
      <c r="A713" s="345"/>
      <c r="B713" s="369"/>
      <c r="C713" s="345"/>
      <c r="D713" s="345"/>
      <c r="E713" s="345"/>
      <c r="F713" s="345"/>
      <c r="G713" s="345"/>
      <c r="H713" s="345"/>
      <c r="I713" s="345"/>
      <c r="J713" s="345"/>
      <c r="K713" s="345"/>
      <c r="L713" s="345"/>
      <c r="M713" s="345"/>
      <c r="N713" s="345"/>
      <c r="O713" s="345"/>
      <c r="P713" s="345"/>
      <c r="Q713" s="345"/>
      <c r="R713" s="345"/>
      <c r="S713" s="345"/>
      <c r="T713" s="345"/>
      <c r="U713" s="345"/>
      <c r="V713" s="345"/>
      <c r="W713" s="345"/>
      <c r="X713" s="345"/>
      <c r="Y713" s="345"/>
      <c r="Z713" s="345"/>
    </row>
    <row r="714">
      <c r="A714" s="345"/>
      <c r="B714" s="369"/>
      <c r="C714" s="345"/>
      <c r="D714" s="345"/>
      <c r="E714" s="345"/>
      <c r="F714" s="345"/>
      <c r="G714" s="345"/>
      <c r="H714" s="345"/>
      <c r="I714" s="345"/>
      <c r="J714" s="345"/>
      <c r="K714" s="345"/>
      <c r="L714" s="345"/>
      <c r="M714" s="345"/>
      <c r="N714" s="345"/>
      <c r="O714" s="345"/>
      <c r="P714" s="345"/>
      <c r="Q714" s="345"/>
      <c r="R714" s="345"/>
      <c r="S714" s="345"/>
      <c r="T714" s="345"/>
      <c r="U714" s="345"/>
      <c r="V714" s="345"/>
      <c r="W714" s="345"/>
      <c r="X714" s="345"/>
      <c r="Y714" s="345"/>
      <c r="Z714" s="345"/>
    </row>
    <row r="715">
      <c r="A715" s="345"/>
      <c r="B715" s="369"/>
      <c r="C715" s="345"/>
      <c r="D715" s="345"/>
      <c r="E715" s="345"/>
      <c r="F715" s="345"/>
      <c r="G715" s="345"/>
      <c r="H715" s="345"/>
      <c r="I715" s="345"/>
      <c r="J715" s="345"/>
      <c r="K715" s="345"/>
      <c r="L715" s="345"/>
      <c r="M715" s="345"/>
      <c r="N715" s="345"/>
      <c r="O715" s="345"/>
      <c r="P715" s="345"/>
      <c r="Q715" s="345"/>
      <c r="R715" s="345"/>
      <c r="S715" s="345"/>
      <c r="T715" s="345"/>
      <c r="U715" s="345"/>
      <c r="V715" s="345"/>
      <c r="W715" s="345"/>
      <c r="X715" s="345"/>
      <c r="Y715" s="345"/>
      <c r="Z715" s="345"/>
    </row>
    <row r="716">
      <c r="A716" s="345"/>
      <c r="B716" s="369"/>
      <c r="C716" s="345"/>
      <c r="D716" s="345"/>
      <c r="E716" s="345"/>
      <c r="F716" s="345"/>
      <c r="G716" s="345"/>
      <c r="H716" s="345"/>
      <c r="I716" s="345"/>
      <c r="J716" s="345"/>
      <c r="K716" s="345"/>
      <c r="L716" s="345"/>
      <c r="M716" s="345"/>
      <c r="N716" s="345"/>
      <c r="O716" s="345"/>
      <c r="P716" s="345"/>
      <c r="Q716" s="345"/>
      <c r="R716" s="345"/>
      <c r="S716" s="345"/>
      <c r="T716" s="345"/>
      <c r="U716" s="345"/>
      <c r="V716" s="345"/>
      <c r="W716" s="345"/>
      <c r="X716" s="345"/>
      <c r="Y716" s="345"/>
      <c r="Z716" s="345"/>
    </row>
    <row r="717">
      <c r="A717" s="345"/>
      <c r="B717" s="369"/>
      <c r="C717" s="345"/>
      <c r="D717" s="345"/>
      <c r="E717" s="345"/>
      <c r="F717" s="345"/>
      <c r="G717" s="345"/>
      <c r="H717" s="345"/>
      <c r="I717" s="345"/>
      <c r="J717" s="345"/>
      <c r="K717" s="345"/>
      <c r="L717" s="345"/>
      <c r="M717" s="345"/>
      <c r="N717" s="345"/>
      <c r="O717" s="345"/>
      <c r="P717" s="345"/>
      <c r="Q717" s="345"/>
      <c r="R717" s="345"/>
      <c r="S717" s="345"/>
      <c r="T717" s="345"/>
      <c r="U717" s="345"/>
      <c r="V717" s="345"/>
      <c r="W717" s="345"/>
      <c r="X717" s="345"/>
      <c r="Y717" s="345"/>
      <c r="Z717" s="345"/>
    </row>
    <row r="718">
      <c r="A718" s="345"/>
      <c r="B718" s="369"/>
      <c r="C718" s="345"/>
      <c r="D718" s="345"/>
      <c r="E718" s="345"/>
      <c r="F718" s="345"/>
      <c r="G718" s="345"/>
      <c r="H718" s="345"/>
      <c r="I718" s="345"/>
      <c r="J718" s="345"/>
      <c r="K718" s="345"/>
      <c r="L718" s="345"/>
      <c r="M718" s="345"/>
      <c r="N718" s="345"/>
      <c r="O718" s="345"/>
      <c r="P718" s="345"/>
      <c r="Q718" s="345"/>
      <c r="R718" s="345"/>
      <c r="S718" s="345"/>
      <c r="T718" s="345"/>
      <c r="U718" s="345"/>
      <c r="V718" s="345"/>
      <c r="W718" s="345"/>
      <c r="X718" s="345"/>
      <c r="Y718" s="345"/>
      <c r="Z718" s="345"/>
    </row>
    <row r="719">
      <c r="A719" s="345"/>
      <c r="B719" s="369"/>
      <c r="C719" s="345"/>
      <c r="D719" s="345"/>
      <c r="E719" s="345"/>
      <c r="F719" s="345"/>
      <c r="G719" s="345"/>
      <c r="H719" s="345"/>
      <c r="I719" s="345"/>
      <c r="J719" s="345"/>
      <c r="K719" s="345"/>
      <c r="L719" s="345"/>
      <c r="M719" s="345"/>
      <c r="N719" s="345"/>
      <c r="O719" s="345"/>
      <c r="P719" s="345"/>
      <c r="Q719" s="345"/>
      <c r="R719" s="345"/>
      <c r="S719" s="345"/>
      <c r="T719" s="345"/>
      <c r="U719" s="345"/>
      <c r="V719" s="345"/>
      <c r="W719" s="345"/>
      <c r="X719" s="345"/>
      <c r="Y719" s="345"/>
      <c r="Z719" s="345"/>
    </row>
    <row r="720">
      <c r="A720" s="345"/>
      <c r="B720" s="369"/>
      <c r="C720" s="345"/>
      <c r="D720" s="345"/>
      <c r="E720" s="345"/>
      <c r="F720" s="345"/>
      <c r="G720" s="345"/>
      <c r="H720" s="345"/>
      <c r="I720" s="345"/>
      <c r="J720" s="345"/>
      <c r="K720" s="345"/>
      <c r="L720" s="345"/>
      <c r="M720" s="345"/>
      <c r="N720" s="345"/>
      <c r="O720" s="345"/>
      <c r="P720" s="345"/>
      <c r="Q720" s="345"/>
      <c r="R720" s="345"/>
      <c r="S720" s="345"/>
      <c r="T720" s="345"/>
      <c r="U720" s="345"/>
      <c r="V720" s="345"/>
      <c r="W720" s="345"/>
      <c r="X720" s="345"/>
      <c r="Y720" s="345"/>
      <c r="Z720" s="345"/>
    </row>
    <row r="721">
      <c r="A721" s="345"/>
      <c r="B721" s="369"/>
      <c r="C721" s="345"/>
      <c r="D721" s="345"/>
      <c r="E721" s="345"/>
      <c r="F721" s="345"/>
      <c r="G721" s="345"/>
      <c r="H721" s="345"/>
      <c r="I721" s="345"/>
      <c r="J721" s="345"/>
      <c r="K721" s="345"/>
      <c r="L721" s="345"/>
      <c r="M721" s="345"/>
      <c r="N721" s="345"/>
      <c r="O721" s="345"/>
      <c r="P721" s="345"/>
      <c r="Q721" s="345"/>
      <c r="R721" s="345"/>
      <c r="S721" s="345"/>
      <c r="T721" s="345"/>
      <c r="U721" s="345"/>
      <c r="V721" s="345"/>
      <c r="W721" s="345"/>
      <c r="X721" s="345"/>
      <c r="Y721" s="345"/>
      <c r="Z721" s="345"/>
    </row>
    <row r="722">
      <c r="A722" s="345"/>
      <c r="B722" s="369"/>
      <c r="C722" s="345"/>
      <c r="D722" s="345"/>
      <c r="E722" s="345"/>
      <c r="F722" s="345"/>
      <c r="G722" s="345"/>
      <c r="H722" s="345"/>
      <c r="I722" s="345"/>
      <c r="J722" s="345"/>
      <c r="K722" s="345"/>
      <c r="L722" s="345"/>
      <c r="M722" s="345"/>
      <c r="N722" s="345"/>
      <c r="O722" s="345"/>
      <c r="P722" s="345"/>
      <c r="Q722" s="345"/>
      <c r="R722" s="345"/>
      <c r="S722" s="345"/>
      <c r="T722" s="345"/>
      <c r="U722" s="345"/>
      <c r="V722" s="345"/>
      <c r="W722" s="345"/>
      <c r="X722" s="345"/>
      <c r="Y722" s="345"/>
      <c r="Z722" s="345"/>
    </row>
    <row r="723">
      <c r="A723" s="345"/>
      <c r="B723" s="369"/>
      <c r="C723" s="345"/>
      <c r="D723" s="345"/>
      <c r="E723" s="345"/>
      <c r="F723" s="345"/>
      <c r="G723" s="345"/>
      <c r="H723" s="345"/>
      <c r="I723" s="345"/>
      <c r="J723" s="345"/>
      <c r="K723" s="345"/>
      <c r="L723" s="345"/>
      <c r="M723" s="345"/>
      <c r="N723" s="345"/>
      <c r="O723" s="345"/>
      <c r="P723" s="345"/>
      <c r="Q723" s="345"/>
      <c r="R723" s="345"/>
      <c r="S723" s="345"/>
      <c r="T723" s="345"/>
      <c r="U723" s="345"/>
      <c r="V723" s="345"/>
      <c r="W723" s="345"/>
      <c r="X723" s="345"/>
      <c r="Y723" s="345"/>
      <c r="Z723" s="345"/>
    </row>
    <row r="724">
      <c r="A724" s="345"/>
      <c r="B724" s="369"/>
      <c r="C724" s="345"/>
      <c r="D724" s="345"/>
      <c r="E724" s="345"/>
      <c r="F724" s="345"/>
      <c r="G724" s="345"/>
      <c r="H724" s="345"/>
      <c r="I724" s="345"/>
      <c r="J724" s="345"/>
      <c r="K724" s="345"/>
      <c r="L724" s="345"/>
      <c r="M724" s="345"/>
      <c r="N724" s="345"/>
      <c r="O724" s="345"/>
      <c r="P724" s="345"/>
      <c r="Q724" s="345"/>
      <c r="R724" s="345"/>
      <c r="S724" s="345"/>
      <c r="T724" s="345"/>
      <c r="U724" s="345"/>
      <c r="V724" s="345"/>
      <c r="W724" s="345"/>
      <c r="X724" s="345"/>
      <c r="Y724" s="345"/>
      <c r="Z724" s="345"/>
    </row>
    <row r="725">
      <c r="A725" s="345"/>
      <c r="B725" s="369"/>
      <c r="C725" s="345"/>
      <c r="D725" s="345"/>
      <c r="E725" s="345"/>
      <c r="F725" s="345"/>
      <c r="G725" s="345"/>
      <c r="H725" s="345"/>
      <c r="I725" s="345"/>
      <c r="J725" s="345"/>
      <c r="K725" s="345"/>
      <c r="L725" s="345"/>
      <c r="M725" s="345"/>
      <c r="N725" s="345"/>
      <c r="O725" s="345"/>
      <c r="P725" s="345"/>
      <c r="Q725" s="345"/>
      <c r="R725" s="345"/>
      <c r="S725" s="345"/>
      <c r="T725" s="345"/>
      <c r="U725" s="345"/>
      <c r="V725" s="345"/>
      <c r="W725" s="345"/>
      <c r="X725" s="345"/>
      <c r="Y725" s="345"/>
      <c r="Z725" s="345"/>
    </row>
    <row r="726">
      <c r="A726" s="345"/>
      <c r="B726" s="369"/>
      <c r="C726" s="345"/>
      <c r="D726" s="345"/>
      <c r="E726" s="345"/>
      <c r="F726" s="345"/>
      <c r="G726" s="345"/>
      <c r="H726" s="345"/>
      <c r="I726" s="345"/>
      <c r="J726" s="345"/>
      <c r="K726" s="345"/>
      <c r="L726" s="345"/>
      <c r="M726" s="345"/>
      <c r="N726" s="345"/>
      <c r="O726" s="345"/>
      <c r="P726" s="345"/>
      <c r="Q726" s="345"/>
      <c r="R726" s="345"/>
      <c r="S726" s="345"/>
      <c r="T726" s="345"/>
      <c r="U726" s="345"/>
      <c r="V726" s="345"/>
      <c r="W726" s="345"/>
      <c r="X726" s="345"/>
      <c r="Y726" s="345"/>
      <c r="Z726" s="345"/>
    </row>
    <row r="727">
      <c r="A727" s="345"/>
      <c r="B727" s="369"/>
      <c r="C727" s="345"/>
      <c r="D727" s="345"/>
      <c r="E727" s="345"/>
      <c r="F727" s="345"/>
      <c r="G727" s="345"/>
      <c r="H727" s="345"/>
      <c r="I727" s="345"/>
      <c r="J727" s="345"/>
      <c r="K727" s="345"/>
      <c r="L727" s="345"/>
      <c r="M727" s="345"/>
      <c r="N727" s="345"/>
      <c r="O727" s="345"/>
      <c r="P727" s="345"/>
      <c r="Q727" s="345"/>
      <c r="R727" s="345"/>
      <c r="S727" s="345"/>
      <c r="T727" s="345"/>
      <c r="U727" s="345"/>
      <c r="V727" s="345"/>
      <c r="W727" s="345"/>
      <c r="X727" s="345"/>
      <c r="Y727" s="345"/>
      <c r="Z727" s="345"/>
    </row>
    <row r="728">
      <c r="A728" s="345"/>
      <c r="B728" s="369"/>
      <c r="C728" s="345"/>
      <c r="D728" s="345"/>
      <c r="E728" s="345"/>
      <c r="F728" s="345"/>
      <c r="G728" s="345"/>
      <c r="H728" s="345"/>
      <c r="I728" s="345"/>
      <c r="J728" s="345"/>
      <c r="K728" s="345"/>
      <c r="L728" s="345"/>
      <c r="M728" s="345"/>
      <c r="N728" s="345"/>
      <c r="O728" s="345"/>
      <c r="P728" s="345"/>
      <c r="Q728" s="345"/>
      <c r="R728" s="345"/>
      <c r="S728" s="345"/>
      <c r="T728" s="345"/>
      <c r="U728" s="345"/>
      <c r="V728" s="345"/>
      <c r="W728" s="345"/>
      <c r="X728" s="345"/>
      <c r="Y728" s="345"/>
      <c r="Z728" s="345"/>
    </row>
    <row r="729">
      <c r="A729" s="345"/>
      <c r="B729" s="369"/>
      <c r="C729" s="345"/>
      <c r="D729" s="345"/>
      <c r="E729" s="345"/>
      <c r="F729" s="345"/>
      <c r="G729" s="345"/>
      <c r="H729" s="345"/>
      <c r="I729" s="345"/>
      <c r="J729" s="345"/>
      <c r="K729" s="345"/>
      <c r="L729" s="345"/>
      <c r="M729" s="345"/>
      <c r="N729" s="345"/>
      <c r="O729" s="345"/>
      <c r="P729" s="345"/>
      <c r="Q729" s="345"/>
      <c r="R729" s="345"/>
      <c r="S729" s="345"/>
      <c r="T729" s="345"/>
      <c r="U729" s="345"/>
      <c r="V729" s="345"/>
      <c r="W729" s="345"/>
      <c r="X729" s="345"/>
      <c r="Y729" s="345"/>
      <c r="Z729" s="345"/>
    </row>
    <row r="730">
      <c r="A730" s="345"/>
      <c r="B730" s="369"/>
      <c r="C730" s="345"/>
      <c r="D730" s="345"/>
      <c r="E730" s="345"/>
      <c r="F730" s="345"/>
      <c r="G730" s="345"/>
      <c r="H730" s="345"/>
      <c r="I730" s="345"/>
      <c r="J730" s="345"/>
      <c r="K730" s="345"/>
      <c r="L730" s="345"/>
      <c r="M730" s="345"/>
      <c r="N730" s="345"/>
      <c r="O730" s="345"/>
      <c r="P730" s="345"/>
      <c r="Q730" s="345"/>
      <c r="R730" s="345"/>
      <c r="S730" s="345"/>
      <c r="T730" s="345"/>
      <c r="U730" s="345"/>
      <c r="V730" s="345"/>
      <c r="W730" s="345"/>
      <c r="X730" s="345"/>
      <c r="Y730" s="345"/>
      <c r="Z730" s="345"/>
    </row>
    <row r="731">
      <c r="A731" s="345"/>
      <c r="B731" s="369"/>
      <c r="C731" s="345"/>
      <c r="D731" s="345"/>
      <c r="E731" s="345"/>
      <c r="F731" s="345"/>
      <c r="G731" s="345"/>
      <c r="H731" s="345"/>
      <c r="I731" s="345"/>
      <c r="J731" s="345"/>
      <c r="K731" s="345"/>
      <c r="L731" s="345"/>
      <c r="M731" s="345"/>
      <c r="N731" s="345"/>
      <c r="O731" s="345"/>
      <c r="P731" s="345"/>
      <c r="Q731" s="345"/>
      <c r="R731" s="345"/>
      <c r="S731" s="345"/>
      <c r="T731" s="345"/>
      <c r="U731" s="345"/>
      <c r="V731" s="345"/>
      <c r="W731" s="345"/>
      <c r="X731" s="345"/>
      <c r="Y731" s="345"/>
      <c r="Z731" s="345"/>
    </row>
    <row r="732">
      <c r="A732" s="345"/>
      <c r="B732" s="369"/>
      <c r="C732" s="345"/>
      <c r="D732" s="345"/>
      <c r="E732" s="345"/>
      <c r="F732" s="345"/>
      <c r="G732" s="345"/>
      <c r="H732" s="345"/>
      <c r="I732" s="345"/>
      <c r="J732" s="345"/>
      <c r="K732" s="345"/>
      <c r="L732" s="345"/>
      <c r="M732" s="345"/>
      <c r="N732" s="345"/>
      <c r="O732" s="345"/>
      <c r="P732" s="345"/>
      <c r="Q732" s="345"/>
      <c r="R732" s="345"/>
      <c r="S732" s="345"/>
      <c r="T732" s="345"/>
      <c r="U732" s="345"/>
      <c r="V732" s="345"/>
      <c r="W732" s="345"/>
      <c r="X732" s="345"/>
      <c r="Y732" s="345"/>
      <c r="Z732" s="345"/>
    </row>
    <row r="733">
      <c r="A733" s="345"/>
      <c r="B733" s="369"/>
      <c r="C733" s="345"/>
      <c r="D733" s="345"/>
      <c r="E733" s="345"/>
      <c r="F733" s="345"/>
      <c r="G733" s="345"/>
      <c r="H733" s="345"/>
      <c r="I733" s="345"/>
      <c r="J733" s="345"/>
      <c r="K733" s="345"/>
      <c r="L733" s="345"/>
      <c r="M733" s="345"/>
      <c r="N733" s="345"/>
      <c r="O733" s="345"/>
      <c r="P733" s="345"/>
      <c r="Q733" s="345"/>
      <c r="R733" s="345"/>
      <c r="S733" s="345"/>
      <c r="T733" s="345"/>
      <c r="U733" s="345"/>
      <c r="V733" s="345"/>
      <c r="W733" s="345"/>
      <c r="X733" s="345"/>
      <c r="Y733" s="345"/>
      <c r="Z733" s="345"/>
    </row>
    <row r="734">
      <c r="A734" s="345"/>
      <c r="B734" s="369"/>
      <c r="C734" s="345"/>
      <c r="D734" s="345"/>
      <c r="E734" s="345"/>
      <c r="F734" s="345"/>
      <c r="G734" s="345"/>
      <c r="H734" s="345"/>
      <c r="I734" s="345"/>
      <c r="J734" s="345"/>
      <c r="K734" s="345"/>
      <c r="L734" s="345"/>
      <c r="M734" s="345"/>
      <c r="N734" s="345"/>
      <c r="O734" s="345"/>
      <c r="P734" s="345"/>
      <c r="Q734" s="345"/>
      <c r="R734" s="345"/>
      <c r="S734" s="345"/>
      <c r="T734" s="345"/>
      <c r="U734" s="345"/>
      <c r="V734" s="345"/>
      <c r="W734" s="345"/>
      <c r="X734" s="345"/>
      <c r="Y734" s="345"/>
      <c r="Z734" s="345"/>
    </row>
    <row r="735">
      <c r="A735" s="345"/>
      <c r="B735" s="369"/>
      <c r="C735" s="345"/>
      <c r="D735" s="345"/>
      <c r="E735" s="345"/>
      <c r="F735" s="345"/>
      <c r="G735" s="345"/>
      <c r="H735" s="345"/>
      <c r="I735" s="345"/>
      <c r="J735" s="345"/>
      <c r="K735" s="345"/>
      <c r="L735" s="345"/>
      <c r="M735" s="345"/>
      <c r="N735" s="345"/>
      <c r="O735" s="345"/>
      <c r="P735" s="345"/>
      <c r="Q735" s="345"/>
      <c r="R735" s="345"/>
      <c r="S735" s="345"/>
      <c r="T735" s="345"/>
      <c r="U735" s="345"/>
      <c r="V735" s="345"/>
      <c r="W735" s="345"/>
      <c r="X735" s="345"/>
      <c r="Y735" s="345"/>
      <c r="Z735" s="345"/>
    </row>
    <row r="736">
      <c r="A736" s="345"/>
      <c r="B736" s="369"/>
      <c r="C736" s="345"/>
      <c r="D736" s="345"/>
      <c r="E736" s="345"/>
      <c r="F736" s="345"/>
      <c r="G736" s="345"/>
      <c r="H736" s="345"/>
      <c r="I736" s="345"/>
      <c r="J736" s="345"/>
      <c r="K736" s="345"/>
      <c r="L736" s="345"/>
      <c r="M736" s="345"/>
      <c r="N736" s="345"/>
      <c r="O736" s="345"/>
      <c r="P736" s="345"/>
      <c r="Q736" s="345"/>
      <c r="R736" s="345"/>
      <c r="S736" s="345"/>
      <c r="T736" s="345"/>
      <c r="U736" s="345"/>
      <c r="V736" s="345"/>
      <c r="W736" s="345"/>
      <c r="X736" s="345"/>
      <c r="Y736" s="345"/>
      <c r="Z736" s="345"/>
    </row>
    <row r="737">
      <c r="A737" s="345"/>
      <c r="B737" s="369"/>
      <c r="C737" s="345"/>
      <c r="D737" s="345"/>
      <c r="E737" s="345"/>
      <c r="F737" s="345"/>
      <c r="G737" s="345"/>
      <c r="H737" s="345"/>
      <c r="I737" s="345"/>
      <c r="J737" s="345"/>
      <c r="K737" s="345"/>
      <c r="L737" s="345"/>
      <c r="M737" s="345"/>
      <c r="N737" s="345"/>
      <c r="O737" s="345"/>
      <c r="P737" s="345"/>
      <c r="Q737" s="345"/>
      <c r="R737" s="345"/>
      <c r="S737" s="345"/>
      <c r="T737" s="345"/>
      <c r="U737" s="345"/>
      <c r="V737" s="345"/>
      <c r="W737" s="345"/>
      <c r="X737" s="345"/>
      <c r="Y737" s="345"/>
      <c r="Z737" s="345"/>
    </row>
    <row r="738">
      <c r="A738" s="345"/>
      <c r="B738" s="369"/>
      <c r="C738" s="345"/>
      <c r="D738" s="345"/>
      <c r="E738" s="345"/>
      <c r="F738" s="345"/>
      <c r="G738" s="345"/>
      <c r="H738" s="345"/>
      <c r="I738" s="345"/>
      <c r="J738" s="345"/>
      <c r="K738" s="345"/>
      <c r="L738" s="345"/>
      <c r="M738" s="345"/>
      <c r="N738" s="345"/>
      <c r="O738" s="345"/>
      <c r="P738" s="345"/>
      <c r="Q738" s="345"/>
      <c r="R738" s="345"/>
      <c r="S738" s="345"/>
      <c r="T738" s="345"/>
      <c r="U738" s="345"/>
      <c r="V738" s="345"/>
      <c r="W738" s="345"/>
      <c r="X738" s="345"/>
      <c r="Y738" s="345"/>
      <c r="Z738" s="345"/>
    </row>
    <row r="739">
      <c r="A739" s="345"/>
      <c r="B739" s="369"/>
      <c r="C739" s="345"/>
      <c r="D739" s="345"/>
      <c r="E739" s="345"/>
      <c r="F739" s="345"/>
      <c r="G739" s="345"/>
      <c r="H739" s="345"/>
      <c r="I739" s="345"/>
      <c r="J739" s="345"/>
      <c r="K739" s="345"/>
      <c r="L739" s="345"/>
      <c r="M739" s="345"/>
      <c r="N739" s="345"/>
      <c r="O739" s="345"/>
      <c r="P739" s="345"/>
      <c r="Q739" s="345"/>
      <c r="R739" s="345"/>
      <c r="S739" s="345"/>
      <c r="T739" s="345"/>
      <c r="U739" s="345"/>
      <c r="V739" s="345"/>
      <c r="W739" s="345"/>
      <c r="X739" s="345"/>
      <c r="Y739" s="345"/>
      <c r="Z739" s="345"/>
    </row>
    <row r="740">
      <c r="A740" s="345"/>
      <c r="B740" s="369"/>
      <c r="C740" s="345"/>
      <c r="D740" s="345"/>
      <c r="E740" s="345"/>
      <c r="F740" s="345"/>
      <c r="G740" s="345"/>
      <c r="H740" s="345"/>
      <c r="I740" s="345"/>
      <c r="J740" s="345"/>
      <c r="K740" s="345"/>
      <c r="L740" s="345"/>
      <c r="M740" s="345"/>
      <c r="N740" s="345"/>
      <c r="O740" s="345"/>
      <c r="P740" s="345"/>
      <c r="Q740" s="345"/>
      <c r="R740" s="345"/>
      <c r="S740" s="345"/>
      <c r="T740" s="345"/>
      <c r="U740" s="345"/>
      <c r="V740" s="345"/>
      <c r="W740" s="345"/>
      <c r="X740" s="345"/>
      <c r="Y740" s="345"/>
      <c r="Z740" s="345"/>
    </row>
    <row r="741">
      <c r="A741" s="345"/>
      <c r="B741" s="369"/>
      <c r="C741" s="345"/>
      <c r="D741" s="345"/>
      <c r="E741" s="345"/>
      <c r="F741" s="345"/>
      <c r="G741" s="345"/>
      <c r="H741" s="345"/>
      <c r="I741" s="345"/>
      <c r="J741" s="345"/>
      <c r="K741" s="345"/>
      <c r="L741" s="345"/>
      <c r="M741" s="345"/>
      <c r="N741" s="345"/>
      <c r="O741" s="345"/>
      <c r="P741" s="345"/>
      <c r="Q741" s="345"/>
      <c r="R741" s="345"/>
      <c r="S741" s="345"/>
      <c r="T741" s="345"/>
      <c r="U741" s="345"/>
      <c r="V741" s="345"/>
      <c r="W741" s="345"/>
      <c r="X741" s="345"/>
      <c r="Y741" s="345"/>
      <c r="Z741" s="345"/>
    </row>
    <row r="742">
      <c r="A742" s="345"/>
      <c r="B742" s="369"/>
      <c r="C742" s="345"/>
      <c r="D742" s="345"/>
      <c r="E742" s="345"/>
      <c r="F742" s="345"/>
      <c r="G742" s="345"/>
      <c r="H742" s="345"/>
      <c r="I742" s="345"/>
      <c r="J742" s="345"/>
      <c r="K742" s="345"/>
      <c r="L742" s="345"/>
      <c r="M742" s="345"/>
      <c r="N742" s="345"/>
      <c r="O742" s="345"/>
      <c r="P742" s="345"/>
      <c r="Q742" s="345"/>
      <c r="R742" s="345"/>
      <c r="S742" s="345"/>
      <c r="T742" s="345"/>
      <c r="U742" s="345"/>
      <c r="V742" s="345"/>
      <c r="W742" s="345"/>
      <c r="X742" s="345"/>
      <c r="Y742" s="345"/>
      <c r="Z742" s="345"/>
    </row>
    <row r="743">
      <c r="A743" s="345"/>
      <c r="B743" s="369"/>
      <c r="C743" s="345"/>
      <c r="D743" s="345"/>
      <c r="E743" s="345"/>
      <c r="F743" s="345"/>
      <c r="G743" s="345"/>
      <c r="H743" s="345"/>
      <c r="I743" s="345"/>
      <c r="J743" s="345"/>
      <c r="K743" s="345"/>
      <c r="L743" s="345"/>
      <c r="M743" s="345"/>
      <c r="N743" s="345"/>
      <c r="O743" s="345"/>
      <c r="P743" s="345"/>
      <c r="Q743" s="345"/>
      <c r="R743" s="345"/>
      <c r="S743" s="345"/>
      <c r="T743" s="345"/>
      <c r="U743" s="345"/>
      <c r="V743" s="345"/>
      <c r="W743" s="345"/>
      <c r="X743" s="345"/>
      <c r="Y743" s="345"/>
      <c r="Z743" s="345"/>
    </row>
    <row r="744">
      <c r="A744" s="345"/>
      <c r="B744" s="369"/>
      <c r="C744" s="345"/>
      <c r="D744" s="345"/>
      <c r="E744" s="345"/>
      <c r="F744" s="345"/>
      <c r="G744" s="345"/>
      <c r="H744" s="345"/>
      <c r="I744" s="345"/>
      <c r="J744" s="345"/>
      <c r="K744" s="345"/>
      <c r="L744" s="345"/>
      <c r="M744" s="345"/>
      <c r="N744" s="345"/>
      <c r="O744" s="345"/>
      <c r="P744" s="345"/>
      <c r="Q744" s="345"/>
      <c r="R744" s="345"/>
      <c r="S744" s="345"/>
      <c r="T744" s="345"/>
      <c r="U744" s="345"/>
      <c r="V744" s="345"/>
      <c r="W744" s="345"/>
      <c r="X744" s="345"/>
      <c r="Y744" s="345"/>
      <c r="Z744" s="345"/>
    </row>
    <row r="745">
      <c r="A745" s="345"/>
      <c r="B745" s="369"/>
      <c r="C745" s="345"/>
      <c r="D745" s="345"/>
      <c r="E745" s="345"/>
      <c r="F745" s="345"/>
      <c r="G745" s="345"/>
      <c r="H745" s="345"/>
      <c r="I745" s="345"/>
      <c r="J745" s="345"/>
      <c r="K745" s="345"/>
      <c r="L745" s="345"/>
      <c r="M745" s="345"/>
      <c r="N745" s="345"/>
      <c r="O745" s="345"/>
      <c r="P745" s="345"/>
      <c r="Q745" s="345"/>
      <c r="R745" s="345"/>
      <c r="S745" s="345"/>
      <c r="T745" s="345"/>
      <c r="U745" s="345"/>
      <c r="V745" s="345"/>
      <c r="W745" s="345"/>
      <c r="X745" s="345"/>
      <c r="Y745" s="345"/>
      <c r="Z745" s="345"/>
    </row>
    <row r="746">
      <c r="A746" s="345"/>
      <c r="B746" s="369"/>
      <c r="C746" s="345"/>
      <c r="D746" s="345"/>
      <c r="E746" s="345"/>
      <c r="F746" s="345"/>
      <c r="G746" s="345"/>
      <c r="H746" s="345"/>
      <c r="I746" s="345"/>
      <c r="J746" s="345"/>
      <c r="K746" s="345"/>
      <c r="L746" s="345"/>
      <c r="M746" s="345"/>
      <c r="N746" s="345"/>
      <c r="O746" s="345"/>
      <c r="P746" s="345"/>
      <c r="Q746" s="345"/>
      <c r="R746" s="345"/>
      <c r="S746" s="345"/>
      <c r="T746" s="345"/>
      <c r="U746" s="345"/>
      <c r="V746" s="345"/>
      <c r="W746" s="345"/>
      <c r="X746" s="345"/>
      <c r="Y746" s="345"/>
      <c r="Z746" s="345"/>
    </row>
    <row r="747">
      <c r="A747" s="345"/>
      <c r="B747" s="369"/>
      <c r="C747" s="345"/>
      <c r="D747" s="345"/>
      <c r="E747" s="345"/>
      <c r="F747" s="345"/>
      <c r="G747" s="345"/>
      <c r="H747" s="345"/>
      <c r="I747" s="345"/>
      <c r="J747" s="345"/>
      <c r="K747" s="345"/>
      <c r="L747" s="345"/>
      <c r="M747" s="345"/>
      <c r="N747" s="345"/>
      <c r="O747" s="345"/>
      <c r="P747" s="345"/>
      <c r="Q747" s="345"/>
      <c r="R747" s="345"/>
      <c r="S747" s="345"/>
      <c r="T747" s="345"/>
      <c r="U747" s="345"/>
      <c r="V747" s="345"/>
      <c r="W747" s="345"/>
      <c r="X747" s="345"/>
      <c r="Y747" s="345"/>
      <c r="Z747" s="345"/>
    </row>
    <row r="748">
      <c r="A748" s="345"/>
      <c r="B748" s="369"/>
      <c r="C748" s="345"/>
      <c r="D748" s="345"/>
      <c r="E748" s="345"/>
      <c r="F748" s="345"/>
      <c r="G748" s="345"/>
      <c r="H748" s="345"/>
      <c r="I748" s="345"/>
      <c r="J748" s="345"/>
      <c r="K748" s="345"/>
      <c r="L748" s="345"/>
      <c r="M748" s="345"/>
      <c r="N748" s="345"/>
      <c r="O748" s="345"/>
      <c r="P748" s="345"/>
      <c r="Q748" s="345"/>
      <c r="R748" s="345"/>
      <c r="S748" s="345"/>
      <c r="T748" s="345"/>
      <c r="U748" s="345"/>
      <c r="V748" s="345"/>
      <c r="W748" s="345"/>
      <c r="X748" s="345"/>
      <c r="Y748" s="345"/>
      <c r="Z748" s="345"/>
    </row>
    <row r="749">
      <c r="A749" s="345"/>
      <c r="B749" s="369"/>
      <c r="C749" s="345"/>
      <c r="D749" s="345"/>
      <c r="E749" s="345"/>
      <c r="F749" s="345"/>
      <c r="G749" s="345"/>
      <c r="H749" s="345"/>
      <c r="I749" s="345"/>
      <c r="J749" s="345"/>
      <c r="K749" s="345"/>
      <c r="L749" s="345"/>
      <c r="M749" s="345"/>
      <c r="N749" s="345"/>
      <c r="O749" s="345"/>
      <c r="P749" s="345"/>
      <c r="Q749" s="345"/>
      <c r="R749" s="345"/>
      <c r="S749" s="345"/>
      <c r="T749" s="345"/>
      <c r="U749" s="345"/>
      <c r="V749" s="345"/>
      <c r="W749" s="345"/>
      <c r="X749" s="345"/>
      <c r="Y749" s="345"/>
      <c r="Z749" s="345"/>
    </row>
    <row r="750">
      <c r="A750" s="345"/>
      <c r="B750" s="369"/>
      <c r="C750" s="345"/>
      <c r="D750" s="345"/>
      <c r="E750" s="345"/>
      <c r="F750" s="345"/>
      <c r="G750" s="345"/>
      <c r="H750" s="345"/>
      <c r="I750" s="345"/>
      <c r="J750" s="345"/>
      <c r="K750" s="345"/>
      <c r="L750" s="345"/>
      <c r="M750" s="345"/>
      <c r="N750" s="345"/>
      <c r="O750" s="345"/>
      <c r="P750" s="345"/>
      <c r="Q750" s="345"/>
      <c r="R750" s="345"/>
      <c r="S750" s="345"/>
      <c r="T750" s="345"/>
      <c r="U750" s="345"/>
      <c r="V750" s="345"/>
      <c r="W750" s="345"/>
      <c r="X750" s="345"/>
      <c r="Y750" s="345"/>
      <c r="Z750" s="345"/>
    </row>
    <row r="751">
      <c r="A751" s="345"/>
      <c r="B751" s="369"/>
      <c r="C751" s="345"/>
      <c r="D751" s="345"/>
      <c r="E751" s="345"/>
      <c r="F751" s="345"/>
      <c r="G751" s="345"/>
      <c r="H751" s="345"/>
      <c r="I751" s="345"/>
      <c r="J751" s="345"/>
      <c r="K751" s="345"/>
      <c r="L751" s="345"/>
      <c r="M751" s="345"/>
      <c r="N751" s="345"/>
      <c r="O751" s="345"/>
      <c r="P751" s="345"/>
      <c r="Q751" s="345"/>
      <c r="R751" s="345"/>
      <c r="S751" s="345"/>
      <c r="T751" s="345"/>
      <c r="U751" s="345"/>
      <c r="V751" s="345"/>
      <c r="W751" s="345"/>
      <c r="X751" s="345"/>
      <c r="Y751" s="345"/>
      <c r="Z751" s="345"/>
    </row>
    <row r="752">
      <c r="A752" s="345"/>
      <c r="B752" s="369"/>
      <c r="C752" s="345"/>
      <c r="D752" s="345"/>
      <c r="E752" s="345"/>
      <c r="F752" s="345"/>
      <c r="G752" s="345"/>
      <c r="H752" s="345"/>
      <c r="I752" s="345"/>
      <c r="J752" s="345"/>
      <c r="K752" s="345"/>
      <c r="L752" s="345"/>
      <c r="M752" s="345"/>
      <c r="N752" s="345"/>
      <c r="O752" s="345"/>
      <c r="P752" s="345"/>
      <c r="Q752" s="345"/>
      <c r="R752" s="345"/>
      <c r="S752" s="345"/>
      <c r="T752" s="345"/>
      <c r="U752" s="345"/>
      <c r="V752" s="345"/>
      <c r="W752" s="345"/>
      <c r="X752" s="345"/>
      <c r="Y752" s="345"/>
      <c r="Z752" s="345"/>
    </row>
    <row r="753">
      <c r="A753" s="345"/>
      <c r="B753" s="369"/>
      <c r="C753" s="345"/>
      <c r="D753" s="345"/>
      <c r="E753" s="345"/>
      <c r="F753" s="345"/>
      <c r="G753" s="345"/>
      <c r="H753" s="345"/>
      <c r="I753" s="345"/>
      <c r="J753" s="345"/>
      <c r="K753" s="345"/>
      <c r="L753" s="345"/>
      <c r="M753" s="345"/>
      <c r="N753" s="345"/>
      <c r="O753" s="345"/>
      <c r="P753" s="345"/>
      <c r="Q753" s="345"/>
      <c r="R753" s="345"/>
      <c r="S753" s="345"/>
      <c r="T753" s="345"/>
      <c r="U753" s="345"/>
      <c r="V753" s="345"/>
      <c r="W753" s="345"/>
      <c r="X753" s="345"/>
      <c r="Y753" s="345"/>
      <c r="Z753" s="345"/>
    </row>
    <row r="754">
      <c r="A754" s="345"/>
      <c r="B754" s="369"/>
      <c r="C754" s="345"/>
      <c r="D754" s="345"/>
      <c r="E754" s="345"/>
      <c r="F754" s="345"/>
      <c r="G754" s="345"/>
      <c r="H754" s="345"/>
      <c r="I754" s="345"/>
      <c r="J754" s="345"/>
      <c r="K754" s="345"/>
      <c r="L754" s="345"/>
      <c r="M754" s="345"/>
      <c r="N754" s="345"/>
      <c r="O754" s="345"/>
      <c r="P754" s="345"/>
      <c r="Q754" s="345"/>
      <c r="R754" s="345"/>
      <c r="S754" s="345"/>
      <c r="T754" s="345"/>
      <c r="U754" s="345"/>
      <c r="V754" s="345"/>
      <c r="W754" s="345"/>
      <c r="X754" s="345"/>
      <c r="Y754" s="345"/>
      <c r="Z754" s="345"/>
    </row>
    <row r="755">
      <c r="A755" s="345"/>
      <c r="B755" s="369"/>
      <c r="C755" s="345"/>
      <c r="D755" s="345"/>
      <c r="E755" s="345"/>
      <c r="F755" s="345"/>
      <c r="G755" s="345"/>
      <c r="H755" s="345"/>
      <c r="I755" s="345"/>
      <c r="J755" s="345"/>
      <c r="K755" s="345"/>
      <c r="L755" s="345"/>
      <c r="M755" s="345"/>
      <c r="N755" s="345"/>
      <c r="O755" s="345"/>
      <c r="P755" s="345"/>
      <c r="Q755" s="345"/>
      <c r="R755" s="345"/>
      <c r="S755" s="345"/>
      <c r="T755" s="345"/>
      <c r="U755" s="345"/>
      <c r="V755" s="345"/>
      <c r="W755" s="345"/>
      <c r="X755" s="345"/>
      <c r="Y755" s="345"/>
      <c r="Z755" s="345"/>
    </row>
    <row r="756">
      <c r="A756" s="345"/>
      <c r="B756" s="369"/>
      <c r="C756" s="345"/>
      <c r="D756" s="345"/>
      <c r="E756" s="345"/>
      <c r="F756" s="345"/>
      <c r="G756" s="345"/>
      <c r="H756" s="345"/>
      <c r="I756" s="345"/>
      <c r="J756" s="345"/>
      <c r="K756" s="345"/>
      <c r="L756" s="345"/>
      <c r="M756" s="345"/>
      <c r="N756" s="345"/>
      <c r="O756" s="345"/>
      <c r="P756" s="345"/>
      <c r="Q756" s="345"/>
      <c r="R756" s="345"/>
      <c r="S756" s="345"/>
      <c r="T756" s="345"/>
      <c r="U756" s="345"/>
      <c r="V756" s="345"/>
      <c r="W756" s="345"/>
      <c r="X756" s="345"/>
      <c r="Y756" s="345"/>
      <c r="Z756" s="345"/>
    </row>
    <row r="757">
      <c r="A757" s="345"/>
      <c r="B757" s="369"/>
      <c r="C757" s="345"/>
      <c r="D757" s="345"/>
      <c r="E757" s="345"/>
      <c r="F757" s="345"/>
      <c r="G757" s="345"/>
      <c r="H757" s="345"/>
      <c r="I757" s="345"/>
      <c r="J757" s="345"/>
      <c r="K757" s="345"/>
      <c r="L757" s="345"/>
      <c r="M757" s="345"/>
      <c r="N757" s="345"/>
      <c r="O757" s="345"/>
      <c r="P757" s="345"/>
      <c r="Q757" s="345"/>
      <c r="R757" s="345"/>
      <c r="S757" s="345"/>
      <c r="T757" s="345"/>
      <c r="U757" s="345"/>
      <c r="V757" s="345"/>
      <c r="W757" s="345"/>
      <c r="X757" s="345"/>
      <c r="Y757" s="345"/>
      <c r="Z757" s="345"/>
    </row>
    <row r="758">
      <c r="A758" s="345"/>
      <c r="B758" s="369"/>
      <c r="C758" s="345"/>
      <c r="D758" s="345"/>
      <c r="E758" s="345"/>
      <c r="F758" s="345"/>
      <c r="G758" s="345"/>
      <c r="H758" s="345"/>
      <c r="I758" s="345"/>
      <c r="J758" s="345"/>
      <c r="K758" s="345"/>
      <c r="L758" s="345"/>
      <c r="M758" s="345"/>
      <c r="N758" s="345"/>
      <c r="O758" s="345"/>
      <c r="P758" s="345"/>
      <c r="Q758" s="345"/>
      <c r="R758" s="345"/>
      <c r="S758" s="345"/>
      <c r="T758" s="345"/>
      <c r="U758" s="345"/>
      <c r="V758" s="345"/>
      <c r="W758" s="345"/>
      <c r="X758" s="345"/>
      <c r="Y758" s="345"/>
      <c r="Z758" s="345"/>
    </row>
    <row r="759">
      <c r="A759" s="345"/>
      <c r="B759" s="369"/>
      <c r="C759" s="345"/>
      <c r="D759" s="345"/>
      <c r="E759" s="345"/>
      <c r="F759" s="345"/>
      <c r="G759" s="345"/>
      <c r="H759" s="345"/>
      <c r="I759" s="345"/>
      <c r="J759" s="345"/>
      <c r="K759" s="345"/>
      <c r="L759" s="345"/>
      <c r="M759" s="345"/>
      <c r="N759" s="345"/>
      <c r="O759" s="345"/>
      <c r="P759" s="345"/>
      <c r="Q759" s="345"/>
      <c r="R759" s="345"/>
      <c r="S759" s="345"/>
      <c r="T759" s="345"/>
      <c r="U759" s="345"/>
      <c r="V759" s="345"/>
      <c r="W759" s="345"/>
      <c r="X759" s="345"/>
      <c r="Y759" s="345"/>
      <c r="Z759" s="345"/>
    </row>
    <row r="760">
      <c r="A760" s="345"/>
      <c r="B760" s="369"/>
      <c r="C760" s="345"/>
      <c r="D760" s="345"/>
      <c r="E760" s="345"/>
      <c r="F760" s="345"/>
      <c r="G760" s="345"/>
      <c r="H760" s="345"/>
      <c r="I760" s="345"/>
      <c r="J760" s="345"/>
      <c r="K760" s="345"/>
      <c r="L760" s="345"/>
      <c r="M760" s="345"/>
      <c r="N760" s="345"/>
      <c r="O760" s="345"/>
      <c r="P760" s="345"/>
      <c r="Q760" s="345"/>
      <c r="R760" s="345"/>
      <c r="S760" s="345"/>
      <c r="T760" s="345"/>
      <c r="U760" s="345"/>
      <c r="V760" s="345"/>
      <c r="W760" s="345"/>
      <c r="X760" s="345"/>
      <c r="Y760" s="345"/>
      <c r="Z760" s="345"/>
    </row>
    <row r="761">
      <c r="A761" s="345"/>
      <c r="B761" s="369"/>
      <c r="C761" s="345"/>
      <c r="D761" s="345"/>
      <c r="E761" s="345"/>
      <c r="F761" s="345"/>
      <c r="G761" s="345"/>
      <c r="H761" s="345"/>
      <c r="I761" s="345"/>
      <c r="J761" s="345"/>
      <c r="K761" s="345"/>
      <c r="L761" s="345"/>
      <c r="M761" s="345"/>
      <c r="N761" s="345"/>
      <c r="O761" s="345"/>
      <c r="P761" s="345"/>
      <c r="Q761" s="345"/>
      <c r="R761" s="345"/>
      <c r="S761" s="345"/>
      <c r="T761" s="345"/>
      <c r="U761" s="345"/>
      <c r="V761" s="345"/>
      <c r="W761" s="345"/>
      <c r="X761" s="345"/>
      <c r="Y761" s="345"/>
      <c r="Z761" s="345"/>
    </row>
    <row r="762">
      <c r="A762" s="345"/>
      <c r="B762" s="369"/>
      <c r="C762" s="345"/>
      <c r="D762" s="345"/>
      <c r="E762" s="345"/>
      <c r="F762" s="345"/>
      <c r="G762" s="345"/>
      <c r="H762" s="345"/>
      <c r="I762" s="345"/>
      <c r="J762" s="345"/>
      <c r="K762" s="345"/>
      <c r="L762" s="345"/>
      <c r="M762" s="345"/>
      <c r="N762" s="345"/>
      <c r="O762" s="345"/>
      <c r="P762" s="345"/>
      <c r="Q762" s="345"/>
      <c r="R762" s="345"/>
      <c r="S762" s="345"/>
      <c r="T762" s="345"/>
      <c r="U762" s="345"/>
      <c r="V762" s="345"/>
      <c r="W762" s="345"/>
      <c r="X762" s="345"/>
      <c r="Y762" s="345"/>
      <c r="Z762" s="345"/>
    </row>
    <row r="763">
      <c r="A763" s="345"/>
      <c r="B763" s="369"/>
      <c r="C763" s="345"/>
      <c r="D763" s="345"/>
      <c r="E763" s="345"/>
      <c r="F763" s="345"/>
      <c r="G763" s="345"/>
      <c r="H763" s="345"/>
      <c r="I763" s="345"/>
      <c r="J763" s="345"/>
      <c r="K763" s="345"/>
      <c r="L763" s="345"/>
      <c r="M763" s="345"/>
      <c r="N763" s="345"/>
      <c r="O763" s="345"/>
      <c r="P763" s="345"/>
      <c r="Q763" s="345"/>
      <c r="R763" s="345"/>
      <c r="S763" s="345"/>
      <c r="T763" s="345"/>
      <c r="U763" s="345"/>
      <c r="V763" s="345"/>
      <c r="W763" s="345"/>
      <c r="X763" s="345"/>
      <c r="Y763" s="345"/>
      <c r="Z763" s="345"/>
    </row>
    <row r="764">
      <c r="A764" s="345"/>
      <c r="B764" s="369"/>
      <c r="C764" s="345"/>
      <c r="D764" s="345"/>
      <c r="E764" s="345"/>
      <c r="F764" s="345"/>
      <c r="G764" s="345"/>
      <c r="H764" s="345"/>
      <c r="I764" s="345"/>
      <c r="J764" s="345"/>
      <c r="K764" s="345"/>
      <c r="L764" s="345"/>
      <c r="M764" s="345"/>
      <c r="N764" s="345"/>
      <c r="O764" s="345"/>
      <c r="P764" s="345"/>
      <c r="Q764" s="345"/>
      <c r="R764" s="345"/>
      <c r="S764" s="345"/>
      <c r="T764" s="345"/>
      <c r="U764" s="345"/>
      <c r="V764" s="345"/>
      <c r="W764" s="345"/>
      <c r="X764" s="345"/>
      <c r="Y764" s="345"/>
      <c r="Z764" s="345"/>
    </row>
    <row r="765">
      <c r="A765" s="345"/>
      <c r="B765" s="369"/>
      <c r="C765" s="345"/>
      <c r="D765" s="345"/>
      <c r="E765" s="345"/>
      <c r="F765" s="345"/>
      <c r="G765" s="345"/>
      <c r="H765" s="345"/>
      <c r="I765" s="345"/>
      <c r="J765" s="345"/>
      <c r="K765" s="345"/>
      <c r="L765" s="345"/>
      <c r="M765" s="345"/>
      <c r="N765" s="345"/>
      <c r="O765" s="345"/>
      <c r="P765" s="345"/>
      <c r="Q765" s="345"/>
      <c r="R765" s="345"/>
      <c r="S765" s="345"/>
      <c r="T765" s="345"/>
      <c r="U765" s="345"/>
      <c r="V765" s="345"/>
      <c r="W765" s="345"/>
      <c r="X765" s="345"/>
      <c r="Y765" s="345"/>
      <c r="Z765" s="345"/>
    </row>
    <row r="766">
      <c r="A766" s="345"/>
      <c r="B766" s="369"/>
      <c r="C766" s="345"/>
      <c r="D766" s="345"/>
      <c r="E766" s="345"/>
      <c r="F766" s="345"/>
      <c r="G766" s="345"/>
      <c r="H766" s="345"/>
      <c r="I766" s="345"/>
      <c r="J766" s="345"/>
      <c r="K766" s="345"/>
      <c r="L766" s="345"/>
      <c r="M766" s="345"/>
      <c r="N766" s="345"/>
      <c r="O766" s="345"/>
      <c r="P766" s="345"/>
      <c r="Q766" s="345"/>
      <c r="R766" s="345"/>
      <c r="S766" s="345"/>
      <c r="T766" s="345"/>
      <c r="U766" s="345"/>
      <c r="V766" s="345"/>
      <c r="W766" s="345"/>
      <c r="X766" s="345"/>
      <c r="Y766" s="345"/>
      <c r="Z766" s="345"/>
    </row>
    <row r="767">
      <c r="A767" s="345"/>
      <c r="B767" s="369"/>
      <c r="C767" s="345"/>
      <c r="D767" s="345"/>
      <c r="E767" s="345"/>
      <c r="F767" s="345"/>
      <c r="G767" s="345"/>
      <c r="H767" s="345"/>
      <c r="I767" s="345"/>
      <c r="J767" s="345"/>
      <c r="K767" s="345"/>
      <c r="L767" s="345"/>
      <c r="M767" s="345"/>
      <c r="N767" s="345"/>
      <c r="O767" s="345"/>
      <c r="P767" s="345"/>
      <c r="Q767" s="345"/>
      <c r="R767" s="345"/>
      <c r="S767" s="345"/>
      <c r="T767" s="345"/>
      <c r="U767" s="345"/>
      <c r="V767" s="345"/>
      <c r="W767" s="345"/>
      <c r="X767" s="345"/>
      <c r="Y767" s="345"/>
      <c r="Z767" s="345"/>
    </row>
    <row r="768">
      <c r="A768" s="345"/>
      <c r="B768" s="369"/>
      <c r="C768" s="345"/>
      <c r="D768" s="345"/>
      <c r="E768" s="345"/>
      <c r="F768" s="345"/>
      <c r="G768" s="345"/>
      <c r="H768" s="345"/>
      <c r="I768" s="345"/>
      <c r="J768" s="345"/>
      <c r="K768" s="345"/>
      <c r="L768" s="345"/>
      <c r="M768" s="345"/>
      <c r="N768" s="345"/>
      <c r="O768" s="345"/>
      <c r="P768" s="345"/>
      <c r="Q768" s="345"/>
      <c r="R768" s="345"/>
      <c r="S768" s="345"/>
      <c r="T768" s="345"/>
      <c r="U768" s="345"/>
      <c r="V768" s="345"/>
      <c r="W768" s="345"/>
      <c r="X768" s="345"/>
      <c r="Y768" s="345"/>
      <c r="Z768" s="345"/>
    </row>
    <row r="769">
      <c r="A769" s="345"/>
      <c r="B769" s="369"/>
      <c r="C769" s="345"/>
      <c r="D769" s="345"/>
      <c r="E769" s="345"/>
      <c r="F769" s="345"/>
      <c r="G769" s="345"/>
      <c r="H769" s="345"/>
      <c r="I769" s="345"/>
      <c r="J769" s="345"/>
      <c r="K769" s="345"/>
      <c r="L769" s="345"/>
      <c r="M769" s="345"/>
      <c r="N769" s="345"/>
      <c r="O769" s="345"/>
      <c r="P769" s="345"/>
      <c r="Q769" s="345"/>
      <c r="R769" s="345"/>
      <c r="S769" s="345"/>
      <c r="T769" s="345"/>
      <c r="U769" s="345"/>
      <c r="V769" s="345"/>
      <c r="W769" s="345"/>
      <c r="X769" s="345"/>
      <c r="Y769" s="345"/>
      <c r="Z769" s="345"/>
    </row>
    <row r="770">
      <c r="A770" s="345"/>
      <c r="B770" s="369"/>
      <c r="C770" s="345"/>
      <c r="D770" s="345"/>
      <c r="E770" s="345"/>
      <c r="F770" s="345"/>
      <c r="G770" s="345"/>
      <c r="H770" s="345"/>
      <c r="I770" s="345"/>
      <c r="J770" s="345"/>
      <c r="K770" s="345"/>
      <c r="L770" s="345"/>
      <c r="M770" s="345"/>
      <c r="N770" s="345"/>
      <c r="O770" s="345"/>
      <c r="P770" s="345"/>
      <c r="Q770" s="345"/>
      <c r="R770" s="345"/>
      <c r="S770" s="345"/>
      <c r="T770" s="345"/>
      <c r="U770" s="345"/>
      <c r="V770" s="345"/>
      <c r="W770" s="345"/>
      <c r="X770" s="345"/>
      <c r="Y770" s="345"/>
      <c r="Z770" s="345"/>
    </row>
    <row r="771">
      <c r="A771" s="345"/>
      <c r="B771" s="369"/>
      <c r="C771" s="345"/>
      <c r="D771" s="345"/>
      <c r="E771" s="345"/>
      <c r="F771" s="345"/>
      <c r="G771" s="345"/>
      <c r="H771" s="345"/>
      <c r="I771" s="345"/>
      <c r="J771" s="345"/>
      <c r="K771" s="345"/>
      <c r="L771" s="345"/>
      <c r="M771" s="345"/>
      <c r="N771" s="345"/>
      <c r="O771" s="345"/>
      <c r="P771" s="345"/>
      <c r="Q771" s="345"/>
      <c r="R771" s="345"/>
      <c r="S771" s="345"/>
      <c r="T771" s="345"/>
      <c r="U771" s="345"/>
      <c r="V771" s="345"/>
      <c r="W771" s="345"/>
      <c r="X771" s="345"/>
      <c r="Y771" s="345"/>
      <c r="Z771" s="345"/>
    </row>
    <row r="772">
      <c r="A772" s="345"/>
      <c r="B772" s="369"/>
      <c r="C772" s="345"/>
      <c r="D772" s="345"/>
      <c r="E772" s="345"/>
      <c r="F772" s="345"/>
      <c r="G772" s="345"/>
      <c r="H772" s="345"/>
      <c r="I772" s="345"/>
      <c r="J772" s="345"/>
      <c r="K772" s="345"/>
      <c r="L772" s="345"/>
      <c r="M772" s="345"/>
      <c r="N772" s="345"/>
      <c r="O772" s="345"/>
      <c r="P772" s="345"/>
      <c r="Q772" s="345"/>
      <c r="R772" s="345"/>
      <c r="S772" s="345"/>
      <c r="T772" s="345"/>
      <c r="U772" s="345"/>
      <c r="V772" s="345"/>
      <c r="W772" s="345"/>
      <c r="X772" s="345"/>
      <c r="Y772" s="345"/>
      <c r="Z772" s="345"/>
    </row>
    <row r="773">
      <c r="A773" s="345"/>
      <c r="B773" s="369"/>
      <c r="C773" s="345"/>
      <c r="D773" s="345"/>
      <c r="E773" s="345"/>
      <c r="F773" s="345"/>
      <c r="G773" s="345"/>
      <c r="H773" s="345"/>
      <c r="I773" s="345"/>
      <c r="J773" s="345"/>
      <c r="K773" s="345"/>
      <c r="L773" s="345"/>
      <c r="M773" s="345"/>
      <c r="N773" s="345"/>
      <c r="O773" s="345"/>
      <c r="P773" s="345"/>
      <c r="Q773" s="345"/>
      <c r="R773" s="345"/>
      <c r="S773" s="345"/>
      <c r="T773" s="345"/>
      <c r="U773" s="345"/>
      <c r="V773" s="345"/>
      <c r="W773" s="345"/>
      <c r="X773" s="345"/>
      <c r="Y773" s="345"/>
      <c r="Z773" s="345"/>
    </row>
    <row r="774">
      <c r="A774" s="345"/>
      <c r="B774" s="369"/>
      <c r="C774" s="345"/>
      <c r="D774" s="345"/>
      <c r="E774" s="345"/>
      <c r="F774" s="345"/>
      <c r="G774" s="345"/>
      <c r="H774" s="345"/>
      <c r="I774" s="345"/>
      <c r="J774" s="345"/>
      <c r="K774" s="345"/>
      <c r="L774" s="345"/>
      <c r="M774" s="345"/>
      <c r="N774" s="345"/>
      <c r="O774" s="345"/>
      <c r="P774" s="345"/>
      <c r="Q774" s="345"/>
      <c r="R774" s="345"/>
      <c r="S774" s="345"/>
      <c r="T774" s="345"/>
      <c r="U774" s="345"/>
      <c r="V774" s="345"/>
      <c r="W774" s="345"/>
      <c r="X774" s="345"/>
      <c r="Y774" s="345"/>
      <c r="Z774" s="345"/>
    </row>
    <row r="775">
      <c r="A775" s="345"/>
      <c r="B775" s="369"/>
      <c r="C775" s="345"/>
      <c r="D775" s="345"/>
      <c r="E775" s="345"/>
      <c r="F775" s="345"/>
      <c r="G775" s="345"/>
      <c r="H775" s="345"/>
      <c r="I775" s="345"/>
      <c r="J775" s="345"/>
      <c r="K775" s="345"/>
      <c r="L775" s="345"/>
      <c r="M775" s="345"/>
      <c r="N775" s="345"/>
      <c r="O775" s="345"/>
      <c r="P775" s="345"/>
      <c r="Q775" s="345"/>
      <c r="R775" s="345"/>
      <c r="S775" s="345"/>
      <c r="T775" s="345"/>
      <c r="U775" s="345"/>
      <c r="V775" s="345"/>
      <c r="W775" s="345"/>
      <c r="X775" s="345"/>
      <c r="Y775" s="345"/>
      <c r="Z775" s="345"/>
    </row>
    <row r="776">
      <c r="A776" s="345"/>
      <c r="B776" s="369"/>
      <c r="C776" s="345"/>
      <c r="D776" s="345"/>
      <c r="E776" s="345"/>
      <c r="F776" s="345"/>
      <c r="G776" s="345"/>
      <c r="H776" s="345"/>
      <c r="I776" s="345"/>
      <c r="J776" s="345"/>
      <c r="K776" s="345"/>
      <c r="L776" s="345"/>
      <c r="M776" s="345"/>
      <c r="N776" s="345"/>
      <c r="O776" s="345"/>
      <c r="P776" s="345"/>
      <c r="Q776" s="345"/>
      <c r="R776" s="345"/>
      <c r="S776" s="345"/>
      <c r="T776" s="345"/>
      <c r="U776" s="345"/>
      <c r="V776" s="345"/>
      <c r="W776" s="345"/>
      <c r="X776" s="345"/>
      <c r="Y776" s="345"/>
      <c r="Z776" s="345"/>
    </row>
    <row r="777">
      <c r="A777" s="345"/>
      <c r="B777" s="369"/>
      <c r="C777" s="345"/>
      <c r="D777" s="345"/>
      <c r="E777" s="345"/>
      <c r="F777" s="345"/>
      <c r="G777" s="345"/>
      <c r="H777" s="345"/>
      <c r="I777" s="345"/>
      <c r="J777" s="345"/>
      <c r="K777" s="345"/>
      <c r="L777" s="345"/>
      <c r="M777" s="345"/>
      <c r="N777" s="345"/>
      <c r="O777" s="345"/>
      <c r="P777" s="345"/>
      <c r="Q777" s="345"/>
      <c r="R777" s="345"/>
      <c r="S777" s="345"/>
      <c r="T777" s="345"/>
      <c r="U777" s="345"/>
      <c r="V777" s="345"/>
      <c r="W777" s="345"/>
      <c r="X777" s="345"/>
      <c r="Y777" s="345"/>
      <c r="Z777" s="345"/>
    </row>
    <row r="778">
      <c r="A778" s="345"/>
      <c r="B778" s="369"/>
      <c r="C778" s="345"/>
      <c r="D778" s="345"/>
      <c r="E778" s="345"/>
      <c r="F778" s="345"/>
      <c r="G778" s="345"/>
      <c r="H778" s="345"/>
      <c r="I778" s="345"/>
      <c r="J778" s="345"/>
      <c r="K778" s="345"/>
      <c r="L778" s="345"/>
      <c r="M778" s="345"/>
      <c r="N778" s="345"/>
      <c r="O778" s="345"/>
      <c r="P778" s="345"/>
      <c r="Q778" s="345"/>
      <c r="R778" s="345"/>
      <c r="S778" s="345"/>
      <c r="T778" s="345"/>
      <c r="U778" s="345"/>
      <c r="V778" s="345"/>
      <c r="W778" s="345"/>
      <c r="X778" s="345"/>
      <c r="Y778" s="345"/>
      <c r="Z778" s="345"/>
    </row>
    <row r="779">
      <c r="A779" s="345"/>
      <c r="B779" s="369"/>
      <c r="C779" s="345"/>
      <c r="D779" s="345"/>
      <c r="E779" s="345"/>
      <c r="F779" s="345"/>
      <c r="G779" s="345"/>
      <c r="H779" s="345"/>
      <c r="I779" s="345"/>
      <c r="J779" s="345"/>
      <c r="K779" s="345"/>
      <c r="L779" s="345"/>
      <c r="M779" s="345"/>
      <c r="N779" s="345"/>
      <c r="O779" s="345"/>
      <c r="P779" s="345"/>
      <c r="Q779" s="345"/>
      <c r="R779" s="345"/>
      <c r="S779" s="345"/>
      <c r="T779" s="345"/>
      <c r="U779" s="345"/>
      <c r="V779" s="345"/>
      <c r="W779" s="345"/>
      <c r="X779" s="345"/>
      <c r="Y779" s="345"/>
      <c r="Z779" s="345"/>
    </row>
    <row r="780">
      <c r="A780" s="345"/>
      <c r="B780" s="369"/>
      <c r="C780" s="345"/>
      <c r="D780" s="345"/>
      <c r="E780" s="345"/>
      <c r="F780" s="345"/>
      <c r="G780" s="345"/>
      <c r="H780" s="345"/>
      <c r="I780" s="345"/>
      <c r="J780" s="345"/>
      <c r="K780" s="345"/>
      <c r="L780" s="345"/>
      <c r="M780" s="345"/>
      <c r="N780" s="345"/>
      <c r="O780" s="345"/>
      <c r="P780" s="345"/>
      <c r="Q780" s="345"/>
      <c r="R780" s="345"/>
      <c r="S780" s="345"/>
      <c r="T780" s="345"/>
      <c r="U780" s="345"/>
      <c r="V780" s="345"/>
      <c r="W780" s="345"/>
      <c r="X780" s="345"/>
      <c r="Y780" s="345"/>
      <c r="Z780" s="345"/>
    </row>
    <row r="781">
      <c r="A781" s="345"/>
      <c r="B781" s="369"/>
      <c r="C781" s="345"/>
      <c r="D781" s="345"/>
      <c r="E781" s="345"/>
      <c r="F781" s="345"/>
      <c r="G781" s="345"/>
      <c r="H781" s="345"/>
      <c r="I781" s="345"/>
      <c r="J781" s="345"/>
      <c r="K781" s="345"/>
      <c r="L781" s="345"/>
      <c r="M781" s="345"/>
      <c r="N781" s="345"/>
      <c r="O781" s="345"/>
      <c r="P781" s="345"/>
      <c r="Q781" s="345"/>
      <c r="R781" s="345"/>
      <c r="S781" s="345"/>
      <c r="T781" s="345"/>
      <c r="U781" s="345"/>
      <c r="V781" s="345"/>
      <c r="W781" s="345"/>
      <c r="X781" s="345"/>
      <c r="Y781" s="345"/>
      <c r="Z781" s="345"/>
    </row>
    <row r="782">
      <c r="A782" s="345"/>
      <c r="B782" s="369"/>
      <c r="C782" s="345"/>
      <c r="D782" s="345"/>
      <c r="E782" s="345"/>
      <c r="F782" s="345"/>
      <c r="G782" s="345"/>
      <c r="H782" s="345"/>
      <c r="I782" s="345"/>
      <c r="J782" s="345"/>
      <c r="K782" s="345"/>
      <c r="L782" s="345"/>
      <c r="M782" s="345"/>
      <c r="N782" s="345"/>
      <c r="O782" s="345"/>
      <c r="P782" s="345"/>
      <c r="Q782" s="345"/>
      <c r="R782" s="345"/>
      <c r="S782" s="345"/>
      <c r="T782" s="345"/>
      <c r="U782" s="345"/>
      <c r="V782" s="345"/>
      <c r="W782" s="345"/>
      <c r="X782" s="345"/>
      <c r="Y782" s="345"/>
      <c r="Z782" s="345"/>
    </row>
    <row r="783">
      <c r="A783" s="345"/>
      <c r="B783" s="369"/>
      <c r="C783" s="345"/>
      <c r="D783" s="345"/>
      <c r="E783" s="345"/>
      <c r="F783" s="345"/>
      <c r="G783" s="345"/>
      <c r="H783" s="345"/>
      <c r="I783" s="345"/>
      <c r="J783" s="345"/>
      <c r="K783" s="345"/>
      <c r="L783" s="345"/>
      <c r="M783" s="345"/>
      <c r="N783" s="345"/>
      <c r="O783" s="345"/>
      <c r="P783" s="345"/>
      <c r="Q783" s="345"/>
      <c r="R783" s="345"/>
      <c r="S783" s="345"/>
      <c r="T783" s="345"/>
      <c r="U783" s="345"/>
      <c r="V783" s="345"/>
      <c r="W783" s="345"/>
      <c r="X783" s="345"/>
      <c r="Y783" s="345"/>
      <c r="Z783" s="345"/>
    </row>
    <row r="784">
      <c r="A784" s="345"/>
      <c r="B784" s="369"/>
      <c r="C784" s="345"/>
      <c r="D784" s="345"/>
      <c r="E784" s="345"/>
      <c r="F784" s="345"/>
      <c r="G784" s="345"/>
      <c r="H784" s="345"/>
      <c r="I784" s="345"/>
      <c r="J784" s="345"/>
      <c r="K784" s="345"/>
      <c r="L784" s="345"/>
      <c r="M784" s="345"/>
      <c r="N784" s="345"/>
      <c r="O784" s="345"/>
      <c r="P784" s="345"/>
      <c r="Q784" s="345"/>
      <c r="R784" s="345"/>
      <c r="S784" s="345"/>
      <c r="T784" s="345"/>
      <c r="U784" s="345"/>
      <c r="V784" s="345"/>
      <c r="W784" s="345"/>
      <c r="X784" s="345"/>
      <c r="Y784" s="345"/>
      <c r="Z784" s="345"/>
    </row>
    <row r="785">
      <c r="A785" s="345"/>
      <c r="B785" s="369"/>
      <c r="C785" s="345"/>
      <c r="D785" s="345"/>
      <c r="E785" s="345"/>
      <c r="F785" s="345"/>
      <c r="G785" s="345"/>
      <c r="H785" s="345"/>
      <c r="I785" s="345"/>
      <c r="J785" s="345"/>
      <c r="K785" s="345"/>
      <c r="L785" s="345"/>
      <c r="M785" s="345"/>
      <c r="N785" s="345"/>
      <c r="O785" s="345"/>
      <c r="P785" s="345"/>
      <c r="Q785" s="345"/>
      <c r="R785" s="345"/>
      <c r="S785" s="345"/>
      <c r="T785" s="345"/>
      <c r="U785" s="345"/>
      <c r="V785" s="345"/>
      <c r="W785" s="345"/>
      <c r="X785" s="345"/>
      <c r="Y785" s="345"/>
      <c r="Z785" s="345"/>
    </row>
    <row r="786">
      <c r="A786" s="345"/>
      <c r="B786" s="369"/>
      <c r="C786" s="345"/>
      <c r="D786" s="345"/>
      <c r="E786" s="345"/>
      <c r="F786" s="345"/>
      <c r="G786" s="345"/>
      <c r="H786" s="345"/>
      <c r="I786" s="345"/>
      <c r="J786" s="345"/>
      <c r="K786" s="345"/>
      <c r="L786" s="345"/>
      <c r="M786" s="345"/>
      <c r="N786" s="345"/>
      <c r="O786" s="345"/>
      <c r="P786" s="345"/>
      <c r="Q786" s="345"/>
      <c r="R786" s="345"/>
      <c r="S786" s="345"/>
      <c r="T786" s="345"/>
      <c r="U786" s="345"/>
      <c r="V786" s="345"/>
      <c r="W786" s="345"/>
      <c r="X786" s="345"/>
      <c r="Y786" s="345"/>
      <c r="Z786" s="345"/>
    </row>
    <row r="787">
      <c r="A787" s="345"/>
      <c r="B787" s="369"/>
      <c r="C787" s="345"/>
      <c r="D787" s="345"/>
      <c r="E787" s="345"/>
      <c r="F787" s="345"/>
      <c r="G787" s="345"/>
      <c r="H787" s="345"/>
      <c r="I787" s="345"/>
      <c r="J787" s="345"/>
      <c r="K787" s="345"/>
      <c r="L787" s="345"/>
      <c r="M787" s="345"/>
      <c r="N787" s="345"/>
      <c r="O787" s="345"/>
      <c r="P787" s="345"/>
      <c r="Q787" s="345"/>
      <c r="R787" s="345"/>
      <c r="S787" s="345"/>
      <c r="T787" s="345"/>
      <c r="U787" s="345"/>
      <c r="V787" s="345"/>
      <c r="W787" s="345"/>
      <c r="X787" s="345"/>
      <c r="Y787" s="345"/>
      <c r="Z787" s="345"/>
    </row>
    <row r="788">
      <c r="A788" s="345"/>
      <c r="B788" s="369"/>
      <c r="C788" s="345"/>
      <c r="D788" s="345"/>
      <c r="E788" s="345"/>
      <c r="F788" s="345"/>
      <c r="G788" s="345"/>
      <c r="H788" s="345"/>
      <c r="I788" s="345"/>
      <c r="J788" s="345"/>
      <c r="K788" s="345"/>
      <c r="L788" s="345"/>
      <c r="M788" s="345"/>
      <c r="N788" s="345"/>
      <c r="O788" s="345"/>
      <c r="P788" s="345"/>
      <c r="Q788" s="345"/>
      <c r="R788" s="345"/>
      <c r="S788" s="345"/>
      <c r="T788" s="345"/>
      <c r="U788" s="345"/>
      <c r="V788" s="345"/>
      <c r="W788" s="345"/>
      <c r="X788" s="345"/>
      <c r="Y788" s="345"/>
      <c r="Z788" s="345"/>
    </row>
    <row r="789">
      <c r="A789" s="345"/>
      <c r="B789" s="369"/>
      <c r="C789" s="345"/>
      <c r="D789" s="345"/>
      <c r="E789" s="345"/>
      <c r="F789" s="345"/>
      <c r="G789" s="345"/>
      <c r="H789" s="345"/>
      <c r="I789" s="345"/>
      <c r="J789" s="345"/>
      <c r="K789" s="345"/>
      <c r="L789" s="345"/>
      <c r="M789" s="345"/>
      <c r="N789" s="345"/>
      <c r="O789" s="345"/>
      <c r="P789" s="345"/>
      <c r="Q789" s="345"/>
      <c r="R789" s="345"/>
      <c r="S789" s="345"/>
      <c r="T789" s="345"/>
      <c r="U789" s="345"/>
      <c r="V789" s="345"/>
      <c r="W789" s="345"/>
      <c r="X789" s="345"/>
      <c r="Y789" s="345"/>
      <c r="Z789" s="345"/>
    </row>
    <row r="790">
      <c r="A790" s="345"/>
      <c r="B790" s="369"/>
      <c r="C790" s="345"/>
      <c r="D790" s="345"/>
      <c r="E790" s="345"/>
      <c r="F790" s="345"/>
      <c r="G790" s="345"/>
      <c r="H790" s="345"/>
      <c r="I790" s="345"/>
      <c r="J790" s="345"/>
      <c r="K790" s="345"/>
      <c r="L790" s="345"/>
      <c r="M790" s="345"/>
      <c r="N790" s="345"/>
      <c r="O790" s="345"/>
      <c r="P790" s="345"/>
      <c r="Q790" s="345"/>
      <c r="R790" s="345"/>
      <c r="S790" s="345"/>
      <c r="T790" s="345"/>
      <c r="U790" s="345"/>
      <c r="V790" s="345"/>
      <c r="W790" s="345"/>
      <c r="X790" s="345"/>
      <c r="Y790" s="345"/>
      <c r="Z790" s="345"/>
    </row>
    <row r="791">
      <c r="A791" s="345"/>
      <c r="B791" s="369"/>
      <c r="C791" s="345"/>
      <c r="D791" s="345"/>
      <c r="E791" s="345"/>
      <c r="F791" s="345"/>
      <c r="G791" s="345"/>
      <c r="H791" s="345"/>
      <c r="I791" s="345"/>
      <c r="J791" s="345"/>
      <c r="K791" s="345"/>
      <c r="L791" s="345"/>
      <c r="M791" s="345"/>
      <c r="N791" s="345"/>
      <c r="O791" s="345"/>
      <c r="P791" s="345"/>
      <c r="Q791" s="345"/>
      <c r="R791" s="345"/>
      <c r="S791" s="345"/>
      <c r="T791" s="345"/>
      <c r="U791" s="345"/>
      <c r="V791" s="345"/>
      <c r="W791" s="345"/>
      <c r="X791" s="345"/>
      <c r="Y791" s="345"/>
      <c r="Z791" s="345"/>
    </row>
    <row r="792">
      <c r="A792" s="345"/>
      <c r="B792" s="369"/>
      <c r="C792" s="345"/>
      <c r="D792" s="345"/>
      <c r="E792" s="345"/>
      <c r="F792" s="345"/>
      <c r="G792" s="345"/>
      <c r="H792" s="345"/>
      <c r="I792" s="345"/>
      <c r="J792" s="345"/>
      <c r="K792" s="345"/>
      <c r="L792" s="345"/>
      <c r="M792" s="345"/>
      <c r="N792" s="345"/>
      <c r="O792" s="345"/>
      <c r="P792" s="345"/>
      <c r="Q792" s="345"/>
      <c r="R792" s="345"/>
      <c r="S792" s="345"/>
      <c r="T792" s="345"/>
      <c r="U792" s="345"/>
      <c r="V792" s="345"/>
      <c r="W792" s="345"/>
      <c r="X792" s="345"/>
      <c r="Y792" s="345"/>
      <c r="Z792" s="345"/>
    </row>
    <row r="793">
      <c r="A793" s="345"/>
      <c r="B793" s="369"/>
      <c r="C793" s="345"/>
      <c r="D793" s="345"/>
      <c r="E793" s="345"/>
      <c r="F793" s="345"/>
      <c r="G793" s="345"/>
      <c r="H793" s="345"/>
      <c r="I793" s="345"/>
      <c r="J793" s="345"/>
      <c r="K793" s="345"/>
      <c r="L793" s="345"/>
      <c r="M793" s="345"/>
      <c r="N793" s="345"/>
      <c r="O793" s="345"/>
      <c r="P793" s="345"/>
      <c r="Q793" s="345"/>
      <c r="R793" s="345"/>
      <c r="S793" s="345"/>
      <c r="T793" s="345"/>
      <c r="U793" s="345"/>
      <c r="V793" s="345"/>
      <c r="W793" s="345"/>
      <c r="X793" s="345"/>
      <c r="Y793" s="345"/>
      <c r="Z793" s="345"/>
    </row>
    <row r="794">
      <c r="A794" s="345"/>
      <c r="B794" s="369"/>
      <c r="C794" s="345"/>
      <c r="D794" s="345"/>
      <c r="E794" s="345"/>
      <c r="F794" s="345"/>
      <c r="G794" s="345"/>
      <c r="H794" s="345"/>
      <c r="I794" s="345"/>
      <c r="J794" s="345"/>
      <c r="K794" s="345"/>
      <c r="L794" s="345"/>
      <c r="M794" s="345"/>
      <c r="N794" s="345"/>
      <c r="O794" s="345"/>
      <c r="P794" s="345"/>
      <c r="Q794" s="345"/>
      <c r="R794" s="345"/>
      <c r="S794" s="345"/>
      <c r="T794" s="345"/>
      <c r="U794" s="345"/>
      <c r="V794" s="345"/>
      <c r="W794" s="345"/>
      <c r="X794" s="345"/>
      <c r="Y794" s="345"/>
      <c r="Z794" s="345"/>
    </row>
    <row r="795">
      <c r="A795" s="345"/>
      <c r="B795" s="369"/>
      <c r="C795" s="345"/>
      <c r="D795" s="345"/>
      <c r="E795" s="345"/>
      <c r="F795" s="345"/>
      <c r="G795" s="345"/>
      <c r="H795" s="345"/>
      <c r="I795" s="345"/>
      <c r="J795" s="345"/>
      <c r="K795" s="345"/>
      <c r="L795" s="345"/>
      <c r="M795" s="345"/>
      <c r="N795" s="345"/>
      <c r="O795" s="345"/>
      <c r="P795" s="345"/>
      <c r="Q795" s="345"/>
      <c r="R795" s="345"/>
      <c r="S795" s="345"/>
      <c r="T795" s="345"/>
      <c r="U795" s="345"/>
      <c r="V795" s="345"/>
      <c r="W795" s="345"/>
      <c r="X795" s="345"/>
      <c r="Y795" s="345"/>
      <c r="Z795" s="345"/>
    </row>
    <row r="796">
      <c r="A796" s="345"/>
      <c r="B796" s="369"/>
      <c r="C796" s="345"/>
      <c r="D796" s="345"/>
      <c r="E796" s="345"/>
      <c r="F796" s="345"/>
      <c r="G796" s="345"/>
      <c r="H796" s="345"/>
      <c r="I796" s="345"/>
      <c r="J796" s="345"/>
      <c r="K796" s="345"/>
      <c r="L796" s="345"/>
      <c r="M796" s="345"/>
      <c r="N796" s="345"/>
      <c r="O796" s="345"/>
      <c r="P796" s="345"/>
      <c r="Q796" s="345"/>
      <c r="R796" s="345"/>
      <c r="S796" s="345"/>
      <c r="T796" s="345"/>
      <c r="U796" s="345"/>
      <c r="V796" s="345"/>
      <c r="W796" s="345"/>
      <c r="X796" s="345"/>
      <c r="Y796" s="345"/>
      <c r="Z796" s="345"/>
    </row>
    <row r="797">
      <c r="A797" s="345"/>
      <c r="B797" s="369"/>
      <c r="C797" s="345"/>
      <c r="D797" s="345"/>
      <c r="E797" s="345"/>
      <c r="F797" s="345"/>
      <c r="G797" s="345"/>
      <c r="H797" s="345"/>
      <c r="I797" s="345"/>
      <c r="J797" s="345"/>
      <c r="K797" s="345"/>
      <c r="L797" s="345"/>
      <c r="M797" s="345"/>
      <c r="N797" s="345"/>
      <c r="O797" s="345"/>
      <c r="P797" s="345"/>
      <c r="Q797" s="345"/>
      <c r="R797" s="345"/>
      <c r="S797" s="345"/>
      <c r="T797" s="345"/>
      <c r="U797" s="345"/>
      <c r="V797" s="345"/>
      <c r="W797" s="345"/>
      <c r="X797" s="345"/>
      <c r="Y797" s="345"/>
      <c r="Z797" s="345"/>
    </row>
    <row r="798">
      <c r="A798" s="345"/>
      <c r="B798" s="369"/>
      <c r="C798" s="345"/>
      <c r="D798" s="345"/>
      <c r="E798" s="345"/>
      <c r="F798" s="345"/>
      <c r="G798" s="345"/>
      <c r="H798" s="345"/>
      <c r="I798" s="345"/>
      <c r="J798" s="345"/>
      <c r="K798" s="345"/>
      <c r="L798" s="345"/>
      <c r="M798" s="345"/>
      <c r="N798" s="345"/>
      <c r="O798" s="345"/>
      <c r="P798" s="345"/>
      <c r="Q798" s="345"/>
      <c r="R798" s="345"/>
      <c r="S798" s="345"/>
      <c r="T798" s="345"/>
      <c r="U798" s="345"/>
      <c r="V798" s="345"/>
      <c r="W798" s="345"/>
      <c r="X798" s="345"/>
      <c r="Y798" s="345"/>
      <c r="Z798" s="345"/>
    </row>
    <row r="799">
      <c r="A799" s="345"/>
      <c r="B799" s="369"/>
      <c r="C799" s="345"/>
      <c r="D799" s="345"/>
      <c r="E799" s="345"/>
      <c r="F799" s="345"/>
      <c r="G799" s="345"/>
      <c r="H799" s="345"/>
      <c r="I799" s="345"/>
      <c r="J799" s="345"/>
      <c r="K799" s="345"/>
      <c r="L799" s="345"/>
      <c r="M799" s="345"/>
      <c r="N799" s="345"/>
      <c r="O799" s="345"/>
      <c r="P799" s="345"/>
      <c r="Q799" s="345"/>
      <c r="R799" s="345"/>
      <c r="S799" s="345"/>
      <c r="T799" s="345"/>
      <c r="U799" s="345"/>
      <c r="V799" s="345"/>
      <c r="W799" s="345"/>
      <c r="X799" s="345"/>
      <c r="Y799" s="345"/>
      <c r="Z799" s="345"/>
    </row>
    <row r="800">
      <c r="A800" s="345"/>
      <c r="B800" s="369"/>
      <c r="C800" s="345"/>
      <c r="D800" s="345"/>
      <c r="E800" s="345"/>
      <c r="F800" s="345"/>
      <c r="G800" s="345"/>
      <c r="H800" s="345"/>
      <c r="I800" s="345"/>
      <c r="J800" s="345"/>
      <c r="K800" s="345"/>
      <c r="L800" s="345"/>
      <c r="M800" s="345"/>
      <c r="N800" s="345"/>
      <c r="O800" s="345"/>
      <c r="P800" s="345"/>
      <c r="Q800" s="345"/>
      <c r="R800" s="345"/>
      <c r="S800" s="345"/>
      <c r="T800" s="345"/>
      <c r="U800" s="345"/>
      <c r="V800" s="345"/>
      <c r="W800" s="345"/>
      <c r="X800" s="345"/>
      <c r="Y800" s="345"/>
      <c r="Z800" s="345"/>
    </row>
    <row r="801">
      <c r="A801" s="345"/>
      <c r="B801" s="369"/>
      <c r="C801" s="345"/>
      <c r="D801" s="345"/>
      <c r="E801" s="345"/>
      <c r="F801" s="345"/>
      <c r="G801" s="345"/>
      <c r="H801" s="345"/>
      <c r="I801" s="345"/>
      <c r="J801" s="345"/>
      <c r="K801" s="345"/>
      <c r="L801" s="345"/>
      <c r="M801" s="345"/>
      <c r="N801" s="345"/>
      <c r="O801" s="345"/>
      <c r="P801" s="345"/>
      <c r="Q801" s="345"/>
      <c r="R801" s="345"/>
      <c r="S801" s="345"/>
      <c r="T801" s="345"/>
      <c r="U801" s="345"/>
      <c r="V801" s="345"/>
      <c r="W801" s="345"/>
      <c r="X801" s="345"/>
      <c r="Y801" s="345"/>
      <c r="Z801" s="345"/>
    </row>
    <row r="802">
      <c r="A802" s="345"/>
      <c r="B802" s="369"/>
      <c r="C802" s="345"/>
      <c r="D802" s="345"/>
      <c r="E802" s="345"/>
      <c r="F802" s="345"/>
      <c r="G802" s="345"/>
      <c r="H802" s="345"/>
      <c r="I802" s="345"/>
      <c r="J802" s="345"/>
      <c r="K802" s="345"/>
      <c r="L802" s="345"/>
      <c r="M802" s="345"/>
      <c r="N802" s="345"/>
      <c r="O802" s="345"/>
      <c r="P802" s="345"/>
      <c r="Q802" s="345"/>
      <c r="R802" s="345"/>
      <c r="S802" s="345"/>
      <c r="T802" s="345"/>
      <c r="U802" s="345"/>
      <c r="V802" s="345"/>
      <c r="W802" s="345"/>
      <c r="X802" s="345"/>
      <c r="Y802" s="345"/>
      <c r="Z802" s="345"/>
    </row>
    <row r="803">
      <c r="A803" s="345"/>
      <c r="B803" s="369"/>
      <c r="C803" s="345"/>
      <c r="D803" s="345"/>
      <c r="E803" s="345"/>
      <c r="F803" s="345"/>
      <c r="G803" s="345"/>
      <c r="H803" s="345"/>
      <c r="I803" s="345"/>
      <c r="J803" s="345"/>
      <c r="K803" s="345"/>
      <c r="L803" s="345"/>
      <c r="M803" s="345"/>
      <c r="N803" s="345"/>
      <c r="O803" s="345"/>
      <c r="P803" s="345"/>
      <c r="Q803" s="345"/>
      <c r="R803" s="345"/>
      <c r="S803" s="345"/>
      <c r="T803" s="345"/>
      <c r="U803" s="345"/>
      <c r="V803" s="345"/>
      <c r="W803" s="345"/>
      <c r="X803" s="345"/>
      <c r="Y803" s="345"/>
      <c r="Z803" s="345"/>
    </row>
    <row r="804">
      <c r="A804" s="345"/>
      <c r="B804" s="369"/>
      <c r="C804" s="345"/>
      <c r="D804" s="345"/>
      <c r="E804" s="345"/>
      <c r="F804" s="345"/>
      <c r="G804" s="345"/>
      <c r="H804" s="345"/>
      <c r="I804" s="345"/>
      <c r="J804" s="345"/>
      <c r="K804" s="345"/>
      <c r="L804" s="345"/>
      <c r="M804" s="345"/>
      <c r="N804" s="345"/>
      <c r="O804" s="345"/>
      <c r="P804" s="345"/>
      <c r="Q804" s="345"/>
      <c r="R804" s="345"/>
      <c r="S804" s="345"/>
      <c r="T804" s="345"/>
      <c r="U804" s="345"/>
      <c r="V804" s="345"/>
      <c r="W804" s="345"/>
      <c r="X804" s="345"/>
      <c r="Y804" s="345"/>
      <c r="Z804" s="345"/>
    </row>
    <row r="805">
      <c r="A805" s="345"/>
      <c r="B805" s="369"/>
      <c r="C805" s="345"/>
      <c r="D805" s="345"/>
      <c r="E805" s="345"/>
      <c r="F805" s="345"/>
      <c r="G805" s="345"/>
      <c r="H805" s="345"/>
      <c r="I805" s="345"/>
      <c r="J805" s="345"/>
      <c r="K805" s="345"/>
      <c r="L805" s="345"/>
      <c r="M805" s="345"/>
      <c r="N805" s="345"/>
      <c r="O805" s="345"/>
      <c r="P805" s="345"/>
      <c r="Q805" s="345"/>
      <c r="R805" s="345"/>
      <c r="S805" s="345"/>
      <c r="T805" s="345"/>
      <c r="U805" s="345"/>
      <c r="V805" s="345"/>
      <c r="W805" s="345"/>
      <c r="X805" s="345"/>
      <c r="Y805" s="345"/>
      <c r="Z805" s="345"/>
    </row>
    <row r="806">
      <c r="A806" s="345"/>
      <c r="B806" s="369"/>
      <c r="C806" s="345"/>
      <c r="D806" s="345"/>
      <c r="E806" s="345"/>
      <c r="F806" s="345"/>
      <c r="G806" s="345"/>
      <c r="H806" s="345"/>
      <c r="I806" s="345"/>
      <c r="J806" s="345"/>
      <c r="K806" s="345"/>
      <c r="L806" s="345"/>
      <c r="M806" s="345"/>
      <c r="N806" s="345"/>
      <c r="O806" s="345"/>
      <c r="P806" s="345"/>
      <c r="Q806" s="345"/>
      <c r="R806" s="345"/>
      <c r="S806" s="345"/>
      <c r="T806" s="345"/>
      <c r="U806" s="345"/>
      <c r="V806" s="345"/>
      <c r="W806" s="345"/>
      <c r="X806" s="345"/>
      <c r="Y806" s="345"/>
      <c r="Z806" s="345"/>
    </row>
    <row r="807">
      <c r="A807" s="345"/>
      <c r="B807" s="369"/>
      <c r="C807" s="345"/>
      <c r="D807" s="345"/>
      <c r="E807" s="345"/>
      <c r="F807" s="345"/>
      <c r="G807" s="345"/>
      <c r="H807" s="345"/>
      <c r="I807" s="345"/>
      <c r="J807" s="345"/>
      <c r="K807" s="345"/>
      <c r="L807" s="345"/>
      <c r="M807" s="345"/>
      <c r="N807" s="345"/>
      <c r="O807" s="345"/>
      <c r="P807" s="345"/>
      <c r="Q807" s="345"/>
      <c r="R807" s="345"/>
      <c r="S807" s="345"/>
      <c r="T807" s="345"/>
      <c r="U807" s="345"/>
      <c r="V807" s="345"/>
      <c r="W807" s="345"/>
      <c r="X807" s="345"/>
      <c r="Y807" s="345"/>
      <c r="Z807" s="345"/>
    </row>
    <row r="808">
      <c r="A808" s="345"/>
      <c r="B808" s="369"/>
      <c r="C808" s="345"/>
      <c r="D808" s="345"/>
      <c r="E808" s="345"/>
      <c r="F808" s="345"/>
      <c r="G808" s="345"/>
      <c r="H808" s="345"/>
      <c r="I808" s="345"/>
      <c r="J808" s="345"/>
      <c r="K808" s="345"/>
      <c r="L808" s="345"/>
      <c r="M808" s="345"/>
      <c r="N808" s="345"/>
      <c r="O808" s="345"/>
      <c r="P808" s="345"/>
      <c r="Q808" s="345"/>
      <c r="R808" s="345"/>
      <c r="S808" s="345"/>
      <c r="T808" s="345"/>
      <c r="U808" s="345"/>
      <c r="V808" s="345"/>
      <c r="W808" s="345"/>
      <c r="X808" s="345"/>
      <c r="Y808" s="345"/>
      <c r="Z808" s="345"/>
    </row>
    <row r="809">
      <c r="A809" s="345"/>
      <c r="B809" s="369"/>
      <c r="C809" s="345"/>
      <c r="D809" s="345"/>
      <c r="E809" s="345"/>
      <c r="F809" s="345"/>
      <c r="G809" s="345"/>
      <c r="H809" s="345"/>
      <c r="I809" s="345"/>
      <c r="J809" s="345"/>
      <c r="K809" s="345"/>
      <c r="L809" s="345"/>
      <c r="M809" s="345"/>
      <c r="N809" s="345"/>
      <c r="O809" s="345"/>
      <c r="P809" s="345"/>
      <c r="Q809" s="345"/>
      <c r="R809" s="345"/>
      <c r="S809" s="345"/>
      <c r="T809" s="345"/>
      <c r="U809" s="345"/>
      <c r="V809" s="345"/>
      <c r="W809" s="345"/>
      <c r="X809" s="345"/>
      <c r="Y809" s="345"/>
      <c r="Z809" s="345"/>
    </row>
    <row r="810">
      <c r="A810" s="345"/>
      <c r="B810" s="369"/>
      <c r="C810" s="345"/>
      <c r="D810" s="345"/>
      <c r="E810" s="345"/>
      <c r="F810" s="345"/>
      <c r="G810" s="345"/>
      <c r="H810" s="345"/>
      <c r="I810" s="345"/>
      <c r="J810" s="345"/>
      <c r="K810" s="345"/>
      <c r="L810" s="345"/>
      <c r="M810" s="345"/>
      <c r="N810" s="345"/>
      <c r="O810" s="345"/>
      <c r="P810" s="345"/>
      <c r="Q810" s="345"/>
      <c r="R810" s="345"/>
      <c r="S810" s="345"/>
      <c r="T810" s="345"/>
      <c r="U810" s="345"/>
      <c r="V810" s="345"/>
      <c r="W810" s="345"/>
      <c r="X810" s="345"/>
      <c r="Y810" s="345"/>
      <c r="Z810" s="345"/>
    </row>
    <row r="811">
      <c r="A811" s="345"/>
      <c r="B811" s="369"/>
      <c r="C811" s="345"/>
      <c r="D811" s="345"/>
      <c r="E811" s="345"/>
      <c r="F811" s="345"/>
      <c r="G811" s="345"/>
      <c r="H811" s="345"/>
      <c r="I811" s="345"/>
      <c r="J811" s="345"/>
      <c r="K811" s="345"/>
      <c r="L811" s="345"/>
      <c r="M811" s="345"/>
      <c r="N811" s="345"/>
      <c r="O811" s="345"/>
      <c r="P811" s="345"/>
      <c r="Q811" s="345"/>
      <c r="R811" s="345"/>
      <c r="S811" s="345"/>
      <c r="T811" s="345"/>
      <c r="U811" s="345"/>
      <c r="V811" s="345"/>
      <c r="W811" s="345"/>
      <c r="X811" s="345"/>
      <c r="Y811" s="345"/>
      <c r="Z811" s="345"/>
    </row>
    <row r="812">
      <c r="A812" s="345"/>
      <c r="B812" s="369"/>
      <c r="C812" s="345"/>
      <c r="D812" s="345"/>
      <c r="E812" s="345"/>
      <c r="F812" s="345"/>
      <c r="G812" s="345"/>
      <c r="H812" s="345"/>
      <c r="I812" s="345"/>
      <c r="J812" s="345"/>
      <c r="K812" s="345"/>
      <c r="L812" s="345"/>
      <c r="M812" s="345"/>
      <c r="N812" s="345"/>
      <c r="O812" s="345"/>
      <c r="P812" s="345"/>
      <c r="Q812" s="345"/>
      <c r="R812" s="345"/>
      <c r="S812" s="345"/>
      <c r="T812" s="345"/>
      <c r="U812" s="345"/>
      <c r="V812" s="345"/>
      <c r="W812" s="345"/>
      <c r="X812" s="345"/>
      <c r="Y812" s="345"/>
      <c r="Z812" s="345"/>
    </row>
    <row r="813">
      <c r="A813" s="345"/>
      <c r="B813" s="369"/>
      <c r="C813" s="345"/>
      <c r="D813" s="345"/>
      <c r="E813" s="345"/>
      <c r="F813" s="345"/>
      <c r="G813" s="345"/>
      <c r="H813" s="345"/>
      <c r="I813" s="345"/>
      <c r="J813" s="345"/>
      <c r="K813" s="345"/>
      <c r="L813" s="345"/>
      <c r="M813" s="345"/>
      <c r="N813" s="345"/>
      <c r="O813" s="345"/>
      <c r="P813" s="345"/>
      <c r="Q813" s="345"/>
      <c r="R813" s="345"/>
      <c r="S813" s="345"/>
      <c r="T813" s="345"/>
      <c r="U813" s="345"/>
      <c r="V813" s="345"/>
      <c r="W813" s="345"/>
      <c r="X813" s="345"/>
      <c r="Y813" s="345"/>
      <c r="Z813" s="345"/>
    </row>
    <row r="814">
      <c r="A814" s="345"/>
      <c r="B814" s="369"/>
      <c r="C814" s="345"/>
      <c r="D814" s="345"/>
      <c r="E814" s="345"/>
      <c r="F814" s="345"/>
      <c r="G814" s="345"/>
      <c r="H814" s="345"/>
      <c r="I814" s="345"/>
      <c r="J814" s="345"/>
      <c r="K814" s="345"/>
      <c r="L814" s="345"/>
      <c r="M814" s="345"/>
      <c r="N814" s="345"/>
      <c r="O814" s="345"/>
      <c r="P814" s="345"/>
      <c r="Q814" s="345"/>
      <c r="R814" s="345"/>
      <c r="S814" s="345"/>
      <c r="T814" s="345"/>
      <c r="U814" s="345"/>
      <c r="V814" s="345"/>
      <c r="W814" s="345"/>
      <c r="X814" s="345"/>
      <c r="Y814" s="345"/>
      <c r="Z814" s="345"/>
    </row>
    <row r="815">
      <c r="A815" s="345"/>
      <c r="B815" s="369"/>
      <c r="C815" s="345"/>
      <c r="D815" s="345"/>
      <c r="E815" s="345"/>
      <c r="F815" s="345"/>
      <c r="G815" s="345"/>
      <c r="H815" s="345"/>
      <c r="I815" s="345"/>
      <c r="J815" s="345"/>
      <c r="K815" s="345"/>
      <c r="L815" s="345"/>
      <c r="M815" s="345"/>
      <c r="N815" s="345"/>
      <c r="O815" s="345"/>
      <c r="P815" s="345"/>
      <c r="Q815" s="345"/>
      <c r="R815" s="345"/>
      <c r="S815" s="345"/>
      <c r="T815" s="345"/>
      <c r="U815" s="345"/>
      <c r="V815" s="345"/>
      <c r="W815" s="345"/>
      <c r="X815" s="345"/>
      <c r="Y815" s="345"/>
      <c r="Z815" s="345"/>
    </row>
    <row r="816">
      <c r="A816" s="345"/>
      <c r="B816" s="369"/>
      <c r="C816" s="345"/>
      <c r="D816" s="345"/>
      <c r="E816" s="345"/>
      <c r="F816" s="345"/>
      <c r="G816" s="345"/>
      <c r="H816" s="345"/>
      <c r="I816" s="345"/>
      <c r="J816" s="345"/>
      <c r="K816" s="345"/>
      <c r="L816" s="345"/>
      <c r="M816" s="345"/>
      <c r="N816" s="345"/>
      <c r="O816" s="345"/>
      <c r="P816" s="345"/>
      <c r="Q816" s="345"/>
      <c r="R816" s="345"/>
      <c r="S816" s="345"/>
      <c r="T816" s="345"/>
      <c r="U816" s="345"/>
      <c r="V816" s="345"/>
      <c r="W816" s="345"/>
      <c r="X816" s="345"/>
      <c r="Y816" s="345"/>
      <c r="Z816" s="345"/>
    </row>
    <row r="817">
      <c r="A817" s="345"/>
      <c r="B817" s="369"/>
      <c r="C817" s="345"/>
      <c r="D817" s="345"/>
      <c r="E817" s="345"/>
      <c r="F817" s="345"/>
      <c r="G817" s="345"/>
      <c r="H817" s="345"/>
      <c r="I817" s="345"/>
      <c r="J817" s="345"/>
      <c r="K817" s="345"/>
      <c r="L817" s="345"/>
      <c r="M817" s="345"/>
      <c r="N817" s="345"/>
      <c r="O817" s="345"/>
      <c r="P817" s="345"/>
      <c r="Q817" s="345"/>
      <c r="R817" s="345"/>
      <c r="S817" s="345"/>
      <c r="T817" s="345"/>
      <c r="U817" s="345"/>
      <c r="V817" s="345"/>
      <c r="W817" s="345"/>
      <c r="X817" s="345"/>
      <c r="Y817" s="345"/>
      <c r="Z817" s="345"/>
    </row>
    <row r="818">
      <c r="A818" s="345"/>
      <c r="B818" s="369"/>
      <c r="C818" s="345"/>
      <c r="D818" s="345"/>
      <c r="E818" s="345"/>
      <c r="F818" s="345"/>
      <c r="G818" s="345"/>
      <c r="H818" s="345"/>
      <c r="I818" s="345"/>
      <c r="J818" s="345"/>
      <c r="K818" s="345"/>
      <c r="L818" s="345"/>
      <c r="M818" s="345"/>
      <c r="N818" s="345"/>
      <c r="O818" s="345"/>
      <c r="P818" s="345"/>
      <c r="Q818" s="345"/>
      <c r="R818" s="345"/>
      <c r="S818" s="345"/>
      <c r="T818" s="345"/>
      <c r="U818" s="345"/>
      <c r="V818" s="345"/>
      <c r="W818" s="345"/>
      <c r="X818" s="345"/>
      <c r="Y818" s="345"/>
      <c r="Z818" s="345"/>
    </row>
    <row r="819">
      <c r="A819" s="345"/>
      <c r="B819" s="369"/>
      <c r="C819" s="345"/>
      <c r="D819" s="345"/>
      <c r="E819" s="345"/>
      <c r="F819" s="345"/>
      <c r="G819" s="345"/>
      <c r="H819" s="345"/>
      <c r="I819" s="345"/>
      <c r="J819" s="345"/>
      <c r="K819" s="345"/>
      <c r="L819" s="345"/>
      <c r="M819" s="345"/>
      <c r="N819" s="345"/>
      <c r="O819" s="345"/>
      <c r="P819" s="345"/>
      <c r="Q819" s="345"/>
      <c r="R819" s="345"/>
      <c r="S819" s="345"/>
      <c r="T819" s="345"/>
      <c r="U819" s="345"/>
      <c r="V819" s="345"/>
      <c r="W819" s="345"/>
      <c r="X819" s="345"/>
      <c r="Y819" s="345"/>
      <c r="Z819" s="345"/>
    </row>
    <row r="820">
      <c r="A820" s="345"/>
      <c r="B820" s="369"/>
      <c r="C820" s="345"/>
      <c r="D820" s="345"/>
      <c r="E820" s="345"/>
      <c r="F820" s="345"/>
      <c r="G820" s="345"/>
      <c r="H820" s="345"/>
      <c r="I820" s="345"/>
      <c r="J820" s="345"/>
      <c r="K820" s="345"/>
      <c r="L820" s="345"/>
      <c r="M820" s="345"/>
      <c r="N820" s="345"/>
      <c r="O820" s="345"/>
      <c r="P820" s="345"/>
      <c r="Q820" s="345"/>
      <c r="R820" s="345"/>
      <c r="S820" s="345"/>
      <c r="T820" s="345"/>
      <c r="U820" s="345"/>
      <c r="V820" s="345"/>
      <c r="W820" s="345"/>
      <c r="X820" s="345"/>
      <c r="Y820" s="345"/>
      <c r="Z820" s="345"/>
    </row>
    <row r="821">
      <c r="A821" s="345"/>
      <c r="B821" s="369"/>
      <c r="C821" s="345"/>
      <c r="D821" s="345"/>
      <c r="E821" s="345"/>
      <c r="F821" s="345"/>
      <c r="G821" s="345"/>
      <c r="H821" s="345"/>
      <c r="I821" s="345"/>
      <c r="J821" s="345"/>
      <c r="K821" s="345"/>
      <c r="L821" s="345"/>
      <c r="M821" s="345"/>
      <c r="N821" s="345"/>
      <c r="O821" s="345"/>
      <c r="P821" s="345"/>
      <c r="Q821" s="345"/>
      <c r="R821" s="345"/>
      <c r="S821" s="345"/>
      <c r="T821" s="345"/>
      <c r="U821" s="345"/>
      <c r="V821" s="345"/>
      <c r="W821" s="345"/>
      <c r="X821" s="345"/>
      <c r="Y821" s="345"/>
      <c r="Z821" s="345"/>
    </row>
    <row r="822">
      <c r="A822" s="345"/>
      <c r="B822" s="369"/>
      <c r="C822" s="345"/>
      <c r="D822" s="345"/>
      <c r="E822" s="345"/>
      <c r="F822" s="345"/>
      <c r="G822" s="345"/>
      <c r="H822" s="345"/>
      <c r="I822" s="345"/>
      <c r="J822" s="345"/>
      <c r="K822" s="345"/>
      <c r="L822" s="345"/>
      <c r="M822" s="345"/>
      <c r="N822" s="345"/>
      <c r="O822" s="345"/>
      <c r="P822" s="345"/>
      <c r="Q822" s="345"/>
      <c r="R822" s="345"/>
      <c r="S822" s="345"/>
      <c r="T822" s="345"/>
      <c r="U822" s="345"/>
      <c r="V822" s="345"/>
      <c r="W822" s="345"/>
      <c r="X822" s="345"/>
      <c r="Y822" s="345"/>
      <c r="Z822" s="345"/>
    </row>
    <row r="823">
      <c r="A823" s="345"/>
      <c r="B823" s="369"/>
      <c r="C823" s="345"/>
      <c r="D823" s="345"/>
      <c r="E823" s="345"/>
      <c r="F823" s="345"/>
      <c r="G823" s="345"/>
      <c r="H823" s="345"/>
      <c r="I823" s="345"/>
      <c r="J823" s="345"/>
      <c r="K823" s="345"/>
      <c r="L823" s="345"/>
      <c r="M823" s="345"/>
      <c r="N823" s="345"/>
      <c r="O823" s="345"/>
      <c r="P823" s="345"/>
      <c r="Q823" s="345"/>
      <c r="R823" s="345"/>
      <c r="S823" s="345"/>
      <c r="T823" s="345"/>
      <c r="U823" s="345"/>
      <c r="V823" s="345"/>
      <c r="W823" s="345"/>
      <c r="X823" s="345"/>
      <c r="Y823" s="345"/>
      <c r="Z823" s="345"/>
    </row>
    <row r="824">
      <c r="A824" s="345"/>
      <c r="B824" s="369"/>
      <c r="C824" s="345"/>
      <c r="D824" s="345"/>
      <c r="E824" s="345"/>
      <c r="F824" s="345"/>
      <c r="G824" s="345"/>
      <c r="H824" s="345"/>
      <c r="I824" s="345"/>
      <c r="J824" s="345"/>
      <c r="K824" s="345"/>
      <c r="L824" s="345"/>
      <c r="M824" s="345"/>
      <c r="N824" s="345"/>
      <c r="O824" s="345"/>
      <c r="P824" s="345"/>
      <c r="Q824" s="345"/>
      <c r="R824" s="345"/>
      <c r="S824" s="345"/>
      <c r="T824" s="345"/>
      <c r="U824" s="345"/>
      <c r="V824" s="345"/>
      <c r="W824" s="345"/>
      <c r="X824" s="345"/>
      <c r="Y824" s="345"/>
      <c r="Z824" s="345"/>
    </row>
    <row r="825">
      <c r="A825" s="345"/>
      <c r="B825" s="369"/>
      <c r="C825" s="345"/>
      <c r="D825" s="345"/>
      <c r="E825" s="345"/>
      <c r="F825" s="345"/>
      <c r="G825" s="345"/>
      <c r="H825" s="345"/>
      <c r="I825" s="345"/>
      <c r="J825" s="345"/>
      <c r="K825" s="345"/>
      <c r="L825" s="345"/>
      <c r="M825" s="345"/>
      <c r="N825" s="345"/>
      <c r="O825" s="345"/>
      <c r="P825" s="345"/>
      <c r="Q825" s="345"/>
      <c r="R825" s="345"/>
      <c r="S825" s="345"/>
      <c r="T825" s="345"/>
      <c r="U825" s="345"/>
      <c r="V825" s="345"/>
      <c r="W825" s="345"/>
      <c r="X825" s="345"/>
      <c r="Y825" s="345"/>
      <c r="Z825" s="345"/>
    </row>
    <row r="826">
      <c r="A826" s="345"/>
      <c r="B826" s="369"/>
      <c r="C826" s="345"/>
      <c r="D826" s="345"/>
      <c r="E826" s="345"/>
      <c r="F826" s="345"/>
      <c r="G826" s="345"/>
      <c r="H826" s="345"/>
      <c r="I826" s="345"/>
      <c r="J826" s="345"/>
      <c r="K826" s="345"/>
      <c r="L826" s="345"/>
      <c r="M826" s="345"/>
      <c r="N826" s="345"/>
      <c r="O826" s="345"/>
      <c r="P826" s="345"/>
      <c r="Q826" s="345"/>
      <c r="R826" s="345"/>
      <c r="S826" s="345"/>
      <c r="T826" s="345"/>
      <c r="U826" s="345"/>
      <c r="V826" s="345"/>
      <c r="W826" s="345"/>
      <c r="X826" s="345"/>
      <c r="Y826" s="345"/>
      <c r="Z826" s="345"/>
    </row>
    <row r="827">
      <c r="A827" s="345"/>
      <c r="B827" s="369"/>
      <c r="C827" s="345"/>
      <c r="D827" s="345"/>
      <c r="E827" s="345"/>
      <c r="F827" s="345"/>
      <c r="G827" s="345"/>
      <c r="H827" s="345"/>
      <c r="I827" s="345"/>
      <c r="J827" s="345"/>
      <c r="K827" s="345"/>
      <c r="L827" s="345"/>
      <c r="M827" s="345"/>
      <c r="N827" s="345"/>
      <c r="O827" s="345"/>
      <c r="P827" s="345"/>
      <c r="Q827" s="345"/>
      <c r="R827" s="345"/>
      <c r="S827" s="345"/>
      <c r="T827" s="345"/>
      <c r="U827" s="345"/>
      <c r="V827" s="345"/>
      <c r="W827" s="345"/>
      <c r="X827" s="345"/>
      <c r="Y827" s="345"/>
      <c r="Z827" s="345"/>
    </row>
    <row r="828">
      <c r="A828" s="345"/>
      <c r="B828" s="369"/>
      <c r="C828" s="345"/>
      <c r="D828" s="345"/>
      <c r="E828" s="345"/>
      <c r="F828" s="345"/>
      <c r="G828" s="345"/>
      <c r="H828" s="345"/>
      <c r="I828" s="345"/>
      <c r="J828" s="345"/>
      <c r="K828" s="345"/>
      <c r="L828" s="345"/>
      <c r="M828" s="345"/>
      <c r="N828" s="345"/>
      <c r="O828" s="345"/>
      <c r="P828" s="345"/>
      <c r="Q828" s="345"/>
      <c r="R828" s="345"/>
      <c r="S828" s="345"/>
      <c r="T828" s="345"/>
      <c r="U828" s="345"/>
      <c r="V828" s="345"/>
      <c r="W828" s="345"/>
      <c r="X828" s="345"/>
      <c r="Y828" s="345"/>
      <c r="Z828" s="345"/>
    </row>
    <row r="829">
      <c r="A829" s="345"/>
      <c r="B829" s="369"/>
      <c r="C829" s="345"/>
      <c r="D829" s="345"/>
      <c r="E829" s="345"/>
      <c r="F829" s="345"/>
      <c r="G829" s="345"/>
      <c r="H829" s="345"/>
      <c r="I829" s="345"/>
      <c r="J829" s="345"/>
      <c r="K829" s="345"/>
      <c r="L829" s="345"/>
      <c r="M829" s="345"/>
      <c r="N829" s="345"/>
      <c r="O829" s="345"/>
      <c r="P829" s="345"/>
      <c r="Q829" s="345"/>
      <c r="R829" s="345"/>
      <c r="S829" s="345"/>
      <c r="T829" s="345"/>
      <c r="U829" s="345"/>
      <c r="V829" s="345"/>
      <c r="W829" s="345"/>
      <c r="X829" s="345"/>
      <c r="Y829" s="345"/>
      <c r="Z829" s="345"/>
    </row>
    <row r="830">
      <c r="A830" s="345"/>
      <c r="B830" s="369"/>
      <c r="C830" s="345"/>
      <c r="D830" s="345"/>
      <c r="E830" s="345"/>
      <c r="F830" s="345"/>
      <c r="G830" s="345"/>
      <c r="H830" s="345"/>
      <c r="I830" s="345"/>
      <c r="J830" s="345"/>
      <c r="K830" s="345"/>
      <c r="L830" s="345"/>
      <c r="M830" s="345"/>
      <c r="N830" s="345"/>
      <c r="O830" s="345"/>
      <c r="P830" s="345"/>
      <c r="Q830" s="345"/>
      <c r="R830" s="345"/>
      <c r="S830" s="345"/>
      <c r="T830" s="345"/>
      <c r="U830" s="345"/>
      <c r="V830" s="345"/>
      <c r="W830" s="345"/>
      <c r="X830" s="345"/>
      <c r="Y830" s="345"/>
      <c r="Z830" s="345"/>
    </row>
    <row r="831">
      <c r="A831" s="345"/>
      <c r="B831" s="369"/>
      <c r="C831" s="345"/>
      <c r="D831" s="345"/>
      <c r="E831" s="345"/>
      <c r="F831" s="345"/>
      <c r="G831" s="345"/>
      <c r="H831" s="345"/>
      <c r="I831" s="345"/>
      <c r="J831" s="345"/>
      <c r="K831" s="345"/>
      <c r="L831" s="345"/>
      <c r="M831" s="345"/>
      <c r="N831" s="345"/>
      <c r="O831" s="345"/>
      <c r="P831" s="345"/>
      <c r="Q831" s="345"/>
      <c r="R831" s="345"/>
      <c r="S831" s="345"/>
      <c r="T831" s="345"/>
      <c r="U831" s="345"/>
      <c r="V831" s="345"/>
      <c r="W831" s="345"/>
      <c r="X831" s="345"/>
      <c r="Y831" s="345"/>
      <c r="Z831" s="345"/>
    </row>
    <row r="832">
      <c r="A832" s="345"/>
      <c r="B832" s="369"/>
      <c r="C832" s="345"/>
      <c r="D832" s="345"/>
      <c r="E832" s="345"/>
      <c r="F832" s="345"/>
      <c r="G832" s="345"/>
      <c r="H832" s="345"/>
      <c r="I832" s="345"/>
      <c r="J832" s="345"/>
      <c r="K832" s="345"/>
      <c r="L832" s="345"/>
      <c r="M832" s="345"/>
      <c r="N832" s="345"/>
      <c r="O832" s="345"/>
      <c r="P832" s="345"/>
      <c r="Q832" s="345"/>
      <c r="R832" s="345"/>
      <c r="S832" s="345"/>
      <c r="T832" s="345"/>
      <c r="U832" s="345"/>
      <c r="V832" s="345"/>
      <c r="W832" s="345"/>
      <c r="X832" s="345"/>
      <c r="Y832" s="345"/>
      <c r="Z832" s="345"/>
    </row>
    <row r="833">
      <c r="A833" s="345"/>
      <c r="B833" s="369"/>
      <c r="C833" s="345"/>
      <c r="D833" s="345"/>
      <c r="E833" s="345"/>
      <c r="F833" s="345"/>
      <c r="G833" s="345"/>
      <c r="H833" s="345"/>
      <c r="I833" s="345"/>
      <c r="J833" s="345"/>
      <c r="K833" s="345"/>
      <c r="L833" s="345"/>
      <c r="M833" s="345"/>
      <c r="N833" s="345"/>
      <c r="O833" s="345"/>
      <c r="P833" s="345"/>
      <c r="Q833" s="345"/>
      <c r="R833" s="345"/>
      <c r="S833" s="345"/>
      <c r="T833" s="345"/>
      <c r="U833" s="345"/>
      <c r="V833" s="345"/>
      <c r="W833" s="345"/>
      <c r="X833" s="345"/>
      <c r="Y833" s="345"/>
      <c r="Z833" s="345"/>
    </row>
    <row r="834">
      <c r="A834" s="345"/>
      <c r="B834" s="369"/>
      <c r="C834" s="345"/>
      <c r="D834" s="345"/>
      <c r="E834" s="345"/>
      <c r="F834" s="345"/>
      <c r="G834" s="345"/>
      <c r="H834" s="345"/>
      <c r="I834" s="345"/>
      <c r="J834" s="345"/>
      <c r="K834" s="345"/>
      <c r="L834" s="345"/>
      <c r="M834" s="345"/>
      <c r="N834" s="345"/>
      <c r="O834" s="345"/>
      <c r="P834" s="345"/>
      <c r="Q834" s="345"/>
      <c r="R834" s="345"/>
      <c r="S834" s="345"/>
      <c r="T834" s="345"/>
      <c r="U834" s="345"/>
      <c r="V834" s="345"/>
      <c r="W834" s="345"/>
      <c r="X834" s="345"/>
      <c r="Y834" s="345"/>
      <c r="Z834" s="345"/>
    </row>
    <row r="835">
      <c r="A835" s="345"/>
      <c r="B835" s="369"/>
      <c r="C835" s="345"/>
      <c r="D835" s="345"/>
      <c r="E835" s="345"/>
      <c r="F835" s="345"/>
      <c r="G835" s="345"/>
      <c r="H835" s="345"/>
      <c r="I835" s="345"/>
      <c r="J835" s="345"/>
      <c r="K835" s="345"/>
      <c r="L835" s="345"/>
      <c r="M835" s="345"/>
      <c r="N835" s="345"/>
      <c r="O835" s="345"/>
      <c r="P835" s="345"/>
      <c r="Q835" s="345"/>
      <c r="R835" s="345"/>
      <c r="S835" s="345"/>
      <c r="T835" s="345"/>
      <c r="U835" s="345"/>
      <c r="V835" s="345"/>
      <c r="W835" s="345"/>
      <c r="X835" s="345"/>
      <c r="Y835" s="345"/>
      <c r="Z835" s="345"/>
    </row>
    <row r="836">
      <c r="A836" s="345"/>
      <c r="B836" s="369"/>
      <c r="C836" s="345"/>
      <c r="D836" s="345"/>
      <c r="E836" s="345"/>
      <c r="F836" s="345"/>
      <c r="G836" s="345"/>
      <c r="H836" s="345"/>
      <c r="I836" s="345"/>
      <c r="J836" s="345"/>
      <c r="K836" s="345"/>
      <c r="L836" s="345"/>
      <c r="M836" s="345"/>
      <c r="N836" s="345"/>
      <c r="O836" s="345"/>
      <c r="P836" s="345"/>
      <c r="Q836" s="345"/>
      <c r="R836" s="345"/>
      <c r="S836" s="345"/>
      <c r="T836" s="345"/>
      <c r="U836" s="345"/>
      <c r="V836" s="345"/>
      <c r="W836" s="345"/>
      <c r="X836" s="345"/>
      <c r="Y836" s="345"/>
      <c r="Z836" s="345"/>
    </row>
    <row r="837">
      <c r="A837" s="345"/>
      <c r="B837" s="369"/>
      <c r="C837" s="345"/>
      <c r="D837" s="345"/>
      <c r="E837" s="345"/>
      <c r="F837" s="345"/>
      <c r="G837" s="345"/>
      <c r="H837" s="345"/>
      <c r="I837" s="345"/>
      <c r="J837" s="345"/>
      <c r="K837" s="345"/>
      <c r="L837" s="345"/>
      <c r="M837" s="345"/>
      <c r="N837" s="345"/>
      <c r="O837" s="345"/>
      <c r="P837" s="345"/>
      <c r="Q837" s="345"/>
      <c r="R837" s="345"/>
      <c r="S837" s="345"/>
      <c r="T837" s="345"/>
      <c r="U837" s="345"/>
      <c r="V837" s="345"/>
      <c r="W837" s="345"/>
      <c r="X837" s="345"/>
      <c r="Y837" s="345"/>
      <c r="Z837" s="345"/>
    </row>
    <row r="838">
      <c r="A838" s="345"/>
      <c r="B838" s="369"/>
      <c r="C838" s="345"/>
      <c r="D838" s="345"/>
      <c r="E838" s="345"/>
      <c r="F838" s="345"/>
      <c r="G838" s="345"/>
      <c r="H838" s="345"/>
      <c r="I838" s="345"/>
      <c r="J838" s="345"/>
      <c r="K838" s="345"/>
      <c r="L838" s="345"/>
      <c r="M838" s="345"/>
      <c r="N838" s="345"/>
      <c r="O838" s="345"/>
      <c r="P838" s="345"/>
      <c r="Q838" s="345"/>
      <c r="R838" s="345"/>
      <c r="S838" s="345"/>
      <c r="T838" s="345"/>
      <c r="U838" s="345"/>
      <c r="V838" s="345"/>
      <c r="W838" s="345"/>
      <c r="X838" s="345"/>
      <c r="Y838" s="345"/>
      <c r="Z838" s="345"/>
    </row>
    <row r="839">
      <c r="A839" s="345"/>
      <c r="B839" s="369"/>
      <c r="C839" s="345"/>
      <c r="D839" s="345"/>
      <c r="E839" s="345"/>
      <c r="F839" s="345"/>
      <c r="G839" s="345"/>
      <c r="H839" s="345"/>
      <c r="I839" s="345"/>
      <c r="J839" s="345"/>
      <c r="K839" s="345"/>
      <c r="L839" s="345"/>
      <c r="M839" s="345"/>
      <c r="N839" s="345"/>
      <c r="O839" s="345"/>
      <c r="P839" s="345"/>
      <c r="Q839" s="345"/>
      <c r="R839" s="345"/>
      <c r="S839" s="345"/>
      <c r="T839" s="345"/>
      <c r="U839" s="345"/>
      <c r="V839" s="345"/>
      <c r="W839" s="345"/>
      <c r="X839" s="345"/>
      <c r="Y839" s="345"/>
      <c r="Z839" s="345"/>
    </row>
    <row r="840">
      <c r="A840" s="345"/>
      <c r="B840" s="369"/>
      <c r="C840" s="345"/>
      <c r="D840" s="345"/>
      <c r="E840" s="345"/>
      <c r="F840" s="345"/>
      <c r="G840" s="345"/>
      <c r="H840" s="345"/>
      <c r="I840" s="345"/>
      <c r="J840" s="345"/>
      <c r="K840" s="345"/>
      <c r="L840" s="345"/>
      <c r="M840" s="345"/>
      <c r="N840" s="345"/>
      <c r="O840" s="345"/>
      <c r="P840" s="345"/>
      <c r="Q840" s="345"/>
      <c r="R840" s="345"/>
      <c r="S840" s="345"/>
      <c r="T840" s="345"/>
      <c r="U840" s="345"/>
      <c r="V840" s="345"/>
      <c r="W840" s="345"/>
      <c r="X840" s="345"/>
      <c r="Y840" s="345"/>
      <c r="Z840" s="345"/>
    </row>
    <row r="841">
      <c r="A841" s="345"/>
      <c r="B841" s="369"/>
      <c r="C841" s="345"/>
      <c r="D841" s="345"/>
      <c r="E841" s="345"/>
      <c r="F841" s="345"/>
      <c r="G841" s="345"/>
      <c r="H841" s="345"/>
      <c r="I841" s="345"/>
      <c r="J841" s="345"/>
      <c r="K841" s="345"/>
      <c r="L841" s="345"/>
      <c r="M841" s="345"/>
      <c r="N841" s="345"/>
      <c r="O841" s="345"/>
      <c r="P841" s="345"/>
      <c r="Q841" s="345"/>
      <c r="R841" s="345"/>
      <c r="S841" s="345"/>
      <c r="T841" s="345"/>
      <c r="U841" s="345"/>
      <c r="V841" s="345"/>
      <c r="W841" s="345"/>
      <c r="X841" s="345"/>
      <c r="Y841" s="345"/>
      <c r="Z841" s="345"/>
    </row>
    <row r="842">
      <c r="A842" s="345"/>
      <c r="B842" s="369"/>
      <c r="C842" s="345"/>
      <c r="D842" s="345"/>
      <c r="E842" s="345"/>
      <c r="F842" s="345"/>
      <c r="G842" s="345"/>
      <c r="H842" s="345"/>
      <c r="I842" s="345"/>
      <c r="J842" s="345"/>
      <c r="K842" s="345"/>
      <c r="L842" s="345"/>
      <c r="M842" s="345"/>
      <c r="N842" s="345"/>
      <c r="O842" s="345"/>
      <c r="P842" s="345"/>
      <c r="Q842" s="345"/>
      <c r="R842" s="345"/>
      <c r="S842" s="345"/>
      <c r="T842" s="345"/>
      <c r="U842" s="345"/>
      <c r="V842" s="345"/>
      <c r="W842" s="345"/>
      <c r="X842" s="345"/>
      <c r="Y842" s="345"/>
      <c r="Z842" s="345"/>
    </row>
    <row r="843">
      <c r="A843" s="345"/>
      <c r="B843" s="369"/>
      <c r="C843" s="345"/>
      <c r="D843" s="345"/>
      <c r="E843" s="345"/>
      <c r="F843" s="345"/>
      <c r="G843" s="345"/>
      <c r="H843" s="345"/>
      <c r="I843" s="345"/>
      <c r="J843" s="345"/>
      <c r="K843" s="345"/>
      <c r="L843" s="345"/>
      <c r="M843" s="345"/>
      <c r="N843" s="345"/>
      <c r="O843" s="345"/>
      <c r="P843" s="345"/>
      <c r="Q843" s="345"/>
      <c r="R843" s="345"/>
      <c r="S843" s="345"/>
      <c r="T843" s="345"/>
      <c r="U843" s="345"/>
      <c r="V843" s="345"/>
      <c r="W843" s="345"/>
      <c r="X843" s="345"/>
      <c r="Y843" s="345"/>
      <c r="Z843" s="345"/>
    </row>
    <row r="844">
      <c r="A844" s="345"/>
      <c r="B844" s="369"/>
      <c r="C844" s="345"/>
      <c r="D844" s="345"/>
      <c r="E844" s="345"/>
      <c r="F844" s="345"/>
      <c r="G844" s="345"/>
      <c r="H844" s="345"/>
      <c r="I844" s="345"/>
      <c r="J844" s="345"/>
      <c r="K844" s="345"/>
      <c r="L844" s="345"/>
      <c r="M844" s="345"/>
      <c r="N844" s="345"/>
      <c r="O844" s="345"/>
      <c r="P844" s="345"/>
      <c r="Q844" s="345"/>
      <c r="R844" s="345"/>
      <c r="S844" s="345"/>
      <c r="T844" s="345"/>
      <c r="U844" s="345"/>
      <c r="V844" s="345"/>
      <c r="W844" s="345"/>
      <c r="X844" s="345"/>
      <c r="Y844" s="345"/>
      <c r="Z844" s="345"/>
    </row>
    <row r="845">
      <c r="A845" s="345"/>
      <c r="B845" s="369"/>
      <c r="C845" s="345"/>
      <c r="D845" s="345"/>
      <c r="E845" s="345"/>
      <c r="F845" s="345"/>
      <c r="G845" s="345"/>
      <c r="H845" s="345"/>
      <c r="I845" s="345"/>
      <c r="J845" s="345"/>
      <c r="K845" s="345"/>
      <c r="L845" s="345"/>
      <c r="M845" s="345"/>
      <c r="N845" s="345"/>
      <c r="O845" s="345"/>
      <c r="P845" s="345"/>
      <c r="Q845" s="345"/>
      <c r="R845" s="345"/>
      <c r="S845" s="345"/>
      <c r="T845" s="345"/>
      <c r="U845" s="345"/>
      <c r="V845" s="345"/>
      <c r="W845" s="345"/>
      <c r="X845" s="345"/>
      <c r="Y845" s="345"/>
      <c r="Z845" s="345"/>
    </row>
    <row r="846">
      <c r="A846" s="345"/>
      <c r="B846" s="369"/>
      <c r="C846" s="345"/>
      <c r="D846" s="345"/>
      <c r="E846" s="345"/>
      <c r="F846" s="345"/>
      <c r="G846" s="345"/>
      <c r="H846" s="345"/>
      <c r="I846" s="345"/>
      <c r="J846" s="345"/>
      <c r="K846" s="345"/>
      <c r="L846" s="345"/>
      <c r="M846" s="345"/>
      <c r="N846" s="345"/>
      <c r="O846" s="345"/>
      <c r="P846" s="345"/>
      <c r="Q846" s="345"/>
      <c r="R846" s="345"/>
      <c r="S846" s="345"/>
      <c r="T846" s="345"/>
      <c r="U846" s="345"/>
      <c r="V846" s="345"/>
      <c r="W846" s="345"/>
      <c r="X846" s="345"/>
      <c r="Y846" s="345"/>
      <c r="Z846" s="345"/>
    </row>
    <row r="847">
      <c r="A847" s="345"/>
      <c r="B847" s="369"/>
      <c r="C847" s="345"/>
      <c r="D847" s="345"/>
      <c r="E847" s="345"/>
      <c r="F847" s="345"/>
      <c r="G847" s="345"/>
      <c r="H847" s="345"/>
      <c r="I847" s="345"/>
      <c r="J847" s="345"/>
      <c r="K847" s="345"/>
      <c r="L847" s="345"/>
      <c r="M847" s="345"/>
      <c r="N847" s="345"/>
      <c r="O847" s="345"/>
      <c r="P847" s="345"/>
      <c r="Q847" s="345"/>
      <c r="R847" s="345"/>
      <c r="S847" s="345"/>
      <c r="T847" s="345"/>
      <c r="U847" s="345"/>
      <c r="V847" s="345"/>
      <c r="W847" s="345"/>
      <c r="X847" s="345"/>
      <c r="Y847" s="345"/>
      <c r="Z847" s="345"/>
    </row>
    <row r="848">
      <c r="A848" s="345"/>
      <c r="B848" s="369"/>
      <c r="C848" s="345"/>
      <c r="D848" s="345"/>
      <c r="E848" s="345"/>
      <c r="F848" s="345"/>
      <c r="G848" s="345"/>
      <c r="H848" s="345"/>
      <c r="I848" s="345"/>
      <c r="J848" s="345"/>
      <c r="K848" s="345"/>
      <c r="L848" s="345"/>
      <c r="M848" s="345"/>
      <c r="N848" s="345"/>
      <c r="O848" s="345"/>
      <c r="P848" s="345"/>
      <c r="Q848" s="345"/>
      <c r="R848" s="345"/>
      <c r="S848" s="345"/>
      <c r="T848" s="345"/>
      <c r="U848" s="345"/>
      <c r="V848" s="345"/>
      <c r="W848" s="345"/>
      <c r="X848" s="345"/>
      <c r="Y848" s="345"/>
      <c r="Z848" s="345"/>
    </row>
    <row r="849">
      <c r="A849" s="345"/>
      <c r="B849" s="369"/>
      <c r="C849" s="345"/>
      <c r="D849" s="345"/>
      <c r="E849" s="345"/>
      <c r="F849" s="345"/>
      <c r="G849" s="345"/>
      <c r="H849" s="345"/>
      <c r="I849" s="345"/>
      <c r="J849" s="345"/>
      <c r="K849" s="345"/>
      <c r="L849" s="345"/>
      <c r="M849" s="345"/>
      <c r="N849" s="345"/>
      <c r="O849" s="345"/>
      <c r="P849" s="345"/>
      <c r="Q849" s="345"/>
      <c r="R849" s="345"/>
      <c r="S849" s="345"/>
      <c r="T849" s="345"/>
      <c r="U849" s="345"/>
      <c r="V849" s="345"/>
      <c r="W849" s="345"/>
      <c r="X849" s="345"/>
      <c r="Y849" s="345"/>
      <c r="Z849" s="345"/>
    </row>
    <row r="850">
      <c r="A850" s="345"/>
      <c r="B850" s="369"/>
      <c r="C850" s="345"/>
      <c r="D850" s="345"/>
      <c r="E850" s="345"/>
      <c r="F850" s="345"/>
      <c r="G850" s="345"/>
      <c r="H850" s="345"/>
      <c r="I850" s="345"/>
      <c r="J850" s="345"/>
      <c r="K850" s="345"/>
      <c r="L850" s="345"/>
      <c r="M850" s="345"/>
      <c r="N850" s="345"/>
      <c r="O850" s="345"/>
      <c r="P850" s="345"/>
      <c r="Q850" s="345"/>
      <c r="R850" s="345"/>
      <c r="S850" s="345"/>
      <c r="T850" s="345"/>
      <c r="U850" s="345"/>
      <c r="V850" s="345"/>
      <c r="W850" s="345"/>
      <c r="X850" s="345"/>
      <c r="Y850" s="345"/>
      <c r="Z850" s="345"/>
    </row>
    <row r="851">
      <c r="A851" s="345"/>
      <c r="B851" s="369"/>
      <c r="C851" s="345"/>
      <c r="D851" s="345"/>
      <c r="E851" s="345"/>
      <c r="F851" s="345"/>
      <c r="G851" s="345"/>
      <c r="H851" s="345"/>
      <c r="I851" s="345"/>
      <c r="J851" s="345"/>
      <c r="K851" s="345"/>
      <c r="L851" s="345"/>
      <c r="M851" s="345"/>
      <c r="N851" s="345"/>
      <c r="O851" s="345"/>
      <c r="P851" s="345"/>
      <c r="Q851" s="345"/>
      <c r="R851" s="345"/>
      <c r="S851" s="345"/>
      <c r="T851" s="345"/>
      <c r="U851" s="345"/>
      <c r="V851" s="345"/>
      <c r="W851" s="345"/>
      <c r="X851" s="345"/>
      <c r="Y851" s="345"/>
      <c r="Z851" s="345"/>
    </row>
    <row r="852">
      <c r="A852" s="345"/>
      <c r="B852" s="369"/>
      <c r="C852" s="345"/>
      <c r="D852" s="345"/>
      <c r="E852" s="345"/>
      <c r="F852" s="345"/>
      <c r="G852" s="345"/>
      <c r="H852" s="345"/>
      <c r="I852" s="345"/>
      <c r="J852" s="345"/>
      <c r="K852" s="345"/>
      <c r="L852" s="345"/>
      <c r="M852" s="345"/>
      <c r="N852" s="345"/>
      <c r="O852" s="345"/>
      <c r="P852" s="345"/>
      <c r="Q852" s="345"/>
      <c r="R852" s="345"/>
      <c r="S852" s="345"/>
      <c r="T852" s="345"/>
      <c r="U852" s="345"/>
      <c r="V852" s="345"/>
      <c r="W852" s="345"/>
      <c r="X852" s="345"/>
      <c r="Y852" s="345"/>
      <c r="Z852" s="345"/>
    </row>
    <row r="853">
      <c r="A853" s="345"/>
      <c r="B853" s="369"/>
      <c r="C853" s="345"/>
      <c r="D853" s="345"/>
      <c r="E853" s="345"/>
      <c r="F853" s="345"/>
      <c r="G853" s="345"/>
      <c r="H853" s="345"/>
      <c r="I853" s="345"/>
      <c r="J853" s="345"/>
      <c r="K853" s="345"/>
      <c r="L853" s="345"/>
      <c r="M853" s="345"/>
      <c r="N853" s="345"/>
      <c r="O853" s="345"/>
      <c r="P853" s="345"/>
      <c r="Q853" s="345"/>
      <c r="R853" s="345"/>
      <c r="S853" s="345"/>
      <c r="T853" s="345"/>
      <c r="U853" s="345"/>
      <c r="V853" s="345"/>
      <c r="W853" s="345"/>
      <c r="X853" s="345"/>
      <c r="Y853" s="345"/>
      <c r="Z853" s="345"/>
    </row>
    <row r="854">
      <c r="A854" s="345"/>
      <c r="B854" s="369"/>
      <c r="C854" s="345"/>
      <c r="D854" s="345"/>
      <c r="E854" s="345"/>
      <c r="F854" s="345"/>
      <c r="G854" s="345"/>
      <c r="H854" s="345"/>
      <c r="I854" s="345"/>
      <c r="J854" s="345"/>
      <c r="K854" s="345"/>
      <c r="L854" s="345"/>
      <c r="M854" s="345"/>
      <c r="N854" s="345"/>
      <c r="O854" s="345"/>
      <c r="P854" s="345"/>
      <c r="Q854" s="345"/>
      <c r="R854" s="345"/>
      <c r="S854" s="345"/>
      <c r="T854" s="345"/>
      <c r="U854" s="345"/>
      <c r="V854" s="345"/>
      <c r="W854" s="345"/>
      <c r="X854" s="345"/>
      <c r="Y854" s="345"/>
      <c r="Z854" s="345"/>
    </row>
    <row r="855">
      <c r="A855" s="345"/>
      <c r="B855" s="369"/>
      <c r="C855" s="345"/>
      <c r="D855" s="345"/>
      <c r="E855" s="345"/>
      <c r="F855" s="345"/>
      <c r="G855" s="345"/>
      <c r="H855" s="345"/>
      <c r="I855" s="345"/>
      <c r="J855" s="345"/>
      <c r="K855" s="345"/>
      <c r="L855" s="345"/>
      <c r="M855" s="345"/>
      <c r="N855" s="345"/>
      <c r="O855" s="345"/>
      <c r="P855" s="345"/>
      <c r="Q855" s="345"/>
      <c r="R855" s="345"/>
      <c r="S855" s="345"/>
      <c r="T855" s="345"/>
      <c r="U855" s="345"/>
      <c r="V855" s="345"/>
      <c r="W855" s="345"/>
      <c r="X855" s="345"/>
      <c r="Y855" s="345"/>
      <c r="Z855" s="345"/>
    </row>
    <row r="856">
      <c r="A856" s="345"/>
      <c r="B856" s="369"/>
      <c r="C856" s="345"/>
      <c r="D856" s="345"/>
      <c r="E856" s="345"/>
      <c r="F856" s="345"/>
      <c r="G856" s="345"/>
      <c r="H856" s="345"/>
      <c r="I856" s="345"/>
      <c r="J856" s="345"/>
      <c r="K856" s="345"/>
      <c r="L856" s="345"/>
      <c r="M856" s="345"/>
      <c r="N856" s="345"/>
      <c r="O856" s="345"/>
      <c r="P856" s="345"/>
      <c r="Q856" s="345"/>
      <c r="R856" s="345"/>
      <c r="S856" s="345"/>
      <c r="T856" s="345"/>
      <c r="U856" s="345"/>
      <c r="V856" s="345"/>
      <c r="W856" s="345"/>
      <c r="X856" s="345"/>
      <c r="Y856" s="345"/>
      <c r="Z856" s="345"/>
    </row>
    <row r="857">
      <c r="A857" s="345"/>
      <c r="B857" s="369"/>
      <c r="C857" s="345"/>
      <c r="D857" s="345"/>
      <c r="E857" s="345"/>
      <c r="F857" s="345"/>
      <c r="G857" s="345"/>
      <c r="H857" s="345"/>
      <c r="I857" s="345"/>
      <c r="J857" s="345"/>
      <c r="K857" s="345"/>
      <c r="L857" s="345"/>
      <c r="M857" s="345"/>
      <c r="N857" s="345"/>
      <c r="O857" s="345"/>
      <c r="P857" s="345"/>
      <c r="Q857" s="345"/>
      <c r="R857" s="345"/>
      <c r="S857" s="345"/>
      <c r="T857" s="345"/>
      <c r="U857" s="345"/>
      <c r="V857" s="345"/>
      <c r="W857" s="345"/>
      <c r="X857" s="345"/>
      <c r="Y857" s="345"/>
      <c r="Z857" s="345"/>
    </row>
    <row r="858">
      <c r="A858" s="345"/>
      <c r="B858" s="369"/>
      <c r="C858" s="345"/>
      <c r="D858" s="345"/>
      <c r="E858" s="345"/>
      <c r="F858" s="345"/>
      <c r="G858" s="345"/>
      <c r="H858" s="345"/>
      <c r="I858" s="345"/>
      <c r="J858" s="345"/>
      <c r="K858" s="345"/>
      <c r="L858" s="345"/>
      <c r="M858" s="345"/>
      <c r="N858" s="345"/>
      <c r="O858" s="345"/>
      <c r="P858" s="345"/>
      <c r="Q858" s="345"/>
      <c r="R858" s="345"/>
      <c r="S858" s="345"/>
      <c r="T858" s="345"/>
      <c r="U858" s="345"/>
      <c r="V858" s="345"/>
      <c r="W858" s="345"/>
      <c r="X858" s="345"/>
      <c r="Y858" s="345"/>
      <c r="Z858" s="345"/>
    </row>
    <row r="859">
      <c r="A859" s="345"/>
      <c r="B859" s="369"/>
      <c r="C859" s="345"/>
      <c r="D859" s="345"/>
      <c r="E859" s="345"/>
      <c r="F859" s="345"/>
      <c r="G859" s="345"/>
      <c r="H859" s="345"/>
      <c r="I859" s="345"/>
      <c r="J859" s="345"/>
      <c r="K859" s="345"/>
      <c r="L859" s="345"/>
      <c r="M859" s="345"/>
      <c r="N859" s="345"/>
      <c r="O859" s="345"/>
      <c r="P859" s="345"/>
      <c r="Q859" s="345"/>
      <c r="R859" s="345"/>
      <c r="S859" s="345"/>
      <c r="T859" s="345"/>
      <c r="U859" s="345"/>
      <c r="V859" s="345"/>
      <c r="W859" s="345"/>
      <c r="X859" s="345"/>
      <c r="Y859" s="345"/>
      <c r="Z859" s="345"/>
    </row>
    <row r="860">
      <c r="A860" s="345"/>
      <c r="B860" s="369"/>
      <c r="C860" s="345"/>
      <c r="D860" s="345"/>
      <c r="E860" s="345"/>
      <c r="F860" s="345"/>
      <c r="G860" s="345"/>
      <c r="H860" s="345"/>
      <c r="I860" s="345"/>
      <c r="J860" s="345"/>
      <c r="K860" s="345"/>
      <c r="L860" s="345"/>
      <c r="M860" s="345"/>
      <c r="N860" s="345"/>
      <c r="O860" s="345"/>
      <c r="P860" s="345"/>
      <c r="Q860" s="345"/>
      <c r="R860" s="345"/>
      <c r="S860" s="345"/>
      <c r="T860" s="345"/>
      <c r="U860" s="345"/>
      <c r="V860" s="345"/>
      <c r="W860" s="345"/>
      <c r="X860" s="345"/>
      <c r="Y860" s="345"/>
      <c r="Z860" s="345"/>
    </row>
    <row r="861">
      <c r="A861" s="345"/>
      <c r="B861" s="369"/>
      <c r="C861" s="345"/>
      <c r="D861" s="345"/>
      <c r="E861" s="345"/>
      <c r="F861" s="345"/>
      <c r="G861" s="345"/>
      <c r="H861" s="345"/>
      <c r="I861" s="345"/>
      <c r="J861" s="345"/>
      <c r="K861" s="345"/>
      <c r="L861" s="345"/>
      <c r="M861" s="345"/>
      <c r="N861" s="345"/>
      <c r="O861" s="345"/>
      <c r="P861" s="345"/>
      <c r="Q861" s="345"/>
      <c r="R861" s="345"/>
      <c r="S861" s="345"/>
      <c r="T861" s="345"/>
      <c r="U861" s="345"/>
      <c r="V861" s="345"/>
      <c r="W861" s="345"/>
      <c r="X861" s="345"/>
      <c r="Y861" s="345"/>
      <c r="Z861" s="345"/>
    </row>
    <row r="862">
      <c r="A862" s="345"/>
      <c r="B862" s="369"/>
      <c r="C862" s="345"/>
      <c r="D862" s="345"/>
      <c r="E862" s="345"/>
      <c r="F862" s="345"/>
      <c r="G862" s="345"/>
      <c r="H862" s="345"/>
      <c r="I862" s="345"/>
      <c r="J862" s="345"/>
      <c r="K862" s="345"/>
      <c r="L862" s="345"/>
      <c r="M862" s="345"/>
      <c r="N862" s="345"/>
      <c r="O862" s="345"/>
      <c r="P862" s="345"/>
      <c r="Q862" s="345"/>
      <c r="R862" s="345"/>
      <c r="S862" s="345"/>
      <c r="T862" s="345"/>
      <c r="U862" s="345"/>
      <c r="V862" s="345"/>
      <c r="W862" s="345"/>
      <c r="X862" s="345"/>
      <c r="Y862" s="345"/>
      <c r="Z862" s="345"/>
    </row>
    <row r="863">
      <c r="A863" s="345"/>
      <c r="B863" s="369"/>
      <c r="C863" s="345"/>
      <c r="D863" s="345"/>
      <c r="E863" s="345"/>
      <c r="F863" s="345"/>
      <c r="G863" s="345"/>
      <c r="H863" s="345"/>
      <c r="I863" s="345"/>
      <c r="J863" s="345"/>
      <c r="K863" s="345"/>
      <c r="L863" s="345"/>
      <c r="M863" s="345"/>
      <c r="N863" s="345"/>
      <c r="O863" s="345"/>
      <c r="P863" s="345"/>
      <c r="Q863" s="345"/>
      <c r="R863" s="345"/>
      <c r="S863" s="345"/>
      <c r="T863" s="345"/>
      <c r="U863" s="345"/>
      <c r="V863" s="345"/>
      <c r="W863" s="345"/>
      <c r="X863" s="345"/>
      <c r="Y863" s="345"/>
      <c r="Z863" s="345"/>
    </row>
    <row r="864">
      <c r="A864" s="345"/>
      <c r="B864" s="369"/>
      <c r="C864" s="345"/>
      <c r="D864" s="345"/>
      <c r="E864" s="345"/>
      <c r="F864" s="345"/>
      <c r="G864" s="345"/>
      <c r="H864" s="345"/>
      <c r="I864" s="345"/>
      <c r="J864" s="345"/>
      <c r="K864" s="345"/>
      <c r="L864" s="345"/>
      <c r="M864" s="345"/>
      <c r="N864" s="345"/>
      <c r="O864" s="345"/>
      <c r="P864" s="345"/>
      <c r="Q864" s="345"/>
      <c r="R864" s="345"/>
      <c r="S864" s="345"/>
      <c r="T864" s="345"/>
      <c r="U864" s="345"/>
      <c r="V864" s="345"/>
      <c r="W864" s="345"/>
      <c r="X864" s="345"/>
      <c r="Y864" s="345"/>
      <c r="Z864" s="345"/>
    </row>
    <row r="865">
      <c r="A865" s="345"/>
      <c r="B865" s="369"/>
      <c r="C865" s="345"/>
      <c r="D865" s="345"/>
      <c r="E865" s="345"/>
      <c r="F865" s="345"/>
      <c r="G865" s="345"/>
      <c r="H865" s="345"/>
      <c r="I865" s="345"/>
      <c r="J865" s="345"/>
      <c r="K865" s="345"/>
      <c r="L865" s="345"/>
      <c r="M865" s="345"/>
      <c r="N865" s="345"/>
      <c r="O865" s="345"/>
      <c r="P865" s="345"/>
      <c r="Q865" s="345"/>
      <c r="R865" s="345"/>
      <c r="S865" s="345"/>
      <c r="T865" s="345"/>
      <c r="U865" s="345"/>
      <c r="V865" s="345"/>
      <c r="W865" s="345"/>
      <c r="X865" s="345"/>
      <c r="Y865" s="345"/>
      <c r="Z865" s="345"/>
    </row>
    <row r="866">
      <c r="A866" s="345"/>
      <c r="B866" s="369"/>
      <c r="C866" s="345"/>
      <c r="D866" s="345"/>
      <c r="E866" s="345"/>
      <c r="F866" s="345"/>
      <c r="G866" s="345"/>
      <c r="H866" s="345"/>
      <c r="I866" s="345"/>
      <c r="J866" s="345"/>
      <c r="K866" s="345"/>
      <c r="L866" s="345"/>
      <c r="M866" s="345"/>
      <c r="N866" s="345"/>
      <c r="O866" s="345"/>
      <c r="P866" s="345"/>
      <c r="Q866" s="345"/>
      <c r="R866" s="345"/>
      <c r="S866" s="345"/>
      <c r="T866" s="345"/>
      <c r="U866" s="345"/>
      <c r="V866" s="345"/>
      <c r="W866" s="345"/>
      <c r="X866" s="345"/>
      <c r="Y866" s="345"/>
      <c r="Z866" s="345"/>
    </row>
    <row r="867">
      <c r="A867" s="345"/>
      <c r="B867" s="369"/>
      <c r="C867" s="345"/>
      <c r="D867" s="345"/>
      <c r="E867" s="345"/>
      <c r="F867" s="345"/>
      <c r="G867" s="345"/>
      <c r="H867" s="345"/>
      <c r="I867" s="345"/>
      <c r="J867" s="345"/>
      <c r="K867" s="345"/>
      <c r="L867" s="345"/>
      <c r="M867" s="345"/>
      <c r="N867" s="345"/>
      <c r="O867" s="345"/>
      <c r="P867" s="345"/>
      <c r="Q867" s="345"/>
      <c r="R867" s="345"/>
      <c r="S867" s="345"/>
      <c r="T867" s="345"/>
      <c r="U867" s="345"/>
      <c r="V867" s="345"/>
      <c r="W867" s="345"/>
      <c r="X867" s="345"/>
      <c r="Y867" s="345"/>
      <c r="Z867" s="345"/>
    </row>
    <row r="868">
      <c r="A868" s="345"/>
      <c r="B868" s="369"/>
      <c r="C868" s="345"/>
      <c r="D868" s="345"/>
      <c r="E868" s="345"/>
      <c r="F868" s="345"/>
      <c r="G868" s="345"/>
      <c r="H868" s="345"/>
      <c r="I868" s="345"/>
      <c r="J868" s="345"/>
      <c r="K868" s="345"/>
      <c r="L868" s="345"/>
      <c r="M868" s="345"/>
      <c r="N868" s="345"/>
      <c r="O868" s="345"/>
      <c r="P868" s="345"/>
      <c r="Q868" s="345"/>
      <c r="R868" s="345"/>
      <c r="S868" s="345"/>
      <c r="T868" s="345"/>
      <c r="U868" s="345"/>
      <c r="V868" s="345"/>
      <c r="W868" s="345"/>
      <c r="X868" s="345"/>
      <c r="Y868" s="345"/>
      <c r="Z868" s="345"/>
    </row>
    <row r="869">
      <c r="A869" s="345"/>
      <c r="B869" s="369"/>
      <c r="C869" s="345"/>
      <c r="D869" s="345"/>
      <c r="E869" s="345"/>
      <c r="F869" s="345"/>
      <c r="G869" s="345"/>
      <c r="H869" s="345"/>
      <c r="I869" s="345"/>
      <c r="J869" s="345"/>
      <c r="K869" s="345"/>
      <c r="L869" s="345"/>
      <c r="M869" s="345"/>
      <c r="N869" s="345"/>
      <c r="O869" s="345"/>
      <c r="P869" s="345"/>
      <c r="Q869" s="345"/>
      <c r="R869" s="345"/>
      <c r="S869" s="345"/>
      <c r="T869" s="345"/>
      <c r="U869" s="345"/>
      <c r="V869" s="345"/>
      <c r="W869" s="345"/>
      <c r="X869" s="345"/>
      <c r="Y869" s="345"/>
      <c r="Z869" s="345"/>
    </row>
    <row r="870">
      <c r="A870" s="345"/>
      <c r="B870" s="369"/>
      <c r="C870" s="345"/>
      <c r="D870" s="345"/>
      <c r="E870" s="345"/>
      <c r="F870" s="345"/>
      <c r="G870" s="345"/>
      <c r="H870" s="345"/>
      <c r="I870" s="345"/>
      <c r="J870" s="345"/>
      <c r="K870" s="345"/>
      <c r="L870" s="345"/>
      <c r="M870" s="345"/>
      <c r="N870" s="345"/>
      <c r="O870" s="345"/>
      <c r="P870" s="345"/>
      <c r="Q870" s="345"/>
      <c r="R870" s="345"/>
      <c r="S870" s="345"/>
      <c r="T870" s="345"/>
      <c r="U870" s="345"/>
      <c r="V870" s="345"/>
      <c r="W870" s="345"/>
      <c r="X870" s="345"/>
      <c r="Y870" s="345"/>
      <c r="Z870" s="345"/>
    </row>
    <row r="871">
      <c r="A871" s="345"/>
      <c r="B871" s="369"/>
      <c r="C871" s="345"/>
      <c r="D871" s="345"/>
      <c r="E871" s="345"/>
      <c r="F871" s="345"/>
      <c r="G871" s="345"/>
      <c r="H871" s="345"/>
      <c r="I871" s="345"/>
      <c r="J871" s="345"/>
      <c r="K871" s="345"/>
      <c r="L871" s="345"/>
      <c r="M871" s="345"/>
      <c r="N871" s="345"/>
      <c r="O871" s="345"/>
      <c r="P871" s="345"/>
      <c r="Q871" s="345"/>
      <c r="R871" s="345"/>
      <c r="S871" s="345"/>
      <c r="T871" s="345"/>
      <c r="U871" s="345"/>
      <c r="V871" s="345"/>
      <c r="W871" s="345"/>
      <c r="X871" s="345"/>
      <c r="Y871" s="345"/>
      <c r="Z871" s="345"/>
    </row>
    <row r="872">
      <c r="A872" s="345"/>
      <c r="B872" s="369"/>
      <c r="C872" s="345"/>
      <c r="D872" s="345"/>
      <c r="E872" s="345"/>
      <c r="F872" s="345"/>
      <c r="G872" s="345"/>
      <c r="H872" s="345"/>
      <c r="I872" s="345"/>
      <c r="J872" s="345"/>
      <c r="K872" s="345"/>
      <c r="L872" s="345"/>
      <c r="M872" s="345"/>
      <c r="N872" s="345"/>
      <c r="O872" s="345"/>
      <c r="P872" s="345"/>
      <c r="Q872" s="345"/>
      <c r="R872" s="345"/>
      <c r="S872" s="345"/>
      <c r="T872" s="345"/>
      <c r="U872" s="345"/>
      <c r="V872" s="345"/>
      <c r="W872" s="345"/>
      <c r="X872" s="345"/>
      <c r="Y872" s="345"/>
      <c r="Z872" s="345"/>
    </row>
    <row r="873">
      <c r="A873" s="345"/>
      <c r="B873" s="369"/>
      <c r="C873" s="345"/>
      <c r="D873" s="345"/>
      <c r="E873" s="345"/>
      <c r="F873" s="345"/>
      <c r="G873" s="345"/>
      <c r="H873" s="345"/>
      <c r="I873" s="345"/>
      <c r="J873" s="345"/>
      <c r="K873" s="345"/>
      <c r="L873" s="345"/>
      <c r="M873" s="345"/>
      <c r="N873" s="345"/>
      <c r="O873" s="345"/>
      <c r="P873" s="345"/>
      <c r="Q873" s="345"/>
      <c r="R873" s="345"/>
      <c r="S873" s="345"/>
      <c r="T873" s="345"/>
      <c r="U873" s="345"/>
      <c r="V873" s="345"/>
      <c r="W873" s="345"/>
      <c r="X873" s="345"/>
      <c r="Y873" s="345"/>
      <c r="Z873" s="345"/>
    </row>
    <row r="874">
      <c r="A874" s="345"/>
      <c r="B874" s="369"/>
      <c r="C874" s="345"/>
      <c r="D874" s="345"/>
      <c r="E874" s="345"/>
      <c r="F874" s="345"/>
      <c r="G874" s="345"/>
      <c r="H874" s="345"/>
      <c r="I874" s="345"/>
      <c r="J874" s="345"/>
      <c r="K874" s="345"/>
      <c r="L874" s="345"/>
      <c r="M874" s="345"/>
      <c r="N874" s="345"/>
      <c r="O874" s="345"/>
      <c r="P874" s="345"/>
      <c r="Q874" s="345"/>
      <c r="R874" s="345"/>
      <c r="S874" s="345"/>
      <c r="T874" s="345"/>
      <c r="U874" s="345"/>
      <c r="V874" s="345"/>
      <c r="W874" s="345"/>
      <c r="X874" s="345"/>
      <c r="Y874" s="345"/>
      <c r="Z874" s="345"/>
    </row>
    <row r="875">
      <c r="A875" s="345"/>
      <c r="B875" s="369"/>
      <c r="C875" s="345"/>
      <c r="D875" s="345"/>
      <c r="E875" s="345"/>
      <c r="F875" s="345"/>
      <c r="G875" s="345"/>
      <c r="H875" s="345"/>
      <c r="I875" s="345"/>
      <c r="J875" s="345"/>
      <c r="K875" s="345"/>
      <c r="L875" s="345"/>
      <c r="M875" s="345"/>
      <c r="N875" s="345"/>
      <c r="O875" s="345"/>
      <c r="P875" s="345"/>
      <c r="Q875" s="345"/>
      <c r="R875" s="345"/>
      <c r="S875" s="345"/>
      <c r="T875" s="345"/>
      <c r="U875" s="345"/>
      <c r="V875" s="345"/>
      <c r="W875" s="345"/>
      <c r="X875" s="345"/>
      <c r="Y875" s="345"/>
      <c r="Z875" s="345"/>
    </row>
    <row r="876">
      <c r="A876" s="345"/>
      <c r="B876" s="369"/>
      <c r="C876" s="345"/>
      <c r="D876" s="345"/>
      <c r="E876" s="345"/>
      <c r="F876" s="345"/>
      <c r="G876" s="345"/>
      <c r="H876" s="345"/>
      <c r="I876" s="345"/>
      <c r="J876" s="345"/>
      <c r="K876" s="345"/>
      <c r="L876" s="345"/>
      <c r="M876" s="345"/>
      <c r="N876" s="345"/>
      <c r="O876" s="345"/>
      <c r="P876" s="345"/>
      <c r="Q876" s="345"/>
      <c r="R876" s="345"/>
      <c r="S876" s="345"/>
      <c r="T876" s="345"/>
      <c r="U876" s="345"/>
      <c r="V876" s="345"/>
      <c r="W876" s="345"/>
      <c r="X876" s="345"/>
      <c r="Y876" s="345"/>
      <c r="Z876" s="345"/>
    </row>
    <row r="877">
      <c r="A877" s="345"/>
      <c r="B877" s="369"/>
      <c r="C877" s="345"/>
      <c r="D877" s="345"/>
      <c r="E877" s="345"/>
      <c r="F877" s="345"/>
      <c r="G877" s="345"/>
      <c r="H877" s="345"/>
      <c r="I877" s="345"/>
      <c r="J877" s="345"/>
      <c r="K877" s="345"/>
      <c r="L877" s="345"/>
      <c r="M877" s="345"/>
      <c r="N877" s="345"/>
      <c r="O877" s="345"/>
      <c r="P877" s="345"/>
      <c r="Q877" s="345"/>
      <c r="R877" s="345"/>
      <c r="S877" s="345"/>
      <c r="T877" s="345"/>
      <c r="U877" s="345"/>
      <c r="V877" s="345"/>
      <c r="W877" s="345"/>
      <c r="X877" s="345"/>
      <c r="Y877" s="345"/>
      <c r="Z877" s="345"/>
    </row>
    <row r="878">
      <c r="A878" s="345"/>
      <c r="B878" s="369"/>
      <c r="C878" s="345"/>
      <c r="D878" s="345"/>
      <c r="E878" s="345"/>
      <c r="F878" s="345"/>
      <c r="G878" s="345"/>
      <c r="H878" s="345"/>
      <c r="I878" s="345"/>
      <c r="J878" s="345"/>
      <c r="K878" s="345"/>
      <c r="L878" s="345"/>
      <c r="M878" s="345"/>
      <c r="N878" s="345"/>
      <c r="O878" s="345"/>
      <c r="P878" s="345"/>
      <c r="Q878" s="345"/>
      <c r="R878" s="345"/>
      <c r="S878" s="345"/>
      <c r="T878" s="345"/>
      <c r="U878" s="345"/>
      <c r="V878" s="345"/>
      <c r="W878" s="345"/>
      <c r="X878" s="345"/>
      <c r="Y878" s="345"/>
      <c r="Z878" s="345"/>
    </row>
    <row r="879">
      <c r="A879" s="345"/>
      <c r="B879" s="369"/>
      <c r="C879" s="345"/>
      <c r="D879" s="345"/>
      <c r="E879" s="345"/>
      <c r="F879" s="345"/>
      <c r="G879" s="345"/>
      <c r="H879" s="345"/>
      <c r="I879" s="345"/>
      <c r="J879" s="345"/>
      <c r="K879" s="345"/>
      <c r="L879" s="345"/>
      <c r="M879" s="345"/>
      <c r="N879" s="345"/>
      <c r="O879" s="345"/>
      <c r="P879" s="345"/>
      <c r="Q879" s="345"/>
      <c r="R879" s="345"/>
      <c r="S879" s="345"/>
      <c r="T879" s="345"/>
      <c r="U879" s="345"/>
      <c r="V879" s="345"/>
      <c r="W879" s="345"/>
      <c r="X879" s="345"/>
      <c r="Y879" s="345"/>
      <c r="Z879" s="345"/>
    </row>
    <row r="880">
      <c r="A880" s="345"/>
      <c r="B880" s="369"/>
      <c r="C880" s="345"/>
      <c r="D880" s="345"/>
      <c r="E880" s="345"/>
      <c r="F880" s="345"/>
      <c r="G880" s="345"/>
      <c r="H880" s="345"/>
      <c r="I880" s="345"/>
      <c r="J880" s="345"/>
      <c r="K880" s="345"/>
      <c r="L880" s="345"/>
      <c r="M880" s="345"/>
      <c r="N880" s="345"/>
      <c r="O880" s="345"/>
      <c r="P880" s="345"/>
      <c r="Q880" s="345"/>
      <c r="R880" s="345"/>
      <c r="S880" s="345"/>
      <c r="T880" s="345"/>
      <c r="U880" s="345"/>
      <c r="V880" s="345"/>
      <c r="W880" s="345"/>
      <c r="X880" s="345"/>
      <c r="Y880" s="345"/>
      <c r="Z880" s="345"/>
    </row>
    <row r="881">
      <c r="A881" s="345"/>
      <c r="B881" s="369"/>
      <c r="C881" s="345"/>
      <c r="D881" s="345"/>
      <c r="E881" s="345"/>
      <c r="F881" s="345"/>
      <c r="G881" s="345"/>
      <c r="H881" s="345"/>
      <c r="I881" s="345"/>
      <c r="J881" s="345"/>
      <c r="K881" s="345"/>
      <c r="L881" s="345"/>
      <c r="M881" s="345"/>
      <c r="N881" s="345"/>
      <c r="O881" s="345"/>
      <c r="P881" s="345"/>
      <c r="Q881" s="345"/>
      <c r="R881" s="345"/>
      <c r="S881" s="345"/>
      <c r="T881" s="345"/>
      <c r="U881" s="345"/>
      <c r="V881" s="345"/>
      <c r="W881" s="345"/>
      <c r="X881" s="345"/>
      <c r="Y881" s="345"/>
      <c r="Z881" s="345"/>
    </row>
    <row r="882">
      <c r="A882" s="345"/>
      <c r="B882" s="369"/>
      <c r="C882" s="345"/>
      <c r="D882" s="345"/>
      <c r="E882" s="345"/>
      <c r="F882" s="345"/>
      <c r="G882" s="345"/>
      <c r="H882" s="345"/>
      <c r="I882" s="345"/>
      <c r="J882" s="345"/>
      <c r="K882" s="345"/>
      <c r="L882" s="345"/>
      <c r="M882" s="345"/>
      <c r="N882" s="345"/>
      <c r="O882" s="345"/>
      <c r="P882" s="345"/>
      <c r="Q882" s="345"/>
      <c r="R882" s="345"/>
      <c r="S882" s="345"/>
      <c r="T882" s="345"/>
      <c r="U882" s="345"/>
      <c r="V882" s="345"/>
      <c r="W882" s="345"/>
      <c r="X882" s="345"/>
      <c r="Y882" s="345"/>
      <c r="Z882" s="345"/>
    </row>
    <row r="883">
      <c r="A883" s="345"/>
      <c r="B883" s="369"/>
      <c r="C883" s="345"/>
      <c r="D883" s="345"/>
      <c r="E883" s="345"/>
      <c r="F883" s="345"/>
      <c r="G883" s="345"/>
      <c r="H883" s="345"/>
      <c r="I883" s="345"/>
      <c r="J883" s="345"/>
      <c r="K883" s="345"/>
      <c r="L883" s="345"/>
      <c r="M883" s="345"/>
      <c r="N883" s="345"/>
      <c r="O883" s="345"/>
      <c r="P883" s="345"/>
      <c r="Q883" s="345"/>
      <c r="R883" s="345"/>
      <c r="S883" s="345"/>
      <c r="T883" s="345"/>
      <c r="U883" s="345"/>
      <c r="V883" s="345"/>
      <c r="W883" s="345"/>
      <c r="X883" s="345"/>
      <c r="Y883" s="345"/>
      <c r="Z883" s="345"/>
    </row>
    <row r="884">
      <c r="A884" s="345"/>
      <c r="B884" s="369"/>
      <c r="C884" s="345"/>
      <c r="D884" s="345"/>
      <c r="E884" s="345"/>
      <c r="F884" s="345"/>
      <c r="G884" s="345"/>
      <c r="H884" s="345"/>
      <c r="I884" s="345"/>
      <c r="J884" s="345"/>
      <c r="K884" s="345"/>
      <c r="L884" s="345"/>
      <c r="M884" s="345"/>
      <c r="N884" s="345"/>
      <c r="O884" s="345"/>
      <c r="P884" s="345"/>
      <c r="Q884" s="345"/>
      <c r="R884" s="345"/>
      <c r="S884" s="345"/>
      <c r="T884" s="345"/>
      <c r="U884" s="345"/>
      <c r="V884" s="345"/>
      <c r="W884" s="345"/>
      <c r="X884" s="345"/>
      <c r="Y884" s="345"/>
      <c r="Z884" s="345"/>
    </row>
    <row r="885">
      <c r="A885" s="345"/>
      <c r="B885" s="369"/>
      <c r="C885" s="345"/>
      <c r="D885" s="345"/>
      <c r="E885" s="345"/>
      <c r="F885" s="345"/>
      <c r="G885" s="345"/>
      <c r="H885" s="345"/>
      <c r="I885" s="345"/>
      <c r="J885" s="345"/>
      <c r="K885" s="345"/>
      <c r="L885" s="345"/>
      <c r="M885" s="345"/>
      <c r="N885" s="345"/>
      <c r="O885" s="345"/>
      <c r="P885" s="345"/>
      <c r="Q885" s="345"/>
      <c r="R885" s="345"/>
      <c r="S885" s="345"/>
      <c r="T885" s="345"/>
      <c r="U885" s="345"/>
      <c r="V885" s="345"/>
      <c r="W885" s="345"/>
      <c r="X885" s="345"/>
      <c r="Y885" s="345"/>
      <c r="Z885" s="345"/>
    </row>
    <row r="886">
      <c r="A886" s="345"/>
      <c r="B886" s="369"/>
      <c r="C886" s="345"/>
      <c r="D886" s="345"/>
      <c r="E886" s="345"/>
      <c r="F886" s="345"/>
      <c r="G886" s="345"/>
      <c r="H886" s="345"/>
      <c r="I886" s="345"/>
      <c r="J886" s="345"/>
      <c r="K886" s="345"/>
      <c r="L886" s="345"/>
      <c r="M886" s="345"/>
      <c r="N886" s="345"/>
      <c r="O886" s="345"/>
      <c r="P886" s="345"/>
      <c r="Q886" s="345"/>
      <c r="R886" s="345"/>
      <c r="S886" s="345"/>
      <c r="T886" s="345"/>
      <c r="U886" s="345"/>
      <c r="V886" s="345"/>
      <c r="W886" s="345"/>
      <c r="X886" s="345"/>
      <c r="Y886" s="345"/>
      <c r="Z886" s="345"/>
    </row>
    <row r="887">
      <c r="A887" s="345"/>
      <c r="B887" s="369"/>
      <c r="C887" s="345"/>
      <c r="D887" s="345"/>
      <c r="E887" s="345"/>
      <c r="F887" s="345"/>
      <c r="G887" s="345"/>
      <c r="H887" s="345"/>
      <c r="I887" s="345"/>
      <c r="J887" s="345"/>
      <c r="K887" s="345"/>
      <c r="L887" s="345"/>
      <c r="M887" s="345"/>
      <c r="N887" s="345"/>
      <c r="O887" s="345"/>
      <c r="P887" s="345"/>
      <c r="Q887" s="345"/>
      <c r="R887" s="345"/>
      <c r="S887" s="345"/>
      <c r="T887" s="345"/>
      <c r="U887" s="345"/>
      <c r="V887" s="345"/>
      <c r="W887" s="345"/>
      <c r="X887" s="345"/>
      <c r="Y887" s="345"/>
      <c r="Z887" s="345"/>
    </row>
    <row r="888">
      <c r="A888" s="345"/>
      <c r="B888" s="369"/>
      <c r="C888" s="345"/>
      <c r="D888" s="345"/>
      <c r="E888" s="345"/>
      <c r="F888" s="345"/>
      <c r="G888" s="345"/>
      <c r="H888" s="345"/>
      <c r="I888" s="345"/>
      <c r="J888" s="345"/>
      <c r="K888" s="345"/>
      <c r="L888" s="345"/>
      <c r="M888" s="345"/>
      <c r="N888" s="345"/>
      <c r="O888" s="345"/>
      <c r="P888" s="345"/>
      <c r="Q888" s="345"/>
      <c r="R888" s="345"/>
      <c r="S888" s="345"/>
      <c r="T888" s="345"/>
      <c r="U888" s="345"/>
      <c r="V888" s="345"/>
      <c r="W888" s="345"/>
      <c r="X888" s="345"/>
      <c r="Y888" s="345"/>
      <c r="Z888" s="345"/>
    </row>
    <row r="889">
      <c r="A889" s="345"/>
      <c r="B889" s="369"/>
      <c r="C889" s="345"/>
      <c r="D889" s="345"/>
      <c r="E889" s="345"/>
      <c r="F889" s="345"/>
      <c r="G889" s="345"/>
      <c r="H889" s="345"/>
      <c r="I889" s="345"/>
      <c r="J889" s="345"/>
      <c r="K889" s="345"/>
      <c r="L889" s="345"/>
      <c r="M889" s="345"/>
      <c r="N889" s="345"/>
      <c r="O889" s="345"/>
      <c r="P889" s="345"/>
      <c r="Q889" s="345"/>
      <c r="R889" s="345"/>
      <c r="S889" s="345"/>
      <c r="T889" s="345"/>
      <c r="U889" s="345"/>
      <c r="V889" s="345"/>
      <c r="W889" s="345"/>
      <c r="X889" s="345"/>
      <c r="Y889" s="345"/>
      <c r="Z889" s="345"/>
    </row>
    <row r="890">
      <c r="A890" s="345"/>
      <c r="B890" s="369"/>
      <c r="C890" s="345"/>
      <c r="D890" s="345"/>
      <c r="E890" s="345"/>
      <c r="F890" s="345"/>
      <c r="G890" s="345"/>
      <c r="H890" s="345"/>
      <c r="I890" s="345"/>
      <c r="J890" s="345"/>
      <c r="K890" s="345"/>
      <c r="L890" s="345"/>
      <c r="M890" s="345"/>
      <c r="N890" s="345"/>
      <c r="O890" s="345"/>
      <c r="P890" s="345"/>
      <c r="Q890" s="345"/>
      <c r="R890" s="345"/>
      <c r="S890" s="345"/>
      <c r="T890" s="345"/>
      <c r="U890" s="345"/>
      <c r="V890" s="345"/>
      <c r="W890" s="345"/>
      <c r="X890" s="345"/>
      <c r="Y890" s="345"/>
      <c r="Z890" s="345"/>
    </row>
    <row r="891">
      <c r="A891" s="345"/>
      <c r="B891" s="369"/>
      <c r="C891" s="345"/>
      <c r="D891" s="345"/>
      <c r="E891" s="345"/>
      <c r="F891" s="345"/>
      <c r="G891" s="345"/>
      <c r="H891" s="345"/>
      <c r="I891" s="345"/>
      <c r="J891" s="345"/>
      <c r="K891" s="345"/>
      <c r="L891" s="345"/>
      <c r="M891" s="345"/>
      <c r="N891" s="345"/>
      <c r="O891" s="345"/>
      <c r="P891" s="345"/>
      <c r="Q891" s="345"/>
      <c r="R891" s="345"/>
      <c r="S891" s="345"/>
      <c r="T891" s="345"/>
      <c r="U891" s="345"/>
      <c r="V891" s="345"/>
      <c r="W891" s="345"/>
      <c r="X891" s="345"/>
      <c r="Y891" s="345"/>
      <c r="Z891" s="345"/>
    </row>
    <row r="892">
      <c r="A892" s="345"/>
      <c r="B892" s="369"/>
      <c r="C892" s="345"/>
      <c r="D892" s="345"/>
      <c r="E892" s="345"/>
      <c r="F892" s="345"/>
      <c r="G892" s="345"/>
      <c r="H892" s="345"/>
      <c r="I892" s="345"/>
      <c r="J892" s="345"/>
      <c r="K892" s="345"/>
      <c r="L892" s="345"/>
      <c r="M892" s="345"/>
      <c r="N892" s="345"/>
      <c r="O892" s="345"/>
      <c r="P892" s="345"/>
      <c r="Q892" s="345"/>
      <c r="R892" s="345"/>
      <c r="S892" s="345"/>
      <c r="T892" s="345"/>
      <c r="U892" s="345"/>
      <c r="V892" s="345"/>
      <c r="W892" s="345"/>
      <c r="X892" s="345"/>
      <c r="Y892" s="345"/>
      <c r="Z892" s="345"/>
    </row>
    <row r="893">
      <c r="A893" s="345"/>
      <c r="B893" s="369"/>
      <c r="C893" s="345"/>
      <c r="D893" s="345"/>
      <c r="E893" s="345"/>
      <c r="F893" s="345"/>
      <c r="G893" s="345"/>
      <c r="H893" s="345"/>
      <c r="I893" s="345"/>
      <c r="J893" s="345"/>
      <c r="K893" s="345"/>
      <c r="L893" s="345"/>
      <c r="M893" s="345"/>
      <c r="N893" s="345"/>
      <c r="O893" s="345"/>
      <c r="P893" s="345"/>
      <c r="Q893" s="345"/>
      <c r="R893" s="345"/>
      <c r="S893" s="345"/>
      <c r="T893" s="345"/>
      <c r="U893" s="345"/>
      <c r="V893" s="345"/>
      <c r="W893" s="345"/>
      <c r="X893" s="345"/>
      <c r="Y893" s="345"/>
      <c r="Z893" s="345"/>
    </row>
    <row r="894">
      <c r="A894" s="345"/>
      <c r="B894" s="369"/>
      <c r="C894" s="345"/>
      <c r="D894" s="345"/>
      <c r="E894" s="345"/>
      <c r="F894" s="345"/>
      <c r="G894" s="345"/>
      <c r="H894" s="345"/>
      <c r="I894" s="345"/>
      <c r="J894" s="345"/>
      <c r="K894" s="345"/>
      <c r="L894" s="345"/>
      <c r="M894" s="345"/>
      <c r="N894" s="345"/>
      <c r="O894" s="345"/>
      <c r="P894" s="345"/>
      <c r="Q894" s="345"/>
      <c r="R894" s="345"/>
      <c r="S894" s="345"/>
      <c r="T894" s="345"/>
      <c r="U894" s="345"/>
      <c r="V894" s="345"/>
      <c r="W894" s="345"/>
      <c r="X894" s="345"/>
      <c r="Y894" s="345"/>
      <c r="Z894" s="345"/>
    </row>
    <row r="895">
      <c r="A895" s="345"/>
      <c r="B895" s="369"/>
      <c r="C895" s="345"/>
      <c r="D895" s="345"/>
      <c r="E895" s="345"/>
      <c r="F895" s="345"/>
      <c r="G895" s="345"/>
      <c r="H895" s="345"/>
      <c r="I895" s="345"/>
      <c r="J895" s="345"/>
      <c r="K895" s="345"/>
      <c r="L895" s="345"/>
      <c r="M895" s="345"/>
      <c r="N895" s="345"/>
      <c r="O895" s="345"/>
      <c r="P895" s="345"/>
      <c r="Q895" s="345"/>
      <c r="R895" s="345"/>
      <c r="S895" s="345"/>
      <c r="T895" s="345"/>
      <c r="U895" s="345"/>
      <c r="V895" s="345"/>
      <c r="W895" s="345"/>
      <c r="X895" s="345"/>
      <c r="Y895" s="345"/>
      <c r="Z895" s="345"/>
    </row>
    <row r="896">
      <c r="A896" s="345"/>
      <c r="B896" s="369"/>
      <c r="C896" s="345"/>
      <c r="D896" s="345"/>
      <c r="E896" s="345"/>
      <c r="F896" s="345"/>
      <c r="G896" s="345"/>
      <c r="H896" s="345"/>
      <c r="I896" s="345"/>
      <c r="J896" s="345"/>
      <c r="K896" s="345"/>
      <c r="L896" s="345"/>
      <c r="M896" s="345"/>
      <c r="N896" s="345"/>
      <c r="O896" s="345"/>
      <c r="P896" s="345"/>
      <c r="Q896" s="345"/>
      <c r="R896" s="345"/>
      <c r="S896" s="345"/>
      <c r="T896" s="345"/>
      <c r="U896" s="345"/>
      <c r="V896" s="345"/>
      <c r="W896" s="345"/>
      <c r="X896" s="345"/>
      <c r="Y896" s="345"/>
      <c r="Z896" s="345"/>
    </row>
    <row r="897">
      <c r="A897" s="345"/>
      <c r="B897" s="369"/>
      <c r="C897" s="345"/>
      <c r="D897" s="345"/>
      <c r="E897" s="345"/>
      <c r="F897" s="345"/>
      <c r="G897" s="345"/>
      <c r="H897" s="345"/>
      <c r="I897" s="345"/>
      <c r="J897" s="345"/>
      <c r="K897" s="345"/>
      <c r="L897" s="345"/>
      <c r="M897" s="345"/>
      <c r="N897" s="345"/>
      <c r="O897" s="345"/>
      <c r="P897" s="345"/>
      <c r="Q897" s="345"/>
      <c r="R897" s="345"/>
      <c r="S897" s="345"/>
      <c r="T897" s="345"/>
      <c r="U897" s="345"/>
      <c r="V897" s="345"/>
      <c r="W897" s="345"/>
      <c r="X897" s="345"/>
      <c r="Y897" s="345"/>
      <c r="Z897" s="345"/>
    </row>
    <row r="898">
      <c r="A898" s="345"/>
      <c r="B898" s="369"/>
      <c r="C898" s="345"/>
      <c r="D898" s="345"/>
      <c r="E898" s="345"/>
      <c r="F898" s="345"/>
      <c r="G898" s="345"/>
      <c r="H898" s="345"/>
      <c r="I898" s="345"/>
      <c r="J898" s="345"/>
      <c r="K898" s="345"/>
      <c r="L898" s="345"/>
      <c r="M898" s="345"/>
      <c r="N898" s="345"/>
      <c r="O898" s="345"/>
      <c r="P898" s="345"/>
      <c r="Q898" s="345"/>
      <c r="R898" s="345"/>
      <c r="S898" s="345"/>
      <c r="T898" s="345"/>
      <c r="U898" s="345"/>
      <c r="V898" s="345"/>
      <c r="W898" s="345"/>
      <c r="X898" s="345"/>
      <c r="Y898" s="345"/>
      <c r="Z898" s="345"/>
    </row>
    <row r="899">
      <c r="A899" s="345"/>
      <c r="B899" s="369"/>
      <c r="C899" s="345"/>
      <c r="D899" s="345"/>
      <c r="E899" s="345"/>
      <c r="F899" s="345"/>
      <c r="G899" s="345"/>
      <c r="H899" s="345"/>
      <c r="I899" s="345"/>
      <c r="J899" s="345"/>
      <c r="K899" s="345"/>
      <c r="L899" s="345"/>
      <c r="M899" s="345"/>
      <c r="N899" s="345"/>
      <c r="O899" s="345"/>
      <c r="P899" s="345"/>
      <c r="Q899" s="345"/>
      <c r="R899" s="345"/>
      <c r="S899" s="345"/>
      <c r="T899" s="345"/>
      <c r="U899" s="345"/>
      <c r="V899" s="345"/>
      <c r="W899" s="345"/>
      <c r="X899" s="345"/>
      <c r="Y899" s="345"/>
      <c r="Z899" s="345"/>
    </row>
    <row r="900">
      <c r="A900" s="345"/>
      <c r="B900" s="369"/>
      <c r="C900" s="345"/>
      <c r="D900" s="345"/>
      <c r="E900" s="345"/>
      <c r="F900" s="345"/>
      <c r="G900" s="345"/>
      <c r="H900" s="345"/>
      <c r="I900" s="345"/>
      <c r="J900" s="345"/>
      <c r="K900" s="345"/>
      <c r="L900" s="345"/>
      <c r="M900" s="345"/>
      <c r="N900" s="345"/>
      <c r="O900" s="345"/>
      <c r="P900" s="345"/>
      <c r="Q900" s="345"/>
      <c r="R900" s="345"/>
      <c r="S900" s="345"/>
      <c r="T900" s="345"/>
      <c r="U900" s="345"/>
      <c r="V900" s="345"/>
      <c r="W900" s="345"/>
      <c r="X900" s="345"/>
      <c r="Y900" s="345"/>
      <c r="Z900" s="345"/>
    </row>
    <row r="901">
      <c r="A901" s="345"/>
      <c r="B901" s="369"/>
      <c r="C901" s="345"/>
      <c r="D901" s="345"/>
      <c r="E901" s="345"/>
      <c r="F901" s="345"/>
      <c r="G901" s="345"/>
      <c r="H901" s="345"/>
      <c r="I901" s="345"/>
      <c r="J901" s="345"/>
      <c r="K901" s="345"/>
      <c r="L901" s="345"/>
      <c r="M901" s="345"/>
      <c r="N901" s="345"/>
      <c r="O901" s="345"/>
      <c r="P901" s="345"/>
      <c r="Q901" s="345"/>
      <c r="R901" s="345"/>
      <c r="S901" s="345"/>
      <c r="T901" s="345"/>
      <c r="U901" s="345"/>
      <c r="V901" s="345"/>
      <c r="W901" s="345"/>
      <c r="X901" s="345"/>
      <c r="Y901" s="345"/>
      <c r="Z901" s="345"/>
    </row>
    <row r="902">
      <c r="A902" s="345"/>
      <c r="B902" s="369"/>
      <c r="C902" s="345"/>
      <c r="D902" s="345"/>
      <c r="E902" s="345"/>
      <c r="F902" s="345"/>
      <c r="G902" s="345"/>
      <c r="H902" s="345"/>
      <c r="I902" s="345"/>
      <c r="J902" s="345"/>
      <c r="K902" s="345"/>
      <c r="L902" s="345"/>
      <c r="M902" s="345"/>
      <c r="N902" s="345"/>
      <c r="O902" s="345"/>
      <c r="P902" s="345"/>
      <c r="Q902" s="345"/>
      <c r="R902" s="345"/>
      <c r="S902" s="345"/>
      <c r="T902" s="345"/>
      <c r="U902" s="345"/>
      <c r="V902" s="345"/>
      <c r="W902" s="345"/>
      <c r="X902" s="345"/>
      <c r="Y902" s="345"/>
      <c r="Z902" s="345"/>
    </row>
    <row r="903">
      <c r="A903" s="345"/>
      <c r="B903" s="369"/>
      <c r="C903" s="345"/>
      <c r="D903" s="345"/>
      <c r="E903" s="345"/>
      <c r="F903" s="345"/>
      <c r="G903" s="345"/>
      <c r="H903" s="345"/>
      <c r="I903" s="345"/>
      <c r="J903" s="345"/>
      <c r="K903" s="345"/>
      <c r="L903" s="345"/>
      <c r="M903" s="345"/>
      <c r="N903" s="345"/>
      <c r="O903" s="345"/>
      <c r="P903" s="345"/>
      <c r="Q903" s="345"/>
      <c r="R903" s="345"/>
      <c r="S903" s="345"/>
      <c r="T903" s="345"/>
      <c r="U903" s="345"/>
      <c r="V903" s="345"/>
      <c r="W903" s="345"/>
      <c r="X903" s="345"/>
      <c r="Y903" s="345"/>
      <c r="Z903" s="345"/>
    </row>
    <row r="904">
      <c r="A904" s="345"/>
      <c r="B904" s="369"/>
      <c r="C904" s="345"/>
      <c r="D904" s="345"/>
      <c r="E904" s="345"/>
      <c r="F904" s="345"/>
      <c r="G904" s="345"/>
      <c r="H904" s="345"/>
      <c r="I904" s="345"/>
      <c r="J904" s="345"/>
      <c r="K904" s="345"/>
      <c r="L904" s="345"/>
      <c r="M904" s="345"/>
      <c r="N904" s="345"/>
      <c r="O904" s="345"/>
      <c r="P904" s="345"/>
      <c r="Q904" s="345"/>
      <c r="R904" s="345"/>
      <c r="S904" s="345"/>
      <c r="T904" s="345"/>
      <c r="U904" s="345"/>
      <c r="V904" s="345"/>
      <c r="W904" s="345"/>
      <c r="X904" s="345"/>
      <c r="Y904" s="345"/>
      <c r="Z904" s="345"/>
    </row>
    <row r="905">
      <c r="A905" s="345"/>
      <c r="B905" s="369"/>
      <c r="C905" s="345"/>
      <c r="D905" s="345"/>
      <c r="E905" s="345"/>
      <c r="F905" s="345"/>
      <c r="G905" s="345"/>
      <c r="H905" s="345"/>
      <c r="I905" s="345"/>
      <c r="J905" s="345"/>
      <c r="K905" s="345"/>
      <c r="L905" s="345"/>
      <c r="M905" s="345"/>
      <c r="N905" s="345"/>
      <c r="O905" s="345"/>
      <c r="P905" s="345"/>
      <c r="Q905" s="345"/>
      <c r="R905" s="345"/>
      <c r="S905" s="345"/>
      <c r="T905" s="345"/>
      <c r="U905" s="345"/>
      <c r="V905" s="345"/>
      <c r="W905" s="345"/>
      <c r="X905" s="345"/>
      <c r="Y905" s="345"/>
      <c r="Z905" s="345"/>
    </row>
    <row r="906">
      <c r="A906" s="345"/>
      <c r="B906" s="369"/>
      <c r="C906" s="345"/>
      <c r="D906" s="345"/>
      <c r="E906" s="345"/>
      <c r="F906" s="345"/>
      <c r="G906" s="345"/>
      <c r="H906" s="345"/>
      <c r="I906" s="345"/>
      <c r="J906" s="345"/>
      <c r="K906" s="345"/>
      <c r="L906" s="345"/>
      <c r="M906" s="345"/>
      <c r="N906" s="345"/>
      <c r="O906" s="345"/>
      <c r="P906" s="345"/>
      <c r="Q906" s="345"/>
      <c r="R906" s="345"/>
      <c r="S906" s="345"/>
      <c r="T906" s="345"/>
      <c r="U906" s="345"/>
      <c r="V906" s="345"/>
      <c r="W906" s="345"/>
      <c r="X906" s="345"/>
      <c r="Y906" s="345"/>
      <c r="Z906" s="345"/>
    </row>
    <row r="907">
      <c r="A907" s="345"/>
      <c r="B907" s="369"/>
      <c r="C907" s="345"/>
      <c r="D907" s="345"/>
      <c r="E907" s="345"/>
      <c r="F907" s="345"/>
      <c r="G907" s="345"/>
      <c r="H907" s="345"/>
      <c r="I907" s="345"/>
      <c r="J907" s="345"/>
      <c r="K907" s="345"/>
      <c r="L907" s="345"/>
      <c r="M907" s="345"/>
      <c r="N907" s="345"/>
      <c r="O907" s="345"/>
      <c r="P907" s="345"/>
      <c r="Q907" s="345"/>
      <c r="R907" s="345"/>
      <c r="S907" s="345"/>
      <c r="T907" s="345"/>
      <c r="U907" s="345"/>
      <c r="V907" s="345"/>
      <c r="W907" s="345"/>
      <c r="X907" s="345"/>
      <c r="Y907" s="345"/>
      <c r="Z907" s="345"/>
    </row>
    <row r="908">
      <c r="A908" s="345"/>
      <c r="B908" s="369"/>
      <c r="C908" s="345"/>
      <c r="D908" s="345"/>
      <c r="E908" s="345"/>
      <c r="F908" s="345"/>
      <c r="G908" s="345"/>
      <c r="H908" s="345"/>
      <c r="I908" s="345"/>
      <c r="J908" s="345"/>
      <c r="K908" s="345"/>
      <c r="L908" s="345"/>
      <c r="M908" s="345"/>
      <c r="N908" s="345"/>
      <c r="O908" s="345"/>
      <c r="P908" s="345"/>
      <c r="Q908" s="345"/>
      <c r="R908" s="345"/>
      <c r="S908" s="345"/>
      <c r="T908" s="345"/>
      <c r="U908" s="345"/>
      <c r="V908" s="345"/>
      <c r="W908" s="345"/>
      <c r="X908" s="345"/>
      <c r="Y908" s="345"/>
      <c r="Z908" s="345"/>
    </row>
    <row r="909">
      <c r="A909" s="345"/>
      <c r="B909" s="369"/>
      <c r="C909" s="345"/>
      <c r="D909" s="345"/>
      <c r="E909" s="345"/>
      <c r="F909" s="345"/>
      <c r="G909" s="345"/>
      <c r="H909" s="345"/>
      <c r="I909" s="345"/>
      <c r="J909" s="345"/>
      <c r="K909" s="345"/>
      <c r="L909" s="345"/>
      <c r="M909" s="345"/>
      <c r="N909" s="345"/>
      <c r="O909" s="345"/>
      <c r="P909" s="345"/>
      <c r="Q909" s="345"/>
      <c r="R909" s="345"/>
      <c r="S909" s="345"/>
      <c r="T909" s="345"/>
      <c r="U909" s="345"/>
      <c r="V909" s="345"/>
      <c r="W909" s="345"/>
      <c r="X909" s="345"/>
      <c r="Y909" s="345"/>
      <c r="Z909" s="345"/>
    </row>
    <row r="910">
      <c r="A910" s="345"/>
      <c r="B910" s="369"/>
      <c r="C910" s="345"/>
      <c r="D910" s="345"/>
      <c r="E910" s="345"/>
      <c r="F910" s="345"/>
      <c r="G910" s="345"/>
      <c r="H910" s="345"/>
      <c r="I910" s="345"/>
      <c r="J910" s="345"/>
      <c r="K910" s="345"/>
      <c r="L910" s="345"/>
      <c r="M910" s="345"/>
      <c r="N910" s="345"/>
      <c r="O910" s="345"/>
      <c r="P910" s="345"/>
      <c r="Q910" s="345"/>
      <c r="R910" s="345"/>
      <c r="S910" s="345"/>
      <c r="T910" s="345"/>
      <c r="U910" s="345"/>
      <c r="V910" s="345"/>
      <c r="W910" s="345"/>
      <c r="X910" s="345"/>
      <c r="Y910" s="345"/>
      <c r="Z910" s="345"/>
    </row>
    <row r="911">
      <c r="A911" s="345"/>
      <c r="B911" s="369"/>
      <c r="C911" s="345"/>
      <c r="D911" s="345"/>
      <c r="E911" s="345"/>
      <c r="F911" s="345"/>
      <c r="G911" s="345"/>
      <c r="H911" s="345"/>
      <c r="I911" s="345"/>
      <c r="J911" s="345"/>
      <c r="K911" s="345"/>
      <c r="L911" s="345"/>
      <c r="M911" s="345"/>
      <c r="N911" s="345"/>
      <c r="O911" s="345"/>
      <c r="P911" s="345"/>
      <c r="Q911" s="345"/>
      <c r="R911" s="345"/>
      <c r="S911" s="345"/>
      <c r="T911" s="345"/>
      <c r="U911" s="345"/>
      <c r="V911" s="345"/>
      <c r="W911" s="345"/>
      <c r="X911" s="345"/>
      <c r="Y911" s="345"/>
      <c r="Z911" s="345"/>
    </row>
    <row r="912">
      <c r="A912" s="345"/>
      <c r="B912" s="369"/>
      <c r="C912" s="345"/>
      <c r="D912" s="345"/>
      <c r="E912" s="345"/>
      <c r="F912" s="345"/>
      <c r="G912" s="345"/>
      <c r="H912" s="345"/>
      <c r="I912" s="345"/>
      <c r="J912" s="345"/>
      <c r="K912" s="345"/>
      <c r="L912" s="345"/>
      <c r="M912" s="345"/>
      <c r="N912" s="345"/>
      <c r="O912" s="345"/>
      <c r="P912" s="345"/>
      <c r="Q912" s="345"/>
      <c r="R912" s="345"/>
      <c r="S912" s="345"/>
      <c r="T912" s="345"/>
      <c r="U912" s="345"/>
      <c r="V912" s="345"/>
      <c r="W912" s="345"/>
      <c r="X912" s="345"/>
      <c r="Y912" s="345"/>
      <c r="Z912" s="345"/>
    </row>
    <row r="913">
      <c r="A913" s="345"/>
      <c r="B913" s="369"/>
      <c r="C913" s="345"/>
      <c r="D913" s="345"/>
      <c r="E913" s="345"/>
      <c r="F913" s="345"/>
      <c r="G913" s="345"/>
      <c r="H913" s="345"/>
      <c r="I913" s="345"/>
      <c r="J913" s="345"/>
      <c r="K913" s="345"/>
      <c r="L913" s="345"/>
      <c r="M913" s="345"/>
      <c r="N913" s="345"/>
      <c r="O913" s="345"/>
      <c r="P913" s="345"/>
      <c r="Q913" s="345"/>
      <c r="R913" s="345"/>
      <c r="S913" s="345"/>
      <c r="T913" s="345"/>
      <c r="U913" s="345"/>
      <c r="V913" s="345"/>
      <c r="W913" s="345"/>
      <c r="X913" s="345"/>
      <c r="Y913" s="345"/>
      <c r="Z913" s="345"/>
    </row>
    <row r="914">
      <c r="A914" s="345"/>
      <c r="B914" s="369"/>
      <c r="C914" s="345"/>
      <c r="D914" s="345"/>
      <c r="E914" s="345"/>
      <c r="F914" s="345"/>
      <c r="G914" s="345"/>
      <c r="H914" s="345"/>
      <c r="I914" s="345"/>
      <c r="J914" s="345"/>
      <c r="K914" s="345"/>
      <c r="L914" s="345"/>
      <c r="M914" s="345"/>
      <c r="N914" s="345"/>
      <c r="O914" s="345"/>
      <c r="P914" s="345"/>
      <c r="Q914" s="345"/>
      <c r="R914" s="345"/>
      <c r="S914" s="345"/>
      <c r="T914" s="345"/>
      <c r="U914" s="345"/>
      <c r="V914" s="345"/>
      <c r="W914" s="345"/>
      <c r="X914" s="345"/>
      <c r="Y914" s="345"/>
      <c r="Z914" s="345"/>
    </row>
    <row r="915">
      <c r="A915" s="345"/>
      <c r="B915" s="369"/>
      <c r="C915" s="345"/>
      <c r="D915" s="345"/>
      <c r="E915" s="345"/>
      <c r="F915" s="345"/>
      <c r="G915" s="345"/>
      <c r="H915" s="345"/>
      <c r="I915" s="345"/>
      <c r="J915" s="345"/>
      <c r="K915" s="345"/>
      <c r="L915" s="345"/>
      <c r="M915" s="345"/>
      <c r="N915" s="345"/>
      <c r="O915" s="345"/>
      <c r="P915" s="345"/>
      <c r="Q915" s="345"/>
      <c r="R915" s="345"/>
      <c r="S915" s="345"/>
      <c r="T915" s="345"/>
      <c r="U915" s="345"/>
      <c r="V915" s="345"/>
      <c r="W915" s="345"/>
      <c r="X915" s="345"/>
      <c r="Y915" s="345"/>
      <c r="Z915" s="345"/>
    </row>
    <row r="916">
      <c r="A916" s="345"/>
      <c r="B916" s="369"/>
      <c r="C916" s="345"/>
      <c r="D916" s="345"/>
      <c r="E916" s="345"/>
      <c r="F916" s="345"/>
      <c r="G916" s="345"/>
      <c r="H916" s="345"/>
      <c r="I916" s="345"/>
      <c r="J916" s="345"/>
      <c r="K916" s="345"/>
      <c r="L916" s="345"/>
      <c r="M916" s="345"/>
      <c r="N916" s="345"/>
      <c r="O916" s="345"/>
      <c r="P916" s="345"/>
      <c r="Q916" s="345"/>
      <c r="R916" s="345"/>
      <c r="S916" s="345"/>
      <c r="T916" s="345"/>
      <c r="U916" s="345"/>
      <c r="V916" s="345"/>
      <c r="W916" s="345"/>
      <c r="X916" s="345"/>
      <c r="Y916" s="345"/>
      <c r="Z916" s="345"/>
    </row>
    <row r="917">
      <c r="A917" s="345"/>
      <c r="B917" s="369"/>
      <c r="C917" s="345"/>
      <c r="D917" s="345"/>
      <c r="E917" s="345"/>
      <c r="F917" s="345"/>
      <c r="G917" s="345"/>
      <c r="H917" s="345"/>
      <c r="I917" s="345"/>
      <c r="J917" s="345"/>
      <c r="K917" s="345"/>
      <c r="L917" s="345"/>
      <c r="M917" s="345"/>
      <c r="N917" s="345"/>
      <c r="O917" s="345"/>
      <c r="P917" s="345"/>
      <c r="Q917" s="345"/>
      <c r="R917" s="345"/>
      <c r="S917" s="345"/>
      <c r="T917" s="345"/>
      <c r="U917" s="345"/>
      <c r="V917" s="345"/>
      <c r="W917" s="345"/>
      <c r="X917" s="345"/>
      <c r="Y917" s="345"/>
      <c r="Z917" s="345"/>
    </row>
    <row r="918">
      <c r="A918" s="345"/>
      <c r="B918" s="369"/>
      <c r="C918" s="345"/>
      <c r="D918" s="345"/>
      <c r="E918" s="345"/>
      <c r="F918" s="345"/>
      <c r="G918" s="345"/>
      <c r="H918" s="345"/>
      <c r="I918" s="345"/>
      <c r="J918" s="345"/>
      <c r="K918" s="345"/>
      <c r="L918" s="345"/>
      <c r="M918" s="345"/>
      <c r="N918" s="345"/>
      <c r="O918" s="345"/>
      <c r="P918" s="345"/>
      <c r="Q918" s="345"/>
      <c r="R918" s="345"/>
      <c r="S918" s="345"/>
      <c r="T918" s="345"/>
      <c r="U918" s="345"/>
      <c r="V918" s="345"/>
      <c r="W918" s="345"/>
      <c r="X918" s="345"/>
      <c r="Y918" s="345"/>
      <c r="Z918" s="345"/>
    </row>
    <row r="919">
      <c r="A919" s="345"/>
      <c r="B919" s="369"/>
      <c r="C919" s="345"/>
      <c r="D919" s="345"/>
      <c r="E919" s="345"/>
      <c r="F919" s="345"/>
      <c r="G919" s="345"/>
      <c r="H919" s="345"/>
      <c r="I919" s="345"/>
      <c r="J919" s="345"/>
      <c r="K919" s="345"/>
      <c r="L919" s="345"/>
      <c r="M919" s="345"/>
      <c r="N919" s="345"/>
      <c r="O919" s="345"/>
      <c r="P919" s="345"/>
      <c r="Q919" s="345"/>
      <c r="R919" s="345"/>
      <c r="S919" s="345"/>
      <c r="T919" s="345"/>
      <c r="U919" s="345"/>
      <c r="V919" s="345"/>
      <c r="W919" s="345"/>
      <c r="X919" s="345"/>
      <c r="Y919" s="345"/>
      <c r="Z919" s="345"/>
    </row>
    <row r="920">
      <c r="A920" s="345"/>
      <c r="B920" s="369"/>
      <c r="C920" s="345"/>
      <c r="D920" s="345"/>
      <c r="E920" s="345"/>
      <c r="F920" s="345"/>
      <c r="G920" s="345"/>
      <c r="H920" s="345"/>
      <c r="I920" s="345"/>
      <c r="J920" s="345"/>
      <c r="K920" s="345"/>
      <c r="L920" s="345"/>
      <c r="M920" s="345"/>
      <c r="N920" s="345"/>
      <c r="O920" s="345"/>
      <c r="P920" s="345"/>
      <c r="Q920" s="345"/>
      <c r="R920" s="345"/>
      <c r="S920" s="345"/>
      <c r="T920" s="345"/>
      <c r="U920" s="345"/>
      <c r="V920" s="345"/>
      <c r="W920" s="345"/>
      <c r="X920" s="345"/>
      <c r="Y920" s="345"/>
      <c r="Z920" s="345"/>
    </row>
    <row r="921">
      <c r="A921" s="345"/>
      <c r="B921" s="369"/>
      <c r="C921" s="345"/>
      <c r="D921" s="345"/>
      <c r="E921" s="345"/>
      <c r="F921" s="345"/>
      <c r="G921" s="345"/>
      <c r="H921" s="345"/>
      <c r="I921" s="345"/>
      <c r="J921" s="345"/>
      <c r="K921" s="345"/>
      <c r="L921" s="345"/>
      <c r="M921" s="345"/>
      <c r="N921" s="345"/>
      <c r="O921" s="345"/>
      <c r="P921" s="345"/>
      <c r="Q921" s="345"/>
      <c r="R921" s="345"/>
      <c r="S921" s="345"/>
      <c r="T921" s="345"/>
      <c r="U921" s="345"/>
      <c r="V921" s="345"/>
      <c r="W921" s="345"/>
      <c r="X921" s="345"/>
      <c r="Y921" s="345"/>
      <c r="Z921" s="345"/>
    </row>
    <row r="922">
      <c r="A922" s="345"/>
      <c r="B922" s="369"/>
      <c r="C922" s="345"/>
      <c r="D922" s="345"/>
      <c r="E922" s="345"/>
      <c r="F922" s="345"/>
      <c r="G922" s="345"/>
      <c r="H922" s="345"/>
      <c r="I922" s="345"/>
      <c r="J922" s="345"/>
      <c r="K922" s="345"/>
      <c r="L922" s="345"/>
      <c r="M922" s="345"/>
      <c r="N922" s="345"/>
      <c r="O922" s="345"/>
      <c r="P922" s="345"/>
      <c r="Q922" s="345"/>
      <c r="R922" s="345"/>
      <c r="S922" s="345"/>
      <c r="T922" s="345"/>
      <c r="U922" s="345"/>
      <c r="V922" s="345"/>
      <c r="W922" s="345"/>
      <c r="X922" s="345"/>
      <c r="Y922" s="345"/>
      <c r="Z922" s="345"/>
    </row>
    <row r="923">
      <c r="A923" s="345"/>
      <c r="B923" s="369"/>
      <c r="C923" s="345"/>
      <c r="D923" s="345"/>
      <c r="E923" s="345"/>
      <c r="F923" s="345"/>
      <c r="G923" s="345"/>
      <c r="H923" s="345"/>
      <c r="I923" s="345"/>
      <c r="J923" s="345"/>
      <c r="K923" s="345"/>
      <c r="L923" s="345"/>
      <c r="M923" s="345"/>
      <c r="N923" s="345"/>
      <c r="O923" s="345"/>
      <c r="P923" s="345"/>
      <c r="Q923" s="345"/>
      <c r="R923" s="345"/>
      <c r="S923" s="345"/>
      <c r="T923" s="345"/>
      <c r="U923" s="345"/>
      <c r="V923" s="345"/>
      <c r="W923" s="345"/>
      <c r="X923" s="345"/>
      <c r="Y923" s="345"/>
      <c r="Z923" s="345"/>
    </row>
    <row r="924">
      <c r="A924" s="345"/>
      <c r="B924" s="369"/>
      <c r="C924" s="345"/>
      <c r="D924" s="345"/>
      <c r="E924" s="345"/>
      <c r="F924" s="345"/>
      <c r="G924" s="345"/>
      <c r="H924" s="345"/>
      <c r="I924" s="345"/>
      <c r="J924" s="345"/>
      <c r="K924" s="345"/>
      <c r="L924" s="345"/>
      <c r="M924" s="345"/>
      <c r="N924" s="345"/>
      <c r="O924" s="345"/>
      <c r="P924" s="345"/>
      <c r="Q924" s="345"/>
      <c r="R924" s="345"/>
      <c r="S924" s="345"/>
      <c r="T924" s="345"/>
      <c r="U924" s="345"/>
      <c r="V924" s="345"/>
      <c r="W924" s="345"/>
      <c r="X924" s="345"/>
      <c r="Y924" s="345"/>
      <c r="Z924" s="345"/>
    </row>
    <row r="925">
      <c r="A925" s="345"/>
      <c r="B925" s="369"/>
      <c r="C925" s="345"/>
      <c r="D925" s="345"/>
      <c r="E925" s="345"/>
      <c r="F925" s="345"/>
      <c r="G925" s="345"/>
      <c r="H925" s="345"/>
      <c r="I925" s="345"/>
      <c r="J925" s="345"/>
      <c r="K925" s="345"/>
      <c r="L925" s="345"/>
      <c r="M925" s="345"/>
      <c r="N925" s="345"/>
      <c r="O925" s="345"/>
      <c r="P925" s="345"/>
      <c r="Q925" s="345"/>
      <c r="R925" s="345"/>
      <c r="S925" s="345"/>
      <c r="T925" s="345"/>
      <c r="U925" s="345"/>
      <c r="V925" s="345"/>
      <c r="W925" s="345"/>
      <c r="X925" s="345"/>
      <c r="Y925" s="345"/>
      <c r="Z925" s="345"/>
    </row>
    <row r="926">
      <c r="A926" s="345"/>
      <c r="B926" s="369"/>
      <c r="C926" s="345"/>
      <c r="D926" s="345"/>
      <c r="E926" s="345"/>
      <c r="F926" s="345"/>
      <c r="G926" s="345"/>
      <c r="H926" s="345"/>
      <c r="I926" s="345"/>
      <c r="J926" s="345"/>
      <c r="K926" s="345"/>
      <c r="L926" s="345"/>
      <c r="M926" s="345"/>
      <c r="N926" s="345"/>
      <c r="O926" s="345"/>
      <c r="P926" s="345"/>
      <c r="Q926" s="345"/>
      <c r="R926" s="345"/>
      <c r="S926" s="345"/>
      <c r="T926" s="345"/>
      <c r="U926" s="345"/>
      <c r="V926" s="345"/>
      <c r="W926" s="345"/>
      <c r="X926" s="345"/>
      <c r="Y926" s="345"/>
      <c r="Z926" s="345"/>
    </row>
    <row r="927">
      <c r="A927" s="345"/>
      <c r="B927" s="369"/>
      <c r="C927" s="345"/>
      <c r="D927" s="345"/>
      <c r="E927" s="345"/>
      <c r="F927" s="345"/>
      <c r="G927" s="345"/>
      <c r="H927" s="345"/>
      <c r="I927" s="345"/>
      <c r="J927" s="345"/>
      <c r="K927" s="345"/>
      <c r="L927" s="345"/>
      <c r="M927" s="345"/>
      <c r="N927" s="345"/>
      <c r="O927" s="345"/>
      <c r="P927" s="345"/>
      <c r="Q927" s="345"/>
      <c r="R927" s="345"/>
      <c r="S927" s="345"/>
      <c r="T927" s="345"/>
      <c r="U927" s="345"/>
      <c r="V927" s="345"/>
      <c r="W927" s="345"/>
      <c r="X927" s="345"/>
      <c r="Y927" s="345"/>
      <c r="Z927" s="345"/>
    </row>
    <row r="928">
      <c r="A928" s="345"/>
      <c r="B928" s="369"/>
      <c r="C928" s="345"/>
      <c r="D928" s="345"/>
      <c r="E928" s="345"/>
      <c r="F928" s="345"/>
      <c r="G928" s="345"/>
      <c r="H928" s="345"/>
      <c r="I928" s="345"/>
      <c r="J928" s="345"/>
      <c r="K928" s="345"/>
      <c r="L928" s="345"/>
      <c r="M928" s="345"/>
      <c r="N928" s="345"/>
      <c r="O928" s="345"/>
      <c r="P928" s="345"/>
      <c r="Q928" s="345"/>
      <c r="R928" s="345"/>
      <c r="S928" s="345"/>
      <c r="T928" s="345"/>
      <c r="U928" s="345"/>
      <c r="V928" s="345"/>
      <c r="W928" s="345"/>
      <c r="X928" s="345"/>
      <c r="Y928" s="345"/>
      <c r="Z928" s="345"/>
    </row>
    <row r="929">
      <c r="A929" s="345"/>
      <c r="B929" s="369"/>
      <c r="C929" s="345"/>
      <c r="D929" s="345"/>
      <c r="E929" s="345"/>
      <c r="F929" s="345"/>
      <c r="G929" s="345"/>
      <c r="H929" s="345"/>
      <c r="I929" s="345"/>
      <c r="J929" s="345"/>
      <c r="K929" s="345"/>
      <c r="L929" s="345"/>
      <c r="M929" s="345"/>
      <c r="N929" s="345"/>
      <c r="O929" s="345"/>
      <c r="P929" s="345"/>
      <c r="Q929" s="345"/>
      <c r="R929" s="345"/>
      <c r="S929" s="345"/>
      <c r="T929" s="345"/>
      <c r="U929" s="345"/>
      <c r="V929" s="345"/>
      <c r="W929" s="345"/>
      <c r="X929" s="345"/>
      <c r="Y929" s="345"/>
      <c r="Z929" s="345"/>
    </row>
    <row r="930">
      <c r="A930" s="345"/>
      <c r="B930" s="369"/>
      <c r="C930" s="345"/>
      <c r="D930" s="345"/>
      <c r="E930" s="345"/>
      <c r="F930" s="345"/>
      <c r="G930" s="345"/>
      <c r="H930" s="345"/>
      <c r="I930" s="345"/>
      <c r="J930" s="345"/>
      <c r="K930" s="345"/>
      <c r="L930" s="345"/>
      <c r="M930" s="345"/>
      <c r="N930" s="345"/>
      <c r="O930" s="345"/>
      <c r="P930" s="345"/>
      <c r="Q930" s="345"/>
      <c r="R930" s="345"/>
      <c r="S930" s="345"/>
      <c r="T930" s="345"/>
      <c r="U930" s="345"/>
      <c r="V930" s="345"/>
      <c r="W930" s="345"/>
      <c r="X930" s="345"/>
      <c r="Y930" s="345"/>
      <c r="Z930" s="345"/>
    </row>
    <row r="931">
      <c r="A931" s="345"/>
      <c r="B931" s="369"/>
      <c r="C931" s="345"/>
      <c r="D931" s="345"/>
      <c r="E931" s="345"/>
      <c r="F931" s="345"/>
      <c r="G931" s="345"/>
      <c r="H931" s="345"/>
      <c r="I931" s="345"/>
      <c r="J931" s="345"/>
      <c r="K931" s="345"/>
      <c r="L931" s="345"/>
      <c r="M931" s="345"/>
      <c r="N931" s="345"/>
      <c r="O931" s="345"/>
      <c r="P931" s="345"/>
      <c r="Q931" s="345"/>
      <c r="R931" s="345"/>
      <c r="S931" s="345"/>
      <c r="T931" s="345"/>
      <c r="U931" s="345"/>
      <c r="V931" s="345"/>
      <c r="W931" s="345"/>
      <c r="X931" s="345"/>
      <c r="Y931" s="345"/>
      <c r="Z931" s="345"/>
    </row>
    <row r="932">
      <c r="A932" s="345"/>
      <c r="B932" s="369"/>
      <c r="C932" s="345"/>
      <c r="D932" s="345"/>
      <c r="E932" s="345"/>
      <c r="F932" s="345"/>
      <c r="G932" s="345"/>
      <c r="H932" s="345"/>
      <c r="I932" s="345"/>
      <c r="J932" s="345"/>
      <c r="K932" s="345"/>
      <c r="L932" s="345"/>
      <c r="M932" s="345"/>
      <c r="N932" s="345"/>
      <c r="O932" s="345"/>
      <c r="P932" s="345"/>
      <c r="Q932" s="345"/>
      <c r="R932" s="345"/>
      <c r="S932" s="345"/>
      <c r="T932" s="345"/>
      <c r="U932" s="345"/>
      <c r="V932" s="345"/>
      <c r="W932" s="345"/>
      <c r="X932" s="345"/>
      <c r="Y932" s="345"/>
      <c r="Z932" s="345"/>
    </row>
    <row r="933">
      <c r="A933" s="345"/>
      <c r="B933" s="369"/>
      <c r="C933" s="345"/>
      <c r="D933" s="345"/>
      <c r="E933" s="345"/>
      <c r="F933" s="345"/>
      <c r="G933" s="345"/>
      <c r="H933" s="345"/>
      <c r="I933" s="345"/>
      <c r="J933" s="345"/>
      <c r="K933" s="345"/>
      <c r="L933" s="345"/>
      <c r="M933" s="345"/>
      <c r="N933" s="345"/>
      <c r="O933" s="345"/>
      <c r="P933" s="345"/>
      <c r="Q933" s="345"/>
      <c r="R933" s="345"/>
      <c r="S933" s="345"/>
      <c r="T933" s="345"/>
      <c r="U933" s="345"/>
      <c r="V933" s="345"/>
      <c r="W933" s="345"/>
      <c r="X933" s="345"/>
      <c r="Y933" s="345"/>
      <c r="Z933" s="345"/>
    </row>
    <row r="934">
      <c r="A934" s="345"/>
      <c r="B934" s="369"/>
      <c r="C934" s="345"/>
      <c r="D934" s="345"/>
      <c r="E934" s="345"/>
      <c r="F934" s="345"/>
      <c r="G934" s="345"/>
      <c r="H934" s="345"/>
      <c r="I934" s="345"/>
      <c r="J934" s="345"/>
      <c r="K934" s="345"/>
      <c r="L934" s="345"/>
      <c r="M934" s="345"/>
      <c r="N934" s="345"/>
      <c r="O934" s="345"/>
      <c r="P934" s="345"/>
      <c r="Q934" s="345"/>
      <c r="R934" s="345"/>
      <c r="S934" s="345"/>
      <c r="T934" s="345"/>
      <c r="U934" s="345"/>
      <c r="V934" s="345"/>
      <c r="W934" s="345"/>
      <c r="X934" s="345"/>
      <c r="Y934" s="345"/>
      <c r="Z934" s="345"/>
    </row>
    <row r="935">
      <c r="A935" s="345"/>
      <c r="B935" s="369"/>
      <c r="C935" s="345"/>
      <c r="D935" s="345"/>
      <c r="E935" s="345"/>
      <c r="F935" s="345"/>
      <c r="G935" s="345"/>
      <c r="H935" s="345"/>
      <c r="I935" s="345"/>
      <c r="J935" s="345"/>
      <c r="K935" s="345"/>
      <c r="L935" s="345"/>
      <c r="M935" s="345"/>
      <c r="N935" s="345"/>
      <c r="O935" s="345"/>
      <c r="P935" s="345"/>
      <c r="Q935" s="345"/>
      <c r="R935" s="345"/>
      <c r="S935" s="345"/>
      <c r="T935" s="345"/>
      <c r="U935" s="345"/>
      <c r="V935" s="345"/>
      <c r="W935" s="345"/>
      <c r="X935" s="345"/>
      <c r="Y935" s="345"/>
      <c r="Z935" s="345"/>
    </row>
    <row r="936">
      <c r="A936" s="345"/>
      <c r="B936" s="369"/>
      <c r="C936" s="345"/>
      <c r="D936" s="345"/>
      <c r="E936" s="345"/>
      <c r="F936" s="345"/>
      <c r="G936" s="345"/>
      <c r="H936" s="345"/>
      <c r="I936" s="345"/>
      <c r="J936" s="345"/>
      <c r="K936" s="345"/>
      <c r="L936" s="345"/>
      <c r="M936" s="345"/>
      <c r="N936" s="345"/>
      <c r="O936" s="345"/>
      <c r="P936" s="345"/>
      <c r="Q936" s="345"/>
      <c r="R936" s="345"/>
      <c r="S936" s="345"/>
      <c r="T936" s="345"/>
      <c r="U936" s="345"/>
      <c r="V936" s="345"/>
      <c r="W936" s="345"/>
      <c r="X936" s="345"/>
      <c r="Y936" s="345"/>
      <c r="Z936" s="345"/>
    </row>
    <row r="937">
      <c r="A937" s="345"/>
      <c r="B937" s="369"/>
      <c r="C937" s="345"/>
      <c r="D937" s="345"/>
      <c r="E937" s="345"/>
      <c r="F937" s="345"/>
      <c r="G937" s="345"/>
      <c r="H937" s="345"/>
      <c r="I937" s="345"/>
      <c r="J937" s="345"/>
      <c r="K937" s="345"/>
      <c r="L937" s="345"/>
      <c r="M937" s="345"/>
      <c r="N937" s="345"/>
      <c r="O937" s="345"/>
      <c r="P937" s="345"/>
      <c r="Q937" s="345"/>
      <c r="R937" s="345"/>
      <c r="S937" s="345"/>
      <c r="T937" s="345"/>
      <c r="U937" s="345"/>
      <c r="V937" s="345"/>
      <c r="W937" s="345"/>
      <c r="X937" s="345"/>
      <c r="Y937" s="345"/>
      <c r="Z937" s="345"/>
    </row>
    <row r="938">
      <c r="A938" s="345"/>
      <c r="B938" s="369"/>
      <c r="C938" s="345"/>
      <c r="D938" s="345"/>
      <c r="E938" s="345"/>
      <c r="F938" s="345"/>
      <c r="G938" s="345"/>
      <c r="H938" s="345"/>
      <c r="I938" s="345"/>
      <c r="J938" s="345"/>
      <c r="K938" s="345"/>
      <c r="L938" s="345"/>
      <c r="M938" s="345"/>
      <c r="N938" s="345"/>
      <c r="O938" s="345"/>
      <c r="P938" s="345"/>
      <c r="Q938" s="345"/>
      <c r="R938" s="345"/>
      <c r="S938" s="345"/>
      <c r="T938" s="345"/>
      <c r="U938" s="345"/>
      <c r="V938" s="345"/>
      <c r="W938" s="345"/>
      <c r="X938" s="345"/>
      <c r="Y938" s="345"/>
      <c r="Z938" s="345"/>
    </row>
    <row r="939">
      <c r="A939" s="345"/>
      <c r="B939" s="369"/>
      <c r="C939" s="345"/>
      <c r="D939" s="345"/>
      <c r="E939" s="345"/>
      <c r="F939" s="345"/>
      <c r="G939" s="345"/>
      <c r="H939" s="345"/>
      <c r="I939" s="345"/>
      <c r="J939" s="345"/>
      <c r="K939" s="345"/>
      <c r="L939" s="345"/>
      <c r="M939" s="345"/>
      <c r="N939" s="345"/>
      <c r="O939" s="345"/>
      <c r="P939" s="345"/>
      <c r="Q939" s="345"/>
      <c r="R939" s="345"/>
      <c r="S939" s="345"/>
      <c r="T939" s="345"/>
      <c r="U939" s="345"/>
      <c r="V939" s="345"/>
      <c r="W939" s="345"/>
      <c r="X939" s="345"/>
      <c r="Y939" s="345"/>
      <c r="Z939" s="345"/>
    </row>
    <row r="940">
      <c r="A940" s="345"/>
      <c r="B940" s="369"/>
      <c r="C940" s="345"/>
      <c r="D940" s="345"/>
      <c r="E940" s="345"/>
      <c r="F940" s="345"/>
      <c r="G940" s="345"/>
      <c r="H940" s="345"/>
      <c r="I940" s="345"/>
      <c r="J940" s="345"/>
      <c r="K940" s="345"/>
      <c r="L940" s="345"/>
      <c r="M940" s="345"/>
      <c r="N940" s="345"/>
      <c r="O940" s="345"/>
      <c r="P940" s="345"/>
      <c r="Q940" s="345"/>
      <c r="R940" s="345"/>
      <c r="S940" s="345"/>
      <c r="T940" s="345"/>
      <c r="U940" s="345"/>
      <c r="V940" s="345"/>
      <c r="W940" s="345"/>
      <c r="X940" s="345"/>
      <c r="Y940" s="345"/>
      <c r="Z940" s="345"/>
    </row>
    <row r="941">
      <c r="A941" s="345"/>
      <c r="B941" s="369"/>
      <c r="C941" s="345"/>
      <c r="D941" s="345"/>
      <c r="E941" s="345"/>
      <c r="F941" s="345"/>
      <c r="G941" s="345"/>
      <c r="H941" s="345"/>
      <c r="I941" s="345"/>
      <c r="J941" s="345"/>
      <c r="K941" s="345"/>
      <c r="L941" s="345"/>
      <c r="M941" s="345"/>
      <c r="N941" s="345"/>
      <c r="O941" s="345"/>
      <c r="P941" s="345"/>
      <c r="Q941" s="345"/>
      <c r="R941" s="345"/>
      <c r="S941" s="345"/>
      <c r="T941" s="345"/>
      <c r="U941" s="345"/>
      <c r="V941" s="345"/>
      <c r="W941" s="345"/>
      <c r="X941" s="345"/>
      <c r="Y941" s="345"/>
      <c r="Z941" s="345"/>
    </row>
    <row r="942">
      <c r="A942" s="345"/>
      <c r="B942" s="369"/>
      <c r="C942" s="345"/>
      <c r="D942" s="345"/>
      <c r="E942" s="345"/>
      <c r="F942" s="345"/>
      <c r="G942" s="345"/>
      <c r="H942" s="345"/>
      <c r="I942" s="345"/>
      <c r="J942" s="345"/>
      <c r="K942" s="345"/>
      <c r="L942" s="345"/>
      <c r="M942" s="345"/>
      <c r="N942" s="345"/>
      <c r="O942" s="345"/>
      <c r="P942" s="345"/>
      <c r="Q942" s="345"/>
      <c r="R942" s="345"/>
      <c r="S942" s="345"/>
      <c r="T942" s="345"/>
      <c r="U942" s="345"/>
      <c r="V942" s="345"/>
      <c r="W942" s="345"/>
      <c r="X942" s="345"/>
      <c r="Y942" s="345"/>
      <c r="Z942" s="345"/>
    </row>
    <row r="943">
      <c r="A943" s="345"/>
      <c r="B943" s="369"/>
      <c r="C943" s="345"/>
      <c r="D943" s="345"/>
      <c r="E943" s="345"/>
      <c r="F943" s="345"/>
      <c r="G943" s="345"/>
      <c r="H943" s="345"/>
      <c r="I943" s="345"/>
      <c r="J943" s="345"/>
      <c r="K943" s="345"/>
      <c r="L943" s="345"/>
      <c r="M943" s="345"/>
      <c r="N943" s="345"/>
      <c r="O943" s="345"/>
      <c r="P943" s="345"/>
      <c r="Q943" s="345"/>
      <c r="R943" s="345"/>
      <c r="S943" s="345"/>
      <c r="T943" s="345"/>
      <c r="U943" s="345"/>
      <c r="V943" s="345"/>
      <c r="W943" s="345"/>
      <c r="X943" s="345"/>
      <c r="Y943" s="345"/>
      <c r="Z943" s="345"/>
    </row>
    <row r="944">
      <c r="A944" s="345"/>
      <c r="B944" s="369"/>
      <c r="C944" s="345"/>
      <c r="D944" s="345"/>
      <c r="E944" s="345"/>
      <c r="F944" s="345"/>
      <c r="G944" s="345"/>
      <c r="H944" s="345"/>
      <c r="I944" s="345"/>
      <c r="J944" s="345"/>
      <c r="K944" s="345"/>
      <c r="L944" s="345"/>
      <c r="M944" s="345"/>
      <c r="N944" s="345"/>
      <c r="O944" s="345"/>
      <c r="P944" s="345"/>
      <c r="Q944" s="345"/>
      <c r="R944" s="345"/>
      <c r="S944" s="345"/>
      <c r="T944" s="345"/>
      <c r="U944" s="345"/>
      <c r="V944" s="345"/>
      <c r="W944" s="345"/>
      <c r="X944" s="345"/>
      <c r="Y944" s="345"/>
      <c r="Z944" s="345"/>
    </row>
    <row r="945">
      <c r="A945" s="345"/>
      <c r="B945" s="369"/>
      <c r="C945" s="345"/>
      <c r="D945" s="345"/>
      <c r="E945" s="345"/>
      <c r="F945" s="345"/>
      <c r="G945" s="345"/>
      <c r="H945" s="345"/>
      <c r="I945" s="345"/>
      <c r="J945" s="345"/>
      <c r="K945" s="345"/>
      <c r="L945" s="345"/>
      <c r="M945" s="345"/>
      <c r="N945" s="345"/>
      <c r="O945" s="345"/>
      <c r="P945" s="345"/>
      <c r="Q945" s="345"/>
      <c r="R945" s="345"/>
      <c r="S945" s="345"/>
      <c r="T945" s="345"/>
      <c r="U945" s="345"/>
      <c r="V945" s="345"/>
      <c r="W945" s="345"/>
      <c r="X945" s="345"/>
      <c r="Y945" s="345"/>
      <c r="Z945" s="345"/>
    </row>
    <row r="946">
      <c r="A946" s="345"/>
      <c r="B946" s="369"/>
      <c r="C946" s="345"/>
      <c r="D946" s="345"/>
      <c r="E946" s="345"/>
      <c r="F946" s="345"/>
      <c r="G946" s="345"/>
      <c r="H946" s="345"/>
      <c r="I946" s="345"/>
      <c r="J946" s="345"/>
      <c r="K946" s="345"/>
      <c r="L946" s="345"/>
      <c r="M946" s="345"/>
      <c r="N946" s="345"/>
      <c r="O946" s="345"/>
      <c r="P946" s="345"/>
      <c r="Q946" s="345"/>
      <c r="R946" s="345"/>
      <c r="S946" s="345"/>
      <c r="T946" s="345"/>
      <c r="U946" s="345"/>
      <c r="V946" s="345"/>
      <c r="W946" s="345"/>
      <c r="X946" s="345"/>
      <c r="Y946" s="345"/>
      <c r="Z946" s="345"/>
    </row>
    <row r="947">
      <c r="A947" s="345"/>
      <c r="B947" s="369"/>
      <c r="C947" s="345"/>
      <c r="D947" s="345"/>
      <c r="E947" s="345"/>
      <c r="F947" s="345"/>
      <c r="G947" s="345"/>
      <c r="H947" s="345"/>
      <c r="I947" s="345"/>
      <c r="J947" s="345"/>
      <c r="K947" s="345"/>
      <c r="L947" s="345"/>
      <c r="M947" s="345"/>
      <c r="N947" s="345"/>
      <c r="O947" s="345"/>
      <c r="P947" s="345"/>
      <c r="Q947" s="345"/>
      <c r="R947" s="345"/>
      <c r="S947" s="345"/>
      <c r="T947" s="345"/>
      <c r="U947" s="345"/>
      <c r="V947" s="345"/>
      <c r="W947" s="345"/>
      <c r="X947" s="345"/>
      <c r="Y947" s="345"/>
      <c r="Z947" s="345"/>
    </row>
    <row r="948">
      <c r="A948" s="345"/>
      <c r="B948" s="369"/>
      <c r="C948" s="345"/>
      <c r="D948" s="345"/>
      <c r="E948" s="345"/>
      <c r="F948" s="345"/>
      <c r="G948" s="345"/>
      <c r="H948" s="345"/>
      <c r="I948" s="345"/>
      <c r="J948" s="345"/>
      <c r="K948" s="345"/>
      <c r="L948" s="345"/>
      <c r="M948" s="345"/>
      <c r="N948" s="345"/>
      <c r="O948" s="345"/>
      <c r="P948" s="345"/>
      <c r="Q948" s="345"/>
      <c r="R948" s="345"/>
      <c r="S948" s="345"/>
      <c r="T948" s="345"/>
      <c r="U948" s="345"/>
      <c r="V948" s="345"/>
      <c r="W948" s="345"/>
      <c r="X948" s="345"/>
      <c r="Y948" s="345"/>
      <c r="Z948" s="345"/>
    </row>
    <row r="949">
      <c r="A949" s="345"/>
      <c r="B949" s="369"/>
      <c r="C949" s="345"/>
      <c r="D949" s="345"/>
      <c r="E949" s="345"/>
      <c r="F949" s="345"/>
      <c r="G949" s="345"/>
      <c r="H949" s="345"/>
      <c r="I949" s="345"/>
      <c r="J949" s="345"/>
      <c r="K949" s="345"/>
      <c r="L949" s="345"/>
      <c r="M949" s="345"/>
      <c r="N949" s="345"/>
      <c r="O949" s="345"/>
      <c r="P949" s="345"/>
      <c r="Q949" s="345"/>
      <c r="R949" s="345"/>
      <c r="S949" s="345"/>
      <c r="T949" s="345"/>
      <c r="U949" s="345"/>
      <c r="V949" s="345"/>
      <c r="W949" s="345"/>
      <c r="X949" s="345"/>
      <c r="Y949" s="345"/>
      <c r="Z949" s="345"/>
    </row>
    <row r="950">
      <c r="A950" s="345"/>
      <c r="B950" s="369"/>
      <c r="C950" s="345"/>
      <c r="D950" s="345"/>
      <c r="E950" s="345"/>
      <c r="F950" s="345"/>
      <c r="G950" s="345"/>
      <c r="H950" s="345"/>
      <c r="I950" s="345"/>
      <c r="J950" s="345"/>
      <c r="K950" s="345"/>
      <c r="L950" s="345"/>
      <c r="M950" s="345"/>
      <c r="N950" s="345"/>
      <c r="O950" s="345"/>
      <c r="P950" s="345"/>
      <c r="Q950" s="345"/>
      <c r="R950" s="345"/>
      <c r="S950" s="345"/>
      <c r="T950" s="345"/>
      <c r="U950" s="345"/>
      <c r="V950" s="345"/>
      <c r="W950" s="345"/>
      <c r="X950" s="345"/>
      <c r="Y950" s="345"/>
      <c r="Z950" s="345"/>
    </row>
    <row r="951">
      <c r="A951" s="345"/>
      <c r="B951" s="369"/>
      <c r="C951" s="345"/>
      <c r="D951" s="345"/>
      <c r="E951" s="345"/>
      <c r="F951" s="345"/>
      <c r="G951" s="345"/>
      <c r="H951" s="345"/>
      <c r="I951" s="345"/>
      <c r="J951" s="345"/>
      <c r="K951" s="345"/>
      <c r="L951" s="345"/>
      <c r="M951" s="345"/>
      <c r="N951" s="345"/>
      <c r="O951" s="345"/>
      <c r="P951" s="345"/>
      <c r="Q951" s="345"/>
      <c r="R951" s="345"/>
      <c r="S951" s="345"/>
      <c r="T951" s="345"/>
      <c r="U951" s="345"/>
      <c r="V951" s="345"/>
      <c r="W951" s="345"/>
      <c r="X951" s="345"/>
      <c r="Y951" s="345"/>
      <c r="Z951" s="345"/>
    </row>
    <row r="952">
      <c r="A952" s="345"/>
      <c r="B952" s="369"/>
      <c r="C952" s="345"/>
      <c r="D952" s="345"/>
      <c r="E952" s="345"/>
      <c r="F952" s="345"/>
      <c r="G952" s="345"/>
      <c r="H952" s="345"/>
      <c r="I952" s="345"/>
      <c r="J952" s="345"/>
      <c r="K952" s="345"/>
      <c r="L952" s="345"/>
      <c r="M952" s="345"/>
      <c r="N952" s="345"/>
      <c r="O952" s="345"/>
      <c r="P952" s="345"/>
      <c r="Q952" s="345"/>
      <c r="R952" s="345"/>
      <c r="S952" s="345"/>
      <c r="T952" s="345"/>
      <c r="U952" s="345"/>
      <c r="V952" s="345"/>
      <c r="W952" s="345"/>
      <c r="X952" s="345"/>
      <c r="Y952" s="345"/>
      <c r="Z952" s="345"/>
    </row>
    <row r="953">
      <c r="A953" s="345"/>
      <c r="B953" s="369"/>
      <c r="C953" s="345"/>
      <c r="D953" s="345"/>
      <c r="E953" s="345"/>
      <c r="F953" s="345"/>
      <c r="G953" s="345"/>
      <c r="H953" s="345"/>
      <c r="I953" s="345"/>
      <c r="J953" s="345"/>
      <c r="K953" s="345"/>
      <c r="L953" s="345"/>
      <c r="M953" s="345"/>
      <c r="N953" s="345"/>
      <c r="O953" s="345"/>
      <c r="P953" s="345"/>
      <c r="Q953" s="345"/>
      <c r="R953" s="345"/>
      <c r="S953" s="345"/>
      <c r="T953" s="345"/>
      <c r="U953" s="345"/>
      <c r="V953" s="345"/>
      <c r="W953" s="345"/>
      <c r="X953" s="345"/>
      <c r="Y953" s="345"/>
      <c r="Z953" s="345"/>
    </row>
    <row r="954">
      <c r="A954" s="345"/>
      <c r="B954" s="369"/>
      <c r="C954" s="345"/>
      <c r="D954" s="345"/>
      <c r="E954" s="345"/>
      <c r="F954" s="345"/>
      <c r="G954" s="345"/>
      <c r="H954" s="345"/>
      <c r="I954" s="345"/>
      <c r="J954" s="345"/>
      <c r="K954" s="345"/>
      <c r="L954" s="345"/>
      <c r="M954" s="345"/>
      <c r="N954" s="345"/>
      <c r="O954" s="345"/>
      <c r="P954" s="345"/>
      <c r="Q954" s="345"/>
      <c r="R954" s="345"/>
      <c r="S954" s="345"/>
      <c r="T954" s="345"/>
      <c r="U954" s="345"/>
      <c r="V954" s="345"/>
      <c r="W954" s="345"/>
      <c r="X954" s="345"/>
      <c r="Y954" s="345"/>
      <c r="Z954" s="345"/>
    </row>
    <row r="955">
      <c r="A955" s="345"/>
      <c r="B955" s="369"/>
      <c r="C955" s="345"/>
      <c r="D955" s="345"/>
      <c r="E955" s="345"/>
      <c r="F955" s="345"/>
      <c r="G955" s="345"/>
      <c r="H955" s="345"/>
      <c r="I955" s="345"/>
      <c r="J955" s="345"/>
      <c r="K955" s="345"/>
      <c r="L955" s="345"/>
      <c r="M955" s="345"/>
      <c r="N955" s="345"/>
      <c r="O955" s="345"/>
      <c r="P955" s="345"/>
      <c r="Q955" s="345"/>
      <c r="R955" s="345"/>
      <c r="S955" s="345"/>
      <c r="T955" s="345"/>
      <c r="U955" s="345"/>
      <c r="V955" s="345"/>
      <c r="W955" s="345"/>
      <c r="X955" s="345"/>
      <c r="Y955" s="345"/>
      <c r="Z955" s="345"/>
    </row>
    <row r="956">
      <c r="A956" s="345"/>
      <c r="B956" s="369"/>
      <c r="C956" s="345"/>
      <c r="D956" s="345"/>
      <c r="E956" s="345"/>
      <c r="F956" s="345"/>
      <c r="G956" s="345"/>
      <c r="H956" s="345"/>
      <c r="I956" s="345"/>
      <c r="J956" s="345"/>
      <c r="K956" s="345"/>
      <c r="L956" s="345"/>
      <c r="M956" s="345"/>
      <c r="N956" s="345"/>
      <c r="O956" s="345"/>
      <c r="P956" s="345"/>
      <c r="Q956" s="345"/>
      <c r="R956" s="345"/>
      <c r="S956" s="345"/>
      <c r="T956" s="345"/>
      <c r="U956" s="345"/>
      <c r="V956" s="345"/>
      <c r="W956" s="345"/>
      <c r="X956" s="345"/>
      <c r="Y956" s="345"/>
      <c r="Z956" s="345"/>
    </row>
    <row r="957">
      <c r="A957" s="345"/>
      <c r="B957" s="369"/>
      <c r="C957" s="345"/>
      <c r="D957" s="345"/>
      <c r="E957" s="345"/>
      <c r="F957" s="345"/>
      <c r="G957" s="345"/>
      <c r="H957" s="345"/>
      <c r="I957" s="345"/>
      <c r="J957" s="345"/>
      <c r="K957" s="345"/>
      <c r="L957" s="345"/>
      <c r="M957" s="345"/>
      <c r="N957" s="345"/>
      <c r="O957" s="345"/>
      <c r="P957" s="345"/>
      <c r="Q957" s="345"/>
      <c r="R957" s="345"/>
      <c r="S957" s="345"/>
      <c r="T957" s="345"/>
      <c r="U957" s="345"/>
      <c r="V957" s="345"/>
      <c r="W957" s="345"/>
      <c r="X957" s="345"/>
      <c r="Y957" s="345"/>
      <c r="Z957" s="345"/>
    </row>
    <row r="958">
      <c r="A958" s="345"/>
      <c r="B958" s="369"/>
      <c r="C958" s="345"/>
      <c r="D958" s="345"/>
      <c r="E958" s="345"/>
      <c r="F958" s="345"/>
      <c r="G958" s="345"/>
      <c r="H958" s="345"/>
      <c r="I958" s="345"/>
      <c r="J958" s="345"/>
      <c r="K958" s="345"/>
      <c r="L958" s="345"/>
      <c r="M958" s="345"/>
      <c r="N958" s="345"/>
      <c r="O958" s="345"/>
      <c r="P958" s="345"/>
      <c r="Q958" s="345"/>
      <c r="R958" s="345"/>
      <c r="S958" s="345"/>
      <c r="T958" s="345"/>
      <c r="U958" s="345"/>
      <c r="V958" s="345"/>
      <c r="W958" s="345"/>
      <c r="X958" s="345"/>
      <c r="Y958" s="345"/>
      <c r="Z958" s="345"/>
    </row>
    <row r="959">
      <c r="A959" s="345"/>
      <c r="B959" s="369"/>
      <c r="C959" s="345"/>
      <c r="D959" s="345"/>
      <c r="E959" s="345"/>
      <c r="F959" s="345"/>
      <c r="G959" s="345"/>
      <c r="H959" s="345"/>
      <c r="I959" s="345"/>
      <c r="J959" s="345"/>
      <c r="K959" s="345"/>
      <c r="L959" s="345"/>
      <c r="M959" s="345"/>
      <c r="N959" s="345"/>
      <c r="O959" s="345"/>
      <c r="P959" s="345"/>
      <c r="Q959" s="345"/>
      <c r="R959" s="345"/>
      <c r="S959" s="345"/>
      <c r="T959" s="345"/>
      <c r="U959" s="345"/>
      <c r="V959" s="345"/>
      <c r="W959" s="345"/>
      <c r="X959" s="345"/>
      <c r="Y959" s="345"/>
      <c r="Z959" s="345"/>
    </row>
    <row r="960">
      <c r="A960" s="345"/>
      <c r="B960" s="369"/>
      <c r="C960" s="345"/>
      <c r="D960" s="345"/>
      <c r="E960" s="345"/>
      <c r="F960" s="345"/>
      <c r="G960" s="345"/>
      <c r="H960" s="345"/>
      <c r="I960" s="345"/>
      <c r="J960" s="345"/>
      <c r="K960" s="345"/>
      <c r="L960" s="345"/>
      <c r="M960" s="345"/>
      <c r="N960" s="345"/>
      <c r="O960" s="345"/>
      <c r="P960" s="345"/>
      <c r="Q960" s="345"/>
      <c r="R960" s="345"/>
      <c r="S960" s="345"/>
      <c r="T960" s="345"/>
      <c r="U960" s="345"/>
      <c r="V960" s="345"/>
      <c r="W960" s="345"/>
      <c r="X960" s="345"/>
      <c r="Y960" s="345"/>
      <c r="Z960" s="345"/>
    </row>
    <row r="961">
      <c r="A961" s="345"/>
      <c r="B961" s="369"/>
      <c r="C961" s="345"/>
      <c r="D961" s="345"/>
      <c r="E961" s="345"/>
      <c r="F961" s="345"/>
      <c r="G961" s="345"/>
      <c r="H961" s="345"/>
      <c r="I961" s="345"/>
      <c r="J961" s="345"/>
      <c r="K961" s="345"/>
      <c r="L961" s="345"/>
      <c r="M961" s="345"/>
      <c r="N961" s="345"/>
      <c r="O961" s="345"/>
      <c r="P961" s="345"/>
      <c r="Q961" s="345"/>
      <c r="R961" s="345"/>
      <c r="S961" s="345"/>
      <c r="T961" s="345"/>
      <c r="U961" s="345"/>
      <c r="V961" s="345"/>
      <c r="W961" s="345"/>
      <c r="X961" s="345"/>
      <c r="Y961" s="345"/>
      <c r="Z961" s="345"/>
    </row>
    <row r="962">
      <c r="A962" s="345"/>
      <c r="B962" s="369"/>
      <c r="C962" s="345"/>
      <c r="D962" s="345"/>
      <c r="E962" s="345"/>
      <c r="F962" s="345"/>
      <c r="G962" s="345"/>
      <c r="H962" s="345"/>
      <c r="I962" s="345"/>
      <c r="J962" s="345"/>
      <c r="K962" s="345"/>
      <c r="L962" s="345"/>
      <c r="M962" s="345"/>
      <c r="N962" s="345"/>
      <c r="O962" s="345"/>
      <c r="P962" s="345"/>
      <c r="Q962" s="345"/>
      <c r="R962" s="345"/>
      <c r="S962" s="345"/>
      <c r="T962" s="345"/>
      <c r="U962" s="345"/>
      <c r="V962" s="345"/>
      <c r="W962" s="345"/>
      <c r="X962" s="345"/>
      <c r="Y962" s="345"/>
      <c r="Z962" s="345"/>
    </row>
    <row r="963">
      <c r="A963" s="345"/>
      <c r="B963" s="369"/>
      <c r="C963" s="345"/>
      <c r="D963" s="345"/>
      <c r="E963" s="345"/>
      <c r="F963" s="345"/>
      <c r="G963" s="345"/>
      <c r="H963" s="345"/>
      <c r="I963" s="345"/>
      <c r="J963" s="345"/>
      <c r="K963" s="345"/>
      <c r="L963" s="345"/>
      <c r="M963" s="345"/>
      <c r="N963" s="345"/>
      <c r="O963" s="345"/>
      <c r="P963" s="345"/>
      <c r="Q963" s="345"/>
      <c r="R963" s="345"/>
      <c r="S963" s="345"/>
      <c r="T963" s="345"/>
      <c r="U963" s="345"/>
      <c r="V963" s="345"/>
      <c r="W963" s="345"/>
      <c r="X963" s="345"/>
      <c r="Y963" s="345"/>
      <c r="Z963" s="345"/>
    </row>
    <row r="964">
      <c r="A964" s="345"/>
      <c r="B964" s="369"/>
      <c r="C964" s="345"/>
      <c r="D964" s="345"/>
      <c r="E964" s="345"/>
      <c r="F964" s="345"/>
      <c r="G964" s="345"/>
      <c r="H964" s="345"/>
      <c r="I964" s="345"/>
      <c r="J964" s="345"/>
      <c r="K964" s="345"/>
      <c r="L964" s="345"/>
      <c r="M964" s="345"/>
      <c r="N964" s="345"/>
      <c r="O964" s="345"/>
      <c r="P964" s="345"/>
      <c r="Q964" s="345"/>
      <c r="R964" s="345"/>
      <c r="S964" s="345"/>
      <c r="T964" s="345"/>
      <c r="U964" s="345"/>
      <c r="V964" s="345"/>
      <c r="W964" s="345"/>
      <c r="X964" s="345"/>
      <c r="Y964" s="345"/>
      <c r="Z964" s="345"/>
    </row>
    <row r="965">
      <c r="A965" s="345"/>
      <c r="B965" s="369"/>
      <c r="C965" s="345"/>
      <c r="D965" s="345"/>
      <c r="E965" s="345"/>
      <c r="F965" s="345"/>
      <c r="G965" s="345"/>
      <c r="H965" s="345"/>
      <c r="I965" s="345"/>
      <c r="J965" s="345"/>
      <c r="K965" s="345"/>
      <c r="L965" s="345"/>
      <c r="M965" s="345"/>
      <c r="N965" s="345"/>
      <c r="O965" s="345"/>
      <c r="P965" s="345"/>
      <c r="Q965" s="345"/>
      <c r="R965" s="345"/>
      <c r="S965" s="345"/>
      <c r="T965" s="345"/>
      <c r="U965" s="345"/>
      <c r="V965" s="345"/>
      <c r="W965" s="345"/>
      <c r="X965" s="345"/>
      <c r="Y965" s="345"/>
      <c r="Z965" s="345"/>
    </row>
    <row r="966">
      <c r="A966" s="345"/>
      <c r="B966" s="369"/>
      <c r="C966" s="345"/>
      <c r="D966" s="345"/>
      <c r="E966" s="345"/>
      <c r="F966" s="345"/>
      <c r="G966" s="345"/>
      <c r="H966" s="345"/>
      <c r="I966" s="345"/>
      <c r="J966" s="345"/>
      <c r="K966" s="345"/>
      <c r="L966" s="345"/>
      <c r="M966" s="345"/>
      <c r="N966" s="345"/>
      <c r="O966" s="345"/>
      <c r="P966" s="345"/>
      <c r="Q966" s="345"/>
      <c r="R966" s="345"/>
      <c r="S966" s="345"/>
      <c r="T966" s="345"/>
      <c r="U966" s="345"/>
      <c r="V966" s="345"/>
      <c r="W966" s="345"/>
      <c r="X966" s="345"/>
      <c r="Y966" s="345"/>
      <c r="Z966" s="345"/>
    </row>
    <row r="967">
      <c r="A967" s="345"/>
      <c r="B967" s="369"/>
      <c r="C967" s="345"/>
      <c r="D967" s="345"/>
      <c r="E967" s="345"/>
      <c r="F967" s="345"/>
      <c r="G967" s="345"/>
      <c r="H967" s="345"/>
      <c r="I967" s="345"/>
      <c r="J967" s="345"/>
      <c r="K967" s="345"/>
      <c r="L967" s="345"/>
      <c r="M967" s="345"/>
      <c r="N967" s="345"/>
      <c r="O967" s="345"/>
      <c r="P967" s="345"/>
      <c r="Q967" s="345"/>
      <c r="R967" s="345"/>
      <c r="S967" s="345"/>
      <c r="T967" s="345"/>
      <c r="U967" s="345"/>
      <c r="V967" s="345"/>
      <c r="W967" s="345"/>
      <c r="X967" s="345"/>
      <c r="Y967" s="345"/>
      <c r="Z967" s="345"/>
    </row>
    <row r="968">
      <c r="A968" s="345"/>
      <c r="B968" s="369"/>
      <c r="C968" s="345"/>
      <c r="D968" s="345"/>
      <c r="E968" s="345"/>
      <c r="F968" s="345"/>
      <c r="G968" s="345"/>
      <c r="H968" s="345"/>
      <c r="I968" s="345"/>
      <c r="J968" s="345"/>
      <c r="K968" s="345"/>
      <c r="L968" s="345"/>
      <c r="M968" s="345"/>
      <c r="N968" s="345"/>
      <c r="O968" s="345"/>
      <c r="P968" s="345"/>
      <c r="Q968" s="345"/>
      <c r="R968" s="345"/>
      <c r="S968" s="345"/>
      <c r="T968" s="345"/>
      <c r="U968" s="345"/>
      <c r="V968" s="345"/>
      <c r="W968" s="345"/>
      <c r="X968" s="345"/>
      <c r="Y968" s="345"/>
      <c r="Z968" s="345"/>
    </row>
    <row r="969">
      <c r="A969" s="345"/>
      <c r="B969" s="369"/>
      <c r="C969" s="345"/>
      <c r="D969" s="345"/>
      <c r="E969" s="345"/>
      <c r="F969" s="345"/>
      <c r="G969" s="345"/>
      <c r="H969" s="345"/>
      <c r="I969" s="345"/>
      <c r="J969" s="345"/>
      <c r="K969" s="345"/>
      <c r="L969" s="345"/>
      <c r="M969" s="345"/>
      <c r="N969" s="345"/>
      <c r="O969" s="345"/>
      <c r="P969" s="345"/>
      <c r="Q969" s="345"/>
      <c r="R969" s="345"/>
      <c r="S969" s="345"/>
      <c r="T969" s="345"/>
      <c r="U969" s="345"/>
      <c r="V969" s="345"/>
      <c r="W969" s="345"/>
      <c r="X969" s="345"/>
      <c r="Y969" s="345"/>
      <c r="Z969" s="345"/>
    </row>
    <row r="970">
      <c r="A970" s="345"/>
      <c r="B970" s="369"/>
      <c r="C970" s="345"/>
      <c r="D970" s="345"/>
      <c r="E970" s="345"/>
      <c r="F970" s="345"/>
      <c r="G970" s="345"/>
      <c r="H970" s="345"/>
      <c r="I970" s="345"/>
      <c r="J970" s="345"/>
      <c r="K970" s="345"/>
      <c r="L970" s="345"/>
      <c r="M970" s="345"/>
      <c r="N970" s="345"/>
      <c r="O970" s="345"/>
      <c r="P970" s="345"/>
      <c r="Q970" s="345"/>
      <c r="R970" s="345"/>
      <c r="S970" s="345"/>
      <c r="T970" s="345"/>
      <c r="U970" s="345"/>
      <c r="V970" s="345"/>
      <c r="W970" s="345"/>
      <c r="X970" s="345"/>
      <c r="Y970" s="345"/>
      <c r="Z970" s="345"/>
    </row>
    <row r="971">
      <c r="A971" s="345"/>
      <c r="B971" s="369"/>
      <c r="C971" s="345"/>
      <c r="D971" s="345"/>
      <c r="E971" s="345"/>
      <c r="F971" s="345"/>
      <c r="G971" s="345"/>
      <c r="H971" s="345"/>
      <c r="I971" s="345"/>
      <c r="J971" s="345"/>
      <c r="K971" s="345"/>
      <c r="L971" s="345"/>
      <c r="M971" s="345"/>
      <c r="N971" s="345"/>
      <c r="O971" s="345"/>
      <c r="P971" s="345"/>
      <c r="Q971" s="345"/>
      <c r="R971" s="345"/>
      <c r="S971" s="345"/>
      <c r="T971" s="345"/>
      <c r="U971" s="345"/>
      <c r="V971" s="345"/>
      <c r="W971" s="345"/>
      <c r="X971" s="345"/>
      <c r="Y971" s="345"/>
      <c r="Z971" s="345"/>
    </row>
    <row r="972">
      <c r="A972" s="345"/>
      <c r="B972" s="369"/>
      <c r="C972" s="345"/>
      <c r="D972" s="345"/>
      <c r="E972" s="345"/>
      <c r="F972" s="345"/>
      <c r="G972" s="345"/>
      <c r="H972" s="345"/>
      <c r="I972" s="345"/>
      <c r="J972" s="345"/>
      <c r="K972" s="345"/>
      <c r="L972" s="345"/>
      <c r="M972" s="345"/>
      <c r="N972" s="345"/>
      <c r="O972" s="345"/>
      <c r="P972" s="345"/>
      <c r="Q972" s="345"/>
      <c r="R972" s="345"/>
      <c r="S972" s="345"/>
      <c r="T972" s="345"/>
      <c r="U972" s="345"/>
      <c r="V972" s="345"/>
      <c r="W972" s="345"/>
      <c r="X972" s="345"/>
      <c r="Y972" s="345"/>
      <c r="Z972" s="345"/>
    </row>
    <row r="973">
      <c r="A973" s="345"/>
      <c r="B973" s="369"/>
      <c r="C973" s="345"/>
      <c r="D973" s="345"/>
      <c r="E973" s="345"/>
      <c r="F973" s="345"/>
      <c r="G973" s="345"/>
      <c r="H973" s="345"/>
      <c r="I973" s="345"/>
      <c r="J973" s="345"/>
      <c r="K973" s="345"/>
      <c r="L973" s="345"/>
      <c r="M973" s="345"/>
      <c r="N973" s="345"/>
      <c r="O973" s="345"/>
      <c r="P973" s="345"/>
      <c r="Q973" s="345"/>
      <c r="R973" s="345"/>
      <c r="S973" s="345"/>
      <c r="T973" s="345"/>
      <c r="U973" s="345"/>
      <c r="V973" s="345"/>
      <c r="W973" s="345"/>
      <c r="X973" s="345"/>
      <c r="Y973" s="345"/>
      <c r="Z973" s="345"/>
    </row>
    <row r="974">
      <c r="A974" s="345"/>
      <c r="B974" s="369"/>
      <c r="C974" s="345"/>
      <c r="D974" s="345"/>
      <c r="E974" s="345"/>
      <c r="F974" s="345"/>
      <c r="G974" s="345"/>
      <c r="H974" s="345"/>
      <c r="I974" s="345"/>
      <c r="J974" s="345"/>
      <c r="K974" s="345"/>
      <c r="L974" s="345"/>
      <c r="M974" s="345"/>
      <c r="N974" s="345"/>
      <c r="O974" s="345"/>
      <c r="P974" s="345"/>
      <c r="Q974" s="345"/>
      <c r="R974" s="345"/>
      <c r="S974" s="345"/>
      <c r="T974" s="345"/>
      <c r="U974" s="345"/>
      <c r="V974" s="345"/>
      <c r="W974" s="345"/>
      <c r="X974" s="345"/>
      <c r="Y974" s="345"/>
      <c r="Z974" s="345"/>
    </row>
    <row r="975">
      <c r="A975" s="345"/>
      <c r="B975" s="369"/>
      <c r="C975" s="345"/>
      <c r="D975" s="345"/>
      <c r="E975" s="345"/>
      <c r="F975" s="345"/>
      <c r="G975" s="345"/>
      <c r="H975" s="345"/>
      <c r="I975" s="345"/>
      <c r="J975" s="345"/>
      <c r="K975" s="345"/>
      <c r="L975" s="345"/>
      <c r="M975" s="345"/>
      <c r="N975" s="345"/>
      <c r="O975" s="345"/>
      <c r="P975" s="345"/>
      <c r="Q975" s="345"/>
      <c r="R975" s="345"/>
      <c r="S975" s="345"/>
      <c r="T975" s="345"/>
      <c r="U975" s="345"/>
      <c r="V975" s="345"/>
      <c r="W975" s="345"/>
      <c r="X975" s="345"/>
      <c r="Y975" s="345"/>
      <c r="Z975" s="345"/>
    </row>
    <row r="976">
      <c r="A976" s="345"/>
      <c r="B976" s="369"/>
      <c r="C976" s="345"/>
      <c r="D976" s="345"/>
      <c r="E976" s="345"/>
      <c r="F976" s="345"/>
      <c r="G976" s="345"/>
      <c r="H976" s="345"/>
      <c r="I976" s="345"/>
      <c r="J976" s="345"/>
      <c r="K976" s="345"/>
      <c r="L976" s="345"/>
      <c r="M976" s="345"/>
      <c r="N976" s="345"/>
      <c r="O976" s="345"/>
      <c r="P976" s="345"/>
      <c r="Q976" s="345"/>
      <c r="R976" s="345"/>
      <c r="S976" s="345"/>
      <c r="T976" s="345"/>
      <c r="U976" s="345"/>
      <c r="V976" s="345"/>
      <c r="W976" s="345"/>
      <c r="X976" s="345"/>
      <c r="Y976" s="345"/>
      <c r="Z976" s="345"/>
    </row>
    <row r="977">
      <c r="A977" s="345"/>
      <c r="B977" s="369"/>
      <c r="C977" s="345"/>
      <c r="D977" s="345"/>
      <c r="E977" s="345"/>
      <c r="F977" s="345"/>
      <c r="G977" s="345"/>
      <c r="H977" s="345"/>
      <c r="I977" s="345"/>
      <c r="J977" s="345"/>
      <c r="K977" s="345"/>
      <c r="L977" s="345"/>
      <c r="M977" s="345"/>
      <c r="N977" s="345"/>
      <c r="O977" s="345"/>
      <c r="P977" s="345"/>
      <c r="Q977" s="345"/>
      <c r="R977" s="345"/>
      <c r="S977" s="345"/>
      <c r="T977" s="345"/>
      <c r="U977" s="345"/>
      <c r="V977" s="345"/>
      <c r="W977" s="345"/>
      <c r="X977" s="345"/>
      <c r="Y977" s="345"/>
      <c r="Z977" s="345"/>
    </row>
    <row r="978">
      <c r="A978" s="345"/>
      <c r="B978" s="369"/>
      <c r="C978" s="345"/>
      <c r="D978" s="345"/>
      <c r="E978" s="345"/>
      <c r="F978" s="345"/>
      <c r="G978" s="345"/>
      <c r="H978" s="345"/>
      <c r="I978" s="345"/>
      <c r="J978" s="345"/>
      <c r="K978" s="345"/>
      <c r="L978" s="345"/>
      <c r="M978" s="345"/>
      <c r="N978" s="345"/>
      <c r="O978" s="345"/>
      <c r="P978" s="345"/>
      <c r="Q978" s="345"/>
      <c r="R978" s="345"/>
      <c r="S978" s="345"/>
      <c r="T978" s="345"/>
      <c r="U978" s="345"/>
      <c r="V978" s="345"/>
      <c r="W978" s="345"/>
      <c r="X978" s="345"/>
      <c r="Y978" s="345"/>
      <c r="Z978" s="345"/>
    </row>
    <row r="979">
      <c r="A979" s="345"/>
      <c r="B979" s="369"/>
      <c r="C979" s="345"/>
      <c r="D979" s="345"/>
      <c r="E979" s="345"/>
      <c r="F979" s="345"/>
      <c r="G979" s="345"/>
      <c r="H979" s="345"/>
      <c r="I979" s="345"/>
      <c r="J979" s="345"/>
      <c r="K979" s="345"/>
      <c r="L979" s="345"/>
      <c r="M979" s="345"/>
      <c r="N979" s="345"/>
      <c r="O979" s="345"/>
      <c r="P979" s="345"/>
      <c r="Q979" s="345"/>
      <c r="R979" s="345"/>
      <c r="S979" s="345"/>
      <c r="T979" s="345"/>
      <c r="U979" s="345"/>
      <c r="V979" s="345"/>
      <c r="W979" s="345"/>
      <c r="X979" s="345"/>
      <c r="Y979" s="345"/>
      <c r="Z979" s="345"/>
    </row>
    <row r="980">
      <c r="A980" s="345"/>
      <c r="B980" s="369"/>
      <c r="C980" s="345"/>
      <c r="D980" s="345"/>
      <c r="E980" s="345"/>
      <c r="F980" s="345"/>
      <c r="G980" s="345"/>
      <c r="H980" s="345"/>
      <c r="I980" s="345"/>
      <c r="J980" s="345"/>
      <c r="K980" s="345"/>
      <c r="L980" s="345"/>
      <c r="M980" s="345"/>
      <c r="N980" s="345"/>
      <c r="O980" s="345"/>
      <c r="P980" s="345"/>
      <c r="Q980" s="345"/>
      <c r="R980" s="345"/>
      <c r="S980" s="345"/>
      <c r="T980" s="345"/>
      <c r="U980" s="345"/>
      <c r="V980" s="345"/>
      <c r="W980" s="345"/>
      <c r="X980" s="345"/>
      <c r="Y980" s="345"/>
      <c r="Z980" s="345"/>
    </row>
    <row r="981">
      <c r="A981" s="345"/>
      <c r="B981" s="369"/>
      <c r="C981" s="345"/>
      <c r="D981" s="345"/>
      <c r="E981" s="345"/>
      <c r="F981" s="345"/>
      <c r="G981" s="345"/>
      <c r="H981" s="345"/>
      <c r="I981" s="345"/>
      <c r="J981" s="345"/>
      <c r="K981" s="345"/>
      <c r="L981" s="345"/>
      <c r="M981" s="345"/>
      <c r="N981" s="345"/>
      <c r="O981" s="345"/>
      <c r="P981" s="345"/>
      <c r="Q981" s="345"/>
      <c r="R981" s="345"/>
      <c r="S981" s="345"/>
      <c r="T981" s="345"/>
      <c r="U981" s="345"/>
      <c r="V981" s="345"/>
      <c r="W981" s="345"/>
      <c r="X981" s="345"/>
      <c r="Y981" s="345"/>
      <c r="Z981" s="345"/>
    </row>
    <row r="982">
      <c r="A982" s="345"/>
      <c r="B982" s="369"/>
      <c r="C982" s="345"/>
      <c r="D982" s="345"/>
      <c r="E982" s="345"/>
      <c r="F982" s="345"/>
      <c r="G982" s="345"/>
      <c r="H982" s="345"/>
      <c r="I982" s="345"/>
      <c r="J982" s="345"/>
      <c r="K982" s="345"/>
      <c r="L982" s="345"/>
      <c r="M982" s="345"/>
      <c r="N982" s="345"/>
      <c r="O982" s="345"/>
      <c r="P982" s="345"/>
      <c r="Q982" s="345"/>
      <c r="R982" s="345"/>
      <c r="S982" s="345"/>
      <c r="T982" s="345"/>
      <c r="U982" s="345"/>
      <c r="V982" s="345"/>
      <c r="W982" s="345"/>
      <c r="X982" s="345"/>
      <c r="Y982" s="345"/>
      <c r="Z982" s="345"/>
    </row>
    <row r="983">
      <c r="A983" s="345"/>
      <c r="B983" s="369"/>
      <c r="C983" s="345"/>
      <c r="D983" s="345"/>
      <c r="E983" s="345"/>
      <c r="F983" s="345"/>
      <c r="G983" s="345"/>
      <c r="H983" s="345"/>
      <c r="I983" s="345"/>
      <c r="J983" s="345"/>
      <c r="K983" s="345"/>
      <c r="L983" s="345"/>
      <c r="M983" s="345"/>
      <c r="N983" s="345"/>
      <c r="O983" s="345"/>
      <c r="P983" s="345"/>
      <c r="Q983" s="345"/>
      <c r="R983" s="345"/>
      <c r="S983" s="345"/>
      <c r="T983" s="345"/>
      <c r="U983" s="345"/>
      <c r="V983" s="345"/>
      <c r="W983" s="345"/>
      <c r="X983" s="345"/>
      <c r="Y983" s="345"/>
      <c r="Z983" s="345"/>
    </row>
    <row r="984">
      <c r="A984" s="345"/>
      <c r="B984" s="369"/>
      <c r="C984" s="345"/>
      <c r="D984" s="345"/>
      <c r="E984" s="345"/>
      <c r="F984" s="345"/>
      <c r="G984" s="345"/>
      <c r="H984" s="345"/>
      <c r="I984" s="345"/>
      <c r="J984" s="345"/>
      <c r="K984" s="345"/>
      <c r="L984" s="345"/>
      <c r="M984" s="345"/>
      <c r="N984" s="345"/>
      <c r="O984" s="345"/>
      <c r="P984" s="345"/>
      <c r="Q984" s="345"/>
      <c r="R984" s="345"/>
      <c r="S984" s="345"/>
      <c r="T984" s="345"/>
      <c r="U984" s="345"/>
      <c r="V984" s="345"/>
      <c r="W984" s="345"/>
      <c r="X984" s="345"/>
      <c r="Y984" s="345"/>
      <c r="Z984" s="345"/>
    </row>
    <row r="985">
      <c r="A985" s="345"/>
      <c r="B985" s="369"/>
      <c r="C985" s="345"/>
      <c r="D985" s="345"/>
      <c r="E985" s="345"/>
      <c r="F985" s="345"/>
      <c r="G985" s="345"/>
      <c r="H985" s="345"/>
      <c r="I985" s="345"/>
      <c r="J985" s="345"/>
      <c r="K985" s="345"/>
      <c r="L985" s="345"/>
      <c r="M985" s="345"/>
      <c r="N985" s="345"/>
      <c r="O985" s="345"/>
      <c r="P985" s="345"/>
      <c r="Q985" s="345"/>
      <c r="R985" s="345"/>
      <c r="S985" s="345"/>
      <c r="T985" s="345"/>
      <c r="U985" s="345"/>
      <c r="V985" s="345"/>
      <c r="W985" s="345"/>
      <c r="X985" s="345"/>
      <c r="Y985" s="345"/>
      <c r="Z985" s="345"/>
    </row>
    <row r="986">
      <c r="A986" s="345"/>
      <c r="B986" s="369"/>
      <c r="C986" s="345"/>
      <c r="D986" s="345"/>
      <c r="E986" s="345"/>
      <c r="F986" s="345"/>
      <c r="G986" s="345"/>
      <c r="H986" s="345"/>
      <c r="I986" s="345"/>
      <c r="J986" s="345"/>
      <c r="K986" s="345"/>
      <c r="L986" s="345"/>
      <c r="M986" s="345"/>
      <c r="N986" s="345"/>
      <c r="O986" s="345"/>
      <c r="P986" s="345"/>
      <c r="Q986" s="345"/>
      <c r="R986" s="345"/>
      <c r="S986" s="345"/>
      <c r="T986" s="345"/>
      <c r="U986" s="345"/>
      <c r="V986" s="345"/>
      <c r="W986" s="345"/>
      <c r="X986" s="345"/>
      <c r="Y986" s="345"/>
      <c r="Z986" s="345"/>
    </row>
    <row r="987">
      <c r="A987" s="345"/>
      <c r="B987" s="369"/>
      <c r="C987" s="345"/>
      <c r="D987" s="345"/>
      <c r="E987" s="345"/>
      <c r="F987" s="345"/>
      <c r="G987" s="345"/>
      <c r="H987" s="345"/>
      <c r="I987" s="345"/>
      <c r="J987" s="345"/>
      <c r="K987" s="345"/>
      <c r="L987" s="345"/>
      <c r="M987" s="345"/>
      <c r="N987" s="345"/>
      <c r="O987" s="345"/>
      <c r="P987" s="345"/>
      <c r="Q987" s="345"/>
      <c r="R987" s="345"/>
      <c r="S987" s="345"/>
      <c r="T987" s="345"/>
      <c r="U987" s="345"/>
      <c r="V987" s="345"/>
      <c r="W987" s="345"/>
      <c r="X987" s="345"/>
      <c r="Y987" s="345"/>
      <c r="Z987" s="345"/>
    </row>
    <row r="988">
      <c r="A988" s="345"/>
      <c r="B988" s="369"/>
      <c r="C988" s="345"/>
      <c r="D988" s="345"/>
      <c r="E988" s="345"/>
      <c r="F988" s="345"/>
      <c r="G988" s="345"/>
      <c r="H988" s="345"/>
      <c r="I988" s="345"/>
      <c r="J988" s="345"/>
      <c r="K988" s="345"/>
      <c r="L988" s="345"/>
      <c r="M988" s="345"/>
      <c r="N988" s="345"/>
      <c r="O988" s="345"/>
      <c r="P988" s="345"/>
      <c r="Q988" s="345"/>
      <c r="R988" s="345"/>
      <c r="S988" s="345"/>
      <c r="T988" s="345"/>
      <c r="U988" s="345"/>
      <c r="V988" s="345"/>
      <c r="W988" s="345"/>
      <c r="X988" s="345"/>
      <c r="Y988" s="345"/>
      <c r="Z988" s="345"/>
    </row>
    <row r="989">
      <c r="A989" s="345"/>
      <c r="B989" s="369"/>
      <c r="C989" s="345"/>
      <c r="D989" s="345"/>
      <c r="E989" s="345"/>
      <c r="F989" s="345"/>
      <c r="G989" s="345"/>
      <c r="H989" s="345"/>
      <c r="I989" s="345"/>
      <c r="J989" s="345"/>
      <c r="K989" s="345"/>
      <c r="L989" s="345"/>
      <c r="M989" s="345"/>
      <c r="N989" s="345"/>
      <c r="O989" s="345"/>
      <c r="P989" s="345"/>
      <c r="Q989" s="345"/>
      <c r="R989" s="345"/>
      <c r="S989" s="345"/>
      <c r="T989" s="345"/>
      <c r="U989" s="345"/>
      <c r="V989" s="345"/>
      <c r="W989" s="345"/>
      <c r="X989" s="345"/>
      <c r="Y989" s="345"/>
      <c r="Z989" s="345"/>
    </row>
    <row r="990">
      <c r="A990" s="345"/>
      <c r="B990" s="369"/>
      <c r="C990" s="345"/>
      <c r="D990" s="345"/>
      <c r="E990" s="345"/>
      <c r="F990" s="345"/>
      <c r="G990" s="345"/>
      <c r="H990" s="345"/>
      <c r="I990" s="345"/>
      <c r="J990" s="345"/>
      <c r="K990" s="345"/>
      <c r="L990" s="345"/>
      <c r="M990" s="345"/>
      <c r="N990" s="345"/>
      <c r="O990" s="345"/>
      <c r="P990" s="345"/>
      <c r="Q990" s="345"/>
      <c r="R990" s="345"/>
      <c r="S990" s="345"/>
      <c r="T990" s="345"/>
      <c r="U990" s="345"/>
      <c r="V990" s="345"/>
      <c r="W990" s="345"/>
      <c r="X990" s="345"/>
      <c r="Y990" s="345"/>
      <c r="Z990" s="345"/>
    </row>
    <row r="991">
      <c r="A991" s="345"/>
      <c r="B991" s="369"/>
      <c r="C991" s="345"/>
      <c r="D991" s="345"/>
      <c r="E991" s="345"/>
      <c r="F991" s="345"/>
      <c r="G991" s="345"/>
      <c r="H991" s="345"/>
      <c r="I991" s="345"/>
      <c r="J991" s="345"/>
      <c r="K991" s="345"/>
      <c r="L991" s="345"/>
      <c r="M991" s="345"/>
      <c r="N991" s="345"/>
      <c r="O991" s="345"/>
      <c r="P991" s="345"/>
      <c r="Q991" s="345"/>
      <c r="R991" s="345"/>
      <c r="S991" s="345"/>
      <c r="T991" s="345"/>
      <c r="U991" s="345"/>
      <c r="V991" s="345"/>
      <c r="W991" s="345"/>
      <c r="X991" s="345"/>
      <c r="Y991" s="345"/>
      <c r="Z991" s="345"/>
    </row>
    <row r="992">
      <c r="A992" s="345"/>
      <c r="B992" s="369"/>
      <c r="C992" s="345"/>
      <c r="D992" s="345"/>
      <c r="E992" s="345"/>
      <c r="F992" s="345"/>
      <c r="G992" s="345"/>
      <c r="H992" s="345"/>
      <c r="I992" s="345"/>
      <c r="J992" s="345"/>
      <c r="K992" s="345"/>
      <c r="L992" s="345"/>
      <c r="M992" s="345"/>
      <c r="N992" s="345"/>
      <c r="O992" s="345"/>
      <c r="P992" s="345"/>
      <c r="Q992" s="345"/>
      <c r="R992" s="345"/>
      <c r="S992" s="345"/>
      <c r="T992" s="345"/>
      <c r="U992" s="345"/>
      <c r="V992" s="345"/>
      <c r="W992" s="345"/>
      <c r="X992" s="345"/>
      <c r="Y992" s="345"/>
      <c r="Z992" s="345"/>
    </row>
    <row r="993">
      <c r="A993" s="345"/>
      <c r="B993" s="369"/>
      <c r="C993" s="345"/>
      <c r="D993" s="345"/>
      <c r="E993" s="345"/>
      <c r="F993" s="345"/>
      <c r="G993" s="345"/>
      <c r="H993" s="345"/>
      <c r="I993" s="345"/>
      <c r="J993" s="345"/>
      <c r="K993" s="345"/>
      <c r="L993" s="345"/>
      <c r="M993" s="345"/>
      <c r="N993" s="345"/>
      <c r="O993" s="345"/>
      <c r="P993" s="345"/>
      <c r="Q993" s="345"/>
      <c r="R993" s="345"/>
      <c r="S993" s="345"/>
      <c r="T993" s="345"/>
      <c r="U993" s="345"/>
      <c r="V993" s="345"/>
      <c r="W993" s="345"/>
      <c r="X993" s="345"/>
      <c r="Y993" s="345"/>
      <c r="Z993" s="345"/>
    </row>
    <row r="994">
      <c r="A994" s="345"/>
      <c r="B994" s="369"/>
      <c r="C994" s="345"/>
      <c r="D994" s="345"/>
      <c r="E994" s="345"/>
      <c r="F994" s="345"/>
      <c r="G994" s="345"/>
      <c r="H994" s="345"/>
      <c r="I994" s="345"/>
      <c r="J994" s="345"/>
      <c r="K994" s="345"/>
      <c r="L994" s="345"/>
      <c r="M994" s="345"/>
      <c r="N994" s="345"/>
      <c r="O994" s="345"/>
      <c r="P994" s="345"/>
      <c r="Q994" s="345"/>
      <c r="R994" s="345"/>
      <c r="S994" s="345"/>
      <c r="T994" s="345"/>
      <c r="U994" s="345"/>
      <c r="V994" s="345"/>
      <c r="W994" s="345"/>
      <c r="X994" s="345"/>
      <c r="Y994" s="345"/>
      <c r="Z994" s="345"/>
    </row>
    <row r="995">
      <c r="A995" s="345"/>
      <c r="B995" s="369"/>
      <c r="C995" s="345"/>
      <c r="D995" s="345"/>
      <c r="E995" s="345"/>
      <c r="F995" s="345"/>
      <c r="G995" s="345"/>
      <c r="H995" s="345"/>
      <c r="I995" s="345"/>
      <c r="J995" s="345"/>
      <c r="K995" s="345"/>
      <c r="L995" s="345"/>
      <c r="M995" s="345"/>
      <c r="N995" s="345"/>
      <c r="O995" s="345"/>
      <c r="P995" s="345"/>
      <c r="Q995" s="345"/>
      <c r="R995" s="345"/>
      <c r="S995" s="345"/>
      <c r="T995" s="345"/>
      <c r="U995" s="345"/>
      <c r="V995" s="345"/>
      <c r="W995" s="345"/>
      <c r="X995" s="345"/>
      <c r="Y995" s="345"/>
      <c r="Z995" s="345"/>
    </row>
    <row r="996">
      <c r="A996" s="345"/>
      <c r="B996" s="369"/>
      <c r="C996" s="345"/>
      <c r="D996" s="345"/>
      <c r="E996" s="345"/>
      <c r="F996" s="345"/>
      <c r="G996" s="345"/>
      <c r="H996" s="345"/>
      <c r="I996" s="345"/>
      <c r="J996" s="345"/>
      <c r="K996" s="345"/>
      <c r="L996" s="345"/>
      <c r="M996" s="345"/>
      <c r="N996" s="345"/>
      <c r="O996" s="345"/>
      <c r="P996" s="345"/>
      <c r="Q996" s="345"/>
      <c r="R996" s="345"/>
      <c r="S996" s="345"/>
      <c r="T996" s="345"/>
      <c r="U996" s="345"/>
      <c r="V996" s="345"/>
      <c r="W996" s="345"/>
      <c r="X996" s="345"/>
      <c r="Y996" s="345"/>
      <c r="Z996" s="345"/>
    </row>
    <row r="997">
      <c r="A997" s="345"/>
      <c r="B997" s="369"/>
      <c r="C997" s="345"/>
      <c r="D997" s="345"/>
      <c r="E997" s="345"/>
      <c r="F997" s="345"/>
      <c r="G997" s="345"/>
      <c r="H997" s="345"/>
      <c r="I997" s="345"/>
      <c r="J997" s="345"/>
      <c r="K997" s="345"/>
      <c r="L997" s="345"/>
      <c r="M997" s="345"/>
      <c r="N997" s="345"/>
      <c r="O997" s="345"/>
      <c r="P997" s="345"/>
      <c r="Q997" s="345"/>
      <c r="R997" s="345"/>
      <c r="S997" s="345"/>
      <c r="T997" s="345"/>
      <c r="U997" s="345"/>
      <c r="V997" s="345"/>
      <c r="W997" s="345"/>
      <c r="X997" s="345"/>
      <c r="Y997" s="345"/>
      <c r="Z997" s="345"/>
    </row>
    <row r="998">
      <c r="A998" s="345"/>
      <c r="B998" s="369"/>
      <c r="C998" s="345"/>
      <c r="D998" s="345"/>
      <c r="E998" s="345"/>
      <c r="F998" s="345"/>
      <c r="G998" s="345"/>
      <c r="H998" s="345"/>
      <c r="I998" s="345"/>
      <c r="J998" s="345"/>
      <c r="K998" s="345"/>
      <c r="L998" s="345"/>
      <c r="M998" s="345"/>
      <c r="N998" s="345"/>
      <c r="O998" s="345"/>
      <c r="P998" s="345"/>
      <c r="Q998" s="345"/>
      <c r="R998" s="345"/>
      <c r="S998" s="345"/>
      <c r="T998" s="345"/>
      <c r="U998" s="345"/>
      <c r="V998" s="345"/>
      <c r="W998" s="345"/>
      <c r="X998" s="345"/>
      <c r="Y998" s="345"/>
      <c r="Z998" s="345"/>
    </row>
  </sheetData>
  <mergeCells count="4">
    <mergeCell ref="A1:A3"/>
    <mergeCell ref="C1:D1"/>
    <mergeCell ref="C2:D2"/>
    <mergeCell ref="C3:D3"/>
  </mergeCells>
  <conditionalFormatting sqref="J13:J18">
    <cfRule type="colorScale" priority="1">
      <colorScale>
        <cfvo type="min"/>
        <cfvo type="max"/>
        <color rgb="FFF4CCCC"/>
        <color rgb="FFE06666"/>
      </colorScale>
    </cfRule>
  </conditionalFormatting>
  <conditionalFormatting sqref="J6:J10">
    <cfRule type="colorScale" priority="2">
      <colorScale>
        <cfvo type="min"/>
        <cfvo type="max"/>
        <color rgb="FFD9EAD3"/>
        <color rgb="FF34A853"/>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0.88"/>
    <col customWidth="1" min="3" max="3" width="7.75"/>
    <col customWidth="1" min="4" max="4" width="25.75"/>
    <col customWidth="1" min="8" max="8" width="16.25"/>
    <col customWidth="1" min="9" max="9" width="2.38"/>
    <col customWidth="1" min="10" max="10" width="13.63"/>
    <col customWidth="1" min="11" max="11" width="11.75"/>
    <col customWidth="1" min="13" max="13" width="19.0"/>
    <col customWidth="1" min="16" max="16" width="9.75"/>
    <col customWidth="1" min="17" max="17" width="8.75"/>
    <col customWidth="1" min="18" max="18" width="9.13"/>
    <col customWidth="1" min="19" max="19" width="27.5"/>
    <col customWidth="1" min="20" max="20" width="17.13"/>
    <col customWidth="1" min="21" max="21" width="18.0"/>
    <col customWidth="1" min="22" max="22" width="2.63"/>
    <col customWidth="1" min="30" max="30" width="2.0"/>
    <col customWidth="1" min="38" max="38" width="2.38"/>
    <col customWidth="1" min="46" max="46" width="2.25"/>
  </cols>
  <sheetData>
    <row r="1" ht="33.0" customHeight="1">
      <c r="A1" s="377" t="s">
        <v>230</v>
      </c>
      <c r="B1" s="378" t="s">
        <v>758</v>
      </c>
      <c r="C1" s="379"/>
      <c r="D1" s="379"/>
      <c r="E1" s="379"/>
      <c r="F1" s="379"/>
      <c r="G1" s="379"/>
      <c r="H1" s="379"/>
      <c r="I1" s="379"/>
      <c r="J1" s="379"/>
      <c r="K1" s="379"/>
      <c r="L1" s="379"/>
      <c r="M1" s="379"/>
      <c r="N1" s="379"/>
      <c r="O1" s="380"/>
      <c r="P1" s="381" t="s">
        <v>759</v>
      </c>
      <c r="V1" s="382" t="s">
        <v>760</v>
      </c>
      <c r="W1" s="379"/>
      <c r="X1" s="379"/>
      <c r="Y1" s="379"/>
      <c r="Z1" s="379"/>
      <c r="AA1" s="379"/>
      <c r="AB1" s="379"/>
      <c r="AC1" s="379"/>
      <c r="AD1" s="383" t="s">
        <v>24</v>
      </c>
      <c r="AE1" s="379"/>
      <c r="AF1" s="379"/>
      <c r="AG1" s="379"/>
      <c r="AH1" s="379"/>
      <c r="AI1" s="379"/>
      <c r="AJ1" s="379"/>
      <c r="AK1" s="380"/>
      <c r="AL1" s="384" t="s">
        <v>25</v>
      </c>
      <c r="AM1" s="379"/>
      <c r="AN1" s="379"/>
      <c r="AO1" s="379"/>
      <c r="AP1" s="379"/>
      <c r="AQ1" s="379"/>
      <c r="AR1" s="379"/>
      <c r="AS1" s="380"/>
      <c r="AT1" s="385" t="s">
        <v>320</v>
      </c>
      <c r="AU1" s="379"/>
      <c r="AV1" s="379"/>
      <c r="AW1" s="379"/>
      <c r="AX1" s="379"/>
      <c r="AY1" s="379"/>
      <c r="AZ1" s="379"/>
      <c r="BA1" s="380"/>
      <c r="BB1" s="386"/>
      <c r="BC1" s="386"/>
      <c r="BD1" s="386"/>
      <c r="BE1" s="386"/>
    </row>
    <row r="2" ht="16.5" customHeight="1">
      <c r="A2" s="387" t="s">
        <v>30</v>
      </c>
      <c r="B2" s="388" t="s">
        <v>234</v>
      </c>
      <c r="C2" s="388" t="s">
        <v>235</v>
      </c>
      <c r="D2" s="389" t="s">
        <v>761</v>
      </c>
      <c r="E2" s="389" t="s">
        <v>762</v>
      </c>
      <c r="F2" s="389" t="s">
        <v>763</v>
      </c>
      <c r="G2" s="389" t="s">
        <v>764</v>
      </c>
      <c r="H2" s="389" t="s">
        <v>765</v>
      </c>
      <c r="I2" s="390"/>
      <c r="J2" s="2"/>
      <c r="K2" s="391" t="s">
        <v>11</v>
      </c>
      <c r="L2" s="392" t="s">
        <v>13</v>
      </c>
      <c r="M2" s="392" t="s">
        <v>15</v>
      </c>
      <c r="N2" s="392" t="s">
        <v>17</v>
      </c>
      <c r="O2" s="393" t="s">
        <v>19</v>
      </c>
      <c r="P2" s="394" t="s">
        <v>30</v>
      </c>
      <c r="Q2" s="395" t="s">
        <v>234</v>
      </c>
      <c r="R2" s="395" t="s">
        <v>235</v>
      </c>
      <c r="S2" s="396" t="s">
        <v>761</v>
      </c>
      <c r="T2" s="396" t="s">
        <v>766</v>
      </c>
      <c r="U2" s="396" t="s">
        <v>240</v>
      </c>
      <c r="V2" s="397"/>
      <c r="W2" s="241"/>
      <c r="X2" s="391" t="s">
        <v>11</v>
      </c>
      <c r="Y2" s="392" t="s">
        <v>13</v>
      </c>
      <c r="Z2" s="392" t="s">
        <v>15</v>
      </c>
      <c r="AA2" s="392" t="s">
        <v>17</v>
      </c>
      <c r="AB2" s="398" t="s">
        <v>23</v>
      </c>
      <c r="AC2" s="393" t="s">
        <v>19</v>
      </c>
      <c r="AD2" s="397"/>
      <c r="AE2" s="241"/>
      <c r="AF2" s="399" t="s">
        <v>11</v>
      </c>
      <c r="AG2" s="399" t="s">
        <v>13</v>
      </c>
      <c r="AH2" s="399" t="s">
        <v>15</v>
      </c>
      <c r="AI2" s="399" t="s">
        <v>17</v>
      </c>
      <c r="AJ2" s="400" t="s">
        <v>23</v>
      </c>
      <c r="AK2" s="401" t="s">
        <v>19</v>
      </c>
      <c r="AL2" s="397"/>
      <c r="AM2" s="241"/>
      <c r="AN2" s="391" t="s">
        <v>11</v>
      </c>
      <c r="AO2" s="392" t="s">
        <v>13</v>
      </c>
      <c r="AP2" s="392" t="s">
        <v>15</v>
      </c>
      <c r="AQ2" s="392" t="s">
        <v>17</v>
      </c>
      <c r="AR2" s="398" t="s">
        <v>23</v>
      </c>
      <c r="AS2" s="393" t="s">
        <v>19</v>
      </c>
      <c r="AT2" s="397"/>
      <c r="AU2" s="241"/>
      <c r="AV2" s="391" t="s">
        <v>11</v>
      </c>
      <c r="AW2" s="392" t="s">
        <v>13</v>
      </c>
      <c r="AX2" s="392" t="s">
        <v>15</v>
      </c>
      <c r="AY2" s="392" t="s">
        <v>17</v>
      </c>
      <c r="AZ2" s="398" t="s">
        <v>23</v>
      </c>
      <c r="BA2" s="393" t="s">
        <v>19</v>
      </c>
      <c r="BB2" s="402"/>
      <c r="BC2" s="402"/>
      <c r="BD2" s="402"/>
      <c r="BE2" s="402"/>
    </row>
    <row r="3" ht="13.5" customHeight="1">
      <c r="A3" s="403"/>
      <c r="B3" s="404"/>
      <c r="C3" s="404"/>
      <c r="D3" s="405"/>
      <c r="E3" s="405"/>
      <c r="F3" s="405"/>
      <c r="G3" s="405"/>
      <c r="H3" s="406"/>
      <c r="I3" s="407" t="s">
        <v>767</v>
      </c>
      <c r="J3" s="408">
        <v>43831.0</v>
      </c>
      <c r="K3" s="409"/>
      <c r="L3" s="410"/>
      <c r="M3" s="410"/>
      <c r="N3" s="410"/>
      <c r="O3" s="411"/>
      <c r="P3" s="412"/>
      <c r="Q3" s="413"/>
      <c r="R3" s="414"/>
      <c r="S3" s="415"/>
      <c r="T3" s="415"/>
      <c r="U3" s="415"/>
      <c r="V3" s="407" t="s">
        <v>767</v>
      </c>
      <c r="W3" s="408">
        <v>43831.0</v>
      </c>
      <c r="X3" s="416"/>
      <c r="Y3" s="417"/>
      <c r="Z3" s="417"/>
      <c r="AA3" s="417"/>
      <c r="AB3" s="417"/>
      <c r="AC3" s="418"/>
      <c r="AD3" s="419" t="s">
        <v>767</v>
      </c>
      <c r="AE3" s="408">
        <v>43831.0</v>
      </c>
      <c r="AF3" s="420"/>
      <c r="AG3" s="421"/>
      <c r="AH3" s="421"/>
      <c r="AI3" s="421"/>
      <c r="AJ3" s="421"/>
      <c r="AK3" s="422"/>
      <c r="AL3" s="419" t="s">
        <v>767</v>
      </c>
      <c r="AM3" s="408">
        <v>43831.0</v>
      </c>
      <c r="AN3" s="416"/>
      <c r="AO3" s="417"/>
      <c r="AP3" s="417"/>
      <c r="AQ3" s="417"/>
      <c r="AR3" s="417"/>
      <c r="AS3" s="418"/>
      <c r="AT3" s="419" t="s">
        <v>767</v>
      </c>
      <c r="AU3" s="408">
        <v>43831.0</v>
      </c>
      <c r="AV3" s="416"/>
      <c r="AW3" s="417"/>
      <c r="AX3" s="417"/>
      <c r="AY3" s="417"/>
      <c r="AZ3" s="417"/>
      <c r="BA3" s="418"/>
      <c r="BB3" s="423"/>
      <c r="BC3" s="423"/>
      <c r="BD3" s="423"/>
      <c r="BE3" s="423"/>
    </row>
    <row r="4" ht="13.5" customHeight="1">
      <c r="A4" s="424">
        <f>'Membership Application List'!A233</f>
        <v>45270.67443</v>
      </c>
      <c r="B4" s="425" t="s">
        <v>768</v>
      </c>
      <c r="C4" s="425">
        <v>2024.0</v>
      </c>
      <c r="D4" s="426" t="str">
        <f>'Membership Application List'!E233</f>
        <v>Maddox Flores</v>
      </c>
      <c r="E4" s="426">
        <f>IF('Membership Application List'!J233 = "Food/Litter Donation", 0, IF('Membership Application List'!J233 = "$15 Donation, Discord Verification", IF('Membership Application List'!N233 = TRUE, 15, 0)))</f>
        <v>15</v>
      </c>
      <c r="F4" s="426">
        <f>if('Membership Application List'!K233=TRUE, 5,0)</f>
        <v>0</v>
      </c>
      <c r="G4" s="426">
        <f t="shared" ref="G4:G25" si="1">MAX(0, E4 - F4)</f>
        <v>15</v>
      </c>
      <c r="H4" s="427" t="str">
        <f>'Membership Application List'!L233</f>
        <v>Cashapp</v>
      </c>
      <c r="I4" s="428"/>
      <c r="J4" s="408">
        <v>43862.0</v>
      </c>
      <c r="K4" s="429"/>
      <c r="L4" s="430"/>
      <c r="M4" s="430"/>
      <c r="N4" s="430"/>
      <c r="O4" s="431"/>
      <c r="P4" s="412">
        <f>IFERROR(__xludf.DUMMYFUNCTION("FILTER('Membership Application List'!A4:A1004, 'Membership Application List'!M4:M1004 &gt; 0)"),45307.55313835648)</f>
        <v>45307.55314</v>
      </c>
      <c r="Q4" s="413" t="str">
        <f t="shared" ref="Q4:Q16" si="2">IF(P4&lt;&gt;"", TEXT(P4, "MMMM"), "")</f>
        <v>January</v>
      </c>
      <c r="R4" s="414">
        <f t="shared" ref="R4:R16" si="3">IF(P4&lt;&gt;"", YEAR(P4), "")</f>
        <v>2024</v>
      </c>
      <c r="S4" s="415" t="str">
        <f>IFERROR(__xludf.DUMMYFUNCTION("FILTER('Membership Application List'!E4:E1004, 'Membership Application List'!M4:M1004 &gt; 0)"),"Typhanne Saskya Maia Vieira")</f>
        <v>Typhanne Saskya Maia Vieira</v>
      </c>
      <c r="T4" s="432">
        <f>IFERROR(__xludf.DUMMYFUNCTION("FILTER('Membership Application List'!M4:M1004, 'Membership Application List'!M4:M1004 &gt; 0)"),5.0)</f>
        <v>5</v>
      </c>
      <c r="U4" s="432" t="str">
        <f>IFERROR(__xludf.DUMMYFUNCTION("FILTER('Membership Application List'!L4:L1004, 'Membership Application List'!M4:M1004 &gt; 0)"),"Venmo")</f>
        <v>Venmo</v>
      </c>
      <c r="V4" s="428"/>
      <c r="W4" s="408">
        <v>43862.0</v>
      </c>
      <c r="X4" s="433"/>
      <c r="Y4" s="434"/>
      <c r="Z4" s="434"/>
      <c r="AA4" s="434"/>
      <c r="AB4" s="434"/>
      <c r="AC4" s="435"/>
      <c r="AE4" s="408">
        <v>43862.0</v>
      </c>
      <c r="AF4" s="433"/>
      <c r="AG4" s="434"/>
      <c r="AH4" s="434"/>
      <c r="AI4" s="434"/>
      <c r="AJ4" s="434"/>
      <c r="AK4" s="435"/>
      <c r="AM4" s="408">
        <v>43862.0</v>
      </c>
      <c r="AN4" s="433"/>
      <c r="AO4" s="434"/>
      <c r="AP4" s="434"/>
      <c r="AQ4" s="434"/>
      <c r="AR4" s="434"/>
      <c r="AS4" s="435"/>
      <c r="AU4" s="408">
        <v>43862.0</v>
      </c>
      <c r="AV4" s="433"/>
      <c r="AW4" s="434"/>
      <c r="AX4" s="434"/>
      <c r="AY4" s="434"/>
      <c r="AZ4" s="434"/>
      <c r="BA4" s="435"/>
      <c r="BB4" s="423"/>
      <c r="BC4" s="423"/>
      <c r="BD4" s="423"/>
      <c r="BE4" s="423"/>
    </row>
    <row r="5" ht="13.5" customHeight="1">
      <c r="A5" s="436">
        <f>'Membership Application List'!A234</f>
        <v>45297.1851</v>
      </c>
      <c r="B5" s="437" t="str">
        <f t="shared" ref="B5:B25" si="4">IF(A5&lt;&gt;"", TEXT(A5, "MMMM"), "")</f>
        <v>January</v>
      </c>
      <c r="C5" s="437">
        <f t="shared" ref="C5:C25" si="5">IF(A5&lt;&gt;"", YEAR(A5), "")</f>
        <v>2024</v>
      </c>
      <c r="D5" s="438" t="str">
        <f>'Membership Application List'!E234</f>
        <v>Jane Wang</v>
      </c>
      <c r="E5" s="438">
        <f>IF('Membership Application List'!J234 = "Food/Litter Donation", 0, IF('Membership Application List'!J234 = "$15 Donation, Discord Verification", IF('Membership Application List'!N234 = TRUE, 15, 0)))</f>
        <v>15</v>
      </c>
      <c r="F5" s="438">
        <f>if('Membership Application List'!K234=TRUE, 5,0)</f>
        <v>0</v>
      </c>
      <c r="G5" s="438">
        <f t="shared" si="1"/>
        <v>15</v>
      </c>
      <c r="H5" s="439" t="str">
        <f>'Membership Application List'!L234</f>
        <v>Venmo</v>
      </c>
      <c r="I5" s="428"/>
      <c r="J5" s="440">
        <v>43891.0</v>
      </c>
      <c r="K5" s="429"/>
      <c r="L5" s="430"/>
      <c r="M5" s="430"/>
      <c r="N5" s="430"/>
      <c r="O5" s="431"/>
      <c r="P5" s="441">
        <f>IFERROR(__xludf.DUMMYFUNCTION("""COMPUTED_VALUE"""),45315.47633359954)</f>
        <v>45315.47633</v>
      </c>
      <c r="Q5" s="413" t="str">
        <f t="shared" si="2"/>
        <v>January</v>
      </c>
      <c r="R5" s="414">
        <f t="shared" si="3"/>
        <v>2024</v>
      </c>
      <c r="S5" s="345" t="str">
        <f>IFERROR(__xludf.DUMMYFUNCTION("""COMPUTED_VALUE"""),"Daniel Brown")</f>
        <v>Daniel Brown</v>
      </c>
      <c r="T5" s="442">
        <f>IFERROR(__xludf.DUMMYFUNCTION("""COMPUTED_VALUE"""),5.0)</f>
        <v>5</v>
      </c>
      <c r="U5" s="369" t="str">
        <f>IFERROR(__xludf.DUMMYFUNCTION("""COMPUTED_VALUE"""),"Cash")</f>
        <v>Cash</v>
      </c>
      <c r="V5" s="428"/>
      <c r="W5" s="440">
        <v>43891.0</v>
      </c>
      <c r="X5" s="433"/>
      <c r="Y5" s="434"/>
      <c r="Z5" s="434"/>
      <c r="AA5" s="434"/>
      <c r="AB5" s="434"/>
      <c r="AC5" s="435"/>
      <c r="AE5" s="440">
        <v>43891.0</v>
      </c>
      <c r="AF5" s="433"/>
      <c r="AG5" s="434"/>
      <c r="AH5" s="434"/>
      <c r="AI5" s="434"/>
      <c r="AJ5" s="434"/>
      <c r="AK5" s="435"/>
      <c r="AM5" s="440">
        <v>43891.0</v>
      </c>
      <c r="AN5" s="433"/>
      <c r="AO5" s="434"/>
      <c r="AP5" s="434"/>
      <c r="AQ5" s="434"/>
      <c r="AR5" s="434"/>
      <c r="AS5" s="435"/>
      <c r="AU5" s="440">
        <v>43891.0</v>
      </c>
      <c r="AV5" s="433"/>
      <c r="AW5" s="434"/>
      <c r="AX5" s="434"/>
      <c r="AY5" s="434"/>
      <c r="AZ5" s="434"/>
      <c r="BA5" s="435"/>
      <c r="BB5" s="423"/>
      <c r="BC5" s="423"/>
      <c r="BD5" s="423"/>
      <c r="BE5" s="423"/>
    </row>
    <row r="6" ht="13.5" customHeight="1">
      <c r="A6" s="424">
        <f>'Membership Application List'!A235</f>
        <v>45298.43376</v>
      </c>
      <c r="B6" s="443" t="str">
        <f t="shared" si="4"/>
        <v>January</v>
      </c>
      <c r="C6" s="443">
        <f t="shared" si="5"/>
        <v>2024</v>
      </c>
      <c r="D6" s="426" t="str">
        <f>'Membership Application List'!E235</f>
        <v>Henry Anderson</v>
      </c>
      <c r="E6" s="426">
        <f>IF('Membership Application List'!J235 = "Food/Litter Donation", 0, IF('Membership Application List'!J235 = "$15 Donation, Discord Verification", IF('Membership Application List'!N235 = TRUE, 15, 0)))</f>
        <v>15</v>
      </c>
      <c r="F6" s="426">
        <f>if('Membership Application List'!K235=TRUE, 5,0)</f>
        <v>0</v>
      </c>
      <c r="G6" s="426">
        <f t="shared" si="1"/>
        <v>15</v>
      </c>
      <c r="H6" s="427" t="str">
        <f>'Membership Application List'!L235</f>
        <v>Paypal</v>
      </c>
      <c r="I6" s="428"/>
      <c r="J6" s="408">
        <v>43922.0</v>
      </c>
      <c r="K6" s="429"/>
      <c r="L6" s="430"/>
      <c r="M6" s="430"/>
      <c r="N6" s="430"/>
      <c r="O6" s="431"/>
      <c r="P6" s="444">
        <f>IFERROR(__xludf.DUMMYFUNCTION("""COMPUTED_VALUE"""),45315.584283020835)</f>
        <v>45315.58428</v>
      </c>
      <c r="Q6" s="413" t="str">
        <f t="shared" si="2"/>
        <v>January</v>
      </c>
      <c r="R6" s="414">
        <f t="shared" si="3"/>
        <v>2024</v>
      </c>
      <c r="S6" s="445" t="str">
        <f>IFERROR(__xludf.DUMMYFUNCTION("""COMPUTED_VALUE"""),"Dameon Josiah Sims")</f>
        <v>Dameon Josiah Sims</v>
      </c>
      <c r="T6" s="446">
        <f>IFERROR(__xludf.DUMMYFUNCTION("""COMPUTED_VALUE"""),10.0)</f>
        <v>10</v>
      </c>
      <c r="U6" s="446" t="str">
        <f>IFERROR(__xludf.DUMMYFUNCTION("""COMPUTED_VALUE"""),"Venmo")</f>
        <v>Venmo</v>
      </c>
      <c r="V6" s="428"/>
      <c r="W6" s="408">
        <v>43922.0</v>
      </c>
      <c r="X6" s="433"/>
      <c r="Y6" s="434"/>
      <c r="Z6" s="434"/>
      <c r="AA6" s="434"/>
      <c r="AB6" s="434"/>
      <c r="AC6" s="435"/>
      <c r="AE6" s="408">
        <v>43922.0</v>
      </c>
      <c r="AF6" s="433"/>
      <c r="AG6" s="434"/>
      <c r="AH6" s="434"/>
      <c r="AI6" s="434"/>
      <c r="AJ6" s="434"/>
      <c r="AK6" s="435"/>
      <c r="AM6" s="408">
        <v>43922.0</v>
      </c>
      <c r="AN6" s="433"/>
      <c r="AO6" s="434"/>
      <c r="AP6" s="434"/>
      <c r="AQ6" s="434"/>
      <c r="AR6" s="434"/>
      <c r="AS6" s="435"/>
      <c r="AU6" s="408">
        <v>43922.0</v>
      </c>
      <c r="AV6" s="433"/>
      <c r="AW6" s="434"/>
      <c r="AX6" s="434"/>
      <c r="AY6" s="434"/>
      <c r="AZ6" s="434"/>
      <c r="BA6" s="435"/>
      <c r="BB6" s="423"/>
      <c r="BC6" s="423"/>
      <c r="BD6" s="423"/>
      <c r="BE6" s="423"/>
    </row>
    <row r="7" ht="13.5" customHeight="1">
      <c r="A7" s="436">
        <f>'Membership Application List'!A236</f>
        <v>45300.49498</v>
      </c>
      <c r="B7" s="437" t="str">
        <f t="shared" si="4"/>
        <v>January</v>
      </c>
      <c r="C7" s="437">
        <f t="shared" si="5"/>
        <v>2024</v>
      </c>
      <c r="D7" s="438" t="str">
        <f>'Membership Application List'!E236</f>
        <v>Eduardo Barrera</v>
      </c>
      <c r="E7" s="438">
        <f>IF('Membership Application List'!J236 = "Food/Litter Donation", 0, IF('Membership Application List'!J236 = "$15 Donation, Discord Verification", IF('Membership Application List'!N236 = TRUE, 15, 0)))</f>
        <v>15</v>
      </c>
      <c r="F7" s="438">
        <f>if('Membership Application List'!K236=TRUE, 5,0)</f>
        <v>0</v>
      </c>
      <c r="G7" s="438">
        <f t="shared" si="1"/>
        <v>15</v>
      </c>
      <c r="H7" s="439" t="str">
        <f>'Membership Application List'!L236</f>
        <v>Paypal</v>
      </c>
      <c r="I7" s="428"/>
      <c r="J7" s="408">
        <v>43952.0</v>
      </c>
      <c r="K7" s="429"/>
      <c r="L7" s="430"/>
      <c r="M7" s="430"/>
      <c r="N7" s="430"/>
      <c r="O7" s="431"/>
      <c r="P7" s="444">
        <f>IFERROR(__xludf.DUMMYFUNCTION("""COMPUTED_VALUE"""),45339.97647359954)</f>
        <v>45339.97647</v>
      </c>
      <c r="Q7" s="413" t="str">
        <f t="shared" si="2"/>
        <v>February</v>
      </c>
      <c r="R7" s="414">
        <f t="shared" si="3"/>
        <v>2024</v>
      </c>
      <c r="S7" s="445" t="str">
        <f>IFERROR(__xludf.DUMMYFUNCTION("""COMPUTED_VALUE"""),"Axel Torres ")</f>
        <v>Axel Torres </v>
      </c>
      <c r="T7" s="446">
        <f>IFERROR(__xludf.DUMMYFUNCTION("""COMPUTED_VALUE"""),15.0)</f>
        <v>15</v>
      </c>
      <c r="U7" s="446" t="str">
        <f>IFERROR(__xludf.DUMMYFUNCTION("""COMPUTED_VALUE"""),"Paypal")</f>
        <v>Paypal</v>
      </c>
      <c r="V7" s="428"/>
      <c r="W7" s="408">
        <v>43952.0</v>
      </c>
      <c r="X7" s="433"/>
      <c r="Y7" s="434"/>
      <c r="Z7" s="434"/>
      <c r="AA7" s="434"/>
      <c r="AB7" s="434"/>
      <c r="AC7" s="435"/>
      <c r="AE7" s="408">
        <v>43952.0</v>
      </c>
      <c r="AF7" s="433"/>
      <c r="AG7" s="434"/>
      <c r="AH7" s="434"/>
      <c r="AI7" s="434"/>
      <c r="AJ7" s="434"/>
      <c r="AK7" s="435"/>
      <c r="AM7" s="408">
        <v>43952.0</v>
      </c>
      <c r="AN7" s="433"/>
      <c r="AO7" s="434"/>
      <c r="AP7" s="434"/>
      <c r="AQ7" s="434"/>
      <c r="AR7" s="434"/>
      <c r="AS7" s="435"/>
      <c r="AU7" s="408">
        <v>43952.0</v>
      </c>
      <c r="AV7" s="433"/>
      <c r="AW7" s="434"/>
      <c r="AX7" s="434"/>
      <c r="AY7" s="434"/>
      <c r="AZ7" s="434"/>
      <c r="BA7" s="435"/>
      <c r="BB7" s="423"/>
      <c r="BC7" s="423"/>
      <c r="BD7" s="423"/>
      <c r="BE7" s="423"/>
    </row>
    <row r="8" ht="13.5" customHeight="1">
      <c r="A8" s="424">
        <f>'Membership Application List'!A237</f>
        <v>45300.80865</v>
      </c>
      <c r="B8" s="443" t="str">
        <f t="shared" si="4"/>
        <v>January</v>
      </c>
      <c r="C8" s="443">
        <f t="shared" si="5"/>
        <v>2024</v>
      </c>
      <c r="D8" s="426" t="str">
        <f>'Membership Application List'!E237</f>
        <v>Isadora Paul</v>
      </c>
      <c r="E8" s="426">
        <f>IF('Membership Application List'!J237 = "Food/Litter Donation", 0, IF('Membership Application List'!J237 = "$15 Donation, Discord Verification", IF('Membership Application List'!N237 = TRUE, 15, 0)))</f>
        <v>0</v>
      </c>
      <c r="F8" s="426">
        <f>if('Membership Application List'!K237=TRUE, 5,0)</f>
        <v>0</v>
      </c>
      <c r="G8" s="426">
        <f t="shared" si="1"/>
        <v>0</v>
      </c>
      <c r="H8" s="427" t="str">
        <f>'Membership Application List'!L237</f>
        <v/>
      </c>
      <c r="I8" s="428"/>
      <c r="J8" s="408">
        <v>43983.0</v>
      </c>
      <c r="K8" s="429"/>
      <c r="L8" s="430"/>
      <c r="M8" s="430"/>
      <c r="N8" s="430"/>
      <c r="O8" s="431"/>
      <c r="P8" s="444">
        <f>IFERROR(__xludf.DUMMYFUNCTION("""COMPUTED_VALUE"""),45489.528478402775)</f>
        <v>45489.52848</v>
      </c>
      <c r="Q8" s="413" t="str">
        <f t="shared" si="2"/>
        <v>July</v>
      </c>
      <c r="R8" s="414">
        <f t="shared" si="3"/>
        <v>2024</v>
      </c>
      <c r="S8" s="445" t="str">
        <f>IFERROR(__xludf.DUMMYFUNCTION("""COMPUTED_VALUE"""),"Jesse Jarrell")</f>
        <v>Jesse Jarrell</v>
      </c>
      <c r="T8" s="446">
        <f>IFERROR(__xludf.DUMMYFUNCTION("""COMPUTED_VALUE"""),15.0)</f>
        <v>15</v>
      </c>
      <c r="U8" s="446" t="str">
        <f>IFERROR(__xludf.DUMMYFUNCTION("""COMPUTED_VALUE"""),"Paypal")</f>
        <v>Paypal</v>
      </c>
      <c r="V8" s="428"/>
      <c r="W8" s="408">
        <v>43983.0</v>
      </c>
      <c r="X8" s="433"/>
      <c r="Y8" s="434"/>
      <c r="Z8" s="434"/>
      <c r="AA8" s="434"/>
      <c r="AB8" s="434"/>
      <c r="AC8" s="435"/>
      <c r="AE8" s="408">
        <v>43983.0</v>
      </c>
      <c r="AF8" s="433"/>
      <c r="AG8" s="434"/>
      <c r="AH8" s="434"/>
      <c r="AI8" s="434"/>
      <c r="AJ8" s="434"/>
      <c r="AK8" s="435"/>
      <c r="AM8" s="408">
        <v>43983.0</v>
      </c>
      <c r="AN8" s="433"/>
      <c r="AO8" s="434"/>
      <c r="AP8" s="434"/>
      <c r="AQ8" s="434"/>
      <c r="AR8" s="434"/>
      <c r="AS8" s="435"/>
      <c r="AU8" s="408">
        <v>43983.0</v>
      </c>
      <c r="AV8" s="433"/>
      <c r="AW8" s="434"/>
      <c r="AX8" s="434"/>
      <c r="AY8" s="434"/>
      <c r="AZ8" s="434"/>
      <c r="BA8" s="435"/>
      <c r="BB8" s="423"/>
      <c r="BC8" s="423"/>
      <c r="BD8" s="423"/>
      <c r="BE8" s="423"/>
    </row>
    <row r="9" ht="13.5" customHeight="1">
      <c r="A9" s="436">
        <f>'Membership Application List'!A238</f>
        <v>45302.95227</v>
      </c>
      <c r="B9" s="437" t="str">
        <f t="shared" si="4"/>
        <v>January</v>
      </c>
      <c r="C9" s="437">
        <f t="shared" si="5"/>
        <v>2024</v>
      </c>
      <c r="D9" s="438" t="str">
        <f>'Membership Application List'!E238</f>
        <v>Danyelle Schofield</v>
      </c>
      <c r="E9" s="438">
        <f>IF('Membership Application List'!J238 = "Food/Litter Donation", 0, IF('Membership Application List'!J238 = "$15 Donation, Discord Verification", IF('Membership Application List'!N238 = TRUE, 15, 0)))</f>
        <v>15</v>
      </c>
      <c r="F9" s="438">
        <f>if('Membership Application List'!K238=TRUE, 5,0)</f>
        <v>0</v>
      </c>
      <c r="G9" s="438">
        <f t="shared" si="1"/>
        <v>15</v>
      </c>
      <c r="H9" s="439" t="str">
        <f>'Membership Application List'!L238</f>
        <v>Venmo</v>
      </c>
      <c r="I9" s="447" t="s">
        <v>769</v>
      </c>
      <c r="J9" s="440">
        <v>44013.0</v>
      </c>
      <c r="K9" s="429"/>
      <c r="L9" s="430"/>
      <c r="M9" s="430"/>
      <c r="N9" s="430"/>
      <c r="O9" s="431"/>
      <c r="P9" s="448">
        <f>IFERROR(__xludf.DUMMYFUNCTION("""COMPUTED_VALUE"""),45513.443414270834)</f>
        <v>45513.44341</v>
      </c>
      <c r="Q9" s="413" t="str">
        <f t="shared" si="2"/>
        <v>August</v>
      </c>
      <c r="R9" s="414">
        <f t="shared" si="3"/>
        <v>2024</v>
      </c>
      <c r="S9" s="345" t="str">
        <f>IFERROR(__xludf.DUMMYFUNCTION("""COMPUTED_VALUE"""),"Eduardo Barrera")</f>
        <v>Eduardo Barrera</v>
      </c>
      <c r="T9" s="442">
        <f>IFERROR(__xludf.DUMMYFUNCTION("""COMPUTED_VALUE"""),15.0)</f>
        <v>15</v>
      </c>
      <c r="U9" s="369" t="str">
        <f>IFERROR(__xludf.DUMMYFUNCTION("""COMPUTED_VALUE"""),"Paypal")</f>
        <v>Paypal</v>
      </c>
      <c r="V9" s="447" t="s">
        <v>769</v>
      </c>
      <c r="W9" s="440">
        <v>44013.0</v>
      </c>
      <c r="X9" s="433"/>
      <c r="Y9" s="434"/>
      <c r="Z9" s="434"/>
      <c r="AA9" s="434"/>
      <c r="AB9" s="434"/>
      <c r="AC9" s="435"/>
      <c r="AD9" s="449" t="s">
        <v>769</v>
      </c>
      <c r="AE9" s="440">
        <v>44013.0</v>
      </c>
      <c r="AF9" s="433"/>
      <c r="AG9" s="434"/>
      <c r="AH9" s="434"/>
      <c r="AI9" s="434"/>
      <c r="AJ9" s="434"/>
      <c r="AK9" s="435"/>
      <c r="AL9" s="449" t="s">
        <v>769</v>
      </c>
      <c r="AM9" s="440">
        <v>44013.0</v>
      </c>
      <c r="AN9" s="429"/>
      <c r="AO9" s="430"/>
      <c r="AP9" s="434"/>
      <c r="AQ9" s="434"/>
      <c r="AR9" s="434"/>
      <c r="AS9" s="435"/>
      <c r="AT9" s="449" t="s">
        <v>769</v>
      </c>
      <c r="AU9" s="440">
        <v>44013.0</v>
      </c>
      <c r="AV9" s="433"/>
      <c r="AW9" s="434"/>
      <c r="AX9" s="434"/>
      <c r="AY9" s="434"/>
      <c r="AZ9" s="434"/>
      <c r="BA9" s="435"/>
      <c r="BB9" s="423"/>
      <c r="BC9" s="423"/>
      <c r="BD9" s="423"/>
      <c r="BE9" s="423"/>
    </row>
    <row r="10" ht="13.5" customHeight="1">
      <c r="A10" s="424">
        <f>'Membership Application List'!A239</f>
        <v>45306.54473</v>
      </c>
      <c r="B10" s="443" t="str">
        <f t="shared" si="4"/>
        <v>January</v>
      </c>
      <c r="C10" s="443">
        <f t="shared" si="5"/>
        <v>2024</v>
      </c>
      <c r="D10" s="426" t="str">
        <f>'Membership Application List'!E239</f>
        <v>Mallory Haven Hernandez </v>
      </c>
      <c r="E10" s="426">
        <f>IF('Membership Application List'!J239 = "Food/Litter Donation", 0, IF('Membership Application List'!J239 = "$15 Donation, Discord Verification", IF('Membership Application List'!N239 = TRUE, 15, 0)))</f>
        <v>15</v>
      </c>
      <c r="F10" s="426">
        <f>if('Membership Application List'!K239=TRUE, 5,0)</f>
        <v>0</v>
      </c>
      <c r="G10" s="426">
        <f t="shared" si="1"/>
        <v>15</v>
      </c>
      <c r="H10" s="427" t="str">
        <f>'Membership Application List'!L239</f>
        <v>Venmo</v>
      </c>
      <c r="I10" s="428"/>
      <c r="J10" s="408">
        <v>44044.0</v>
      </c>
      <c r="K10" s="429">
        <v>0.0</v>
      </c>
      <c r="L10" s="430">
        <v>0.0</v>
      </c>
      <c r="M10" s="430">
        <v>0.0</v>
      </c>
      <c r="N10" s="430"/>
      <c r="O10" s="431"/>
      <c r="P10" s="450">
        <f>IFERROR(__xludf.DUMMYFUNCTION("""COMPUTED_VALUE"""),45532.498039259255)</f>
        <v>45532.49804</v>
      </c>
      <c r="Q10" s="413" t="str">
        <f t="shared" si="2"/>
        <v>August</v>
      </c>
      <c r="R10" s="414">
        <f t="shared" si="3"/>
        <v>2024</v>
      </c>
      <c r="S10" s="445" t="str">
        <f>IFERROR(__xludf.DUMMYFUNCTION("""COMPUTED_VALUE"""),"Christopher Mendoza")</f>
        <v>Christopher Mendoza</v>
      </c>
      <c r="T10" s="446">
        <f>IFERROR(__xludf.DUMMYFUNCTION("""COMPUTED_VALUE"""),5.0)</f>
        <v>5</v>
      </c>
      <c r="U10" s="446" t="str">
        <f>IFERROR(__xludf.DUMMYFUNCTION("""COMPUTED_VALUE"""),"Cash")</f>
        <v>Cash</v>
      </c>
      <c r="V10" s="428"/>
      <c r="W10" s="408">
        <v>44044.0</v>
      </c>
      <c r="X10" s="429">
        <v>0.0</v>
      </c>
      <c r="Y10" s="430">
        <v>0.0</v>
      </c>
      <c r="Z10" s="430">
        <v>0.0</v>
      </c>
      <c r="AA10" s="430"/>
      <c r="AB10" s="430">
        <v>0.0</v>
      </c>
      <c r="AC10" s="431"/>
      <c r="AE10" s="408">
        <v>44044.0</v>
      </c>
      <c r="AF10" s="429">
        <v>3.0</v>
      </c>
      <c r="AG10" s="430">
        <v>20.0</v>
      </c>
      <c r="AH10" s="430">
        <v>0.0</v>
      </c>
      <c r="AI10" s="430"/>
      <c r="AJ10" s="430">
        <v>0.0</v>
      </c>
      <c r="AK10" s="431"/>
      <c r="AM10" s="408">
        <v>44044.0</v>
      </c>
      <c r="AN10" s="429">
        <v>435.0</v>
      </c>
      <c r="AO10" s="430">
        <v>15.0</v>
      </c>
      <c r="AP10" s="430">
        <v>0.0</v>
      </c>
      <c r="AQ10" s="434"/>
      <c r="AR10" s="430">
        <v>0.0</v>
      </c>
      <c r="AS10" s="435"/>
      <c r="AU10" s="408">
        <v>44044.0</v>
      </c>
      <c r="AV10" s="429">
        <v>0.0</v>
      </c>
      <c r="AW10" s="430">
        <v>30.0</v>
      </c>
      <c r="AX10" s="430">
        <v>0.0</v>
      </c>
      <c r="AY10" s="434"/>
      <c r="AZ10" s="430">
        <v>0.0</v>
      </c>
      <c r="BA10" s="435"/>
      <c r="BB10" s="423"/>
      <c r="BC10" s="423"/>
      <c r="BD10" s="423"/>
      <c r="BE10" s="423"/>
    </row>
    <row r="11" ht="13.5" customHeight="1">
      <c r="A11" s="436">
        <f>'Membership Application List'!A240</f>
        <v>45307.55314</v>
      </c>
      <c r="B11" s="437" t="str">
        <f t="shared" si="4"/>
        <v>January</v>
      </c>
      <c r="C11" s="437">
        <f t="shared" si="5"/>
        <v>2024</v>
      </c>
      <c r="D11" s="438" t="str">
        <f>'Membership Application List'!E240</f>
        <v>Typhanne Saskya Maia Vieira</v>
      </c>
      <c r="E11" s="438">
        <f>IF('Membership Application List'!J240 = "Food/Litter Donation", 0, IF('Membership Application List'!J240 = "$15 Donation, Discord Verification", IF('Membership Application List'!N240 = TRUE, 15, 0)))</f>
        <v>15</v>
      </c>
      <c r="F11" s="438">
        <f>if('Membership Application List'!K240=TRUE, 5,0)</f>
        <v>0</v>
      </c>
      <c r="G11" s="438">
        <f t="shared" si="1"/>
        <v>15</v>
      </c>
      <c r="H11" s="439" t="str">
        <f>'Membership Application List'!L240</f>
        <v>Venmo</v>
      </c>
      <c r="I11" s="428"/>
      <c r="J11" s="408">
        <v>44075.0</v>
      </c>
      <c r="K11" s="429">
        <v>0.0</v>
      </c>
      <c r="L11" s="430">
        <v>10.0</v>
      </c>
      <c r="M11" s="430">
        <v>0.0</v>
      </c>
      <c r="N11" s="430"/>
      <c r="O11" s="431"/>
      <c r="P11" s="444">
        <f>IFERROR(__xludf.DUMMYFUNCTION("""COMPUTED_VALUE"""),45533.877585381946)</f>
        <v>45533.87759</v>
      </c>
      <c r="Q11" s="413" t="str">
        <f t="shared" si="2"/>
        <v>August</v>
      </c>
      <c r="R11" s="414">
        <f t="shared" si="3"/>
        <v>2024</v>
      </c>
      <c r="S11" s="445" t="str">
        <f>IFERROR(__xludf.DUMMYFUNCTION("""COMPUTED_VALUE"""),"Alexander Cusano ")</f>
        <v>Alexander Cusano </v>
      </c>
      <c r="T11" s="446">
        <f>IFERROR(__xludf.DUMMYFUNCTION("""COMPUTED_VALUE"""),15.0)</f>
        <v>15</v>
      </c>
      <c r="U11" s="446" t="str">
        <f>IFERROR(__xludf.DUMMYFUNCTION("""COMPUTED_VALUE"""),"Paypal")</f>
        <v>Paypal</v>
      </c>
      <c r="V11" s="428"/>
      <c r="W11" s="408">
        <v>44075.0</v>
      </c>
      <c r="X11" s="429">
        <v>0.0</v>
      </c>
      <c r="Y11" s="430">
        <v>0.0</v>
      </c>
      <c r="Z11" s="430">
        <v>0.0</v>
      </c>
      <c r="AA11" s="430"/>
      <c r="AB11" s="430">
        <v>0.0</v>
      </c>
      <c r="AC11" s="431"/>
      <c r="AE11" s="408">
        <v>44075.0</v>
      </c>
      <c r="AF11" s="429">
        <v>0.0</v>
      </c>
      <c r="AG11" s="430">
        <v>0.0</v>
      </c>
      <c r="AH11" s="430">
        <v>0.0</v>
      </c>
      <c r="AI11" s="430"/>
      <c r="AJ11" s="430">
        <v>0.0</v>
      </c>
      <c r="AK11" s="431"/>
      <c r="AM11" s="408">
        <v>44075.0</v>
      </c>
      <c r="AN11" s="429">
        <v>0.0</v>
      </c>
      <c r="AO11" s="430">
        <v>0.0</v>
      </c>
      <c r="AP11" s="430">
        <v>130.0</v>
      </c>
      <c r="AQ11" s="434"/>
      <c r="AR11" s="430">
        <v>0.0</v>
      </c>
      <c r="AS11" s="435"/>
      <c r="AU11" s="408">
        <v>44075.0</v>
      </c>
      <c r="AV11" s="429">
        <v>0.0</v>
      </c>
      <c r="AW11" s="430">
        <v>30.0</v>
      </c>
      <c r="AX11" s="430">
        <v>60.0</v>
      </c>
      <c r="AY11" s="434"/>
      <c r="AZ11" s="430">
        <v>0.0</v>
      </c>
      <c r="BA11" s="435"/>
      <c r="BB11" s="423"/>
      <c r="BC11" s="423"/>
      <c r="BD11" s="423"/>
      <c r="BE11" s="423"/>
    </row>
    <row r="12" ht="13.5" customHeight="1">
      <c r="A12" s="424">
        <f>'Membership Application List'!A241</f>
        <v>45308.92399</v>
      </c>
      <c r="B12" s="443" t="str">
        <f t="shared" si="4"/>
        <v>January</v>
      </c>
      <c r="C12" s="443">
        <f t="shared" si="5"/>
        <v>2024</v>
      </c>
      <c r="D12" s="426" t="str">
        <f>'Membership Application List'!E241</f>
        <v>Mary Abby Goss</v>
      </c>
      <c r="E12" s="426">
        <f>IF('Membership Application List'!J241 = "Food/Litter Donation", 0, IF('Membership Application List'!J241 = "$15 Donation, Discord Verification", IF('Membership Application List'!N241 = TRUE, 15, 0)))</f>
        <v>15</v>
      </c>
      <c r="F12" s="426">
        <f>if('Membership Application List'!K241=TRUE, 5,0)</f>
        <v>0</v>
      </c>
      <c r="G12" s="426">
        <f t="shared" si="1"/>
        <v>15</v>
      </c>
      <c r="H12" s="427" t="str">
        <f>'Membership Application List'!L241</f>
        <v>Venmo</v>
      </c>
      <c r="I12" s="428"/>
      <c r="J12" s="408">
        <v>44105.0</v>
      </c>
      <c r="K12" s="429">
        <v>0.0</v>
      </c>
      <c r="L12" s="430">
        <v>0.0</v>
      </c>
      <c r="M12" s="430">
        <v>0.0</v>
      </c>
      <c r="N12" s="430"/>
      <c r="O12" s="431"/>
      <c r="P12" s="444">
        <f>IFERROR(__xludf.DUMMYFUNCTION("""COMPUTED_VALUE"""),45539.42520917824)</f>
        <v>45539.42521</v>
      </c>
      <c r="Q12" s="413" t="str">
        <f t="shared" si="2"/>
        <v>September</v>
      </c>
      <c r="R12" s="414">
        <f t="shared" si="3"/>
        <v>2024</v>
      </c>
      <c r="S12" s="445" t="str">
        <f>IFERROR(__xludf.DUMMYFUNCTION("""COMPUTED_VALUE"""),"Matt Carroll")</f>
        <v>Matt Carroll</v>
      </c>
      <c r="T12" s="446">
        <f>IFERROR(__xludf.DUMMYFUNCTION("""COMPUTED_VALUE"""),5.0)</f>
        <v>5</v>
      </c>
      <c r="U12" s="446" t="str">
        <f>IFERROR(__xludf.DUMMYFUNCTION("""COMPUTED_VALUE"""),"Paypal")</f>
        <v>Paypal</v>
      </c>
      <c r="V12" s="428"/>
      <c r="W12" s="408">
        <v>44105.0</v>
      </c>
      <c r="X12" s="429">
        <v>0.0</v>
      </c>
      <c r="Y12" s="430">
        <v>0.0</v>
      </c>
      <c r="Z12" s="430">
        <v>35.0</v>
      </c>
      <c r="AA12" s="430"/>
      <c r="AB12" s="430">
        <v>0.0</v>
      </c>
      <c r="AC12" s="431"/>
      <c r="AE12" s="408">
        <v>44105.0</v>
      </c>
      <c r="AF12" s="429">
        <v>0.0</v>
      </c>
      <c r="AG12" s="430">
        <v>0.0</v>
      </c>
      <c r="AH12" s="430">
        <v>0.0</v>
      </c>
      <c r="AI12" s="430"/>
      <c r="AJ12" s="430">
        <v>0.0</v>
      </c>
      <c r="AK12" s="431"/>
      <c r="AM12" s="408">
        <v>44105.0</v>
      </c>
      <c r="AN12" s="429">
        <v>187.0</v>
      </c>
      <c r="AO12" s="430">
        <v>0.0</v>
      </c>
      <c r="AP12" s="430">
        <v>0.0</v>
      </c>
      <c r="AQ12" s="434"/>
      <c r="AR12" s="430">
        <v>0.0</v>
      </c>
      <c r="AS12" s="435"/>
      <c r="AU12" s="408">
        <v>44105.0</v>
      </c>
      <c r="AV12" s="429">
        <v>30.0</v>
      </c>
      <c r="AW12" s="430">
        <v>0.0</v>
      </c>
      <c r="AX12" s="430">
        <v>0.0</v>
      </c>
      <c r="AY12" s="434"/>
      <c r="AZ12" s="430">
        <v>0.0</v>
      </c>
      <c r="BA12" s="435"/>
      <c r="BB12" s="423"/>
      <c r="BC12" s="423"/>
      <c r="BD12" s="423"/>
      <c r="BE12" s="423"/>
    </row>
    <row r="13" ht="13.5" customHeight="1">
      <c r="A13" s="436">
        <f>'Membership Application List'!A242</f>
        <v>45309.5486</v>
      </c>
      <c r="B13" s="437" t="str">
        <f t="shared" si="4"/>
        <v>January</v>
      </c>
      <c r="C13" s="437">
        <f t="shared" si="5"/>
        <v>2024</v>
      </c>
      <c r="D13" s="438" t="str">
        <f>'Membership Application List'!E242</f>
        <v>Isadora  Paul</v>
      </c>
      <c r="E13" s="438">
        <f>IF('Membership Application List'!J242 = "Food/Litter Donation", 0, IF('Membership Application List'!J242 = "$15 Donation, Discord Verification", IF('Membership Application List'!N242 = TRUE, 15, 0)))</f>
        <v>15</v>
      </c>
      <c r="F13" s="438">
        <f>if('Membership Application List'!K242=TRUE, 5,0)</f>
        <v>0</v>
      </c>
      <c r="G13" s="438">
        <f t="shared" si="1"/>
        <v>15</v>
      </c>
      <c r="H13" s="439" t="str">
        <f>'Membership Application List'!L242</f>
        <v>Cashapp</v>
      </c>
      <c r="I13" s="428"/>
      <c r="J13" s="440">
        <v>44136.0</v>
      </c>
      <c r="K13" s="429">
        <v>10.0</v>
      </c>
      <c r="L13" s="430">
        <v>10.0</v>
      </c>
      <c r="M13" s="430">
        <v>0.0</v>
      </c>
      <c r="N13" s="430"/>
      <c r="O13" s="431"/>
      <c r="P13" s="444">
        <f>IFERROR(__xludf.DUMMYFUNCTION("""COMPUTED_VALUE"""),45541.57676439815)</f>
        <v>45541.57676</v>
      </c>
      <c r="Q13" s="413" t="str">
        <f t="shared" si="2"/>
        <v>September</v>
      </c>
      <c r="R13" s="414">
        <f t="shared" si="3"/>
        <v>2024</v>
      </c>
      <c r="S13" s="445" t="str">
        <f>IFERROR(__xludf.DUMMYFUNCTION("""COMPUTED_VALUE"""),"Aileen Sengupta")</f>
        <v>Aileen Sengupta</v>
      </c>
      <c r="T13" s="446">
        <f>IFERROR(__xludf.DUMMYFUNCTION("""COMPUTED_VALUE"""),60.0)</f>
        <v>60</v>
      </c>
      <c r="U13" s="446" t="str">
        <f>IFERROR(__xludf.DUMMYFUNCTION("""COMPUTED_VALUE"""),"Cash")</f>
        <v>Cash</v>
      </c>
      <c r="V13" s="428"/>
      <c r="W13" s="440">
        <v>44136.0</v>
      </c>
      <c r="X13" s="429">
        <v>0.0</v>
      </c>
      <c r="Y13" s="430">
        <v>0.0</v>
      </c>
      <c r="Z13" s="430">
        <v>0.0</v>
      </c>
      <c r="AA13" s="430"/>
      <c r="AB13" s="430">
        <v>0.0</v>
      </c>
      <c r="AC13" s="431"/>
      <c r="AE13" s="440">
        <v>44136.0</v>
      </c>
      <c r="AF13" s="429">
        <v>0.0</v>
      </c>
      <c r="AG13" s="430">
        <v>0.0</v>
      </c>
      <c r="AH13" s="430">
        <v>0.0</v>
      </c>
      <c r="AI13" s="430"/>
      <c r="AJ13" s="430">
        <v>0.0</v>
      </c>
      <c r="AK13" s="431"/>
      <c r="AM13" s="440">
        <v>44136.0</v>
      </c>
      <c r="AN13" s="429">
        <v>99.0</v>
      </c>
      <c r="AO13" s="430">
        <v>30.0</v>
      </c>
      <c r="AP13" s="430">
        <v>15.0</v>
      </c>
      <c r="AQ13" s="434"/>
      <c r="AR13" s="430">
        <v>0.0</v>
      </c>
      <c r="AS13" s="435"/>
      <c r="AU13" s="440">
        <v>44136.0</v>
      </c>
      <c r="AV13" s="429">
        <v>0.0</v>
      </c>
      <c r="AW13" s="430">
        <v>0.0</v>
      </c>
      <c r="AX13" s="430">
        <v>0.0</v>
      </c>
      <c r="AY13" s="434"/>
      <c r="AZ13" s="430">
        <v>0.0</v>
      </c>
      <c r="BA13" s="435"/>
      <c r="BB13" s="423"/>
      <c r="BC13" s="423"/>
      <c r="BD13" s="423"/>
      <c r="BE13" s="423"/>
    </row>
    <row r="14" ht="13.5" customHeight="1">
      <c r="A14" s="424">
        <f>'Membership Application List'!A243</f>
        <v>45311.01545</v>
      </c>
      <c r="B14" s="443" t="str">
        <f t="shared" si="4"/>
        <v>January</v>
      </c>
      <c r="C14" s="443">
        <f t="shared" si="5"/>
        <v>2024</v>
      </c>
      <c r="D14" s="426" t="str">
        <f>'Membership Application List'!E243</f>
        <v>Austin Brown</v>
      </c>
      <c r="E14" s="426">
        <f>IF('Membership Application List'!J243 = "Food/Litter Donation", 0, IF('Membership Application List'!J243 = "$15 Donation, Discord Verification", IF('Membership Application List'!N243 = TRUE, 15, 0)))</f>
        <v>15</v>
      </c>
      <c r="F14" s="426">
        <f>if('Membership Application List'!K243=TRUE, 5,0)</f>
        <v>0</v>
      </c>
      <c r="G14" s="426">
        <f t="shared" si="1"/>
        <v>15</v>
      </c>
      <c r="H14" s="427" t="str">
        <f>'Membership Application List'!L243</f>
        <v>Paypal</v>
      </c>
      <c r="I14" s="428"/>
      <c r="J14" s="408">
        <v>44166.0</v>
      </c>
      <c r="K14" s="429">
        <v>0.0</v>
      </c>
      <c r="L14" s="430">
        <v>0.0</v>
      </c>
      <c r="M14" s="430">
        <v>0.0</v>
      </c>
      <c r="N14" s="430"/>
      <c r="O14" s="431"/>
      <c r="P14" s="444">
        <f>IFERROR(__xludf.DUMMYFUNCTION("""COMPUTED_VALUE"""),45543.867121400464)</f>
        <v>45543.86712</v>
      </c>
      <c r="Q14" s="413" t="str">
        <f t="shared" si="2"/>
        <v>September</v>
      </c>
      <c r="R14" s="414">
        <f t="shared" si="3"/>
        <v>2024</v>
      </c>
      <c r="S14" s="445" t="str">
        <f>IFERROR(__xludf.DUMMYFUNCTION("""COMPUTED_VALUE"""),"Axel Torres")</f>
        <v>Axel Torres</v>
      </c>
      <c r="T14" s="446">
        <f>IFERROR(__xludf.DUMMYFUNCTION("""COMPUTED_VALUE"""),35.0)</f>
        <v>35</v>
      </c>
      <c r="U14" s="446" t="str">
        <f>IFERROR(__xludf.DUMMYFUNCTION("""COMPUTED_VALUE"""),"Paypal")</f>
        <v>Paypal</v>
      </c>
      <c r="V14" s="428"/>
      <c r="W14" s="408">
        <v>44166.0</v>
      </c>
      <c r="X14" s="429">
        <v>0.0</v>
      </c>
      <c r="Y14" s="430">
        <v>0.0</v>
      </c>
      <c r="Z14" s="430">
        <v>0.0</v>
      </c>
      <c r="AA14" s="430"/>
      <c r="AB14" s="430">
        <v>0.0</v>
      </c>
      <c r="AC14" s="431"/>
      <c r="AE14" s="408">
        <v>44166.0</v>
      </c>
      <c r="AF14" s="429">
        <v>2.0</v>
      </c>
      <c r="AG14" s="430">
        <v>0.0</v>
      </c>
      <c r="AH14" s="430">
        <v>0.0</v>
      </c>
      <c r="AI14" s="430"/>
      <c r="AJ14" s="430">
        <v>1320.0</v>
      </c>
      <c r="AK14" s="431"/>
      <c r="AM14" s="408">
        <v>44166.0</v>
      </c>
      <c r="AN14" s="429">
        <v>383.0</v>
      </c>
      <c r="AO14" s="430">
        <v>0.0</v>
      </c>
      <c r="AP14" s="430">
        <v>0.0</v>
      </c>
      <c r="AQ14" s="434"/>
      <c r="AR14" s="430">
        <v>0.0</v>
      </c>
      <c r="AS14" s="435"/>
      <c r="AU14" s="408">
        <v>44166.0</v>
      </c>
      <c r="AV14" s="429">
        <v>0.0</v>
      </c>
      <c r="AW14" s="430">
        <v>0.0</v>
      </c>
      <c r="AX14" s="430">
        <v>60.0</v>
      </c>
      <c r="AY14" s="434"/>
      <c r="AZ14" s="430">
        <v>0.0</v>
      </c>
      <c r="BA14" s="435"/>
      <c r="BB14" s="423"/>
      <c r="BC14" s="423"/>
      <c r="BD14" s="423"/>
      <c r="BE14" s="423"/>
    </row>
    <row r="15" ht="13.5" customHeight="1">
      <c r="A15" s="436">
        <f>'Membership Application List'!A244</f>
        <v>45311.51321</v>
      </c>
      <c r="B15" s="437" t="str">
        <f t="shared" si="4"/>
        <v>January</v>
      </c>
      <c r="C15" s="437">
        <f t="shared" si="5"/>
        <v>2024</v>
      </c>
      <c r="D15" s="438" t="str">
        <f>'Membership Application List'!E244</f>
        <v>Isabel Silva</v>
      </c>
      <c r="E15" s="438">
        <f>IF('Membership Application List'!J244 = "Food/Litter Donation", 0, IF('Membership Application List'!J244 = "$15 Donation, Discord Verification", IF('Membership Application List'!N244 = TRUE, 15, 0)))</f>
        <v>15</v>
      </c>
      <c r="F15" s="438">
        <f>if('Membership Application List'!K244=TRUE, 5,0)</f>
        <v>5</v>
      </c>
      <c r="G15" s="438">
        <f t="shared" si="1"/>
        <v>10</v>
      </c>
      <c r="H15" s="439" t="str">
        <f>'Membership Application List'!L244</f>
        <v>Venmo</v>
      </c>
      <c r="I15" s="407" t="s">
        <v>770</v>
      </c>
      <c r="J15" s="408">
        <v>44197.0</v>
      </c>
      <c r="K15" s="433"/>
      <c r="L15" s="434"/>
      <c r="M15" s="434"/>
      <c r="N15" s="434"/>
      <c r="O15" s="435"/>
      <c r="P15" s="444">
        <f>IFERROR(__xludf.DUMMYFUNCTION("""COMPUTED_VALUE"""),45553.44972831018)</f>
        <v>45553.44973</v>
      </c>
      <c r="Q15" s="413" t="str">
        <f t="shared" si="2"/>
        <v>September</v>
      </c>
      <c r="R15" s="414">
        <f t="shared" si="3"/>
        <v>2024</v>
      </c>
      <c r="S15" s="445" t="str">
        <f>IFERROR(__xludf.DUMMYFUNCTION("""COMPUTED_VALUE"""),"Gunjan Shrestha")</f>
        <v>Gunjan Shrestha</v>
      </c>
      <c r="T15" s="446">
        <f>IFERROR(__xludf.DUMMYFUNCTION("""COMPUTED_VALUE"""),5.0)</f>
        <v>5</v>
      </c>
      <c r="U15" s="446" t="str">
        <f>IFERROR(__xludf.DUMMYFUNCTION("""COMPUTED_VALUE"""),"Cash")</f>
        <v>Cash</v>
      </c>
      <c r="V15" s="407" t="s">
        <v>770</v>
      </c>
      <c r="W15" s="408">
        <v>44197.0</v>
      </c>
      <c r="X15" s="433"/>
      <c r="Y15" s="434"/>
      <c r="Z15" s="434"/>
      <c r="AA15" s="434"/>
      <c r="AB15" s="434"/>
      <c r="AC15" s="435"/>
      <c r="AD15" s="419" t="s">
        <v>770</v>
      </c>
      <c r="AE15" s="408">
        <v>44197.0</v>
      </c>
      <c r="AF15" s="433"/>
      <c r="AG15" s="434"/>
      <c r="AH15" s="434"/>
      <c r="AI15" s="434"/>
      <c r="AJ15" s="434"/>
      <c r="AK15" s="435"/>
      <c r="AL15" s="419" t="s">
        <v>770</v>
      </c>
      <c r="AM15" s="408">
        <v>44197.0</v>
      </c>
      <c r="AN15" s="433"/>
      <c r="AO15" s="434"/>
      <c r="AP15" s="434"/>
      <c r="AQ15" s="434"/>
      <c r="AR15" s="434"/>
      <c r="AS15" s="435"/>
      <c r="AT15" s="419" t="s">
        <v>770</v>
      </c>
      <c r="AU15" s="408">
        <v>44197.0</v>
      </c>
      <c r="AV15" s="433"/>
      <c r="AW15" s="434"/>
      <c r="AX15" s="434"/>
      <c r="AY15" s="434"/>
      <c r="AZ15" s="434"/>
      <c r="BA15" s="435"/>
      <c r="BB15" s="423"/>
      <c r="BC15" s="423"/>
      <c r="BD15" s="423"/>
      <c r="BE15" s="423"/>
    </row>
    <row r="16" ht="13.5" customHeight="1">
      <c r="A16" s="424">
        <f>'Membership Application List'!A245</f>
        <v>45311.75831</v>
      </c>
      <c r="B16" s="443" t="str">
        <f t="shared" si="4"/>
        <v>January</v>
      </c>
      <c r="C16" s="443">
        <f t="shared" si="5"/>
        <v>2024</v>
      </c>
      <c r="D16" s="426" t="str">
        <f>'Membership Application List'!E245</f>
        <v>Jesse Jarrell</v>
      </c>
      <c r="E16" s="426">
        <f>IF('Membership Application List'!J245 = "Food/Litter Donation", 0, IF('Membership Application List'!J245 = "$15 Donation, Discord Verification", IF('Membership Application List'!N245 = TRUE, 15, 0)))</f>
        <v>15</v>
      </c>
      <c r="F16" s="426">
        <f>if('Membership Application List'!K245=TRUE, 5,0)</f>
        <v>0</v>
      </c>
      <c r="G16" s="426">
        <f t="shared" si="1"/>
        <v>15</v>
      </c>
      <c r="H16" s="427" t="str">
        <f>'Membership Application List'!L245</f>
        <v>Paypal</v>
      </c>
      <c r="I16" s="428"/>
      <c r="J16" s="408">
        <v>44228.0</v>
      </c>
      <c r="K16" s="433"/>
      <c r="L16" s="434"/>
      <c r="M16" s="434"/>
      <c r="N16" s="434"/>
      <c r="O16" s="435"/>
      <c r="P16" s="444">
        <f>IFERROR(__xludf.DUMMYFUNCTION("""COMPUTED_VALUE"""),45679.702267870365)</f>
        <v>45679.70227</v>
      </c>
      <c r="Q16" s="413" t="str">
        <f t="shared" si="2"/>
        <v>January</v>
      </c>
      <c r="R16" s="414">
        <f t="shared" si="3"/>
        <v>2025</v>
      </c>
      <c r="S16" s="445" t="str">
        <f>IFERROR(__xludf.DUMMYFUNCTION("""COMPUTED_VALUE"""),"Jesse Jarrell")</f>
        <v>Jesse Jarrell</v>
      </c>
      <c r="T16" s="446">
        <f>IFERROR(__xludf.DUMMYFUNCTION("""COMPUTED_VALUE"""),5.0)</f>
        <v>5</v>
      </c>
      <c r="U16" s="446" t="str">
        <f>IFERROR(__xludf.DUMMYFUNCTION("""COMPUTED_VALUE"""),"Paypal")</f>
        <v>Paypal</v>
      </c>
      <c r="V16" s="428"/>
      <c r="W16" s="408">
        <v>44228.0</v>
      </c>
      <c r="X16" s="433"/>
      <c r="Y16" s="434"/>
      <c r="Z16" s="434"/>
      <c r="AA16" s="434"/>
      <c r="AB16" s="434"/>
      <c r="AC16" s="435"/>
      <c r="AE16" s="408">
        <v>44228.0</v>
      </c>
      <c r="AF16" s="433"/>
      <c r="AG16" s="434"/>
      <c r="AH16" s="434"/>
      <c r="AI16" s="434"/>
      <c r="AJ16" s="434"/>
      <c r="AK16" s="435"/>
      <c r="AM16" s="408">
        <v>44228.0</v>
      </c>
      <c r="AN16" s="433"/>
      <c r="AO16" s="434"/>
      <c r="AP16" s="434"/>
      <c r="AQ16" s="434"/>
      <c r="AR16" s="434"/>
      <c r="AS16" s="435"/>
      <c r="AU16" s="408">
        <v>44228.0</v>
      </c>
      <c r="AV16" s="433"/>
      <c r="AW16" s="434"/>
      <c r="AX16" s="434"/>
      <c r="AY16" s="434"/>
      <c r="AZ16" s="434"/>
      <c r="BA16" s="435"/>
      <c r="BB16" s="423"/>
      <c r="BC16" s="423"/>
      <c r="BD16" s="423"/>
      <c r="BE16" s="423"/>
    </row>
    <row r="17" ht="13.5" customHeight="1">
      <c r="A17" s="436">
        <f>'Membership Application List'!A246</f>
        <v>45312.62192</v>
      </c>
      <c r="B17" s="437" t="str">
        <f t="shared" si="4"/>
        <v>January</v>
      </c>
      <c r="C17" s="437">
        <f t="shared" si="5"/>
        <v>2024</v>
      </c>
      <c r="D17" s="438" t="str">
        <f>'Membership Application List'!E246</f>
        <v>Juliet Garrison</v>
      </c>
      <c r="E17" s="438">
        <f>IF('Membership Application List'!J246 = "Food/Litter Donation", 0, IF('Membership Application List'!J246 = "$15 Donation, Discord Verification", IF('Membership Application List'!N246 = TRUE, 15, 0)))</f>
        <v>15</v>
      </c>
      <c r="F17" s="438">
        <f>if('Membership Application List'!K246=TRUE, 5,0)</f>
        <v>0</v>
      </c>
      <c r="G17" s="438">
        <f t="shared" si="1"/>
        <v>15</v>
      </c>
      <c r="H17" s="439" t="str">
        <f>'Membership Application List'!L246</f>
        <v>Venmo</v>
      </c>
      <c r="I17" s="428"/>
      <c r="J17" s="440">
        <v>44256.0</v>
      </c>
      <c r="K17" s="433"/>
      <c r="L17" s="434"/>
      <c r="M17" s="434"/>
      <c r="N17" s="434"/>
      <c r="O17" s="435"/>
      <c r="P17" s="444">
        <f>IFERROR(__xludf.DUMMYFUNCTION("""COMPUTED_VALUE"""),45679.888920972226)</f>
        <v>45679.88892</v>
      </c>
      <c r="Q17" s="414"/>
      <c r="R17" s="414"/>
      <c r="S17" s="445" t="str">
        <f>IFERROR(__xludf.DUMMYFUNCTION("""COMPUTED_VALUE"""),"Bryan Huynh")</f>
        <v>Bryan Huynh</v>
      </c>
      <c r="T17" s="446">
        <f>IFERROR(__xludf.DUMMYFUNCTION("""COMPUTED_VALUE"""),35.0)</f>
        <v>35</v>
      </c>
      <c r="U17" s="446" t="str">
        <f>IFERROR(__xludf.DUMMYFUNCTION("""COMPUTED_VALUE"""),"Venmo")</f>
        <v>Venmo</v>
      </c>
      <c r="V17" s="428"/>
      <c r="W17" s="440">
        <v>44256.0</v>
      </c>
      <c r="X17" s="433"/>
      <c r="Y17" s="434"/>
      <c r="Z17" s="434"/>
      <c r="AA17" s="434"/>
      <c r="AB17" s="434"/>
      <c r="AC17" s="435"/>
      <c r="AE17" s="440">
        <v>44256.0</v>
      </c>
      <c r="AF17" s="433"/>
      <c r="AG17" s="434"/>
      <c r="AH17" s="434"/>
      <c r="AI17" s="434"/>
      <c r="AJ17" s="434"/>
      <c r="AK17" s="435"/>
      <c r="AM17" s="440">
        <v>44256.0</v>
      </c>
      <c r="AN17" s="433"/>
      <c r="AO17" s="434"/>
      <c r="AP17" s="434"/>
      <c r="AQ17" s="434"/>
      <c r="AR17" s="434"/>
      <c r="AS17" s="435"/>
      <c r="AU17" s="440">
        <v>44256.0</v>
      </c>
      <c r="AV17" s="433"/>
      <c r="AW17" s="434"/>
      <c r="AX17" s="434"/>
      <c r="AY17" s="434"/>
      <c r="AZ17" s="434"/>
      <c r="BA17" s="435"/>
      <c r="BB17" s="423"/>
      <c r="BC17" s="423"/>
      <c r="BD17" s="423"/>
      <c r="BE17" s="423"/>
    </row>
    <row r="18" ht="13.5" customHeight="1">
      <c r="A18" s="424">
        <f>'Membership Application List'!A247</f>
        <v>45312.65898</v>
      </c>
      <c r="B18" s="443" t="str">
        <f t="shared" si="4"/>
        <v>January</v>
      </c>
      <c r="C18" s="443">
        <f t="shared" si="5"/>
        <v>2024</v>
      </c>
      <c r="D18" s="426" t="str">
        <f>'Membership Application List'!E247</f>
        <v>McKayla Mellen</v>
      </c>
      <c r="E18" s="426">
        <f>IF('Membership Application List'!J247 = "Food/Litter Donation", 0, IF('Membership Application List'!J247 = "$15 Donation, Discord Verification", IF('Membership Application List'!N247 = TRUE, 15, 0)))</f>
        <v>15</v>
      </c>
      <c r="F18" s="426">
        <f>if('Membership Application List'!K247=TRUE, 5,0)</f>
        <v>5</v>
      </c>
      <c r="G18" s="426">
        <f t="shared" si="1"/>
        <v>10</v>
      </c>
      <c r="H18" s="427" t="str">
        <f>'Membership Application List'!L247</f>
        <v>Venmo</v>
      </c>
      <c r="I18" s="428"/>
      <c r="J18" s="408">
        <v>44287.0</v>
      </c>
      <c r="K18" s="433"/>
      <c r="L18" s="434"/>
      <c r="M18" s="434"/>
      <c r="N18" s="434"/>
      <c r="O18" s="435"/>
      <c r="P18" s="444">
        <f>IFERROR(__xludf.DUMMYFUNCTION("""COMPUTED_VALUE"""),45880.584514525464)</f>
        <v>45880.58451</v>
      </c>
      <c r="Q18" s="414"/>
      <c r="R18" s="414"/>
      <c r="S18" s="445" t="str">
        <f>IFERROR(__xludf.DUMMYFUNCTION("""COMPUTED_VALUE"""),"Bryan Huynh")</f>
        <v>Bryan Huynh</v>
      </c>
      <c r="T18" s="446">
        <f>IFERROR(__xludf.DUMMYFUNCTION("""COMPUTED_VALUE"""),35.0)</f>
        <v>35</v>
      </c>
      <c r="U18" s="446" t="str">
        <f>IFERROR(__xludf.DUMMYFUNCTION("""COMPUTED_VALUE"""),"Venmo")</f>
        <v>Venmo</v>
      </c>
      <c r="V18" s="428"/>
      <c r="W18" s="408">
        <v>44287.0</v>
      </c>
      <c r="X18" s="433"/>
      <c r="Y18" s="434"/>
      <c r="Z18" s="434"/>
      <c r="AA18" s="434"/>
      <c r="AB18" s="434"/>
      <c r="AC18" s="435"/>
      <c r="AE18" s="408">
        <v>44287.0</v>
      </c>
      <c r="AF18" s="433"/>
      <c r="AG18" s="434"/>
      <c r="AH18" s="434"/>
      <c r="AI18" s="434"/>
      <c r="AJ18" s="434"/>
      <c r="AK18" s="435"/>
      <c r="AM18" s="408">
        <v>44287.0</v>
      </c>
      <c r="AN18" s="433"/>
      <c r="AO18" s="434"/>
      <c r="AP18" s="434"/>
      <c r="AQ18" s="434"/>
      <c r="AR18" s="434"/>
      <c r="AS18" s="435"/>
      <c r="AU18" s="408">
        <v>44287.0</v>
      </c>
      <c r="AV18" s="433"/>
      <c r="AW18" s="434"/>
      <c r="AX18" s="434"/>
      <c r="AY18" s="434"/>
      <c r="AZ18" s="434"/>
      <c r="BA18" s="435"/>
      <c r="BB18" s="423"/>
      <c r="BC18" s="423"/>
      <c r="BD18" s="423"/>
      <c r="BE18" s="423"/>
    </row>
    <row r="19" ht="13.5" customHeight="1">
      <c r="A19" s="436">
        <f>'Membership Application List'!A248</f>
        <v>45312.78051</v>
      </c>
      <c r="B19" s="437" t="str">
        <f t="shared" si="4"/>
        <v>January</v>
      </c>
      <c r="C19" s="437">
        <f t="shared" si="5"/>
        <v>2024</v>
      </c>
      <c r="D19" s="438" t="str">
        <f>'Membership Application List'!E248</f>
        <v>Peyton Diane Wilkinson</v>
      </c>
      <c r="E19" s="438">
        <f>IF('Membership Application List'!J248 = "Food/Litter Donation", 0, IF('Membership Application List'!J248 = "$15 Donation, Discord Verification", IF('Membership Application List'!N248 = TRUE, 15, 0)))</f>
        <v>15</v>
      </c>
      <c r="F19" s="438">
        <f>if('Membership Application List'!K248=TRUE, 5,0)</f>
        <v>0</v>
      </c>
      <c r="G19" s="438">
        <f t="shared" si="1"/>
        <v>15</v>
      </c>
      <c r="H19" s="439" t="str">
        <f>'Membership Application List'!L248</f>
        <v>Venmo</v>
      </c>
      <c r="I19" s="428"/>
      <c r="J19" s="408">
        <v>44317.0</v>
      </c>
      <c r="K19" s="433"/>
      <c r="L19" s="434"/>
      <c r="M19" s="434"/>
      <c r="N19" s="434"/>
      <c r="O19" s="435"/>
      <c r="P19" s="444">
        <f>IFERROR(__xludf.DUMMYFUNCTION("""COMPUTED_VALUE"""),45885.57485665509)</f>
        <v>45885.57486</v>
      </c>
      <c r="Q19" s="414"/>
      <c r="R19" s="414"/>
      <c r="S19" s="445" t="str">
        <f>IFERROR(__xludf.DUMMYFUNCTION("""COMPUTED_VALUE"""),"Amber Lauren Thomas")</f>
        <v>Amber Lauren Thomas</v>
      </c>
      <c r="T19" s="446">
        <f>IFERROR(__xludf.DUMMYFUNCTION("""COMPUTED_VALUE"""),1.0)</f>
        <v>1</v>
      </c>
      <c r="U19" s="446" t="str">
        <f>IFERROR(__xludf.DUMMYFUNCTION("""COMPUTED_VALUE"""),"Cashapp")</f>
        <v>Cashapp</v>
      </c>
      <c r="V19" s="428"/>
      <c r="W19" s="408">
        <v>44317.0</v>
      </c>
      <c r="X19" s="433"/>
      <c r="Y19" s="434"/>
      <c r="Z19" s="434"/>
      <c r="AA19" s="434"/>
      <c r="AB19" s="434"/>
      <c r="AC19" s="435"/>
      <c r="AE19" s="408">
        <v>44317.0</v>
      </c>
      <c r="AF19" s="433"/>
      <c r="AG19" s="434"/>
      <c r="AH19" s="434"/>
      <c r="AI19" s="434"/>
      <c r="AJ19" s="434"/>
      <c r="AK19" s="435"/>
      <c r="AM19" s="408">
        <v>44317.0</v>
      </c>
      <c r="AN19" s="433"/>
      <c r="AO19" s="434"/>
      <c r="AP19" s="434"/>
      <c r="AQ19" s="434"/>
      <c r="AR19" s="434"/>
      <c r="AS19" s="435"/>
      <c r="AU19" s="408">
        <v>44317.0</v>
      </c>
      <c r="AV19" s="433"/>
      <c r="AW19" s="434"/>
      <c r="AX19" s="434"/>
      <c r="AY19" s="434"/>
      <c r="AZ19" s="434"/>
      <c r="BA19" s="435"/>
      <c r="BB19" s="423"/>
      <c r="BC19" s="423"/>
      <c r="BD19" s="423"/>
      <c r="BE19" s="423"/>
    </row>
    <row r="20" ht="13.5" customHeight="1">
      <c r="A20" s="424">
        <f>'Membership Application List'!A249</f>
        <v>45314.76165</v>
      </c>
      <c r="B20" s="443" t="str">
        <f t="shared" si="4"/>
        <v>January</v>
      </c>
      <c r="C20" s="443">
        <f t="shared" si="5"/>
        <v>2024</v>
      </c>
      <c r="D20" s="426" t="str">
        <f>'Membership Application List'!E249</f>
        <v>Jenny Thai Nguyen</v>
      </c>
      <c r="E20" s="426">
        <f>IF('Membership Application List'!J249 = "Food/Litter Donation", 0, IF('Membership Application List'!J249 = "$15 Donation, Discord Verification", IF('Membership Application List'!N249 = TRUE, 15, 0)))</f>
        <v>15</v>
      </c>
      <c r="F20" s="426">
        <f>if('Membership Application List'!K249=TRUE, 5,0)</f>
        <v>0</v>
      </c>
      <c r="G20" s="426">
        <f t="shared" si="1"/>
        <v>15</v>
      </c>
      <c r="H20" s="427" t="str">
        <f>'Membership Application List'!L249</f>
        <v>Venmo</v>
      </c>
      <c r="I20" s="428"/>
      <c r="J20" s="408">
        <v>44348.0</v>
      </c>
      <c r="K20" s="433"/>
      <c r="L20" s="434"/>
      <c r="M20" s="434"/>
      <c r="N20" s="434"/>
      <c r="O20" s="435"/>
      <c r="P20" s="444">
        <f>IFERROR(__xludf.DUMMYFUNCTION("""COMPUTED_VALUE"""),45902.45057483796)</f>
        <v>45902.45057</v>
      </c>
      <c r="Q20" s="414"/>
      <c r="R20" s="451"/>
      <c r="S20" s="445" t="str">
        <f>IFERROR(__xludf.DUMMYFUNCTION("""COMPUTED_VALUE"""),"Jesse Jarrell")</f>
        <v>Jesse Jarrell</v>
      </c>
      <c r="T20" s="446">
        <f>IFERROR(__xludf.DUMMYFUNCTION("""COMPUTED_VALUE"""),10.0)</f>
        <v>10</v>
      </c>
      <c r="U20" s="446" t="str">
        <f>IFERROR(__xludf.DUMMYFUNCTION("""COMPUTED_VALUE"""),"Paypal")</f>
        <v>Paypal</v>
      </c>
      <c r="V20" s="428"/>
      <c r="W20" s="408">
        <v>44348.0</v>
      </c>
      <c r="X20" s="433"/>
      <c r="Y20" s="434"/>
      <c r="Z20" s="434"/>
      <c r="AA20" s="434"/>
      <c r="AB20" s="434"/>
      <c r="AC20" s="435"/>
      <c r="AE20" s="408">
        <v>44348.0</v>
      </c>
      <c r="AF20" s="433"/>
      <c r="AG20" s="434"/>
      <c r="AH20" s="434"/>
      <c r="AI20" s="434"/>
      <c r="AJ20" s="434"/>
      <c r="AK20" s="435"/>
      <c r="AM20" s="408">
        <v>44348.0</v>
      </c>
      <c r="AN20" s="433"/>
      <c r="AO20" s="434"/>
      <c r="AP20" s="434"/>
      <c r="AQ20" s="434"/>
      <c r="AR20" s="434"/>
      <c r="AS20" s="435"/>
      <c r="AU20" s="408">
        <v>44348.0</v>
      </c>
      <c r="AV20" s="433"/>
      <c r="AW20" s="434"/>
      <c r="AX20" s="434"/>
      <c r="AY20" s="434"/>
      <c r="AZ20" s="434"/>
      <c r="BA20" s="435"/>
      <c r="BB20" s="423"/>
      <c r="BC20" s="423"/>
      <c r="BD20" s="423"/>
      <c r="BE20" s="423"/>
    </row>
    <row r="21" ht="13.5" customHeight="1">
      <c r="A21" s="436">
        <f>'Membership Application List'!A250</f>
        <v>45315.47633</v>
      </c>
      <c r="B21" s="437" t="str">
        <f t="shared" si="4"/>
        <v>January</v>
      </c>
      <c r="C21" s="437">
        <f t="shared" si="5"/>
        <v>2024</v>
      </c>
      <c r="D21" s="438" t="str">
        <f>'Membership Application List'!E250</f>
        <v>Daniel Brown</v>
      </c>
      <c r="E21" s="438">
        <f>IF('Membership Application List'!J250 = "Food/Litter Donation", 0, IF('Membership Application List'!J250 = "$15 Donation, Discord Verification", IF('Membership Application List'!N250 = TRUE, 15, 0)))</f>
        <v>15</v>
      </c>
      <c r="F21" s="438">
        <f>if('Membership Application List'!K250=TRUE, 5,0)</f>
        <v>0</v>
      </c>
      <c r="G21" s="438">
        <f t="shared" si="1"/>
        <v>15</v>
      </c>
      <c r="H21" s="439" t="str">
        <f>'Membership Application List'!L250</f>
        <v>Cash</v>
      </c>
      <c r="I21" s="447" t="s">
        <v>771</v>
      </c>
      <c r="J21" s="440">
        <v>44378.0</v>
      </c>
      <c r="K21" s="452">
        <v>0.0</v>
      </c>
      <c r="L21" s="453">
        <v>0.0</v>
      </c>
      <c r="M21" s="453">
        <v>0.0</v>
      </c>
      <c r="N21" s="453">
        <v>0.0</v>
      </c>
      <c r="O21" s="454">
        <v>0.0</v>
      </c>
      <c r="P21" s="444">
        <f>IFERROR(__xludf.DUMMYFUNCTION("""COMPUTED_VALUE"""),45904.74723142361)</f>
        <v>45904.74723</v>
      </c>
      <c r="Q21" s="414"/>
      <c r="R21" s="414"/>
      <c r="S21" s="445" t="str">
        <f>IFERROR(__xludf.DUMMYFUNCTION("""COMPUTED_VALUE"""),"Megan Digiovanni")</f>
        <v>Megan Digiovanni</v>
      </c>
      <c r="T21" s="446">
        <f>IFERROR(__xludf.DUMMYFUNCTION("""COMPUTED_VALUE"""),20.0)</f>
        <v>20</v>
      </c>
      <c r="U21" s="446" t="str">
        <f>IFERROR(__xludf.DUMMYFUNCTION("""COMPUTED_VALUE"""),"Venmo")</f>
        <v>Venmo</v>
      </c>
      <c r="V21" s="447" t="s">
        <v>771</v>
      </c>
      <c r="W21" s="440">
        <v>44378.0</v>
      </c>
      <c r="X21" s="452">
        <v>0.0</v>
      </c>
      <c r="Y21" s="453">
        <v>0.0</v>
      </c>
      <c r="Z21" s="453">
        <v>0.0</v>
      </c>
      <c r="AA21" s="453">
        <v>0.0</v>
      </c>
      <c r="AB21" s="453">
        <v>0.0</v>
      </c>
      <c r="AC21" s="454">
        <v>0.0</v>
      </c>
      <c r="AD21" s="449" t="s">
        <v>771</v>
      </c>
      <c r="AE21" s="440">
        <v>44378.0</v>
      </c>
      <c r="AF21" s="452">
        <v>0.0</v>
      </c>
      <c r="AG21" s="453">
        <v>0.0</v>
      </c>
      <c r="AH21" s="453">
        <v>0.0</v>
      </c>
      <c r="AI21" s="453">
        <v>0.0</v>
      </c>
      <c r="AJ21" s="453">
        <v>0.0</v>
      </c>
      <c r="AK21" s="454">
        <v>0.0</v>
      </c>
      <c r="AL21" s="449" t="s">
        <v>771</v>
      </c>
      <c r="AM21" s="440">
        <v>44378.0</v>
      </c>
      <c r="AN21" s="452">
        <v>0.0</v>
      </c>
      <c r="AO21" s="453">
        <v>0.0</v>
      </c>
      <c r="AP21" s="453">
        <v>0.0</v>
      </c>
      <c r="AQ21" s="453">
        <v>0.0</v>
      </c>
      <c r="AR21" s="453">
        <v>0.0</v>
      </c>
      <c r="AS21" s="454">
        <v>0.0</v>
      </c>
      <c r="AT21" s="449" t="s">
        <v>771</v>
      </c>
      <c r="AU21" s="440">
        <v>44378.0</v>
      </c>
      <c r="AV21" s="452">
        <v>0.0</v>
      </c>
      <c r="AW21" s="453">
        <v>0.0</v>
      </c>
      <c r="AX21" s="453">
        <v>0.0</v>
      </c>
      <c r="AY21" s="453">
        <v>0.0</v>
      </c>
      <c r="AZ21" s="453">
        <v>0.0</v>
      </c>
      <c r="BA21" s="454">
        <v>0.0</v>
      </c>
      <c r="BB21" s="423"/>
      <c r="BC21" s="423"/>
      <c r="BD21" s="423"/>
      <c r="BE21" s="423"/>
    </row>
    <row r="22" ht="13.5" customHeight="1">
      <c r="A22" s="424">
        <f>'Membership Application List'!A251</f>
        <v>45315.52873</v>
      </c>
      <c r="B22" s="443" t="str">
        <f t="shared" si="4"/>
        <v>January</v>
      </c>
      <c r="C22" s="443">
        <f t="shared" si="5"/>
        <v>2024</v>
      </c>
      <c r="D22" s="426" t="str">
        <f>'Membership Application List'!E251</f>
        <v>Lauren Ellington</v>
      </c>
      <c r="E22" s="426">
        <f>IF('Membership Application List'!J251 = "Food/Litter Donation", 0, IF('Membership Application List'!J251 = "$15 Donation, Discord Verification", IF('Membership Application List'!N251 = TRUE, 15, 0)))</f>
        <v>0</v>
      </c>
      <c r="F22" s="426">
        <f>if('Membership Application List'!K251=TRUE, 5,0)</f>
        <v>0</v>
      </c>
      <c r="G22" s="426">
        <f t="shared" si="1"/>
        <v>0</v>
      </c>
      <c r="H22" s="427" t="str">
        <f>'Membership Application List'!L251</f>
        <v/>
      </c>
      <c r="I22" s="428"/>
      <c r="J22" s="455">
        <v>44409.0</v>
      </c>
      <c r="K22" s="456">
        <v>75.0</v>
      </c>
      <c r="L22" s="456">
        <v>60.0</v>
      </c>
      <c r="M22" s="456">
        <v>90.0</v>
      </c>
      <c r="N22" s="456">
        <v>45.0</v>
      </c>
      <c r="O22" s="457">
        <v>0.0</v>
      </c>
      <c r="P22" s="444">
        <f>IFERROR(__xludf.DUMMYFUNCTION("""COMPUTED_VALUE"""),45911.7328853125)</f>
        <v>45911.73289</v>
      </c>
      <c r="Q22" s="414"/>
      <c r="R22" s="414"/>
      <c r="S22" s="445" t="str">
        <f>IFERROR(__xludf.DUMMYFUNCTION("""COMPUTED_VALUE"""),"Axel Torres")</f>
        <v>Axel Torres</v>
      </c>
      <c r="T22" s="446">
        <f>IFERROR(__xludf.DUMMYFUNCTION("""COMPUTED_VALUE"""),25.0)</f>
        <v>25</v>
      </c>
      <c r="U22" s="446" t="str">
        <f>IFERROR(__xludf.DUMMYFUNCTION("""COMPUTED_VALUE"""),"Paypal")</f>
        <v>Paypal</v>
      </c>
      <c r="V22" s="428"/>
      <c r="W22" s="455">
        <v>44409.0</v>
      </c>
      <c r="X22" s="456">
        <v>0.0</v>
      </c>
      <c r="Y22" s="456">
        <v>0.0</v>
      </c>
      <c r="Z22" s="456">
        <v>0.0</v>
      </c>
      <c r="AA22" s="456">
        <v>0.0</v>
      </c>
      <c r="AB22" s="458">
        <v>0.0</v>
      </c>
      <c r="AC22" s="457">
        <v>0.0</v>
      </c>
      <c r="AE22" s="455">
        <v>44409.0</v>
      </c>
      <c r="AF22" s="456">
        <v>0.0</v>
      </c>
      <c r="AG22" s="456">
        <v>0.0</v>
      </c>
      <c r="AH22" s="456">
        <v>0.0</v>
      </c>
      <c r="AI22" s="456">
        <v>0.0</v>
      </c>
      <c r="AJ22" s="458">
        <v>0.0</v>
      </c>
      <c r="AK22" s="457">
        <v>0.0</v>
      </c>
      <c r="AM22" s="455">
        <v>44409.0</v>
      </c>
      <c r="AN22" s="456">
        <v>25.0</v>
      </c>
      <c r="AO22" s="456">
        <v>20.0</v>
      </c>
      <c r="AP22" s="456">
        <v>93.0</v>
      </c>
      <c r="AQ22" s="456">
        <v>60.0</v>
      </c>
      <c r="AR22" s="458">
        <v>0.0</v>
      </c>
      <c r="AS22" s="457">
        <v>0.0</v>
      </c>
      <c r="AU22" s="455">
        <v>44409.0</v>
      </c>
      <c r="AV22" s="456">
        <v>150.0</v>
      </c>
      <c r="AW22" s="456">
        <v>130.0</v>
      </c>
      <c r="AX22" s="456">
        <v>300.0</v>
      </c>
      <c r="AY22" s="456">
        <v>0.0</v>
      </c>
      <c r="AZ22" s="458">
        <v>0.0</v>
      </c>
      <c r="BA22" s="457">
        <v>0.0</v>
      </c>
      <c r="BB22" s="423"/>
      <c r="BC22" s="423"/>
      <c r="BD22" s="423"/>
      <c r="BE22" s="423"/>
    </row>
    <row r="23" ht="13.5" customHeight="1">
      <c r="A23" s="436">
        <f>'Membership Application List'!A252</f>
        <v>45315.58428</v>
      </c>
      <c r="B23" s="437" t="str">
        <f t="shared" si="4"/>
        <v>January</v>
      </c>
      <c r="C23" s="437">
        <f t="shared" si="5"/>
        <v>2024</v>
      </c>
      <c r="D23" s="438" t="str">
        <f>'Membership Application List'!E252</f>
        <v>Dameon Josiah Sims</v>
      </c>
      <c r="E23" s="438">
        <f>IF('Membership Application List'!J252 = "Food/Litter Donation", 0, IF('Membership Application List'!J252 = "$15 Donation, Discord Verification", IF('Membership Application List'!N252 = TRUE, 15, 0)))</f>
        <v>15</v>
      </c>
      <c r="F23" s="438">
        <f>if('Membership Application List'!K252=TRUE, 5,0)</f>
        <v>0</v>
      </c>
      <c r="G23" s="438">
        <f t="shared" si="1"/>
        <v>15</v>
      </c>
      <c r="H23" s="439" t="str">
        <f>'Membership Application List'!L252</f>
        <v>Venmo</v>
      </c>
      <c r="I23" s="428"/>
      <c r="J23" s="455">
        <v>44440.0</v>
      </c>
      <c r="K23" s="456">
        <v>105.0</v>
      </c>
      <c r="L23" s="456">
        <v>90.0</v>
      </c>
      <c r="M23" s="456">
        <v>120.0</v>
      </c>
      <c r="N23" s="456">
        <v>0.0</v>
      </c>
      <c r="O23" s="457">
        <v>0.0</v>
      </c>
      <c r="P23" s="414"/>
      <c r="Q23" s="414"/>
      <c r="R23" s="414"/>
      <c r="S23" s="445"/>
      <c r="T23" s="445"/>
      <c r="U23" s="445"/>
      <c r="V23" s="428"/>
      <c r="W23" s="455">
        <v>44440.0</v>
      </c>
      <c r="X23" s="456">
        <v>0.0</v>
      </c>
      <c r="Y23" s="456">
        <v>52.0</v>
      </c>
      <c r="Z23" s="456">
        <v>28.0</v>
      </c>
      <c r="AA23" s="456">
        <v>0.0</v>
      </c>
      <c r="AB23" s="458">
        <v>0.0</v>
      </c>
      <c r="AC23" s="457">
        <v>0.0</v>
      </c>
      <c r="AE23" s="455">
        <v>44440.0</v>
      </c>
      <c r="AF23" s="456">
        <v>0.0</v>
      </c>
      <c r="AG23" s="456">
        <v>0.0</v>
      </c>
      <c r="AH23" s="456">
        <v>0.0</v>
      </c>
      <c r="AI23" s="456">
        <v>0.0</v>
      </c>
      <c r="AJ23" s="458">
        <v>0.0</v>
      </c>
      <c r="AK23" s="457">
        <v>0.0</v>
      </c>
      <c r="AM23" s="455">
        <v>44440.0</v>
      </c>
      <c r="AN23" s="456">
        <v>6.0</v>
      </c>
      <c r="AO23" s="456">
        <v>46.0</v>
      </c>
      <c r="AP23" s="456">
        <v>42.0</v>
      </c>
      <c r="AQ23" s="456">
        <v>146.0</v>
      </c>
      <c r="AR23" s="458">
        <v>0.0</v>
      </c>
      <c r="AS23" s="457">
        <v>0.0</v>
      </c>
      <c r="AU23" s="455">
        <v>44440.0</v>
      </c>
      <c r="AV23" s="456">
        <v>100.0</v>
      </c>
      <c r="AW23" s="456">
        <v>100.0</v>
      </c>
      <c r="AX23" s="456">
        <v>100.0</v>
      </c>
      <c r="AY23" s="456">
        <v>0.0</v>
      </c>
      <c r="AZ23" s="458">
        <v>0.0</v>
      </c>
      <c r="BA23" s="457">
        <v>0.0</v>
      </c>
      <c r="BB23" s="423"/>
      <c r="BC23" s="423"/>
      <c r="BD23" s="423"/>
      <c r="BE23" s="423"/>
    </row>
    <row r="24" ht="13.5" customHeight="1">
      <c r="A24" s="424">
        <f>'Membership Application List'!A253</f>
        <v>45319.80343</v>
      </c>
      <c r="B24" s="443" t="str">
        <f t="shared" si="4"/>
        <v>January</v>
      </c>
      <c r="C24" s="443">
        <f t="shared" si="5"/>
        <v>2024</v>
      </c>
      <c r="D24" s="426" t="str">
        <f>'Membership Application List'!E253</f>
        <v>Diana Phim</v>
      </c>
      <c r="E24" s="426">
        <f>IF('Membership Application List'!J253 = "Food/Litter Donation", 0, IF('Membership Application List'!J253 = "$15 Donation, Discord Verification", IF('Membership Application List'!N253 = TRUE, 15, 0)))</f>
        <v>15</v>
      </c>
      <c r="F24" s="426">
        <f>if('Membership Application List'!K253=TRUE, 5,0)</f>
        <v>0</v>
      </c>
      <c r="G24" s="426">
        <f t="shared" si="1"/>
        <v>15</v>
      </c>
      <c r="H24" s="427" t="str">
        <f>'Membership Application List'!L253</f>
        <v>Paypal</v>
      </c>
      <c r="I24" s="428"/>
      <c r="J24" s="455">
        <v>44470.0</v>
      </c>
      <c r="K24" s="456">
        <v>0.0</v>
      </c>
      <c r="L24" s="456">
        <v>105.0</v>
      </c>
      <c r="M24" s="456">
        <v>90.0</v>
      </c>
      <c r="N24" s="456">
        <v>0.0</v>
      </c>
      <c r="O24" s="457">
        <v>0.0</v>
      </c>
      <c r="P24" s="414"/>
      <c r="Q24" s="414"/>
      <c r="R24" s="414"/>
      <c r="S24" s="445"/>
      <c r="T24" s="445"/>
      <c r="U24" s="445"/>
      <c r="V24" s="428"/>
      <c r="W24" s="455">
        <v>44470.0</v>
      </c>
      <c r="X24" s="456">
        <v>0.0</v>
      </c>
      <c r="Y24" s="456">
        <v>55.0</v>
      </c>
      <c r="Z24" s="456">
        <v>1.0</v>
      </c>
      <c r="AA24" s="456">
        <v>300.0</v>
      </c>
      <c r="AB24" s="458">
        <v>0.0</v>
      </c>
      <c r="AC24" s="457">
        <v>0.0</v>
      </c>
      <c r="AE24" s="455">
        <v>44470.0</v>
      </c>
      <c r="AF24" s="456">
        <v>0.0</v>
      </c>
      <c r="AG24" s="456">
        <v>0.0</v>
      </c>
      <c r="AH24" s="456">
        <v>0.0</v>
      </c>
      <c r="AI24" s="456">
        <v>0.0</v>
      </c>
      <c r="AJ24" s="458">
        <v>0.0</v>
      </c>
      <c r="AK24" s="457">
        <v>0.0</v>
      </c>
      <c r="AM24" s="455">
        <v>44470.0</v>
      </c>
      <c r="AN24" s="456">
        <v>7.0</v>
      </c>
      <c r="AO24" s="456">
        <v>37.0</v>
      </c>
      <c r="AP24" s="456">
        <v>262.0</v>
      </c>
      <c r="AQ24" s="456">
        <v>25.0</v>
      </c>
      <c r="AR24" s="458">
        <v>0.0</v>
      </c>
      <c r="AS24" s="457">
        <v>0.0</v>
      </c>
      <c r="AU24" s="455">
        <v>44470.0</v>
      </c>
      <c r="AV24" s="456">
        <v>150.0</v>
      </c>
      <c r="AW24" s="456">
        <v>95.0</v>
      </c>
      <c r="AX24" s="456">
        <v>0.0</v>
      </c>
      <c r="AY24" s="456">
        <v>0.0</v>
      </c>
      <c r="AZ24" s="458">
        <v>0.0</v>
      </c>
      <c r="BA24" s="457">
        <v>0.0</v>
      </c>
      <c r="BB24" s="423"/>
      <c r="BC24" s="423"/>
      <c r="BD24" s="423"/>
      <c r="BE24" s="423"/>
    </row>
    <row r="25" ht="13.5" customHeight="1">
      <c r="A25" s="436">
        <f>'Membership Application List'!A254</f>
        <v>45319.80969</v>
      </c>
      <c r="B25" s="437" t="str">
        <f t="shared" si="4"/>
        <v>January</v>
      </c>
      <c r="C25" s="437">
        <f t="shared" si="5"/>
        <v>2024</v>
      </c>
      <c r="D25" s="438" t="str">
        <f>'Membership Application List'!E254</f>
        <v>seja ismail</v>
      </c>
      <c r="E25" s="438">
        <f>IF('Membership Application List'!J254 = "Food/Litter Donation", 0, IF('Membership Application List'!J254 = "$15 Donation, Discord Verification", IF('Membership Application List'!N254 = TRUE, 15, 0)))</f>
        <v>15</v>
      </c>
      <c r="F25" s="438">
        <f>if('Membership Application List'!K254=TRUE, 5,0)</f>
        <v>0</v>
      </c>
      <c r="G25" s="438">
        <f t="shared" si="1"/>
        <v>15</v>
      </c>
      <c r="H25" s="439" t="str">
        <f>'Membership Application List'!L254</f>
        <v>Cashapp</v>
      </c>
      <c r="I25" s="428"/>
      <c r="J25" s="455">
        <v>44501.0</v>
      </c>
      <c r="K25" s="456">
        <v>0.0</v>
      </c>
      <c r="L25" s="456">
        <v>0.0</v>
      </c>
      <c r="M25" s="456">
        <v>15.0</v>
      </c>
      <c r="N25" s="456">
        <v>0.0</v>
      </c>
      <c r="O25" s="457">
        <v>0.0</v>
      </c>
      <c r="P25" s="414"/>
      <c r="Q25" s="414"/>
      <c r="R25" s="414"/>
      <c r="S25" s="445"/>
      <c r="T25" s="445"/>
      <c r="U25" s="445"/>
      <c r="V25" s="428"/>
      <c r="W25" s="455">
        <v>44501.0</v>
      </c>
      <c r="X25" s="456">
        <v>0.0</v>
      </c>
      <c r="Y25" s="456">
        <v>0.0</v>
      </c>
      <c r="Z25" s="456">
        <v>0.0</v>
      </c>
      <c r="AA25" s="456">
        <v>0.0</v>
      </c>
      <c r="AB25" s="458">
        <v>0.0</v>
      </c>
      <c r="AC25" s="457">
        <v>0.0</v>
      </c>
      <c r="AE25" s="455">
        <v>44501.0</v>
      </c>
      <c r="AF25" s="456">
        <v>0.0</v>
      </c>
      <c r="AG25" s="456">
        <v>0.0</v>
      </c>
      <c r="AH25" s="456">
        <v>0.0</v>
      </c>
      <c r="AI25" s="456">
        <v>0.0</v>
      </c>
      <c r="AJ25" s="458">
        <v>0.0</v>
      </c>
      <c r="AK25" s="457">
        <v>0.0</v>
      </c>
      <c r="AM25" s="455">
        <v>44501.0</v>
      </c>
      <c r="AN25" s="456">
        <v>0.0</v>
      </c>
      <c r="AO25" s="456">
        <v>0.0</v>
      </c>
      <c r="AP25" s="456">
        <v>10.0</v>
      </c>
      <c r="AQ25" s="456">
        <v>1160.0</v>
      </c>
      <c r="AR25" s="458">
        <v>0.0</v>
      </c>
      <c r="AS25" s="457">
        <v>0.0</v>
      </c>
      <c r="AU25" s="455">
        <v>44501.0</v>
      </c>
      <c r="AV25" s="456">
        <v>150.0</v>
      </c>
      <c r="AW25" s="456">
        <v>0.0</v>
      </c>
      <c r="AX25" s="456">
        <v>0.0</v>
      </c>
      <c r="AY25" s="456">
        <v>0.0</v>
      </c>
      <c r="AZ25" s="458">
        <v>0.0</v>
      </c>
      <c r="BA25" s="457">
        <v>0.0</v>
      </c>
      <c r="BB25" s="423"/>
      <c r="BC25" s="423"/>
      <c r="BD25" s="423"/>
      <c r="BE25" s="423"/>
    </row>
    <row r="26" ht="13.5" customHeight="1">
      <c r="A26" s="459" t="s">
        <v>772</v>
      </c>
      <c r="B26" s="460"/>
      <c r="C26" s="460"/>
      <c r="D26" s="460"/>
      <c r="E26" s="460"/>
      <c r="F26" s="460"/>
      <c r="G26" s="460"/>
      <c r="H26" s="460"/>
      <c r="I26" s="428"/>
      <c r="J26" s="455">
        <v>44531.0</v>
      </c>
      <c r="K26" s="456">
        <v>0.0</v>
      </c>
      <c r="L26" s="456">
        <v>75.0</v>
      </c>
      <c r="M26" s="456">
        <v>0.0</v>
      </c>
      <c r="N26" s="456">
        <v>0.0</v>
      </c>
      <c r="O26" s="457">
        <v>0.0</v>
      </c>
      <c r="P26" s="414"/>
      <c r="Q26" s="414"/>
      <c r="R26" s="414"/>
      <c r="S26" s="445"/>
      <c r="T26" s="445"/>
      <c r="U26" s="445"/>
      <c r="V26" s="428"/>
      <c r="W26" s="455">
        <v>44531.0</v>
      </c>
      <c r="X26" s="456">
        <v>0.0</v>
      </c>
      <c r="Y26" s="456">
        <v>3.0</v>
      </c>
      <c r="Z26" s="456">
        <v>27.0</v>
      </c>
      <c r="AA26" s="456">
        <v>0.0</v>
      </c>
      <c r="AB26" s="458">
        <v>0.0</v>
      </c>
      <c r="AC26" s="457">
        <v>0.0</v>
      </c>
      <c r="AE26" s="455">
        <v>44531.0</v>
      </c>
      <c r="AF26" s="456">
        <v>0.0</v>
      </c>
      <c r="AG26" s="456">
        <v>0.0</v>
      </c>
      <c r="AH26" s="456">
        <v>0.0</v>
      </c>
      <c r="AI26" s="456">
        <v>0.0</v>
      </c>
      <c r="AJ26" s="458">
        <v>0.0</v>
      </c>
      <c r="AK26" s="457">
        <v>0.0</v>
      </c>
      <c r="AM26" s="455">
        <v>44531.0</v>
      </c>
      <c r="AN26" s="456">
        <v>13.0</v>
      </c>
      <c r="AO26" s="456">
        <v>66.0</v>
      </c>
      <c r="AP26" s="456">
        <v>125.0</v>
      </c>
      <c r="AQ26" s="456">
        <v>0.0</v>
      </c>
      <c r="AR26" s="458">
        <v>0.0</v>
      </c>
      <c r="AS26" s="457">
        <v>0.0</v>
      </c>
      <c r="AU26" s="455">
        <v>44531.0</v>
      </c>
      <c r="AV26" s="456">
        <v>0.0</v>
      </c>
      <c r="AW26" s="456">
        <v>0.0</v>
      </c>
      <c r="AX26" s="456">
        <v>0.0</v>
      </c>
      <c r="AY26" s="456">
        <v>0.0</v>
      </c>
      <c r="AZ26" s="458">
        <v>0.0</v>
      </c>
      <c r="BA26" s="457">
        <v>0.0</v>
      </c>
      <c r="BB26" s="423"/>
      <c r="BC26" s="423"/>
      <c r="BD26" s="423"/>
      <c r="BE26" s="423"/>
    </row>
    <row r="27" ht="13.5" customHeight="1">
      <c r="A27" s="436">
        <f>'Membership Application List'!A256</f>
        <v>45319.97926</v>
      </c>
      <c r="B27" s="437" t="str">
        <f t="shared" ref="B27:B1002" si="6">IF(A27&lt;&gt;"", TEXT(A27, "MMMM"), "")</f>
        <v>January</v>
      </c>
      <c r="C27" s="437">
        <f t="shared" ref="C27:C1002" si="7">IF(A27&lt;&gt;"", YEAR(A27), "")</f>
        <v>2024</v>
      </c>
      <c r="D27" s="438" t="str">
        <f>'Membership Application List'!E256</f>
        <v>Celeste Smith</v>
      </c>
      <c r="E27" s="438">
        <f>IF('Membership Application List'!J256 = "Food/Litter Donation", 0, IF('Membership Application List'!J256 = "$15 Donation, Discord Verification", IF('Membership Application List'!N256 = TRUE, 15, 0)))</f>
        <v>0</v>
      </c>
      <c r="F27" s="438">
        <f>if('Membership Application List'!K256=TRUE, 5,0)</f>
        <v>0</v>
      </c>
      <c r="G27" s="438">
        <f t="shared" ref="G27:G1002" si="8">MAX(0, E27 - F27)</f>
        <v>0</v>
      </c>
      <c r="H27" s="439" t="str">
        <f>'Membership Application List'!L256</f>
        <v/>
      </c>
      <c r="I27" s="407" t="s">
        <v>773</v>
      </c>
      <c r="J27" s="455">
        <v>44562.0</v>
      </c>
      <c r="K27" s="456">
        <v>45.0</v>
      </c>
      <c r="L27" s="456">
        <v>75.0</v>
      </c>
      <c r="M27" s="456">
        <v>105.0</v>
      </c>
      <c r="N27" s="456">
        <v>0.0</v>
      </c>
      <c r="O27" s="457">
        <v>0.0</v>
      </c>
      <c r="P27" s="414"/>
      <c r="Q27" s="414"/>
      <c r="R27" s="414"/>
      <c r="S27" s="445"/>
      <c r="T27" s="445"/>
      <c r="U27" s="445"/>
      <c r="V27" s="407" t="s">
        <v>773</v>
      </c>
      <c r="W27" s="455">
        <v>44562.0</v>
      </c>
      <c r="X27" s="456">
        <v>0.0</v>
      </c>
      <c r="Y27" s="456">
        <v>105.0</v>
      </c>
      <c r="Z27" s="456">
        <v>0.0</v>
      </c>
      <c r="AA27" s="456">
        <v>140.0</v>
      </c>
      <c r="AB27" s="458">
        <v>0.0</v>
      </c>
      <c r="AC27" s="457">
        <v>0.0</v>
      </c>
      <c r="AD27" s="407" t="s">
        <v>773</v>
      </c>
      <c r="AE27" s="455">
        <v>44562.0</v>
      </c>
      <c r="AF27" s="456">
        <v>0.0</v>
      </c>
      <c r="AG27" s="456">
        <v>0.0</v>
      </c>
      <c r="AH27" s="456">
        <v>0.0</v>
      </c>
      <c r="AI27" s="456">
        <v>0.0</v>
      </c>
      <c r="AJ27" s="458">
        <v>0.0</v>
      </c>
      <c r="AK27" s="457">
        <v>0.0</v>
      </c>
      <c r="AL27" s="407" t="s">
        <v>773</v>
      </c>
      <c r="AM27" s="455">
        <v>44562.0</v>
      </c>
      <c r="AN27" s="456">
        <v>15.0</v>
      </c>
      <c r="AO27" s="456">
        <v>15.0</v>
      </c>
      <c r="AP27" s="456">
        <v>0.0</v>
      </c>
      <c r="AQ27" s="456">
        <v>0.0</v>
      </c>
      <c r="AR27" s="458">
        <v>0.0</v>
      </c>
      <c r="AS27" s="457">
        <v>0.0</v>
      </c>
      <c r="AT27" s="407" t="s">
        <v>773</v>
      </c>
      <c r="AU27" s="455">
        <v>44562.0</v>
      </c>
      <c r="AV27" s="456">
        <v>45.0</v>
      </c>
      <c r="AW27" s="456">
        <v>0.0</v>
      </c>
      <c r="AX27" s="456">
        <v>60.0</v>
      </c>
      <c r="AY27" s="456">
        <v>0.0</v>
      </c>
      <c r="AZ27" s="458">
        <v>0.0</v>
      </c>
      <c r="BA27" s="457">
        <v>0.0</v>
      </c>
      <c r="BB27" s="423"/>
      <c r="BC27" s="423"/>
      <c r="BD27" s="423"/>
      <c r="BE27" s="423"/>
    </row>
    <row r="28" ht="13.5" customHeight="1">
      <c r="A28" s="424">
        <f>'Membership Application List'!A257</f>
        <v>45320.62435</v>
      </c>
      <c r="B28" s="443" t="str">
        <f t="shared" si="6"/>
        <v>January</v>
      </c>
      <c r="C28" s="443">
        <f t="shared" si="7"/>
        <v>2024</v>
      </c>
      <c r="D28" s="426" t="str">
        <f>'Membership Application List'!E257</f>
        <v>Karen Takaki</v>
      </c>
      <c r="E28" s="426">
        <f>IF('Membership Application List'!J257 = "Food/Litter Donation", 0, IF('Membership Application List'!J257 = "$15 Donation, Discord Verification", IF('Membership Application List'!N257 = TRUE, 15, 0)))</f>
        <v>0</v>
      </c>
      <c r="F28" s="426">
        <f>if('Membership Application List'!K257=TRUE, 5,0)</f>
        <v>0</v>
      </c>
      <c r="G28" s="426">
        <f t="shared" si="8"/>
        <v>0</v>
      </c>
      <c r="H28" s="427" t="str">
        <f>'Membership Application List'!L257</f>
        <v/>
      </c>
      <c r="I28" s="428"/>
      <c r="J28" s="455">
        <v>44593.0</v>
      </c>
      <c r="K28" s="456">
        <v>15.0</v>
      </c>
      <c r="L28" s="456">
        <v>105.0</v>
      </c>
      <c r="M28" s="456">
        <v>90.0</v>
      </c>
      <c r="N28" s="456">
        <v>0.0</v>
      </c>
      <c r="O28" s="457">
        <v>0.0</v>
      </c>
      <c r="P28" s="414"/>
      <c r="Q28" s="414"/>
      <c r="R28" s="414"/>
      <c r="S28" s="445"/>
      <c r="T28" s="445"/>
      <c r="U28" s="445"/>
      <c r="V28" s="428"/>
      <c r="W28" s="455">
        <v>44593.0</v>
      </c>
      <c r="X28" s="456">
        <v>0.0</v>
      </c>
      <c r="Y28" s="456">
        <v>7.0</v>
      </c>
      <c r="Z28" s="456">
        <v>0.0</v>
      </c>
      <c r="AA28" s="456">
        <v>215.0</v>
      </c>
      <c r="AB28" s="458">
        <v>0.0</v>
      </c>
      <c r="AC28" s="457">
        <v>0.0</v>
      </c>
      <c r="AD28" s="428"/>
      <c r="AE28" s="455">
        <v>44593.0</v>
      </c>
      <c r="AF28" s="456">
        <v>0.0</v>
      </c>
      <c r="AG28" s="456">
        <v>0.0</v>
      </c>
      <c r="AH28" s="456">
        <v>0.0</v>
      </c>
      <c r="AI28" s="456">
        <v>0.0</v>
      </c>
      <c r="AJ28" s="458">
        <v>0.0</v>
      </c>
      <c r="AK28" s="457">
        <v>0.0</v>
      </c>
      <c r="AL28" s="428"/>
      <c r="AM28" s="455">
        <v>44593.0</v>
      </c>
      <c r="AN28" s="456">
        <v>15.0</v>
      </c>
      <c r="AO28" s="456">
        <v>0.0</v>
      </c>
      <c r="AP28" s="456">
        <v>0.0</v>
      </c>
      <c r="AQ28" s="456">
        <v>5.0</v>
      </c>
      <c r="AR28" s="458">
        <v>0.0</v>
      </c>
      <c r="AS28" s="457">
        <v>0.0</v>
      </c>
      <c r="AT28" s="428"/>
      <c r="AU28" s="455">
        <v>44593.0</v>
      </c>
      <c r="AV28" s="456">
        <v>0.0</v>
      </c>
      <c r="AW28" s="456">
        <v>85.0</v>
      </c>
      <c r="AX28" s="456">
        <v>0.0</v>
      </c>
      <c r="AY28" s="456">
        <v>0.0</v>
      </c>
      <c r="AZ28" s="458">
        <v>0.0</v>
      </c>
      <c r="BA28" s="457">
        <v>0.0</v>
      </c>
      <c r="BB28" s="423"/>
      <c r="BC28" s="423"/>
      <c r="BD28" s="423"/>
      <c r="BE28" s="423"/>
    </row>
    <row r="29" ht="13.5" customHeight="1">
      <c r="A29" s="436">
        <f>'Membership Application List'!A258</f>
        <v>45322.54888</v>
      </c>
      <c r="B29" s="437" t="str">
        <f t="shared" si="6"/>
        <v>January</v>
      </c>
      <c r="C29" s="437">
        <f t="shared" si="7"/>
        <v>2024</v>
      </c>
      <c r="D29" s="438" t="str">
        <f>'Membership Application List'!E258</f>
        <v>Megan Digiovanni</v>
      </c>
      <c r="E29" s="438">
        <f>IF('Membership Application List'!J258 = "Food/Litter Donation", 0, IF('Membership Application List'!J258 = "$15 Donation, Discord Verification", IF('Membership Application List'!N258 = TRUE, 15, 0)))</f>
        <v>15</v>
      </c>
      <c r="F29" s="438">
        <f>if('Membership Application List'!K258=TRUE, 5,0)</f>
        <v>5</v>
      </c>
      <c r="G29" s="438">
        <f t="shared" si="8"/>
        <v>10</v>
      </c>
      <c r="H29" s="439" t="str">
        <f>'Membership Application List'!L258</f>
        <v>Cash</v>
      </c>
      <c r="I29" s="428"/>
      <c r="J29" s="455">
        <v>44621.0</v>
      </c>
      <c r="K29" s="456">
        <v>15.0</v>
      </c>
      <c r="L29" s="456">
        <v>15.0</v>
      </c>
      <c r="M29" s="456">
        <v>0.0</v>
      </c>
      <c r="N29" s="456">
        <v>0.0</v>
      </c>
      <c r="O29" s="457">
        <v>0.0</v>
      </c>
      <c r="P29" s="414"/>
      <c r="Q29" s="414"/>
      <c r="R29" s="414"/>
      <c r="S29" s="445"/>
      <c r="T29" s="445"/>
      <c r="U29" s="445"/>
      <c r="V29" s="428"/>
      <c r="W29" s="455">
        <v>44621.0</v>
      </c>
      <c r="X29" s="456">
        <v>4.0</v>
      </c>
      <c r="Y29" s="456">
        <v>48.0</v>
      </c>
      <c r="Z29" s="456">
        <v>35.0</v>
      </c>
      <c r="AA29" s="456">
        <v>356.0</v>
      </c>
      <c r="AB29" s="458">
        <v>0.0</v>
      </c>
      <c r="AC29" s="457">
        <v>0.0</v>
      </c>
      <c r="AD29" s="428"/>
      <c r="AE29" s="455">
        <v>44621.0</v>
      </c>
      <c r="AF29" s="456">
        <v>0.0</v>
      </c>
      <c r="AG29" s="456">
        <v>0.0</v>
      </c>
      <c r="AH29" s="456">
        <v>0.0</v>
      </c>
      <c r="AI29" s="456">
        <v>0.0</v>
      </c>
      <c r="AJ29" s="458">
        <v>0.0</v>
      </c>
      <c r="AK29" s="457">
        <v>0.0</v>
      </c>
      <c r="AL29" s="428"/>
      <c r="AM29" s="455">
        <v>44621.0</v>
      </c>
      <c r="AN29" s="456">
        <v>0.0</v>
      </c>
      <c r="AO29" s="456">
        <v>0.0</v>
      </c>
      <c r="AP29" s="456">
        <v>48.0</v>
      </c>
      <c r="AQ29" s="456">
        <v>0.0</v>
      </c>
      <c r="AR29" s="458">
        <v>0.0</v>
      </c>
      <c r="AS29" s="457">
        <v>0.0</v>
      </c>
      <c r="AT29" s="428"/>
      <c r="AU29" s="455">
        <v>44621.0</v>
      </c>
      <c r="AV29" s="456">
        <v>0.0</v>
      </c>
      <c r="AW29" s="456">
        <v>0.0</v>
      </c>
      <c r="AX29" s="456">
        <v>0.0</v>
      </c>
      <c r="AY29" s="456">
        <v>0.0</v>
      </c>
      <c r="AZ29" s="458">
        <v>0.0</v>
      </c>
      <c r="BA29" s="457">
        <v>0.0</v>
      </c>
      <c r="BB29" s="423"/>
      <c r="BC29" s="423"/>
      <c r="BD29" s="423"/>
      <c r="BE29" s="423"/>
    </row>
    <row r="30" ht="13.5" customHeight="1">
      <c r="A30" s="424">
        <f>'Membership Application List'!A259</f>
        <v>45322.68356</v>
      </c>
      <c r="B30" s="443" t="str">
        <f t="shared" si="6"/>
        <v>January</v>
      </c>
      <c r="C30" s="443">
        <f t="shared" si="7"/>
        <v>2024</v>
      </c>
      <c r="D30" s="426" t="str">
        <f>'Membership Application List'!E259</f>
        <v>Brett Boggs</v>
      </c>
      <c r="E30" s="426">
        <f>IF('Membership Application List'!J259 = "Food/Litter Donation", 0, IF('Membership Application List'!J259 = "$15 Donation, Discord Verification", IF('Membership Application List'!N259 = TRUE, 15, 0)))</f>
        <v>0</v>
      </c>
      <c r="F30" s="426">
        <f>if('Membership Application List'!K259=TRUE, 5,0)</f>
        <v>0</v>
      </c>
      <c r="G30" s="426">
        <f t="shared" si="8"/>
        <v>0</v>
      </c>
      <c r="H30" s="427" t="str">
        <f>'Membership Application List'!L259</f>
        <v/>
      </c>
      <c r="I30" s="428"/>
      <c r="J30" s="455">
        <v>44652.0</v>
      </c>
      <c r="K30" s="456">
        <v>0.0</v>
      </c>
      <c r="L30" s="456">
        <v>0.0</v>
      </c>
      <c r="M30" s="456">
        <v>0.0</v>
      </c>
      <c r="N30" s="456">
        <v>0.0</v>
      </c>
      <c r="O30" s="457">
        <v>0.0</v>
      </c>
      <c r="P30" s="414"/>
      <c r="Q30" s="414"/>
      <c r="R30" s="414"/>
      <c r="S30" s="445"/>
      <c r="T30" s="445"/>
      <c r="U30" s="445"/>
      <c r="V30" s="428"/>
      <c r="W30" s="455">
        <v>44652.0</v>
      </c>
      <c r="X30" s="456">
        <v>19.0</v>
      </c>
      <c r="Y30" s="456">
        <v>143.0</v>
      </c>
      <c r="Z30" s="456">
        <v>103.0</v>
      </c>
      <c r="AA30" s="456">
        <v>250.0</v>
      </c>
      <c r="AB30" s="458">
        <v>0.0</v>
      </c>
      <c r="AC30" s="457">
        <v>0.0</v>
      </c>
      <c r="AD30" s="428"/>
      <c r="AE30" s="455">
        <v>44652.0</v>
      </c>
      <c r="AF30" s="456">
        <v>0.0</v>
      </c>
      <c r="AG30" s="456">
        <v>0.0</v>
      </c>
      <c r="AH30" s="456">
        <v>0.0</v>
      </c>
      <c r="AI30" s="456">
        <v>0.0</v>
      </c>
      <c r="AJ30" s="458">
        <v>0.0</v>
      </c>
      <c r="AK30" s="457">
        <v>0.0</v>
      </c>
      <c r="AL30" s="428"/>
      <c r="AM30" s="455">
        <v>44652.0</v>
      </c>
      <c r="AN30" s="456">
        <v>0.0</v>
      </c>
      <c r="AO30" s="456">
        <v>0.0</v>
      </c>
      <c r="AP30" s="456">
        <v>20.0</v>
      </c>
      <c r="AQ30" s="456">
        <v>0.0</v>
      </c>
      <c r="AR30" s="458">
        <v>0.0</v>
      </c>
      <c r="AS30" s="457">
        <v>0.0</v>
      </c>
      <c r="AT30" s="428"/>
      <c r="AU30" s="455">
        <v>44652.0</v>
      </c>
      <c r="AV30" s="456">
        <v>58.0</v>
      </c>
      <c r="AW30" s="456">
        <v>0.0</v>
      </c>
      <c r="AX30" s="456">
        <v>0.0</v>
      </c>
      <c r="AY30" s="456">
        <v>0.0</v>
      </c>
      <c r="AZ30" s="458">
        <v>0.0</v>
      </c>
      <c r="BA30" s="457">
        <v>0.0</v>
      </c>
      <c r="BB30" s="423"/>
      <c r="BC30" s="423"/>
      <c r="BD30" s="423"/>
      <c r="BE30" s="423"/>
    </row>
    <row r="31" ht="13.5" customHeight="1">
      <c r="A31" s="436">
        <f>'Membership Application List'!A260</f>
        <v>45326.57</v>
      </c>
      <c r="B31" s="437" t="str">
        <f t="shared" si="6"/>
        <v>February</v>
      </c>
      <c r="C31" s="437">
        <f t="shared" si="7"/>
        <v>2024</v>
      </c>
      <c r="D31" s="438" t="str">
        <f>'Membership Application List'!E260</f>
        <v>Angelica Romero</v>
      </c>
      <c r="E31" s="438">
        <f>IF('Membership Application List'!J260 = "Food/Litter Donation", 0, IF('Membership Application List'!J260 = "$15 Donation, Discord Verification", IF('Membership Application List'!N260 = TRUE, 15, 0)))</f>
        <v>15</v>
      </c>
      <c r="F31" s="438">
        <f>if('Membership Application List'!K260=TRUE, 5,0)</f>
        <v>5</v>
      </c>
      <c r="G31" s="438">
        <f t="shared" si="8"/>
        <v>10</v>
      </c>
      <c r="H31" s="439" t="str">
        <f>'Membership Application List'!L260</f>
        <v>Cashapp</v>
      </c>
      <c r="I31" s="428"/>
      <c r="J31" s="455">
        <v>44682.0</v>
      </c>
      <c r="K31" s="456">
        <v>0.0</v>
      </c>
      <c r="L31" s="456">
        <v>15.0</v>
      </c>
      <c r="M31" s="456">
        <v>15.0</v>
      </c>
      <c r="N31" s="456">
        <v>0.0</v>
      </c>
      <c r="O31" s="457">
        <v>0.0</v>
      </c>
      <c r="P31" s="414"/>
      <c r="Q31" s="414"/>
      <c r="R31" s="414"/>
      <c r="S31" s="445"/>
      <c r="T31" s="445"/>
      <c r="U31" s="445"/>
      <c r="V31" s="428"/>
      <c r="W31" s="455">
        <v>44682.0</v>
      </c>
      <c r="X31" s="456">
        <v>0.0</v>
      </c>
      <c r="Y31" s="456">
        <v>0.0</v>
      </c>
      <c r="Z31" s="456">
        <v>0.0</v>
      </c>
      <c r="AA31" s="456">
        <v>0.0</v>
      </c>
      <c r="AB31" s="458">
        <v>0.0</v>
      </c>
      <c r="AC31" s="457">
        <v>0.0</v>
      </c>
      <c r="AD31" s="428"/>
      <c r="AE31" s="455">
        <v>44682.0</v>
      </c>
      <c r="AF31" s="456">
        <v>0.0</v>
      </c>
      <c r="AG31" s="456">
        <v>0.0</v>
      </c>
      <c r="AH31" s="456">
        <v>0.0</v>
      </c>
      <c r="AI31" s="456">
        <v>0.0</v>
      </c>
      <c r="AJ31" s="458">
        <v>0.0</v>
      </c>
      <c r="AK31" s="457">
        <v>0.0</v>
      </c>
      <c r="AL31" s="428"/>
      <c r="AM31" s="455">
        <v>44682.0</v>
      </c>
      <c r="AN31" s="456">
        <v>0.0</v>
      </c>
      <c r="AO31" s="456">
        <v>0.0</v>
      </c>
      <c r="AP31" s="456">
        <v>0.0</v>
      </c>
      <c r="AQ31" s="456">
        <v>0.0</v>
      </c>
      <c r="AR31" s="458">
        <v>0.0</v>
      </c>
      <c r="AS31" s="457">
        <v>0.0</v>
      </c>
      <c r="AT31" s="428"/>
      <c r="AU31" s="455">
        <v>44682.0</v>
      </c>
      <c r="AV31" s="456">
        <v>0.0</v>
      </c>
      <c r="AW31" s="456">
        <v>0.0</v>
      </c>
      <c r="AX31" s="456">
        <v>0.0</v>
      </c>
      <c r="AY31" s="456">
        <v>0.0</v>
      </c>
      <c r="AZ31" s="458">
        <v>0.0</v>
      </c>
      <c r="BA31" s="457">
        <v>0.0</v>
      </c>
      <c r="BB31" s="423"/>
      <c r="BC31" s="423"/>
      <c r="BD31" s="423"/>
      <c r="BE31" s="423"/>
    </row>
    <row r="32" ht="13.5" customHeight="1">
      <c r="A32" s="424">
        <f>'Membership Application List'!A261</f>
        <v>45328.52179</v>
      </c>
      <c r="B32" s="443" t="str">
        <f t="shared" si="6"/>
        <v>February</v>
      </c>
      <c r="C32" s="443">
        <f t="shared" si="7"/>
        <v>2024</v>
      </c>
      <c r="D32" s="426" t="str">
        <f>'Membership Application List'!E261</f>
        <v>Gavin Golden</v>
      </c>
      <c r="E32" s="426">
        <f>IF('Membership Application List'!J261 = "Food/Litter Donation", 0, IF('Membership Application List'!J261 = "$15 Donation, Discord Verification", IF('Membership Application List'!N261 = TRUE, 15, 0)))</f>
        <v>15</v>
      </c>
      <c r="F32" s="426">
        <f>if('Membership Application List'!K261=TRUE, 5,0)</f>
        <v>0</v>
      </c>
      <c r="G32" s="426">
        <f t="shared" si="8"/>
        <v>15</v>
      </c>
      <c r="H32" s="427" t="str">
        <f>'Membership Application List'!L261</f>
        <v>Venmo</v>
      </c>
      <c r="I32" s="447" t="s">
        <v>774</v>
      </c>
      <c r="J32" s="455">
        <v>44713.0</v>
      </c>
      <c r="K32" s="456">
        <v>0.0</v>
      </c>
      <c r="L32" s="456">
        <v>30.0</v>
      </c>
      <c r="M32" s="456">
        <v>0.0</v>
      </c>
      <c r="N32" s="456">
        <v>0.0</v>
      </c>
      <c r="O32" s="457">
        <v>0.0</v>
      </c>
      <c r="P32" s="414"/>
      <c r="Q32" s="414"/>
      <c r="R32" s="414"/>
      <c r="S32" s="445"/>
      <c r="T32" s="445"/>
      <c r="U32" s="445"/>
      <c r="V32" s="447" t="s">
        <v>774</v>
      </c>
      <c r="W32" s="455">
        <v>44713.0</v>
      </c>
      <c r="X32" s="456">
        <v>0.0</v>
      </c>
      <c r="Y32" s="456">
        <v>0.0</v>
      </c>
      <c r="Z32" s="456">
        <v>0.0</v>
      </c>
      <c r="AA32" s="456">
        <v>0.0</v>
      </c>
      <c r="AB32" s="458">
        <v>0.0</v>
      </c>
      <c r="AC32" s="457">
        <v>0.0</v>
      </c>
      <c r="AD32" s="447" t="s">
        <v>774</v>
      </c>
      <c r="AE32" s="455">
        <v>44713.0</v>
      </c>
      <c r="AF32" s="456">
        <v>0.0</v>
      </c>
      <c r="AG32" s="456">
        <v>0.0</v>
      </c>
      <c r="AH32" s="456">
        <v>0.0</v>
      </c>
      <c r="AI32" s="456">
        <v>0.0</v>
      </c>
      <c r="AJ32" s="458">
        <v>0.0</v>
      </c>
      <c r="AK32" s="457">
        <v>0.0</v>
      </c>
      <c r="AL32" s="447" t="s">
        <v>774</v>
      </c>
      <c r="AM32" s="455">
        <v>44713.0</v>
      </c>
      <c r="AN32" s="456">
        <v>0.0</v>
      </c>
      <c r="AO32" s="456">
        <v>0.0</v>
      </c>
      <c r="AP32" s="456">
        <v>0.0</v>
      </c>
      <c r="AQ32" s="456">
        <v>0.0</v>
      </c>
      <c r="AR32" s="458">
        <v>0.0</v>
      </c>
      <c r="AS32" s="457">
        <v>0.0</v>
      </c>
      <c r="AT32" s="447" t="s">
        <v>774</v>
      </c>
      <c r="AU32" s="455">
        <v>44713.0</v>
      </c>
      <c r="AV32" s="456">
        <v>116.0</v>
      </c>
      <c r="AW32" s="456">
        <v>0.0</v>
      </c>
      <c r="AX32" s="456">
        <v>200.0</v>
      </c>
      <c r="AY32" s="456">
        <v>0.0</v>
      </c>
      <c r="AZ32" s="458">
        <v>0.0</v>
      </c>
      <c r="BA32" s="457">
        <v>0.0</v>
      </c>
      <c r="BB32" s="423"/>
      <c r="BC32" s="423"/>
      <c r="BD32" s="423"/>
      <c r="BE32" s="423"/>
    </row>
    <row r="33" ht="13.5" customHeight="1">
      <c r="A33" s="436">
        <f>'Membership Application List'!A262</f>
        <v>45328.81923</v>
      </c>
      <c r="B33" s="437" t="str">
        <f t="shared" si="6"/>
        <v>February</v>
      </c>
      <c r="C33" s="437">
        <f t="shared" si="7"/>
        <v>2024</v>
      </c>
      <c r="D33" s="438" t="str">
        <f>'Membership Application List'!E262</f>
        <v>Amelia Franco</v>
      </c>
      <c r="E33" s="438">
        <f>IF('Membership Application List'!J262 = "Food/Litter Donation", 0, IF('Membership Application List'!J262 = "$15 Donation, Discord Verification", IF('Membership Application List'!N262 = TRUE, 15, 0)))</f>
        <v>15</v>
      </c>
      <c r="F33" s="438">
        <f>if('Membership Application List'!K262=TRUE, 5,0)</f>
        <v>0</v>
      </c>
      <c r="G33" s="438">
        <f t="shared" si="8"/>
        <v>15</v>
      </c>
      <c r="H33" s="439" t="str">
        <f>'Membership Application List'!L262</f>
        <v>Cashapp</v>
      </c>
      <c r="I33" s="428"/>
      <c r="J33" s="455">
        <v>44743.0</v>
      </c>
      <c r="K33" s="456">
        <v>0.0</v>
      </c>
      <c r="L33" s="456">
        <v>0.0</v>
      </c>
      <c r="M33" s="456">
        <v>15.0</v>
      </c>
      <c r="N33" s="456">
        <v>0.0</v>
      </c>
      <c r="O33" s="457">
        <v>0.0</v>
      </c>
      <c r="P33" s="414"/>
      <c r="Q33" s="414"/>
      <c r="R33" s="414"/>
      <c r="S33" s="445"/>
      <c r="T33" s="445"/>
      <c r="U33" s="445"/>
      <c r="V33" s="428"/>
      <c r="W33" s="455">
        <v>44743.0</v>
      </c>
      <c r="X33" s="456">
        <v>0.0</v>
      </c>
      <c r="Y33" s="456">
        <v>0.0</v>
      </c>
      <c r="Z33" s="456">
        <v>0.0</v>
      </c>
      <c r="AA33" s="456">
        <v>0.0</v>
      </c>
      <c r="AB33" s="458">
        <v>0.0</v>
      </c>
      <c r="AC33" s="457">
        <v>0.0</v>
      </c>
      <c r="AD33" s="428"/>
      <c r="AE33" s="455">
        <v>44743.0</v>
      </c>
      <c r="AF33" s="456">
        <v>0.0</v>
      </c>
      <c r="AG33" s="456">
        <v>0.0</v>
      </c>
      <c r="AH33" s="456">
        <v>0.0</v>
      </c>
      <c r="AI33" s="456">
        <v>0.0</v>
      </c>
      <c r="AJ33" s="458">
        <v>0.0</v>
      </c>
      <c r="AK33" s="457">
        <v>0.0</v>
      </c>
      <c r="AL33" s="428"/>
      <c r="AM33" s="455">
        <v>44743.0</v>
      </c>
      <c r="AN33" s="456">
        <v>0.0</v>
      </c>
      <c r="AO33" s="456">
        <v>0.0</v>
      </c>
      <c r="AP33" s="456">
        <v>20.0</v>
      </c>
      <c r="AQ33" s="456">
        <v>0.0</v>
      </c>
      <c r="AR33" s="458">
        <v>0.0</v>
      </c>
      <c r="AS33" s="457">
        <v>0.0</v>
      </c>
      <c r="AT33" s="428"/>
      <c r="AU33" s="455">
        <v>44743.0</v>
      </c>
      <c r="AV33" s="456">
        <v>0.0</v>
      </c>
      <c r="AW33" s="456">
        <v>0.0</v>
      </c>
      <c r="AX33" s="456">
        <v>0.0</v>
      </c>
      <c r="AY33" s="456">
        <v>0.0</v>
      </c>
      <c r="AZ33" s="458">
        <v>0.0</v>
      </c>
      <c r="BA33" s="457">
        <v>0.0</v>
      </c>
      <c r="BB33" s="345"/>
      <c r="BC33" s="345"/>
      <c r="BD33" s="345"/>
      <c r="BE33" s="345"/>
    </row>
    <row r="34" ht="13.5" customHeight="1">
      <c r="A34" s="424">
        <f>'Membership Application List'!A263</f>
        <v>45328.95477</v>
      </c>
      <c r="B34" s="443" t="str">
        <f t="shared" si="6"/>
        <v>February</v>
      </c>
      <c r="C34" s="443">
        <f t="shared" si="7"/>
        <v>2024</v>
      </c>
      <c r="D34" s="426" t="str">
        <f>'Membership Application List'!E263</f>
        <v>Allyson Williams</v>
      </c>
      <c r="E34" s="426">
        <f>IF('Membership Application List'!J263 = "Food/Litter Donation", 0, IF('Membership Application List'!J263 = "$15 Donation, Discord Verification", IF('Membership Application List'!N263 = TRUE, 15, 0)))</f>
        <v>15</v>
      </c>
      <c r="F34" s="426">
        <f>if('Membership Application List'!K263=TRUE, 5,0)</f>
        <v>0</v>
      </c>
      <c r="G34" s="426">
        <f t="shared" si="8"/>
        <v>15</v>
      </c>
      <c r="H34" s="427" t="str">
        <f>'Membership Application List'!L263</f>
        <v>Paypal</v>
      </c>
      <c r="I34" s="428"/>
      <c r="J34" s="455">
        <v>44774.0</v>
      </c>
      <c r="K34" s="456">
        <v>146.0</v>
      </c>
      <c r="L34" s="456">
        <v>80.0</v>
      </c>
      <c r="M34" s="456">
        <v>216.0</v>
      </c>
      <c r="N34" s="456">
        <v>30.0</v>
      </c>
      <c r="O34" s="457">
        <v>0.0</v>
      </c>
      <c r="P34" s="414"/>
      <c r="Q34" s="414"/>
      <c r="R34" s="414"/>
      <c r="S34" s="445"/>
      <c r="T34" s="445"/>
      <c r="U34" s="445"/>
      <c r="V34" s="428"/>
      <c r="W34" s="455">
        <v>44774.0</v>
      </c>
      <c r="X34" s="456">
        <v>0.0</v>
      </c>
      <c r="Y34" s="456">
        <v>35.0</v>
      </c>
      <c r="Z34" s="456">
        <v>17.0</v>
      </c>
      <c r="AA34" s="456">
        <v>126.0</v>
      </c>
      <c r="AB34" s="458">
        <v>0.0</v>
      </c>
      <c r="AC34" s="457">
        <v>8.0</v>
      </c>
      <c r="AD34" s="428"/>
      <c r="AE34" s="455">
        <v>44774.0</v>
      </c>
      <c r="AF34" s="456">
        <v>0.0</v>
      </c>
      <c r="AG34" s="456">
        <v>0.0</v>
      </c>
      <c r="AH34" s="456">
        <v>0.0</v>
      </c>
      <c r="AI34" s="456">
        <v>0.0</v>
      </c>
      <c r="AJ34" s="458">
        <v>0.0</v>
      </c>
      <c r="AK34" s="457">
        <v>0.0</v>
      </c>
      <c r="AL34" s="428"/>
      <c r="AM34" s="455">
        <v>44774.0</v>
      </c>
      <c r="AN34" s="456">
        <v>0.0</v>
      </c>
      <c r="AO34" s="456">
        <v>0.0</v>
      </c>
      <c r="AP34" s="456">
        <v>0.0</v>
      </c>
      <c r="AQ34" s="456">
        <v>0.0</v>
      </c>
      <c r="AR34" s="458">
        <v>0.0</v>
      </c>
      <c r="AS34" s="458">
        <v>0.0</v>
      </c>
      <c r="AT34" s="428"/>
      <c r="AU34" s="455">
        <v>44774.0</v>
      </c>
      <c r="AV34" s="456">
        <v>0.0</v>
      </c>
      <c r="AW34" s="456">
        <v>0.0</v>
      </c>
      <c r="AX34" s="456">
        <v>0.0</v>
      </c>
      <c r="AY34" s="456">
        <v>0.0</v>
      </c>
      <c r="AZ34" s="458">
        <v>0.0</v>
      </c>
      <c r="BA34" s="457">
        <v>0.0</v>
      </c>
      <c r="BB34" s="345"/>
      <c r="BC34" s="345"/>
      <c r="BD34" s="345"/>
      <c r="BE34" s="345"/>
    </row>
    <row r="35" ht="13.5" customHeight="1">
      <c r="A35" s="461">
        <v>45320.0</v>
      </c>
      <c r="B35" s="437" t="str">
        <f t="shared" si="6"/>
        <v>January</v>
      </c>
      <c r="C35" s="437">
        <f t="shared" si="7"/>
        <v>2024</v>
      </c>
      <c r="D35" s="438" t="str">
        <f>'Membership Application List'!E264</f>
        <v>Zaynab Shaikh </v>
      </c>
      <c r="E35" s="438">
        <f>IF('Membership Application List'!J264 = "Food/Litter Donation", 0, IF('Membership Application List'!J264 = "$15 Donation, Discord Verification", IF('Membership Application List'!N264 = TRUE, 15, 0)))</f>
        <v>15</v>
      </c>
      <c r="F35" s="438">
        <f>if('Membership Application List'!K264=TRUE, 5,0)</f>
        <v>0</v>
      </c>
      <c r="G35" s="438">
        <f t="shared" si="8"/>
        <v>15</v>
      </c>
      <c r="H35" s="439" t="str">
        <f>'Membership Application List'!L264</f>
        <v>Venmo</v>
      </c>
      <c r="I35" s="428"/>
      <c r="J35" s="455">
        <v>44805.0</v>
      </c>
      <c r="K35" s="456">
        <v>226.0</v>
      </c>
      <c r="L35" s="456">
        <v>179.0</v>
      </c>
      <c r="M35" s="456">
        <v>135.0</v>
      </c>
      <c r="N35" s="456">
        <v>20.0</v>
      </c>
      <c r="O35" s="457">
        <v>0.0</v>
      </c>
      <c r="P35" s="414"/>
      <c r="Q35" s="414"/>
      <c r="R35" s="414"/>
      <c r="S35" s="445"/>
      <c r="T35" s="445"/>
      <c r="U35" s="445"/>
      <c r="V35" s="428"/>
      <c r="W35" s="455">
        <v>44805.0</v>
      </c>
      <c r="X35" s="456">
        <v>4.0</v>
      </c>
      <c r="Y35" s="456">
        <v>17.0</v>
      </c>
      <c r="Z35" s="456">
        <v>16.0</v>
      </c>
      <c r="AA35" s="456">
        <v>66.0</v>
      </c>
      <c r="AB35" s="458">
        <v>0.0</v>
      </c>
      <c r="AC35" s="457">
        <v>0.0</v>
      </c>
      <c r="AD35" s="428"/>
      <c r="AE35" s="455">
        <v>44805.0</v>
      </c>
      <c r="AF35" s="456">
        <v>0.0</v>
      </c>
      <c r="AG35" s="456">
        <v>3.0</v>
      </c>
      <c r="AH35" s="456">
        <v>2.0</v>
      </c>
      <c r="AI35" s="456">
        <v>21.0</v>
      </c>
      <c r="AJ35" s="458">
        <v>0.0</v>
      </c>
      <c r="AK35" s="457">
        <v>0.0</v>
      </c>
      <c r="AL35" s="428"/>
      <c r="AM35" s="455">
        <v>44805.0</v>
      </c>
      <c r="AN35" s="456">
        <v>67.0</v>
      </c>
      <c r="AO35" s="456">
        <v>0.0</v>
      </c>
      <c r="AP35" s="456">
        <v>40.0</v>
      </c>
      <c r="AQ35" s="456">
        <v>383.0</v>
      </c>
      <c r="AR35" s="458">
        <v>0.0</v>
      </c>
      <c r="AS35" s="457">
        <v>0.0</v>
      </c>
      <c r="AT35" s="428"/>
      <c r="AU35" s="455">
        <v>44805.0</v>
      </c>
      <c r="AV35" s="456">
        <v>165.0</v>
      </c>
      <c r="AW35" s="456">
        <v>60.0</v>
      </c>
      <c r="AX35" s="456">
        <v>0.0</v>
      </c>
      <c r="AY35" s="456">
        <v>0.0</v>
      </c>
      <c r="AZ35" s="458">
        <v>0.0</v>
      </c>
      <c r="BA35" s="457">
        <v>0.0</v>
      </c>
      <c r="BB35" s="345"/>
      <c r="BC35" s="345"/>
      <c r="BD35" s="345"/>
      <c r="BE35" s="345"/>
    </row>
    <row r="36" ht="13.5" customHeight="1">
      <c r="A36" s="462">
        <v>45310.0</v>
      </c>
      <c r="B36" s="443" t="str">
        <f t="shared" si="6"/>
        <v>January</v>
      </c>
      <c r="C36" s="443">
        <f t="shared" si="7"/>
        <v>2024</v>
      </c>
      <c r="D36" s="426" t="str">
        <f>'Membership Application List'!E265</f>
        <v>Jasmin Escamilla Reyes</v>
      </c>
      <c r="E36" s="426">
        <f>IF('Membership Application List'!J265 = "Food/Litter Donation", 0, IF('Membership Application List'!J265 = "$15 Donation, Discord Verification", IF('Membership Application List'!N265 = TRUE, 15, 0)))</f>
        <v>15</v>
      </c>
      <c r="F36" s="426">
        <f>if('Membership Application List'!K265=TRUE, 5,0)</f>
        <v>0</v>
      </c>
      <c r="G36" s="426">
        <f t="shared" si="8"/>
        <v>15</v>
      </c>
      <c r="H36" s="427" t="str">
        <f>'Membership Application List'!L265</f>
        <v>Cashapp</v>
      </c>
      <c r="I36" s="428"/>
      <c r="J36" s="455">
        <v>44835.0</v>
      </c>
      <c r="K36" s="456">
        <v>29.0</v>
      </c>
      <c r="L36" s="456">
        <v>0.0</v>
      </c>
      <c r="M36" s="456">
        <v>0.0</v>
      </c>
      <c r="N36" s="456">
        <v>0.0</v>
      </c>
      <c r="O36" s="457">
        <v>0.0</v>
      </c>
      <c r="P36" s="414"/>
      <c r="Q36" s="414"/>
      <c r="R36" s="414"/>
      <c r="S36" s="445"/>
      <c r="T36" s="445"/>
      <c r="U36" s="445"/>
      <c r="V36" s="428"/>
      <c r="W36" s="455">
        <v>44835.0</v>
      </c>
      <c r="X36" s="456">
        <v>6.0</v>
      </c>
      <c r="Y36" s="456">
        <v>66.0</v>
      </c>
      <c r="Z36" s="456">
        <v>79.0</v>
      </c>
      <c r="AA36" s="456">
        <v>199.0</v>
      </c>
      <c r="AB36" s="458">
        <v>0.0</v>
      </c>
      <c r="AC36" s="457">
        <v>0.0</v>
      </c>
      <c r="AD36" s="428"/>
      <c r="AE36" s="455">
        <v>44835.0</v>
      </c>
      <c r="AF36" s="456">
        <v>0.0</v>
      </c>
      <c r="AG36" s="456">
        <v>0.0</v>
      </c>
      <c r="AH36" s="456">
        <v>0.0</v>
      </c>
      <c r="AI36" s="456">
        <v>0.0</v>
      </c>
      <c r="AJ36" s="458">
        <v>0.0</v>
      </c>
      <c r="AK36" s="457">
        <v>0.0</v>
      </c>
      <c r="AL36" s="428"/>
      <c r="AM36" s="455">
        <v>44835.0</v>
      </c>
      <c r="AN36" s="456">
        <v>0.0</v>
      </c>
      <c r="AO36" s="456">
        <v>0.0</v>
      </c>
      <c r="AP36" s="456">
        <v>0.0</v>
      </c>
      <c r="AQ36" s="456">
        <v>157.0</v>
      </c>
      <c r="AR36" s="458">
        <v>0.0</v>
      </c>
      <c r="AS36" s="457">
        <v>0.0</v>
      </c>
      <c r="AT36" s="428"/>
      <c r="AU36" s="455">
        <v>44835.0</v>
      </c>
      <c r="AV36" s="456">
        <v>0.0</v>
      </c>
      <c r="AW36" s="456">
        <v>0.0</v>
      </c>
      <c r="AX36" s="456">
        <v>0.0</v>
      </c>
      <c r="AY36" s="456">
        <v>0.0</v>
      </c>
      <c r="AZ36" s="458">
        <v>0.0</v>
      </c>
      <c r="BA36" s="457">
        <v>0.0</v>
      </c>
      <c r="BB36" s="345"/>
      <c r="BC36" s="345"/>
      <c r="BD36" s="345"/>
      <c r="BE36" s="345"/>
    </row>
    <row r="37" ht="13.5" customHeight="1">
      <c r="A37" s="461">
        <v>45309.0</v>
      </c>
      <c r="B37" s="437" t="str">
        <f t="shared" si="6"/>
        <v>January</v>
      </c>
      <c r="C37" s="437">
        <f t="shared" si="7"/>
        <v>2024</v>
      </c>
      <c r="D37" s="438" t="str">
        <f>'Membership Application List'!E266</f>
        <v>Heather Reed</v>
      </c>
      <c r="E37" s="438">
        <f>IF('Membership Application List'!J266 = "Food/Litter Donation", 0, IF('Membership Application List'!J266 = "$15 Donation, Discord Verification", IF('Membership Application List'!N266 = TRUE, 15, 0)))</f>
        <v>15</v>
      </c>
      <c r="F37" s="438">
        <f>if('Membership Application List'!K266=TRUE, 5,0)</f>
        <v>0</v>
      </c>
      <c r="G37" s="438">
        <f t="shared" si="8"/>
        <v>15</v>
      </c>
      <c r="H37" s="439" t="str">
        <f>'Membership Application List'!L266</f>
        <v>Paypal</v>
      </c>
      <c r="I37" s="428"/>
      <c r="J37" s="455">
        <v>44866.0</v>
      </c>
      <c r="K37" s="456">
        <v>0.0</v>
      </c>
      <c r="L37" s="456">
        <v>30.0</v>
      </c>
      <c r="M37" s="456">
        <v>0.0</v>
      </c>
      <c r="N37" s="456">
        <v>0.0</v>
      </c>
      <c r="O37" s="457">
        <v>0.0</v>
      </c>
      <c r="P37" s="414"/>
      <c r="Q37" s="414"/>
      <c r="R37" s="414"/>
      <c r="S37" s="445"/>
      <c r="T37" s="445"/>
      <c r="U37" s="445"/>
      <c r="V37" s="428"/>
      <c r="W37" s="455">
        <v>44866.0</v>
      </c>
      <c r="X37" s="456">
        <v>10.0</v>
      </c>
      <c r="Y37" s="456">
        <v>4.0</v>
      </c>
      <c r="Z37" s="456">
        <v>35.0</v>
      </c>
      <c r="AA37" s="456">
        <v>152.0</v>
      </c>
      <c r="AB37" s="458">
        <v>0.0</v>
      </c>
      <c r="AC37" s="457">
        <v>73.0</v>
      </c>
      <c r="AD37" s="428"/>
      <c r="AE37" s="455">
        <v>44866.0</v>
      </c>
      <c r="AF37" s="456">
        <v>0.0</v>
      </c>
      <c r="AG37" s="456">
        <v>0.0</v>
      </c>
      <c r="AH37" s="456">
        <v>0.0</v>
      </c>
      <c r="AI37" s="456">
        <v>0.0</v>
      </c>
      <c r="AJ37" s="458">
        <v>0.0</v>
      </c>
      <c r="AK37" s="457">
        <v>0.0</v>
      </c>
      <c r="AL37" s="428"/>
      <c r="AM37" s="455">
        <v>44866.0</v>
      </c>
      <c r="AN37" s="456">
        <v>0.0</v>
      </c>
      <c r="AO37" s="456">
        <v>0.0</v>
      </c>
      <c r="AP37" s="456">
        <v>0.0</v>
      </c>
      <c r="AQ37" s="456">
        <v>344.0</v>
      </c>
      <c r="AR37" s="458">
        <v>0.0</v>
      </c>
      <c r="AS37" s="457">
        <v>0.0</v>
      </c>
      <c r="AT37" s="428"/>
      <c r="AU37" s="455">
        <v>44866.0</v>
      </c>
      <c r="AV37" s="456">
        <v>0.0</v>
      </c>
      <c r="AW37" s="456">
        <v>0.0</v>
      </c>
      <c r="AX37" s="456">
        <v>175.0</v>
      </c>
      <c r="AY37" s="456">
        <v>0.0</v>
      </c>
      <c r="AZ37" s="458">
        <v>0.0</v>
      </c>
      <c r="BA37" s="457">
        <v>0.0</v>
      </c>
      <c r="BB37" s="345"/>
      <c r="BC37" s="345"/>
      <c r="BD37" s="345"/>
      <c r="BE37" s="345"/>
    </row>
    <row r="38" ht="13.5" customHeight="1">
      <c r="A38" s="462">
        <v>45307.0</v>
      </c>
      <c r="B38" s="443" t="str">
        <f t="shared" si="6"/>
        <v>January</v>
      </c>
      <c r="C38" s="443">
        <f t="shared" si="7"/>
        <v>2024</v>
      </c>
      <c r="D38" s="426" t="str">
        <f>'Membership Application List'!E267</f>
        <v>Zachary Markines</v>
      </c>
      <c r="E38" s="426">
        <f>IF('Membership Application List'!J267 = "Food/Litter Donation", 0, IF('Membership Application List'!J267 = "$15 Donation, Discord Verification", IF('Membership Application List'!N267 = TRUE, 15, 0)))</f>
        <v>15</v>
      </c>
      <c r="F38" s="426">
        <f>if('Membership Application List'!K267=TRUE, 5,0)</f>
        <v>0</v>
      </c>
      <c r="G38" s="426">
        <f t="shared" si="8"/>
        <v>15</v>
      </c>
      <c r="H38" s="427" t="str">
        <f>'Membership Application List'!L267</f>
        <v>Cashapp</v>
      </c>
      <c r="I38" s="428"/>
      <c r="J38" s="455">
        <v>44896.0</v>
      </c>
      <c r="K38" s="456">
        <v>0.0</v>
      </c>
      <c r="L38" s="456">
        <v>0.0</v>
      </c>
      <c r="M38" s="456">
        <v>0.0</v>
      </c>
      <c r="N38" s="456">
        <v>0.0</v>
      </c>
      <c r="O38" s="457">
        <v>0.0</v>
      </c>
      <c r="P38" s="414"/>
      <c r="Q38" s="414"/>
      <c r="R38" s="414"/>
      <c r="S38" s="445"/>
      <c r="T38" s="445"/>
      <c r="U38" s="445"/>
      <c r="V38" s="428"/>
      <c r="W38" s="455">
        <v>44896.0</v>
      </c>
      <c r="X38" s="456">
        <v>0.0</v>
      </c>
      <c r="Y38" s="456">
        <v>17.0</v>
      </c>
      <c r="Z38" s="456">
        <v>0.0</v>
      </c>
      <c r="AA38" s="456">
        <v>0.0</v>
      </c>
      <c r="AB38" s="458">
        <v>0.0</v>
      </c>
      <c r="AC38" s="457">
        <v>0.0</v>
      </c>
      <c r="AD38" s="428"/>
      <c r="AE38" s="455">
        <v>44896.0</v>
      </c>
      <c r="AF38" s="456">
        <v>14.0</v>
      </c>
      <c r="AG38" s="456">
        <v>0.0</v>
      </c>
      <c r="AH38" s="456">
        <v>0.0</v>
      </c>
      <c r="AI38" s="456">
        <v>0.0</v>
      </c>
      <c r="AJ38" s="458">
        <v>0.0</v>
      </c>
      <c r="AK38" s="457">
        <v>0.0</v>
      </c>
      <c r="AL38" s="428"/>
      <c r="AM38" s="455">
        <v>44896.0</v>
      </c>
      <c r="AN38" s="456">
        <v>0.0</v>
      </c>
      <c r="AO38" s="456">
        <v>0.0</v>
      </c>
      <c r="AP38" s="456">
        <v>0.0</v>
      </c>
      <c r="AQ38" s="456">
        <v>0.0</v>
      </c>
      <c r="AR38" s="458">
        <v>0.0</v>
      </c>
      <c r="AS38" s="458">
        <v>0.0</v>
      </c>
      <c r="AT38" s="428"/>
      <c r="AU38" s="455">
        <v>44896.0</v>
      </c>
      <c r="AV38" s="456">
        <v>0.0</v>
      </c>
      <c r="AW38" s="456">
        <v>75.0</v>
      </c>
      <c r="AX38" s="456">
        <v>60.0</v>
      </c>
      <c r="AY38" s="456">
        <v>0.0</v>
      </c>
      <c r="AZ38" s="458">
        <v>0.0</v>
      </c>
      <c r="BA38" s="457">
        <v>0.0</v>
      </c>
      <c r="BB38" s="345"/>
      <c r="BC38" s="345"/>
      <c r="BD38" s="345"/>
      <c r="BE38" s="345"/>
    </row>
    <row r="39" ht="13.5" customHeight="1">
      <c r="A39" s="436">
        <f>'Membership Application List'!A268</f>
        <v>45330.59121</v>
      </c>
      <c r="B39" s="437" t="str">
        <f t="shared" si="6"/>
        <v>February</v>
      </c>
      <c r="C39" s="437">
        <f t="shared" si="7"/>
        <v>2024</v>
      </c>
      <c r="D39" s="438" t="str">
        <f>'Membership Application List'!E268</f>
        <v>Tim Ryan</v>
      </c>
      <c r="E39" s="438">
        <f>IF('Membership Application List'!J268 = "Food/Litter Donation", 0, IF('Membership Application List'!J268 = "$15 Donation, Discord Verification", IF('Membership Application List'!N268 = TRUE, 15, 0)))</f>
        <v>0</v>
      </c>
      <c r="F39" s="438">
        <f>if('Membership Application List'!K268=TRUE, 5,0)</f>
        <v>0</v>
      </c>
      <c r="G39" s="438">
        <f t="shared" si="8"/>
        <v>0</v>
      </c>
      <c r="H39" s="439" t="str">
        <f>'Membership Application List'!L268</f>
        <v/>
      </c>
      <c r="I39" s="407" t="s">
        <v>775</v>
      </c>
      <c r="J39" s="455">
        <v>44927.0</v>
      </c>
      <c r="K39" s="456">
        <v>73.0</v>
      </c>
      <c r="L39" s="456">
        <v>75.0</v>
      </c>
      <c r="M39" s="456">
        <v>234.0</v>
      </c>
      <c r="N39" s="456">
        <v>0.0</v>
      </c>
      <c r="O39" s="457">
        <v>0.0</v>
      </c>
      <c r="P39" s="414"/>
      <c r="Q39" s="414"/>
      <c r="R39" s="414"/>
      <c r="S39" s="445"/>
      <c r="T39" s="445"/>
      <c r="U39" s="445"/>
      <c r="V39" s="407" t="s">
        <v>775</v>
      </c>
      <c r="W39" s="455">
        <v>44927.0</v>
      </c>
      <c r="X39" s="456">
        <v>0.0</v>
      </c>
      <c r="Y39" s="456">
        <v>0.0</v>
      </c>
      <c r="Z39" s="456">
        <v>0.0</v>
      </c>
      <c r="AA39" s="456">
        <v>0.0</v>
      </c>
      <c r="AB39" s="458">
        <v>0.0</v>
      </c>
      <c r="AC39" s="457">
        <v>0.0</v>
      </c>
      <c r="AD39" s="407" t="s">
        <v>775</v>
      </c>
      <c r="AE39" s="455">
        <v>44927.0</v>
      </c>
      <c r="AF39" s="456">
        <v>0.0</v>
      </c>
      <c r="AG39" s="456">
        <v>0.0</v>
      </c>
      <c r="AH39" s="456">
        <v>0.0</v>
      </c>
      <c r="AI39" s="456">
        <v>0.0</v>
      </c>
      <c r="AJ39" s="458">
        <v>0.0</v>
      </c>
      <c r="AK39" s="457">
        <v>0.0</v>
      </c>
      <c r="AL39" s="407" t="s">
        <v>775</v>
      </c>
      <c r="AM39" s="455">
        <v>44927.0</v>
      </c>
      <c r="AN39" s="456">
        <v>194.0</v>
      </c>
      <c r="AO39" s="456">
        <v>0.0</v>
      </c>
      <c r="AP39" s="456">
        <v>0.0</v>
      </c>
      <c r="AQ39" s="456">
        <v>0.0</v>
      </c>
      <c r="AR39" s="458">
        <v>0.0</v>
      </c>
      <c r="AS39" s="457">
        <v>0.0</v>
      </c>
      <c r="AT39" s="407" t="s">
        <v>775</v>
      </c>
      <c r="AU39" s="455">
        <v>44927.0</v>
      </c>
      <c r="AV39" s="456">
        <v>0.0</v>
      </c>
      <c r="AW39" s="456">
        <v>0.0</v>
      </c>
      <c r="AX39" s="456">
        <v>20.0</v>
      </c>
      <c r="AY39" s="456">
        <v>0.0</v>
      </c>
      <c r="AZ39" s="458">
        <v>0.0</v>
      </c>
      <c r="BA39" s="457">
        <v>0.0</v>
      </c>
      <c r="BB39" s="345"/>
      <c r="BC39" s="345"/>
      <c r="BD39" s="345"/>
      <c r="BE39" s="345"/>
    </row>
    <row r="40" ht="13.5" customHeight="1">
      <c r="A40" s="424">
        <f>'Membership Application List'!A269</f>
        <v>45331.50261</v>
      </c>
      <c r="B40" s="443" t="str">
        <f t="shared" si="6"/>
        <v>February</v>
      </c>
      <c r="C40" s="443">
        <f t="shared" si="7"/>
        <v>2024</v>
      </c>
      <c r="D40" s="426" t="str">
        <f>'Membership Application List'!E269</f>
        <v>Addie Nowak</v>
      </c>
      <c r="E40" s="426">
        <f>IF('Membership Application List'!J269 = "Food/Litter Donation", 0, IF('Membership Application List'!J269 = "$15 Donation, Discord Verification", IF('Membership Application List'!N269 = TRUE, 15, 0)))</f>
        <v>15</v>
      </c>
      <c r="F40" s="426">
        <f>if('Membership Application List'!K269=TRUE, 5,0)</f>
        <v>0</v>
      </c>
      <c r="G40" s="426">
        <f t="shared" si="8"/>
        <v>15</v>
      </c>
      <c r="H40" s="427" t="str">
        <f>'Membership Application List'!L269</f>
        <v>Cashapp</v>
      </c>
      <c r="I40" s="428"/>
      <c r="J40" s="455">
        <v>44958.0</v>
      </c>
      <c r="K40" s="456">
        <v>73.0</v>
      </c>
      <c r="L40" s="456">
        <v>60.0</v>
      </c>
      <c r="M40" s="456">
        <v>45.0</v>
      </c>
      <c r="N40" s="456">
        <v>0.0</v>
      </c>
      <c r="O40" s="457">
        <v>0.0</v>
      </c>
      <c r="P40" s="414"/>
      <c r="Q40" s="414"/>
      <c r="R40" s="414"/>
      <c r="S40" s="445"/>
      <c r="T40" s="445"/>
      <c r="U40" s="445"/>
      <c r="V40" s="428"/>
      <c r="W40" s="455">
        <v>44958.0</v>
      </c>
      <c r="X40" s="456">
        <v>0.0</v>
      </c>
      <c r="Y40" s="456">
        <v>2.0</v>
      </c>
      <c r="Z40" s="456">
        <v>0.0</v>
      </c>
      <c r="AA40" s="456">
        <v>0.0</v>
      </c>
      <c r="AB40" s="458">
        <v>0.0</v>
      </c>
      <c r="AC40" s="457">
        <v>5.0</v>
      </c>
      <c r="AD40" s="428"/>
      <c r="AE40" s="455">
        <v>44958.0</v>
      </c>
      <c r="AF40" s="456">
        <v>0.0</v>
      </c>
      <c r="AG40" s="456">
        <v>8.0</v>
      </c>
      <c r="AH40" s="456">
        <v>7.0</v>
      </c>
      <c r="AI40" s="456">
        <v>2.0</v>
      </c>
      <c r="AJ40" s="458">
        <v>0.0</v>
      </c>
      <c r="AK40" s="457">
        <v>0.0</v>
      </c>
      <c r="AL40" s="428"/>
      <c r="AM40" s="455">
        <v>44958.0</v>
      </c>
      <c r="AN40" s="456">
        <v>0.0</v>
      </c>
      <c r="AO40" s="456">
        <v>0.0</v>
      </c>
      <c r="AP40" s="456">
        <v>0.0</v>
      </c>
      <c r="AQ40" s="456">
        <v>0.0</v>
      </c>
      <c r="AR40" s="458">
        <v>0.0</v>
      </c>
      <c r="AS40" s="457">
        <v>0.0</v>
      </c>
      <c r="AT40" s="428"/>
      <c r="AU40" s="455">
        <v>44958.0</v>
      </c>
      <c r="AV40" s="456">
        <v>0.0</v>
      </c>
      <c r="AW40" s="456">
        <v>0.0</v>
      </c>
      <c r="AX40" s="456">
        <v>75.0</v>
      </c>
      <c r="AY40" s="456">
        <v>0.0</v>
      </c>
      <c r="AZ40" s="458">
        <v>0.0</v>
      </c>
      <c r="BA40" s="457">
        <v>0.0</v>
      </c>
      <c r="BB40" s="345"/>
      <c r="BC40" s="345"/>
      <c r="BD40" s="345"/>
      <c r="BE40" s="345"/>
    </row>
    <row r="41" ht="13.5" customHeight="1">
      <c r="A41" s="436">
        <f>'Membership Application List'!A270</f>
        <v>45331.70666</v>
      </c>
      <c r="B41" s="437" t="str">
        <f t="shared" si="6"/>
        <v>February</v>
      </c>
      <c r="C41" s="437">
        <f t="shared" si="7"/>
        <v>2024</v>
      </c>
      <c r="D41" s="438" t="str">
        <f>'Membership Application List'!E270</f>
        <v>Zarin Safa</v>
      </c>
      <c r="E41" s="438">
        <f>IF('Membership Application List'!J270 = "Food/Litter Donation", 0, IF('Membership Application List'!J270 = "$15 Donation, Discord Verification", IF('Membership Application List'!N270 = TRUE, 15, 0)))</f>
        <v>15</v>
      </c>
      <c r="F41" s="438">
        <f>if('Membership Application List'!K270=TRUE, 5,0)</f>
        <v>0</v>
      </c>
      <c r="G41" s="438">
        <f t="shared" si="8"/>
        <v>15</v>
      </c>
      <c r="H41" s="439" t="str">
        <f>'Membership Application List'!L270</f>
        <v>Paypal</v>
      </c>
      <c r="I41" s="428"/>
      <c r="J41" s="455">
        <v>44986.0</v>
      </c>
      <c r="K41" s="456">
        <v>0.0</v>
      </c>
      <c r="L41" s="456">
        <v>30.0</v>
      </c>
      <c r="M41" s="456">
        <v>0.0</v>
      </c>
      <c r="N41" s="456">
        <v>15.0</v>
      </c>
      <c r="O41" s="457">
        <v>0.0</v>
      </c>
      <c r="P41" s="414"/>
      <c r="Q41" s="414"/>
      <c r="R41" s="414"/>
      <c r="S41" s="445"/>
      <c r="T41" s="445"/>
      <c r="U41" s="445"/>
      <c r="V41" s="428"/>
      <c r="W41" s="455">
        <v>44986.0</v>
      </c>
      <c r="X41" s="456">
        <v>5.0</v>
      </c>
      <c r="Y41" s="456">
        <v>12.0</v>
      </c>
      <c r="Z41" s="456">
        <v>43.0</v>
      </c>
      <c r="AA41" s="456">
        <v>43.0</v>
      </c>
      <c r="AB41" s="458">
        <v>0.0</v>
      </c>
      <c r="AC41" s="457">
        <v>1.0</v>
      </c>
      <c r="AD41" s="428"/>
      <c r="AE41" s="455">
        <v>44986.0</v>
      </c>
      <c r="AF41" s="456">
        <v>0.0</v>
      </c>
      <c r="AG41" s="456">
        <v>0.0</v>
      </c>
      <c r="AH41" s="456">
        <v>0.0</v>
      </c>
      <c r="AI41" s="456">
        <v>0.0</v>
      </c>
      <c r="AJ41" s="458">
        <v>0.0</v>
      </c>
      <c r="AK41" s="457">
        <v>0.0</v>
      </c>
      <c r="AL41" s="428"/>
      <c r="AM41" s="455">
        <v>44986.0</v>
      </c>
      <c r="AN41" s="456">
        <v>0.0</v>
      </c>
      <c r="AO41" s="456">
        <v>20.0</v>
      </c>
      <c r="AP41" s="456">
        <v>0.0</v>
      </c>
      <c r="AQ41" s="456">
        <v>0.0</v>
      </c>
      <c r="AR41" s="458">
        <v>0.0</v>
      </c>
      <c r="AS41" s="457">
        <v>0.0</v>
      </c>
      <c r="AT41" s="428"/>
      <c r="AU41" s="455">
        <v>44986.0</v>
      </c>
      <c r="AV41" s="456">
        <v>0.0</v>
      </c>
      <c r="AW41" s="456">
        <v>75.0</v>
      </c>
      <c r="AX41" s="456">
        <v>56.0</v>
      </c>
      <c r="AY41" s="456">
        <v>0.0</v>
      </c>
      <c r="AZ41" s="458">
        <v>0.0</v>
      </c>
      <c r="BA41" s="457">
        <v>0.0</v>
      </c>
      <c r="BB41" s="345"/>
      <c r="BC41" s="345"/>
      <c r="BD41" s="345"/>
      <c r="BE41" s="345"/>
    </row>
    <row r="42" ht="13.5" customHeight="1">
      <c r="A42" s="424">
        <f>'Membership Application List'!A271</f>
        <v>45334.59852</v>
      </c>
      <c r="B42" s="443" t="str">
        <f t="shared" si="6"/>
        <v>February</v>
      </c>
      <c r="C42" s="443">
        <f t="shared" si="7"/>
        <v>2024</v>
      </c>
      <c r="D42" s="426" t="str">
        <f>'Membership Application List'!E271</f>
        <v>Kay Cedano</v>
      </c>
      <c r="E42" s="426">
        <f>IF('Membership Application List'!J271 = "Food/Litter Donation", 0, IF('Membership Application List'!J271 = "$15 Donation, Discord Verification", IF('Membership Application List'!N271 = TRUE, 15, 0)))</f>
        <v>15</v>
      </c>
      <c r="F42" s="426">
        <f>if('Membership Application List'!K271=TRUE, 5,0)</f>
        <v>0</v>
      </c>
      <c r="G42" s="426">
        <f t="shared" si="8"/>
        <v>15</v>
      </c>
      <c r="H42" s="427" t="str">
        <f>'Membership Application List'!L271</f>
        <v>CashApp</v>
      </c>
      <c r="I42" s="428"/>
      <c r="J42" s="455">
        <v>45017.0</v>
      </c>
      <c r="K42" s="456">
        <v>15.0</v>
      </c>
      <c r="L42" s="456">
        <v>0.0</v>
      </c>
      <c r="M42" s="456">
        <v>0.0</v>
      </c>
      <c r="N42" s="456">
        <v>0.0</v>
      </c>
      <c r="O42" s="457">
        <v>0.0</v>
      </c>
      <c r="P42" s="414"/>
      <c r="Q42" s="414"/>
      <c r="R42" s="414"/>
      <c r="S42" s="445"/>
      <c r="T42" s="445"/>
      <c r="U42" s="445"/>
      <c r="V42" s="428"/>
      <c r="W42" s="455">
        <v>45017.0</v>
      </c>
      <c r="X42" s="456">
        <v>0.0</v>
      </c>
      <c r="Y42" s="456">
        <v>6.0</v>
      </c>
      <c r="Z42" s="456">
        <v>12.0</v>
      </c>
      <c r="AA42" s="456">
        <v>19.0</v>
      </c>
      <c r="AB42" s="458">
        <v>0.0</v>
      </c>
      <c r="AC42" s="457">
        <v>8.0</v>
      </c>
      <c r="AD42" s="428"/>
      <c r="AE42" s="455">
        <v>45017.0</v>
      </c>
      <c r="AF42" s="456">
        <v>0.0</v>
      </c>
      <c r="AG42" s="456">
        <v>10.0</v>
      </c>
      <c r="AH42" s="456">
        <v>5.0</v>
      </c>
      <c r="AI42" s="456">
        <v>0.0</v>
      </c>
      <c r="AJ42" s="458">
        <v>0.0</v>
      </c>
      <c r="AK42" s="457">
        <v>3.0</v>
      </c>
      <c r="AL42" s="428"/>
      <c r="AM42" s="455">
        <v>45017.0</v>
      </c>
      <c r="AN42" s="456">
        <v>0.0</v>
      </c>
      <c r="AO42" s="456">
        <v>0.0</v>
      </c>
      <c r="AP42" s="456">
        <v>0.0</v>
      </c>
      <c r="AQ42" s="456">
        <v>50.0</v>
      </c>
      <c r="AR42" s="458">
        <v>0.0</v>
      </c>
      <c r="AS42" s="457">
        <v>800.0</v>
      </c>
      <c r="AT42" s="428"/>
      <c r="AU42" s="455">
        <v>45017.0</v>
      </c>
      <c r="AV42" s="456">
        <v>0.0</v>
      </c>
      <c r="AW42" s="456">
        <v>90.0</v>
      </c>
      <c r="AX42" s="456">
        <v>0.0</v>
      </c>
      <c r="AY42" s="456">
        <v>0.0</v>
      </c>
      <c r="AZ42" s="458">
        <v>0.0</v>
      </c>
      <c r="BA42" s="457">
        <v>0.0</v>
      </c>
      <c r="BB42" s="345"/>
      <c r="BC42" s="345"/>
      <c r="BD42" s="345"/>
      <c r="BE42" s="345"/>
    </row>
    <row r="43" ht="13.5" customHeight="1">
      <c r="A43" s="436">
        <f>'Membership Application List'!A272</f>
        <v>45335.40963</v>
      </c>
      <c r="B43" s="437" t="str">
        <f t="shared" si="6"/>
        <v>February</v>
      </c>
      <c r="C43" s="437">
        <f t="shared" si="7"/>
        <v>2024</v>
      </c>
      <c r="D43" s="438" t="str">
        <f>'Membership Application List'!E272</f>
        <v>William Cleland</v>
      </c>
      <c r="E43" s="438">
        <f>IF('Membership Application List'!J272 = "Food/Litter Donation", 0, IF('Membership Application List'!J272 = "$15 Donation, Discord Verification", IF('Membership Application List'!N272 = TRUE, 15, 0)))</f>
        <v>15</v>
      </c>
      <c r="F43" s="438">
        <f>if('Membership Application List'!K272=TRUE, 5,0)</f>
        <v>0</v>
      </c>
      <c r="G43" s="438">
        <f t="shared" si="8"/>
        <v>15</v>
      </c>
      <c r="H43" s="439" t="str">
        <f>'Membership Application List'!L272</f>
        <v>Venmo</v>
      </c>
      <c r="I43" s="428"/>
      <c r="J43" s="455">
        <v>45047.0</v>
      </c>
      <c r="K43" s="456">
        <v>15.0</v>
      </c>
      <c r="L43" s="456">
        <v>0.0</v>
      </c>
      <c r="M43" s="456">
        <v>0.0</v>
      </c>
      <c r="N43" s="456">
        <v>0.0</v>
      </c>
      <c r="O43" s="457">
        <v>0.0</v>
      </c>
      <c r="P43" s="414"/>
      <c r="Q43" s="414"/>
      <c r="R43" s="414"/>
      <c r="S43" s="445"/>
      <c r="T43" s="445"/>
      <c r="U43" s="445"/>
      <c r="V43" s="428"/>
      <c r="W43" s="455">
        <v>45047.0</v>
      </c>
      <c r="X43" s="456">
        <v>0.0</v>
      </c>
      <c r="Y43" s="456">
        <v>0.0</v>
      </c>
      <c r="Z43" s="456">
        <v>0.0</v>
      </c>
      <c r="AA43" s="456">
        <v>0.0</v>
      </c>
      <c r="AB43" s="458">
        <v>0.0</v>
      </c>
      <c r="AC43" s="457">
        <v>0.0</v>
      </c>
      <c r="AD43" s="428"/>
      <c r="AE43" s="455">
        <v>45047.0</v>
      </c>
      <c r="AF43" s="456">
        <v>0.0</v>
      </c>
      <c r="AG43" s="456">
        <v>0.0</v>
      </c>
      <c r="AH43" s="456">
        <v>0.0</v>
      </c>
      <c r="AI43" s="456">
        <v>0.0</v>
      </c>
      <c r="AJ43" s="458">
        <v>0.0</v>
      </c>
      <c r="AK43" s="457">
        <v>0.0</v>
      </c>
      <c r="AL43" s="428"/>
      <c r="AM43" s="455">
        <v>45047.0</v>
      </c>
      <c r="AN43" s="456">
        <v>0.0</v>
      </c>
      <c r="AO43" s="456">
        <v>0.0</v>
      </c>
      <c r="AP43" s="456">
        <v>0.0</v>
      </c>
      <c r="AQ43" s="456">
        <v>0.0</v>
      </c>
      <c r="AR43" s="458">
        <v>0.0</v>
      </c>
      <c r="AS43" s="457">
        <v>0.0</v>
      </c>
      <c r="AT43" s="428"/>
      <c r="AU43" s="455">
        <v>45047.0</v>
      </c>
      <c r="AV43" s="456">
        <v>0.0</v>
      </c>
      <c r="AW43" s="456">
        <v>120.0</v>
      </c>
      <c r="AX43" s="456">
        <v>120.0</v>
      </c>
      <c r="AY43" s="456">
        <v>0.0</v>
      </c>
      <c r="AZ43" s="458">
        <v>0.0</v>
      </c>
      <c r="BA43" s="457">
        <v>0.0</v>
      </c>
      <c r="BB43" s="345"/>
      <c r="BC43" s="345"/>
      <c r="BD43" s="345"/>
      <c r="BE43" s="345"/>
    </row>
    <row r="44" ht="13.5" customHeight="1">
      <c r="A44" s="424">
        <f>'Membership Application List'!A273</f>
        <v>45336.66066</v>
      </c>
      <c r="B44" s="443" t="str">
        <f t="shared" si="6"/>
        <v>February</v>
      </c>
      <c r="C44" s="443">
        <f t="shared" si="7"/>
        <v>2024</v>
      </c>
      <c r="D44" s="426" t="str">
        <f>'Membership Application List'!E273</f>
        <v>Kyle moore</v>
      </c>
      <c r="E44" s="426">
        <f>IF('Membership Application List'!J273 = "Food/Litter Donation", 0, IF('Membership Application List'!J273 = "$15 Donation, Discord Verification", IF('Membership Application List'!N273 = TRUE, 15, 0)))</f>
        <v>15</v>
      </c>
      <c r="F44" s="426">
        <f>if('Membership Application List'!K273=TRUE, 5,0)</f>
        <v>0</v>
      </c>
      <c r="G44" s="426">
        <f t="shared" si="8"/>
        <v>15</v>
      </c>
      <c r="H44" s="427" t="str">
        <f>'Membership Application List'!L273</f>
        <v>Venmo</v>
      </c>
      <c r="I44" s="447" t="s">
        <v>776</v>
      </c>
      <c r="J44" s="455">
        <v>45078.0</v>
      </c>
      <c r="K44" s="456">
        <v>0.0</v>
      </c>
      <c r="L44" s="456">
        <v>0.0</v>
      </c>
      <c r="M44" s="456">
        <v>0.0</v>
      </c>
      <c r="N44" s="456">
        <v>0.0</v>
      </c>
      <c r="O44" s="457">
        <v>0.0</v>
      </c>
      <c r="P44" s="414"/>
      <c r="Q44" s="414"/>
      <c r="R44" s="414"/>
      <c r="S44" s="445"/>
      <c r="T44" s="445"/>
      <c r="U44" s="445"/>
      <c r="V44" s="447" t="s">
        <v>776</v>
      </c>
      <c r="W44" s="455">
        <v>45078.0</v>
      </c>
      <c r="X44" s="456">
        <v>0.0</v>
      </c>
      <c r="Y44" s="456">
        <v>0.0</v>
      </c>
      <c r="Z44" s="456">
        <v>0.0</v>
      </c>
      <c r="AA44" s="456">
        <v>0.0</v>
      </c>
      <c r="AB44" s="458">
        <v>0.0</v>
      </c>
      <c r="AC44" s="457">
        <v>0.0</v>
      </c>
      <c r="AD44" s="447" t="s">
        <v>776</v>
      </c>
      <c r="AE44" s="455">
        <v>45078.0</v>
      </c>
      <c r="AF44" s="456">
        <v>0.0</v>
      </c>
      <c r="AG44" s="456">
        <v>0.0</v>
      </c>
      <c r="AH44" s="456">
        <v>0.0</v>
      </c>
      <c r="AI44" s="456">
        <v>0.0</v>
      </c>
      <c r="AJ44" s="458">
        <v>0.0</v>
      </c>
      <c r="AK44" s="457">
        <v>0.0</v>
      </c>
      <c r="AL44" s="447" t="s">
        <v>776</v>
      </c>
      <c r="AM44" s="455">
        <v>45078.0</v>
      </c>
      <c r="AN44" s="456">
        <v>0.0</v>
      </c>
      <c r="AO44" s="456">
        <v>0.0</v>
      </c>
      <c r="AP44" s="456">
        <v>0.0</v>
      </c>
      <c r="AQ44" s="456">
        <v>0.0</v>
      </c>
      <c r="AR44" s="458">
        <v>0.0</v>
      </c>
      <c r="AS44" s="457">
        <v>0.0</v>
      </c>
      <c r="AT44" s="447" t="s">
        <v>776</v>
      </c>
      <c r="AU44" s="455">
        <v>45078.0</v>
      </c>
      <c r="AV44" s="456">
        <v>0.0</v>
      </c>
      <c r="AW44" s="456">
        <v>0.0</v>
      </c>
      <c r="AX44" s="456">
        <v>0.0</v>
      </c>
      <c r="AY44" s="456">
        <v>0.0</v>
      </c>
      <c r="AZ44" s="458">
        <v>0.0</v>
      </c>
      <c r="BA44" s="457">
        <v>0.0</v>
      </c>
      <c r="BB44" s="345"/>
      <c r="BC44" s="345"/>
      <c r="BD44" s="345"/>
      <c r="BE44" s="345"/>
    </row>
    <row r="45" ht="13.5" customHeight="1">
      <c r="A45" s="436">
        <f>'Membership Application List'!A274</f>
        <v>45336.69342</v>
      </c>
      <c r="B45" s="437" t="str">
        <f t="shared" si="6"/>
        <v>February</v>
      </c>
      <c r="C45" s="437">
        <f t="shared" si="7"/>
        <v>2024</v>
      </c>
      <c r="D45" s="438" t="str">
        <f>'Membership Application List'!E274</f>
        <v>Zoe Dennis</v>
      </c>
      <c r="E45" s="438">
        <f>IF('Membership Application List'!J274 = "Food/Litter Donation", 0, IF('Membership Application List'!J274 = "$15 Donation, Discord Verification", IF('Membership Application List'!N274 = TRUE, 15, 0)))</f>
        <v>0</v>
      </c>
      <c r="F45" s="438">
        <f>if('Membership Application List'!K274=TRUE, 5,0)</f>
        <v>0</v>
      </c>
      <c r="G45" s="438">
        <f t="shared" si="8"/>
        <v>0</v>
      </c>
      <c r="H45" s="439" t="str">
        <f>'Membership Application List'!L274</f>
        <v/>
      </c>
      <c r="I45" s="428"/>
      <c r="J45" s="455">
        <v>45108.0</v>
      </c>
      <c r="K45" s="456">
        <v>0.0</v>
      </c>
      <c r="L45" s="456">
        <v>0.0</v>
      </c>
      <c r="M45" s="456">
        <v>0.0</v>
      </c>
      <c r="N45" s="456">
        <v>0.0</v>
      </c>
      <c r="O45" s="457">
        <v>0.0</v>
      </c>
      <c r="P45" s="414"/>
      <c r="Q45" s="414"/>
      <c r="R45" s="414"/>
      <c r="S45" s="445"/>
      <c r="T45" s="445"/>
      <c r="U45" s="445"/>
      <c r="V45" s="428"/>
      <c r="W45" s="455">
        <v>45108.0</v>
      </c>
      <c r="X45" s="456">
        <v>0.0</v>
      </c>
      <c r="Y45" s="456">
        <v>0.0</v>
      </c>
      <c r="Z45" s="456">
        <v>0.0</v>
      </c>
      <c r="AA45" s="456">
        <v>0.0</v>
      </c>
      <c r="AB45" s="458">
        <v>0.0</v>
      </c>
      <c r="AC45" s="457">
        <v>0.0</v>
      </c>
      <c r="AD45" s="428"/>
      <c r="AE45" s="455">
        <v>45108.0</v>
      </c>
      <c r="AF45" s="456">
        <v>0.0</v>
      </c>
      <c r="AG45" s="456">
        <v>0.0</v>
      </c>
      <c r="AH45" s="456">
        <v>0.0</v>
      </c>
      <c r="AI45" s="456">
        <v>0.0</v>
      </c>
      <c r="AJ45" s="458">
        <v>0.0</v>
      </c>
      <c r="AK45" s="457">
        <v>0.0</v>
      </c>
      <c r="AL45" s="428"/>
      <c r="AM45" s="455">
        <v>45108.0</v>
      </c>
      <c r="AN45" s="456">
        <v>0.0</v>
      </c>
      <c r="AO45" s="456">
        <v>0.0</v>
      </c>
      <c r="AP45" s="456">
        <v>0.0</v>
      </c>
      <c r="AQ45" s="456">
        <v>0.0</v>
      </c>
      <c r="AR45" s="458">
        <v>0.0</v>
      </c>
      <c r="AS45" s="457">
        <v>0.0</v>
      </c>
      <c r="AT45" s="428"/>
      <c r="AU45" s="455">
        <v>45108.0</v>
      </c>
      <c r="AV45" s="456">
        <v>0.0</v>
      </c>
      <c r="AW45" s="456">
        <v>0.0</v>
      </c>
      <c r="AX45" s="456">
        <v>0.0</v>
      </c>
      <c r="AY45" s="456">
        <v>0.0</v>
      </c>
      <c r="AZ45" s="458">
        <v>0.0</v>
      </c>
      <c r="BA45" s="457">
        <v>0.0</v>
      </c>
      <c r="BB45" s="345"/>
      <c r="BC45" s="345"/>
      <c r="BD45" s="345"/>
      <c r="BE45" s="345"/>
    </row>
    <row r="46" ht="13.5" customHeight="1">
      <c r="A46" s="424">
        <f>'Membership Application List'!A275</f>
        <v>45337.83545</v>
      </c>
      <c r="B46" s="443" t="str">
        <f t="shared" si="6"/>
        <v>February</v>
      </c>
      <c r="C46" s="443">
        <f t="shared" si="7"/>
        <v>2024</v>
      </c>
      <c r="D46" s="426" t="str">
        <f>'Membership Application List'!E275</f>
        <v>Angelina Mendoza</v>
      </c>
      <c r="E46" s="426">
        <f>IF('Membership Application List'!J275 = "Food/Litter Donation", 0, IF('Membership Application List'!J275 = "$15 Donation, Discord Verification", IF('Membership Application List'!N275 = TRUE, 15, 0)))</f>
        <v>15</v>
      </c>
      <c r="F46" s="426">
        <f>if('Membership Application List'!K275=TRUE, 5,0)</f>
        <v>0</v>
      </c>
      <c r="G46" s="426">
        <f t="shared" si="8"/>
        <v>15</v>
      </c>
      <c r="H46" s="427" t="str">
        <f>'Membership Application List'!L275</f>
        <v>Venmo</v>
      </c>
      <c r="I46" s="428"/>
      <c r="J46" s="455">
        <v>45139.0</v>
      </c>
      <c r="K46" s="456">
        <v>165.0</v>
      </c>
      <c r="L46" s="456">
        <v>55.0</v>
      </c>
      <c r="M46" s="456">
        <v>110.0</v>
      </c>
      <c r="N46" s="456">
        <v>30.0</v>
      </c>
      <c r="O46" s="457">
        <v>0.0</v>
      </c>
      <c r="P46" s="414"/>
      <c r="Q46" s="414"/>
      <c r="R46" s="414"/>
      <c r="S46" s="445"/>
      <c r="T46" s="445"/>
      <c r="U46" s="445"/>
      <c r="V46" s="428"/>
      <c r="W46" s="455">
        <v>45139.0</v>
      </c>
      <c r="X46" s="456">
        <v>0.0</v>
      </c>
      <c r="Y46" s="456">
        <v>18.0</v>
      </c>
      <c r="Z46" s="456">
        <v>14.0</v>
      </c>
      <c r="AA46" s="456">
        <v>78.0</v>
      </c>
      <c r="AB46" s="458">
        <v>0.0</v>
      </c>
      <c r="AC46" s="457">
        <v>12.0</v>
      </c>
      <c r="AD46" s="428"/>
      <c r="AE46" s="455">
        <v>45139.0</v>
      </c>
      <c r="AF46" s="456">
        <v>0.0</v>
      </c>
      <c r="AG46" s="456">
        <v>0.0</v>
      </c>
      <c r="AH46" s="456">
        <v>7.0</v>
      </c>
      <c r="AI46" s="456">
        <v>0.0</v>
      </c>
      <c r="AJ46" s="458">
        <v>0.0</v>
      </c>
      <c r="AK46" s="457">
        <v>0.0</v>
      </c>
      <c r="AL46" s="428"/>
      <c r="AM46" s="455">
        <v>45139.0</v>
      </c>
      <c r="AN46" s="456">
        <v>0.0</v>
      </c>
      <c r="AO46" s="456">
        <v>50.0</v>
      </c>
      <c r="AP46" s="456">
        <v>19.0</v>
      </c>
      <c r="AQ46" s="456">
        <v>10.0</v>
      </c>
      <c r="AR46" s="458">
        <v>0.0</v>
      </c>
      <c r="AS46" s="457">
        <v>0.0</v>
      </c>
      <c r="AT46" s="428"/>
      <c r="AU46" s="455">
        <v>45139.0</v>
      </c>
      <c r="AV46" s="456">
        <v>0.0</v>
      </c>
      <c r="AW46" s="456">
        <v>0.0</v>
      </c>
      <c r="AX46" s="456">
        <v>0.0</v>
      </c>
      <c r="AY46" s="456">
        <v>0.0</v>
      </c>
      <c r="AZ46" s="458">
        <v>0.0</v>
      </c>
      <c r="BA46" s="457">
        <v>0.0</v>
      </c>
      <c r="BB46" s="345"/>
      <c r="BC46" s="345"/>
      <c r="BD46" s="345"/>
      <c r="BE46" s="345"/>
    </row>
    <row r="47" ht="13.5" customHeight="1">
      <c r="A47" s="436">
        <f>'Membership Application List'!A276</f>
        <v>45338.68656</v>
      </c>
      <c r="B47" s="437" t="str">
        <f t="shared" si="6"/>
        <v>February</v>
      </c>
      <c r="C47" s="437">
        <f t="shared" si="7"/>
        <v>2024</v>
      </c>
      <c r="D47" s="438" t="str">
        <f>'Membership Application List'!E276</f>
        <v>Jacob Sandoval</v>
      </c>
      <c r="E47" s="438">
        <f>IF('Membership Application List'!J276 = "Food/Litter Donation", 0, IF('Membership Application List'!J276 = "$15 Donation, Discord Verification", IF('Membership Application List'!N276 = TRUE, 15, 0)))</f>
        <v>15</v>
      </c>
      <c r="F47" s="438">
        <f>if('Membership Application List'!K276=TRUE, 5,0)</f>
        <v>0</v>
      </c>
      <c r="G47" s="438">
        <f t="shared" si="8"/>
        <v>15</v>
      </c>
      <c r="H47" s="439" t="str">
        <f>'Membership Application List'!L276</f>
        <v>CashApp</v>
      </c>
      <c r="I47" s="428"/>
      <c r="J47" s="455">
        <v>45170.0</v>
      </c>
      <c r="K47" s="456">
        <v>240.0</v>
      </c>
      <c r="L47" s="456">
        <v>195.0</v>
      </c>
      <c r="M47" s="456">
        <v>325.0</v>
      </c>
      <c r="N47" s="456">
        <v>45.0</v>
      </c>
      <c r="O47" s="457">
        <v>0.0</v>
      </c>
      <c r="P47" s="414"/>
      <c r="Q47" s="414"/>
      <c r="R47" s="414"/>
      <c r="S47" s="445"/>
      <c r="T47" s="445"/>
      <c r="U47" s="445"/>
      <c r="V47" s="428"/>
      <c r="W47" s="455">
        <v>45170.0</v>
      </c>
      <c r="X47" s="456">
        <v>0.0</v>
      </c>
      <c r="Y47" s="456">
        <v>0.0</v>
      </c>
      <c r="Z47" s="456">
        <v>0.0</v>
      </c>
      <c r="AA47" s="456">
        <v>0.0</v>
      </c>
      <c r="AB47" s="458">
        <v>0.0</v>
      </c>
      <c r="AC47" s="457">
        <v>0.0</v>
      </c>
      <c r="AD47" s="428"/>
      <c r="AE47" s="455">
        <v>45170.0</v>
      </c>
      <c r="AF47" s="456">
        <v>10.0</v>
      </c>
      <c r="AG47" s="456">
        <v>21.0</v>
      </c>
      <c r="AH47" s="456">
        <v>20.0</v>
      </c>
      <c r="AI47" s="456">
        <v>0.0</v>
      </c>
      <c r="AJ47" s="458">
        <v>0.0</v>
      </c>
      <c r="AK47" s="457">
        <v>0.0</v>
      </c>
      <c r="AL47" s="428"/>
      <c r="AM47" s="455">
        <v>45170.0</v>
      </c>
      <c r="AN47" s="456">
        <v>130.0</v>
      </c>
      <c r="AO47" s="456">
        <v>31.0</v>
      </c>
      <c r="AP47" s="456">
        <v>10.0</v>
      </c>
      <c r="AQ47" s="456">
        <v>0.0</v>
      </c>
      <c r="AR47" s="458">
        <v>0.0</v>
      </c>
      <c r="AS47" s="457">
        <v>0.0</v>
      </c>
      <c r="AT47" s="428"/>
      <c r="AU47" s="455">
        <v>45170.0</v>
      </c>
      <c r="AV47" s="456">
        <v>0.0</v>
      </c>
      <c r="AW47" s="456">
        <v>0.0</v>
      </c>
      <c r="AX47" s="456">
        <v>56.0</v>
      </c>
      <c r="AY47" s="456">
        <v>0.0</v>
      </c>
      <c r="AZ47" s="458">
        <v>0.0</v>
      </c>
      <c r="BA47" s="457">
        <v>0.0</v>
      </c>
      <c r="BB47" s="345"/>
      <c r="BC47" s="345"/>
      <c r="BD47" s="345"/>
      <c r="BE47" s="345"/>
    </row>
    <row r="48" ht="13.5" customHeight="1">
      <c r="A48" s="424">
        <f>'Membership Application List'!A277</f>
        <v>45338.68941</v>
      </c>
      <c r="B48" s="443" t="str">
        <f t="shared" si="6"/>
        <v>February</v>
      </c>
      <c r="C48" s="443">
        <f t="shared" si="7"/>
        <v>2024</v>
      </c>
      <c r="D48" s="426" t="str">
        <f>'Membership Application List'!E277</f>
        <v>Alexander Cusano </v>
      </c>
      <c r="E48" s="426">
        <f>IF('Membership Application List'!J277 = "Food/Litter Donation", 0, IF('Membership Application List'!J277 = "$15 Donation, Discord Verification", IF('Membership Application List'!N277 = TRUE, 15, 0)))</f>
        <v>15</v>
      </c>
      <c r="F48" s="426">
        <f>if('Membership Application List'!K277=TRUE, 5,0)</f>
        <v>0</v>
      </c>
      <c r="G48" s="426">
        <f t="shared" si="8"/>
        <v>15</v>
      </c>
      <c r="H48" s="427" t="str">
        <f>'Membership Application List'!L277</f>
        <v>Paypal</v>
      </c>
      <c r="I48" s="428"/>
      <c r="J48" s="455">
        <v>45200.0</v>
      </c>
      <c r="K48" s="456">
        <v>15.0</v>
      </c>
      <c r="L48" s="456">
        <v>15.0</v>
      </c>
      <c r="M48" s="456">
        <v>15.0</v>
      </c>
      <c r="N48" s="456">
        <v>0.0</v>
      </c>
      <c r="O48" s="457">
        <v>0.0</v>
      </c>
      <c r="P48" s="414"/>
      <c r="Q48" s="414"/>
      <c r="R48" s="414"/>
      <c r="S48" s="445"/>
      <c r="T48" s="445"/>
      <c r="U48" s="445"/>
      <c r="V48" s="428"/>
      <c r="W48" s="455">
        <v>45200.0</v>
      </c>
      <c r="X48" s="456">
        <v>47.0</v>
      </c>
      <c r="Y48" s="456">
        <v>28.0</v>
      </c>
      <c r="Z48" s="456">
        <v>220.0</v>
      </c>
      <c r="AA48" s="456">
        <v>43.0</v>
      </c>
      <c r="AB48" s="458">
        <v>0.0</v>
      </c>
      <c r="AC48" s="457">
        <v>0.0</v>
      </c>
      <c r="AD48" s="428"/>
      <c r="AE48" s="455">
        <v>45200.0</v>
      </c>
      <c r="AF48" s="456">
        <v>48.0</v>
      </c>
      <c r="AG48" s="456">
        <v>50.0</v>
      </c>
      <c r="AH48" s="456">
        <v>216.0</v>
      </c>
      <c r="AI48" s="456">
        <v>0.0</v>
      </c>
      <c r="AJ48" s="458">
        <v>0.0</v>
      </c>
      <c r="AK48" s="457">
        <v>0.0</v>
      </c>
      <c r="AL48" s="428"/>
      <c r="AM48" s="455">
        <v>45200.0</v>
      </c>
      <c r="AN48" s="456">
        <v>35.0</v>
      </c>
      <c r="AO48" s="456">
        <v>0.0</v>
      </c>
      <c r="AP48" s="456">
        <v>0.0</v>
      </c>
      <c r="AQ48" s="456">
        <v>0.0</v>
      </c>
      <c r="AR48" s="458">
        <v>0.0</v>
      </c>
      <c r="AS48" s="457">
        <v>0.0</v>
      </c>
      <c r="AT48" s="428"/>
      <c r="AU48" s="455">
        <v>45200.0</v>
      </c>
      <c r="AV48" s="456">
        <v>0.0</v>
      </c>
      <c r="AW48" s="456">
        <v>75.0</v>
      </c>
      <c r="AX48" s="456">
        <v>50.0</v>
      </c>
      <c r="AY48" s="456">
        <v>0.0</v>
      </c>
      <c r="AZ48" s="458">
        <v>0.0</v>
      </c>
      <c r="BA48" s="457">
        <v>0.0</v>
      </c>
      <c r="BB48" s="345"/>
      <c r="BC48" s="345"/>
      <c r="BD48" s="345"/>
      <c r="BE48" s="345"/>
    </row>
    <row r="49" ht="13.5" customHeight="1">
      <c r="A49" s="436">
        <f>'Membership Application List'!A278</f>
        <v>45338.84334</v>
      </c>
      <c r="B49" s="437" t="str">
        <f t="shared" si="6"/>
        <v>February</v>
      </c>
      <c r="C49" s="437">
        <f t="shared" si="7"/>
        <v>2024</v>
      </c>
      <c r="D49" s="438" t="str">
        <f>'Membership Application List'!E278</f>
        <v>Marco Paessler</v>
      </c>
      <c r="E49" s="438">
        <f>IF('Membership Application List'!J278 = "Food/Litter Donation", 0, IF('Membership Application List'!J278 = "$15 Donation, Discord Verification", IF('Membership Application List'!N278 = TRUE, 15, 0)))</f>
        <v>15</v>
      </c>
      <c r="F49" s="438">
        <f>if('Membership Application List'!K278=TRUE, 5,0)</f>
        <v>0</v>
      </c>
      <c r="G49" s="438">
        <f t="shared" si="8"/>
        <v>15</v>
      </c>
      <c r="H49" s="439" t="str">
        <f>'Membership Application List'!L278</f>
        <v>Zelle</v>
      </c>
      <c r="I49" s="428"/>
      <c r="J49" s="455">
        <v>45231.0</v>
      </c>
      <c r="K49" s="456">
        <v>0.0</v>
      </c>
      <c r="L49" s="456">
        <v>15.0</v>
      </c>
      <c r="M49" s="456">
        <v>0.0</v>
      </c>
      <c r="N49" s="456">
        <v>0.0</v>
      </c>
      <c r="O49" s="457">
        <v>0.0</v>
      </c>
      <c r="P49" s="414"/>
      <c r="Q49" s="414"/>
      <c r="R49" s="414"/>
      <c r="S49" s="445"/>
      <c r="T49" s="445"/>
      <c r="U49" s="445"/>
      <c r="V49" s="428"/>
      <c r="W49" s="455">
        <v>45231.0</v>
      </c>
      <c r="X49" s="456">
        <v>0.0</v>
      </c>
      <c r="Y49" s="456">
        <v>37.0</v>
      </c>
      <c r="Z49" s="456">
        <v>12.0</v>
      </c>
      <c r="AA49" s="456">
        <v>0.0</v>
      </c>
      <c r="AB49" s="458">
        <v>0.0</v>
      </c>
      <c r="AC49" s="457">
        <v>48.0</v>
      </c>
      <c r="AD49" s="428"/>
      <c r="AE49" s="455">
        <v>45231.0</v>
      </c>
      <c r="AF49" s="456">
        <v>20.0</v>
      </c>
      <c r="AG49" s="456">
        <v>15.0</v>
      </c>
      <c r="AH49" s="456">
        <v>153.0</v>
      </c>
      <c r="AI49" s="456">
        <v>114.0</v>
      </c>
      <c r="AJ49" s="458">
        <v>0.0</v>
      </c>
      <c r="AK49" s="457">
        <v>0.0</v>
      </c>
      <c r="AL49" s="428"/>
      <c r="AM49" s="455">
        <v>45231.0</v>
      </c>
      <c r="AN49" s="456">
        <v>0.0</v>
      </c>
      <c r="AO49" s="456">
        <v>22.0</v>
      </c>
      <c r="AP49" s="456">
        <v>0.0</v>
      </c>
      <c r="AQ49" s="456">
        <v>0.0</v>
      </c>
      <c r="AR49" s="458">
        <v>0.0</v>
      </c>
      <c r="AS49" s="457">
        <v>0.0</v>
      </c>
      <c r="AT49" s="428"/>
      <c r="AU49" s="455">
        <v>45231.0</v>
      </c>
      <c r="AV49" s="456">
        <v>0.0</v>
      </c>
      <c r="AW49" s="456">
        <v>0.0</v>
      </c>
      <c r="AX49" s="456">
        <v>0.0</v>
      </c>
      <c r="AY49" s="456">
        <v>0.0</v>
      </c>
      <c r="AZ49" s="458">
        <v>0.0</v>
      </c>
      <c r="BA49" s="457">
        <v>0.0</v>
      </c>
      <c r="BB49" s="345"/>
      <c r="BC49" s="345"/>
      <c r="BD49" s="345"/>
      <c r="BE49" s="345"/>
    </row>
    <row r="50" ht="13.5" customHeight="1">
      <c r="A50" s="424">
        <f>'Membership Application List'!A279</f>
        <v>45339.02397</v>
      </c>
      <c r="B50" s="443" t="str">
        <f t="shared" si="6"/>
        <v>February</v>
      </c>
      <c r="C50" s="443">
        <f t="shared" si="7"/>
        <v>2024</v>
      </c>
      <c r="D50" s="426" t="str">
        <f>'Membership Application List'!E279</f>
        <v>Annabelle Delpin</v>
      </c>
      <c r="E50" s="426">
        <f>IF('Membership Application List'!J279 = "Food/Litter Donation", 0, IF('Membership Application List'!J279 = "$15 Donation, Discord Verification", IF('Membership Application List'!N279 = TRUE, 15, 0)))</f>
        <v>15</v>
      </c>
      <c r="F50" s="426">
        <f>if('Membership Application List'!K279=TRUE, 5,0)</f>
        <v>0</v>
      </c>
      <c r="G50" s="426">
        <f t="shared" si="8"/>
        <v>15</v>
      </c>
      <c r="H50" s="427" t="str">
        <f>'Membership Application List'!L279</f>
        <v>Paypal</v>
      </c>
      <c r="I50" s="428"/>
      <c r="J50" s="455">
        <v>45261.0</v>
      </c>
      <c r="K50" s="456">
        <v>0.0</v>
      </c>
      <c r="L50" s="456">
        <v>15.0</v>
      </c>
      <c r="M50" s="456">
        <v>0.0</v>
      </c>
      <c r="N50" s="456">
        <v>0.0</v>
      </c>
      <c r="O50" s="457">
        <v>0.0</v>
      </c>
      <c r="P50" s="414"/>
      <c r="Q50" s="414"/>
      <c r="R50" s="414"/>
      <c r="S50" s="445"/>
      <c r="T50" s="445"/>
      <c r="U50" s="445"/>
      <c r="V50" s="428"/>
      <c r="W50" s="455">
        <v>45261.0</v>
      </c>
      <c r="X50" s="456">
        <v>0.0</v>
      </c>
      <c r="Y50" s="456">
        <v>0.0</v>
      </c>
      <c r="Z50" s="456">
        <v>0.0</v>
      </c>
      <c r="AA50" s="456">
        <v>0.0</v>
      </c>
      <c r="AB50" s="458">
        <v>0.0</v>
      </c>
      <c r="AC50" s="457">
        <v>0.0</v>
      </c>
      <c r="AD50" s="428"/>
      <c r="AE50" s="455">
        <v>45261.0</v>
      </c>
      <c r="AF50" s="456">
        <v>0.0</v>
      </c>
      <c r="AG50" s="456">
        <v>0.0</v>
      </c>
      <c r="AH50" s="456">
        <v>0.0</v>
      </c>
      <c r="AI50" s="456">
        <v>0.0</v>
      </c>
      <c r="AJ50" s="458">
        <v>0.0</v>
      </c>
      <c r="AK50" s="457">
        <v>0.0</v>
      </c>
      <c r="AL50" s="428"/>
      <c r="AM50" s="455">
        <v>45261.0</v>
      </c>
      <c r="AN50" s="456">
        <v>0.0</v>
      </c>
      <c r="AO50" s="456">
        <v>0.0</v>
      </c>
      <c r="AP50" s="456">
        <v>0.0</v>
      </c>
      <c r="AQ50" s="456">
        <v>0.0</v>
      </c>
      <c r="AR50" s="458">
        <v>0.0</v>
      </c>
      <c r="AS50" s="457">
        <v>0.0</v>
      </c>
      <c r="AT50" s="428"/>
      <c r="AU50" s="455">
        <v>45261.0</v>
      </c>
      <c r="AV50" s="456">
        <v>0.0</v>
      </c>
      <c r="AW50" s="456">
        <v>0.0</v>
      </c>
      <c r="AX50" s="456">
        <v>0.0</v>
      </c>
      <c r="AY50" s="456">
        <v>0.0</v>
      </c>
      <c r="AZ50" s="458">
        <v>0.0</v>
      </c>
      <c r="BA50" s="457">
        <v>0.0</v>
      </c>
      <c r="BB50" s="345"/>
      <c r="BC50" s="345"/>
      <c r="BD50" s="345"/>
      <c r="BE50" s="345"/>
    </row>
    <row r="51" ht="13.5" customHeight="1">
      <c r="A51" s="436">
        <f>'Membership Application List'!A280</f>
        <v>45339.14365</v>
      </c>
      <c r="B51" s="437" t="str">
        <f t="shared" si="6"/>
        <v>February</v>
      </c>
      <c r="C51" s="437">
        <f t="shared" si="7"/>
        <v>2024</v>
      </c>
      <c r="D51" s="438" t="str">
        <f>'Membership Application List'!E280</f>
        <v>austinb</v>
      </c>
      <c r="E51" s="438">
        <f>IF('Membership Application List'!J280 = "Food/Litter Donation", 0, IF('Membership Application List'!J280 = "$15 Donation, Discord Verification", IF('Membership Application List'!N280 = TRUE, 15, 0)))</f>
        <v>0</v>
      </c>
      <c r="F51" s="438">
        <f>if('Membership Application List'!K280=TRUE, 5,0)</f>
        <v>0</v>
      </c>
      <c r="G51" s="438">
        <f t="shared" si="8"/>
        <v>0</v>
      </c>
      <c r="H51" s="439" t="str">
        <f>'Membership Application List'!L280</f>
        <v>Paypal</v>
      </c>
      <c r="I51" s="407" t="s">
        <v>49</v>
      </c>
      <c r="J51" s="463">
        <v>45292.0</v>
      </c>
      <c r="K51" s="464">
        <f t="shared" ref="K51:O51" si="9">SUMIFS($G:$G, $H:$H, K$2, $B:$B, IF($J51&lt;&gt;"", TEXT($J51, "MMMM"), ""), $C:$C, YEAR($J51))</f>
        <v>120</v>
      </c>
      <c r="L51" s="464">
        <f t="shared" si="9"/>
        <v>90</v>
      </c>
      <c r="M51" s="464">
        <f t="shared" si="9"/>
        <v>170</v>
      </c>
      <c r="N51" s="464">
        <f t="shared" si="9"/>
        <v>25</v>
      </c>
      <c r="O51" s="465">
        <f t="shared" si="9"/>
        <v>0</v>
      </c>
      <c r="P51" s="414"/>
      <c r="Q51" s="414"/>
      <c r="R51" s="414"/>
      <c r="S51" s="445"/>
      <c r="T51" s="445"/>
      <c r="U51" s="445"/>
      <c r="V51" s="407" t="s">
        <v>49</v>
      </c>
      <c r="W51" s="463">
        <v>45292.0</v>
      </c>
      <c r="X51" s="464">
        <f>SUMIFS(Income!$G:$G,Income!$H:$H, X$2,Income!$F:$F, $V$1, Income!$B:$B, IF($W51&lt;&gt;"", TEXT($W51, "MMMM"), ""), Income!$C:$C, YEAR($W51))</f>
        <v>3</v>
      </c>
      <c r="Y51" s="464">
        <f>SUMIFS(Income!$G:$G,Income!$H:$H, Y$2,Income!$F:$F, $V$1, Income!$B:$B, IF($W51&lt;&gt;"", TEXT($W51, "MMMM"), ""), Income!$C:$C, YEAR($W51))</f>
        <v>10</v>
      </c>
      <c r="Z51" s="464">
        <f>SUMIFS(Income!$G:$G,Income!$H:$H, Z$2,Income!$F:$F, $V$1, Income!$B:$B, IF($W51&lt;&gt;"", TEXT($W51, "MMMM"), ""), Income!$C:$C, YEAR($W51))</f>
        <v>7</v>
      </c>
      <c r="AA51" s="464">
        <f>SUMIFS(Income!$G:$G,Income!$H:$H, AA$2,Income!$F:$F, $V$1, Income!$B:$B, IF($W51&lt;&gt;"", TEXT($W51, "MMMM"), ""), Income!$C:$C, YEAR($W51))</f>
        <v>70</v>
      </c>
      <c r="AB51" s="466">
        <v>0.0</v>
      </c>
      <c r="AC51" s="467">
        <f>SUMIFS(Income!$G:$G,Income!$H:$H, AC$2,Income!$F:$F, $V$1, Income!$B:$B, IF($W51&lt;&gt;"", TEXT($W51, "MMMM"), ""), Income!$C:$C, YEAR($W51))</f>
        <v>0</v>
      </c>
      <c r="AD51" s="407" t="s">
        <v>49</v>
      </c>
      <c r="AE51" s="463">
        <v>45292.0</v>
      </c>
      <c r="AF51" s="464">
        <f>SUMIFS(Income!$G:$G,Income!$H:$H, AF$2,Income!$F:$F, $AD$1, Income!$B:$B, IF($AE51&lt;&gt;"", TEXT($AE51, "MMMM"), ""), Income!$C:$C, YEAR($AE51))</f>
        <v>4.78</v>
      </c>
      <c r="AG51" s="464">
        <f>SUMIFS(Income!$G:$G,Income!$H:$H, AG$2,Income!$F:$F, $AD$1, Income!$B:$B, IF($AE51&lt;&gt;"", TEXT($AE51, "MMMM"), ""), Income!$C:$C, YEAR($AE51))</f>
        <v>0</v>
      </c>
      <c r="AH51" s="464">
        <f>SUMIFS(Income!$G:$G,Income!$H:$H, AH$2,Income!$F:$F, $AD$1, Income!$B:$B, IF($AE51&lt;&gt;"", TEXT($AE51, "MMMM"), ""), Income!$C:$C, YEAR($AE51))</f>
        <v>0</v>
      </c>
      <c r="AI51" s="464">
        <f>SUMIFS(Income!$G:$G,Income!$H:$H, AI$2,Income!$F:$F, $AD$1, Income!$B:$B, IF($AE51&lt;&gt;"", TEXT($AE51, "MMMM"), ""), Income!$C:$C, YEAR($AE51))</f>
        <v>0</v>
      </c>
      <c r="AJ51" s="464">
        <f>SUMIFS(Income!$G:$G,Income!$H:$H, AJ$2,Income!$F:$F, $AD$1, Income!$B:$B, IF($AE51&lt;&gt;"", TEXT($AE51, "MMMM"), ""), Income!$C:$C, YEAR($AE51))</f>
        <v>0</v>
      </c>
      <c r="AK51" s="467">
        <f>SUMIFS(Income!$G:$G,Income!$H:$H, AK$2,Income!$F:$F, $AD$1, Income!$B:$B, IF($AE51&lt;&gt;"", TEXT($AE51, "MMMM"), ""), Income!$C:$C, YEAR($AE51))</f>
        <v>0</v>
      </c>
      <c r="AL51" s="407" t="s">
        <v>49</v>
      </c>
      <c r="AM51" s="463">
        <v>45292.0</v>
      </c>
      <c r="AN51" s="464">
        <f>SUMIFS(Income!$G:$G,Income!$H:$H, AN$2,Income!$F:$F, $AL$1, Income!$B:$B, IF($AM51&lt;&gt;"", TEXT($AM51, "MMMM"), ""), Income!$C:$C, YEAR($AM51))+SUMIFS($T:$T, $U:$U,AN$2,$Q:$Q,IF($AM51&lt;&gt;"", TEXT($AM51, "MMMM"), ""),$R:$R,YEAR($AM51))</f>
        <v>0</v>
      </c>
      <c r="AO51" s="464">
        <f>SUMIFS(Income!$G:$G,Income!$H:$H, AO$2,Income!$F:$F, $AL$1, Income!$B:$B, IF($AM51&lt;&gt;"", TEXT($AM51, "MMMM"), ""), Income!$C:$C, YEAR($AM51))+SUMIFS($T:$T, $U:$U,AO$2,$Q:$Q,IF($AM51&lt;&gt;"", TEXT($AM51, "MMMM"), ""),$R:$R,YEAR($AM51))</f>
        <v>25</v>
      </c>
      <c r="AP51" s="464">
        <f>SUMIFS(Income!$G:$G,Income!$H:$H, AP$2,Income!$F:$F, $AL$1, Income!$B:$B, IF($AM51&lt;&gt;"", TEXT($AM51, "MMMM"), ""), Income!$C:$C, YEAR($AM51))+SUMIFS($T:$T, $U:$U,AP$2,$Q:$Q,IF($AM51&lt;&gt;"", TEXT($AM51, "MMMM"), ""),$R:$R,YEAR($AM51))</f>
        <v>68</v>
      </c>
      <c r="AQ51" s="464">
        <f>SUMIFS(Income!$G:$G,Income!$H:$H, AQ$2,Income!$F:$F, $AL$1, Income!$B:$B, IF($AM51&lt;&gt;"", TEXT($AM51, "MMMM"), ""), Income!$C:$C, YEAR($AM51))+SUMIFS($T:$T, $U:$U,AQ$2,$Q:$Q,IF($AM51&lt;&gt;"", TEXT($AM51, "MMMM"), ""),$R:$R,YEAR($AM51))</f>
        <v>5</v>
      </c>
      <c r="AR51" s="464">
        <f>SUMIFS(Income!$G:$G,Income!$H:$H, AR$2,Income!$F:$F, $AL$1, Income!$B:$B, IF($AM51&lt;&gt;"", TEXT($AM51, "MMMM"), ""), Income!$C:$C, YEAR($AM51))+SUMIFS($T:$T, $U:$U,AR$2,$Q:$Q,IF($AM51&lt;&gt;"", TEXT($AM51, "MMMM"), ""),$R:$R,YEAR($AM51))</f>
        <v>0</v>
      </c>
      <c r="AS51" s="467">
        <f>SUMIFS(Income!$G:$G,Income!$H:$H, AS$2,Income!$F:$F, $AL$1, Income!$B:$B, IF($AM51&lt;&gt;"", TEXT($AM51, "MMMM"), ""), Income!$C:$C, YEAR($AM51))+SUMIFS($T:$T, $U:$U,AS$2,$Q:$Q,IF($AM51&lt;&gt;"", TEXT($AM51, "MMMM"), ""),$R:$R,YEAR($AM51))</f>
        <v>0</v>
      </c>
      <c r="AT51" s="407" t="s">
        <v>49</v>
      </c>
      <c r="AU51" s="463">
        <v>45292.0</v>
      </c>
      <c r="AV51" s="464">
        <f>SUMIFS(Income!$G:$G,Income!$H:$H, AV$2,Income!$F:$F, $AT$1, Income!$B:$B, IF($AU51&lt;&gt;"", TEXT($AU51, "MMMM"), ""), Income!$C:$C, YEAR($AU51))</f>
        <v>0</v>
      </c>
      <c r="AW51" s="464">
        <f>SUMIFS(Income!$G:$G,Income!$H:$H, AW$2,Income!$F:$F, $AT$1, Income!$B:$B, IF($AU51&lt;&gt;"", TEXT($AU51, "MMMM"), ""), Income!$C:$C, YEAR($AU51))</f>
        <v>0</v>
      </c>
      <c r="AX51" s="464">
        <f>SUMIFS(Income!$G:$G,Income!$H:$H, AX$2,Income!$F:$F, $AT$1, Income!$B:$B, IF($AU51&lt;&gt;"", TEXT($AU51, "MMMM"), ""), Income!$C:$C, YEAR($AU51))</f>
        <v>0</v>
      </c>
      <c r="AY51" s="464">
        <f>SUMIFS(Income!$G:$G,Income!$H:$H, AY$2,Income!$F:$F, $AT$1, Income!$B:$B, IF($AU51&lt;&gt;"", TEXT($AU51, "MMMM"), ""), Income!$C:$C, YEAR($AU51))</f>
        <v>0</v>
      </c>
      <c r="AZ51" s="464">
        <f>SUMIFS(Income!$G:$G,Income!$H:$H, AZ$2,Income!$F:$F, $AT$1, Income!$B:$B, IF($AU51&lt;&gt;"", TEXT($AU51, "MMMM"), ""), Income!$C:$C, YEAR($AU51))</f>
        <v>0</v>
      </c>
      <c r="BA51" s="468">
        <f>SUMIFS(Income!$G:$G,Income!$H:$H, BA$2,Income!$F:$F, $AT$1, Income!$B:$B, IF($AU51&lt;&gt;"", TEXT($AU51, "MMMM"), ""), Income!$C:$C, YEAR($AU51))</f>
        <v>0</v>
      </c>
      <c r="BB51" s="345"/>
      <c r="BC51" s="345"/>
      <c r="BD51" s="345"/>
      <c r="BE51" s="345"/>
    </row>
    <row r="52" ht="13.5" customHeight="1">
      <c r="A52" s="424">
        <f>'Membership Application List'!A281</f>
        <v>45339.16888</v>
      </c>
      <c r="B52" s="443" t="str">
        <f t="shared" si="6"/>
        <v>February</v>
      </c>
      <c r="C52" s="443">
        <f t="shared" si="7"/>
        <v>2024</v>
      </c>
      <c r="D52" s="426" t="str">
        <f>'Membership Application List'!E281</f>
        <v>austinb</v>
      </c>
      <c r="E52" s="426">
        <f>IF('Membership Application List'!J281 = "Food/Litter Donation", 0, IF('Membership Application List'!J281 = "$15 Donation, Discord Verification", IF('Membership Application List'!N281 = TRUE, 15, 0)))</f>
        <v>0</v>
      </c>
      <c r="F52" s="426">
        <f>if('Membership Application List'!K281=TRUE, 5,0)</f>
        <v>5</v>
      </c>
      <c r="G52" s="426">
        <f t="shared" si="8"/>
        <v>0</v>
      </c>
      <c r="H52" s="427" t="str">
        <f>'Membership Application List'!L281</f>
        <v>Cash</v>
      </c>
      <c r="I52" s="428"/>
      <c r="J52" s="463">
        <v>45323.0</v>
      </c>
      <c r="K52" s="464">
        <f t="shared" ref="K52:O52" si="10">SUMIFS($G:$G, $H:$H, K$2, $B:$B, IF($J52&lt;&gt;"", TEXT($J52, "MMMM"), ""), $C:$C, YEAR($J52))</f>
        <v>90</v>
      </c>
      <c r="L52" s="464">
        <f t="shared" si="10"/>
        <v>100</v>
      </c>
      <c r="M52" s="464">
        <f t="shared" si="10"/>
        <v>90</v>
      </c>
      <c r="N52" s="464">
        <f t="shared" si="10"/>
        <v>0</v>
      </c>
      <c r="O52" s="465">
        <f t="shared" si="10"/>
        <v>15</v>
      </c>
      <c r="P52" s="414"/>
      <c r="Q52" s="414"/>
      <c r="R52" s="414"/>
      <c r="S52" s="445"/>
      <c r="T52" s="445"/>
      <c r="U52" s="445"/>
      <c r="V52" s="428"/>
      <c r="W52" s="463">
        <v>45323.0</v>
      </c>
      <c r="X52" s="464">
        <f>SUMIFS(Income!$G:$G,Income!$H:$H, X$2,Income!$F:$F, $V$1, Income!$B:$B, IF($W52&lt;&gt;"", TEXT($W52, "MMMM"), ""), Income!$C:$C, YEAR($W52))</f>
        <v>0</v>
      </c>
      <c r="Y52" s="464">
        <f>SUMIFS(Income!$G:$G,Income!$H:$H, Y$2,Income!$F:$F, $V$1, Income!$B:$B, IF($W52&lt;&gt;"", TEXT($W52, "MMMM"), ""), Income!$C:$C, YEAR($W52))</f>
        <v>12</v>
      </c>
      <c r="Z52" s="464">
        <f>SUMIFS(Income!$G:$G,Income!$H:$H, Z$2,Income!$F:$F, $V$1, Income!$B:$B, IF($W52&lt;&gt;"", TEXT($W52, "MMMM"), ""), Income!$C:$C, YEAR($W52))</f>
        <v>23</v>
      </c>
      <c r="AA52" s="464">
        <f>SUMIFS(Income!$G:$G,Income!$H:$H, AA$2,Income!$F:$F, $V$1, Income!$B:$B, IF($W52&lt;&gt;"", TEXT($W52, "MMMM"), ""), Income!$C:$C, YEAR($W52))</f>
        <v>0</v>
      </c>
      <c r="AB52" s="464">
        <f>SUMIFS(Income!$G:$G,Income!$H:$H, AB$2,Income!$F:$F, $V$1, Income!$B:$B, IF($W52&lt;&gt;"", TEXT($W52, "MMMM"), ""), Income!$C:$C, YEAR($W52))</f>
        <v>0</v>
      </c>
      <c r="AC52" s="467">
        <f>SUMIFS(Income!$G:$G,Income!$H:$H, AC$2,Income!$F:$F, $V$1, Income!$B:$B, IF($W52&lt;&gt;"", TEXT($W52, "MMMM"), ""), Income!$C:$C, YEAR($W52))</f>
        <v>0</v>
      </c>
      <c r="AD52" s="428"/>
      <c r="AE52" s="463">
        <v>45323.0</v>
      </c>
      <c r="AF52" s="464">
        <f>SUMIFS(Income!$G:$G,Income!$H:$H, AF$2,Income!$F:$F, $AD$1, Income!$B:$B, IF($AE52&lt;&gt;"", TEXT($AE52, "MMMM"), ""), Income!$C:$C, YEAR($AE52))</f>
        <v>0</v>
      </c>
      <c r="AG52" s="464">
        <f>SUMIFS(Income!$G:$G,Income!$H:$H, AG$2,Income!$F:$F, $AD$1, Income!$B:$B, IF($AE52&lt;&gt;"", TEXT($AE52, "MMMM"), ""), Income!$C:$C, YEAR($AE52))</f>
        <v>0</v>
      </c>
      <c r="AH52" s="464">
        <f>SUMIFS(Income!$G:$G,Income!$H:$H, AH$2,Income!$F:$F, $AD$1, Income!$B:$B, IF($AE52&lt;&gt;"", TEXT($AE52, "MMMM"), ""), Income!$C:$C, YEAR($AE52))</f>
        <v>0</v>
      </c>
      <c r="AI52" s="464">
        <f>SUMIFS(Income!$G:$G,Income!$H:$H, AI$2,Income!$F:$F, $AD$1, Income!$B:$B, IF($AE52&lt;&gt;"", TEXT($AE52, "MMMM"), ""), Income!$C:$C, YEAR($AE52))</f>
        <v>0</v>
      </c>
      <c r="AJ52" s="464">
        <f>SUMIFS(Income!$G:$G,Income!$H:$H, AJ$2,Income!$F:$F, $AD$1, Income!$B:$B, IF($AE52&lt;&gt;"", TEXT($AE52, "MMMM"), ""), Income!$C:$C, YEAR($AE52))</f>
        <v>0</v>
      </c>
      <c r="AK52" s="467">
        <f>SUMIFS(Income!$G:$G,Income!$H:$H, AK$2,Income!$F:$F, $AD$1, Income!$B:$B, IF($AE52&lt;&gt;"", TEXT($AE52, "MMMM"), ""), Income!$C:$C, YEAR($AE52))</f>
        <v>0</v>
      </c>
      <c r="AL52" s="428"/>
      <c r="AM52" s="463">
        <v>45323.0</v>
      </c>
      <c r="AN52" s="464">
        <f>SUMIFS(Income!$G:$G,Income!$H:$H, AN$2,Income!$F:$F, $AL$1, Income!$B:$B, IF($AM52&lt;&gt;"", TEXT($AM52, "MMMM"), ""), Income!$C:$C, YEAR($AM52))+SUMIFS($T:$T, $U:$U,AN$2,$Q:$Q,IF($AM52&lt;&gt;"", TEXT($AM52, "MMMM"), ""),$R:$R,YEAR($AM52))</f>
        <v>15</v>
      </c>
      <c r="AO52" s="464">
        <f>SUMIFS(Income!$G:$G,Income!$H:$H, AO$2,Income!$F:$F, $AL$1, Income!$B:$B, IF($AM52&lt;&gt;"", TEXT($AM52, "MMMM"), ""), Income!$C:$C, YEAR($AM52))+SUMIFS($T:$T, $U:$U,AO$2,$Q:$Q,IF($AM52&lt;&gt;"", TEXT($AM52, "MMMM"), ""),$R:$R,YEAR($AM52))</f>
        <v>25</v>
      </c>
      <c r="AP52" s="464">
        <f>SUMIFS(Income!$G:$G,Income!$H:$H, AP$2,Income!$F:$F, $AL$1, Income!$B:$B, IF($AM52&lt;&gt;"", TEXT($AM52, "MMMM"), ""), Income!$C:$C, YEAR($AM52))+SUMIFS($T:$T, $U:$U,AP$2,$Q:$Q,IF($AM52&lt;&gt;"", TEXT($AM52, "MMMM"), ""),$R:$R,YEAR($AM52))</f>
        <v>0</v>
      </c>
      <c r="AQ52" s="464">
        <f>SUMIFS(Income!$G:$G,Income!$H:$H, AQ$2,Income!$F:$F, $AL$1, Income!$B:$B, IF($AM52&lt;&gt;"", TEXT($AM52, "MMMM"), ""), Income!$C:$C, YEAR($AM52))+SUMIFS($T:$T, $U:$U,AQ$2,$Q:$Q,IF($AM52&lt;&gt;"", TEXT($AM52, "MMMM"), ""),$R:$R,YEAR($AM52))</f>
        <v>0</v>
      </c>
      <c r="AR52" s="464">
        <f>SUMIFS(Income!$G:$G,Income!$H:$H, AR$2,Income!$F:$F, $AL$1, Income!$B:$B, IF($AM52&lt;&gt;"", TEXT($AM52, "MMMM"), ""), Income!$C:$C, YEAR($AM52))+SUMIFS($T:$T, $U:$U,AR$2,$Q:$Q,IF($AM52&lt;&gt;"", TEXT($AM52, "MMMM"), ""),$R:$R,YEAR($AM52))</f>
        <v>0</v>
      </c>
      <c r="AS52" s="467">
        <f>SUMIFS(Income!$G:$G,Income!$H:$H, AS$2,Income!$F:$F, $AL$1, Income!$B:$B, IF($AM52&lt;&gt;"", TEXT($AM52, "MMMM"), ""), Income!$C:$C, YEAR($AM52))+SUMIFS($T:$T, $U:$U,AS$2,$Q:$Q,IF($AM52&lt;&gt;"", TEXT($AM52, "MMMM"), ""),$R:$R,YEAR($AM52))</f>
        <v>0</v>
      </c>
      <c r="AT52" s="428"/>
      <c r="AU52" s="463">
        <v>45323.0</v>
      </c>
      <c r="AV52" s="464">
        <f>SUMIFS(Income!$G:$G,Income!$H:$H, AV$2,Income!$F:$F, $AT$1, Income!$B:$B, IF($AU52&lt;&gt;"", TEXT($AU52, "MMMM"), ""), Income!$C:$C, YEAR($AU52))</f>
        <v>0</v>
      </c>
      <c r="AW52" s="464">
        <f>SUMIFS(Income!$G:$G,Income!$H:$H, AW$2,Income!$F:$F, $AT$1, Income!$B:$B, IF($AU52&lt;&gt;"", TEXT($AU52, "MMMM"), ""), Income!$C:$C, YEAR($AU52))</f>
        <v>0</v>
      </c>
      <c r="AX52" s="464">
        <f>SUMIFS(Income!$G:$G,Income!$H:$H, AX$2,Income!$F:$F, $AT$1, Income!$B:$B, IF($AU52&lt;&gt;"", TEXT($AU52, "MMMM"), ""), Income!$C:$C, YEAR($AU52))</f>
        <v>0</v>
      </c>
      <c r="AY52" s="464">
        <f>SUMIFS(Income!$G:$G,Income!$H:$H, AY$2,Income!$F:$F, $AT$1, Income!$B:$B, IF($AU52&lt;&gt;"", TEXT($AU52, "MMMM"), ""), Income!$C:$C, YEAR($AU52))</f>
        <v>0</v>
      </c>
      <c r="AZ52" s="464">
        <f>SUMIFS(Income!$G:$G,Income!$H:$H, AZ$2,Income!$F:$F, $AT$1, Income!$B:$B, IF($AU52&lt;&gt;"", TEXT($AU52, "MMMM"), ""), Income!$C:$C, YEAR($AU52))</f>
        <v>0</v>
      </c>
      <c r="BA52" s="468">
        <f>SUMIFS(Income!$G:$G,Income!$H:$H, BA$2,Income!$F:$F, $AT$1, Income!$B:$B, IF($AU52&lt;&gt;"", TEXT($AU52, "MMMM"), ""), Income!$C:$C, YEAR($AU52))</f>
        <v>0</v>
      </c>
      <c r="BB52" s="345"/>
      <c r="BC52" s="345"/>
      <c r="BD52" s="345"/>
      <c r="BE52" s="345"/>
    </row>
    <row r="53" ht="13.5" customHeight="1">
      <c r="A53" s="461">
        <v>45298.0</v>
      </c>
      <c r="B53" s="437" t="str">
        <f t="shared" si="6"/>
        <v>January</v>
      </c>
      <c r="C53" s="437">
        <f t="shared" si="7"/>
        <v>2024</v>
      </c>
      <c r="D53" s="438" t="str">
        <f>'Membership Application List'!E282</f>
        <v>Derek Fuentes</v>
      </c>
      <c r="E53" s="438">
        <f>IF('Membership Application List'!J282 = "Food/Litter Donation", 0, IF('Membership Application List'!J282 = "$15 Donation, Discord Verification", IF('Membership Application List'!N282 = TRUE, 15, 0)))</f>
        <v>15</v>
      </c>
      <c r="F53" s="438">
        <f>if('Membership Application List'!K282=TRUE, 5,0)</f>
        <v>0</v>
      </c>
      <c r="G53" s="438">
        <f t="shared" si="8"/>
        <v>15</v>
      </c>
      <c r="H53" s="439" t="str">
        <f>'Membership Application List'!L282</f>
        <v>Paypal</v>
      </c>
      <c r="I53" s="428"/>
      <c r="J53" s="463">
        <v>45352.0</v>
      </c>
      <c r="K53" s="464">
        <f t="shared" ref="K53:O53" si="11">SUMIFS($G:$G, $H:$H, K$2, $B:$B, IF($J53&lt;&gt;"", TEXT($J53, "MMMM"), ""), $C:$C, YEAR($J53))</f>
        <v>15</v>
      </c>
      <c r="L53" s="464">
        <f t="shared" si="11"/>
        <v>15</v>
      </c>
      <c r="M53" s="464">
        <f t="shared" si="11"/>
        <v>0</v>
      </c>
      <c r="N53" s="464">
        <f t="shared" si="11"/>
        <v>0</v>
      </c>
      <c r="O53" s="465">
        <f t="shared" si="11"/>
        <v>0</v>
      </c>
      <c r="P53" s="414"/>
      <c r="Q53" s="414"/>
      <c r="R53" s="414"/>
      <c r="S53" s="445"/>
      <c r="T53" s="445"/>
      <c r="U53" s="445"/>
      <c r="V53" s="428"/>
      <c r="W53" s="463">
        <v>45352.0</v>
      </c>
      <c r="X53" s="464">
        <f>SUMIFS(Income!$G:$G,Income!$H:$H, X$2,Income!$F:$F, $V$1, Income!$B:$B, IF($W53&lt;&gt;"", TEXT($W53, "MMMM"), ""), Income!$C:$C, YEAR($W53))</f>
        <v>0</v>
      </c>
      <c r="Y53" s="464">
        <f>SUMIFS(Income!$G:$G,Income!$H:$H, Y$2,Income!$F:$F, $V$1, Income!$B:$B, IF($W53&lt;&gt;"", TEXT($W53, "MMMM"), ""), Income!$C:$C, YEAR($W53))</f>
        <v>44</v>
      </c>
      <c r="Z53" s="464">
        <f>SUMIFS(Income!$G:$G,Income!$H:$H, Z$2,Income!$F:$F, $V$1, Income!$B:$B, IF($W53&lt;&gt;"", TEXT($W53, "MMMM"), ""), Income!$C:$C, YEAR($W53))</f>
        <v>7</v>
      </c>
      <c r="AA53" s="464">
        <f>SUMIFS(Income!$G:$G,Income!$H:$H, AA$2,Income!$F:$F, $V$1, Income!$B:$B, IF($W53&lt;&gt;"", TEXT($W53, "MMMM"), ""), Income!$C:$C, YEAR($W53))</f>
        <v>7</v>
      </c>
      <c r="AB53" s="464">
        <f>SUMIFS(Income!$G:$G,Income!$H:$H, AB$2,Income!$F:$F, $V$1, Income!$B:$B, IF($W53&lt;&gt;"", TEXT($W53, "MMMM"), ""), Income!$C:$C, YEAR($W53))</f>
        <v>0</v>
      </c>
      <c r="AC53" s="467">
        <f>SUMIFS(Income!$G:$G,Income!$H:$H, AC$2,Income!$F:$F, $V$1, Income!$B:$B, IF($W53&lt;&gt;"", TEXT($W53, "MMMM"), ""), Income!$C:$C, YEAR($W53))</f>
        <v>0</v>
      </c>
      <c r="AD53" s="428"/>
      <c r="AE53" s="463">
        <v>45352.0</v>
      </c>
      <c r="AF53" s="464">
        <f>SUMIFS(Income!$G:$G,Income!$H:$H, AF$2,Income!$F:$F, $AD$1, Income!$B:$B, IF($AE53&lt;&gt;"", TEXT($AE53, "MMMM"), ""), Income!$C:$C, YEAR($AE53))</f>
        <v>0</v>
      </c>
      <c r="AG53" s="464">
        <f>SUMIFS(Income!$G:$G,Income!$H:$H, AG$2,Income!$F:$F, $AD$1, Income!$B:$B, IF($AE53&lt;&gt;"", TEXT($AE53, "MMMM"), ""), Income!$C:$C, YEAR($AE53))</f>
        <v>59</v>
      </c>
      <c r="AH53" s="464">
        <f>SUMIFS(Income!$G:$G,Income!$H:$H, AH$2,Income!$F:$F, $AD$1, Income!$B:$B, IF($AE53&lt;&gt;"", TEXT($AE53, "MMMM"), ""), Income!$C:$C, YEAR($AE53))</f>
        <v>23</v>
      </c>
      <c r="AI53" s="464">
        <f>SUMIFS(Income!$G:$G,Income!$H:$H, AI$2,Income!$F:$F, $AD$1, Income!$B:$B, IF($AE53&lt;&gt;"", TEXT($AE53, "MMMM"), ""), Income!$C:$C, YEAR($AE53))</f>
        <v>0</v>
      </c>
      <c r="AJ53" s="464">
        <f>SUMIFS(Income!$G:$G,Income!$H:$H, AJ$2,Income!$F:$F, $AD$1, Income!$B:$B, IF($AE53&lt;&gt;"", TEXT($AE53, "MMMM"), ""), Income!$C:$C, YEAR($AE53))</f>
        <v>0</v>
      </c>
      <c r="AK53" s="467">
        <f>SUMIFS(Income!$G:$G,Income!$H:$H, AK$2,Income!$F:$F, $AD$1, Income!$B:$B, IF($AE53&lt;&gt;"", TEXT($AE53, "MMMM"), ""), Income!$C:$C, YEAR($AE53))</f>
        <v>0</v>
      </c>
      <c r="AL53" s="428"/>
      <c r="AM53" s="463">
        <v>45352.0</v>
      </c>
      <c r="AN53" s="464">
        <f>SUMIFS(Income!$G:$G,Income!$H:$H, AN$2,Income!$F:$F, $AL$1, Income!$B:$B, IF($AM53&lt;&gt;"", TEXT($AM53, "MMMM"), ""), Income!$C:$C, YEAR($AM53))+SUMIFS($T:$T, $U:$U,AN$2,$Q:$Q,IF($AM53&lt;&gt;"", TEXT($AM53, "MMMM"), ""),$R:$R,YEAR($AM53))</f>
        <v>97.01</v>
      </c>
      <c r="AO53" s="464">
        <f>SUMIFS(Income!$G:$G,Income!$H:$H, AO$2,Income!$F:$F, $AL$1, Income!$B:$B, IF($AM53&lt;&gt;"", TEXT($AM53, "MMMM"), ""), Income!$C:$C, YEAR($AM53))+SUMIFS($T:$T, $U:$U,AO$2,$Q:$Q,IF($AM53&lt;&gt;"", TEXT($AM53, "MMMM"), ""),$R:$R,YEAR($AM53))</f>
        <v>462</v>
      </c>
      <c r="AP53" s="464">
        <f>SUMIFS(Income!$G:$G,Income!$H:$H, AP$2,Income!$F:$F, $AL$1, Income!$B:$B, IF($AM53&lt;&gt;"", TEXT($AM53, "MMMM"), ""), Income!$C:$C, YEAR($AM53))+SUMIFS($T:$T, $U:$U,AP$2,$Q:$Q,IF($AM53&lt;&gt;"", TEXT($AM53, "MMMM"), ""),$R:$R,YEAR($AM53))</f>
        <v>0</v>
      </c>
      <c r="AQ53" s="464">
        <f>SUMIFS(Income!$G:$G,Income!$H:$H, AQ$2,Income!$F:$F, $AL$1, Income!$B:$B, IF($AM53&lt;&gt;"", TEXT($AM53, "MMMM"), ""), Income!$C:$C, YEAR($AM53))+SUMIFS($T:$T, $U:$U,AQ$2,$Q:$Q,IF($AM53&lt;&gt;"", TEXT($AM53, "MMMM"), ""),$R:$R,YEAR($AM53))</f>
        <v>0</v>
      </c>
      <c r="AR53" s="464">
        <f>SUMIFS(Income!$G:$G,Income!$H:$H, AR$2,Income!$F:$F, $AL$1, Income!$B:$B, IF($AM53&lt;&gt;"", TEXT($AM53, "MMMM"), ""), Income!$C:$C, YEAR($AM53))+SUMIFS($T:$T, $U:$U,AR$2,$Q:$Q,IF($AM53&lt;&gt;"", TEXT($AM53, "MMMM"), ""),$R:$R,YEAR($AM53))</f>
        <v>705.86</v>
      </c>
      <c r="AS53" s="467">
        <f>SUMIFS(Income!$G:$G,Income!$H:$H, AS$2,Income!$F:$F, $AL$1, Income!$B:$B, IF($AM53&lt;&gt;"", TEXT($AM53, "MMMM"), ""), Income!$C:$C, YEAR($AM53))+SUMIFS($T:$T, $U:$U,AS$2,$Q:$Q,IF($AM53&lt;&gt;"", TEXT($AM53, "MMMM"), ""),$R:$R,YEAR($AM53))</f>
        <v>0</v>
      </c>
      <c r="AT53" s="428"/>
      <c r="AU53" s="463">
        <v>45352.0</v>
      </c>
      <c r="AV53" s="464">
        <f>SUMIFS(Income!$G:$G,Income!$H:$H, AV$2,Income!$F:$F, $AT$1, Income!$B:$B, IF($AU53&lt;&gt;"", TEXT($AU53, "MMMM"), ""), Income!$C:$C, YEAR($AU53))</f>
        <v>0</v>
      </c>
      <c r="AW53" s="464">
        <f>SUMIFS(Income!$G:$G,Income!$H:$H, AW$2,Income!$F:$F, $AT$1, Income!$B:$B, IF($AU53&lt;&gt;"", TEXT($AU53, "MMMM"), ""), Income!$C:$C, YEAR($AU53))</f>
        <v>0</v>
      </c>
      <c r="AX53" s="464">
        <f>SUMIFS(Income!$G:$G,Income!$H:$H, AX$2,Income!$F:$F, $AT$1, Income!$B:$B, IF($AU53&lt;&gt;"", TEXT($AU53, "MMMM"), ""), Income!$C:$C, YEAR($AU53))</f>
        <v>0</v>
      </c>
      <c r="AY53" s="464">
        <f>SUMIFS(Income!$G:$G,Income!$H:$H, AY$2,Income!$F:$F, $AT$1, Income!$B:$B, IF($AU53&lt;&gt;"", TEXT($AU53, "MMMM"), ""), Income!$C:$C, YEAR($AU53))</f>
        <v>0</v>
      </c>
      <c r="AZ53" s="464">
        <f>SUMIFS(Income!$G:$G,Income!$H:$H, AZ$2,Income!$F:$F, $AT$1, Income!$B:$B, IF($AU53&lt;&gt;"", TEXT($AU53, "MMMM"), ""), Income!$C:$C, YEAR($AU53))</f>
        <v>0</v>
      </c>
      <c r="BA53" s="468">
        <f>SUMIFS(Income!$G:$G,Income!$H:$H, BA$2,Income!$F:$F, $AT$1, Income!$B:$B, IF($AU53&lt;&gt;"", TEXT($AU53, "MMMM"), ""), Income!$C:$C, YEAR($AU53))</f>
        <v>0</v>
      </c>
      <c r="BB53" s="345"/>
      <c r="BC53" s="345"/>
      <c r="BD53" s="345"/>
      <c r="BE53" s="345"/>
    </row>
    <row r="54" ht="13.5" customHeight="1">
      <c r="A54" s="424">
        <f>'Membership Application List'!A283</f>
        <v>45339.45574</v>
      </c>
      <c r="B54" s="443" t="str">
        <f t="shared" si="6"/>
        <v>February</v>
      </c>
      <c r="C54" s="443">
        <f t="shared" si="7"/>
        <v>2024</v>
      </c>
      <c r="D54" s="426" t="str">
        <f>'Membership Application List'!E283</f>
        <v>Mallory Haven Hernandez </v>
      </c>
      <c r="E54" s="426">
        <f>IF('Membership Application List'!J283 = "Food/Litter Donation", 0, IF('Membership Application List'!J283 = "$15 Donation, Discord Verification", IF('Membership Application List'!N283 = TRUE, 15, 0)))</f>
        <v>15</v>
      </c>
      <c r="F54" s="426">
        <f>if('Membership Application List'!K283=TRUE, 5,0)</f>
        <v>0</v>
      </c>
      <c r="G54" s="426">
        <f t="shared" si="8"/>
        <v>15</v>
      </c>
      <c r="H54" s="427" t="str">
        <f>'Membership Application List'!L283</f>
        <v>Venmo</v>
      </c>
      <c r="I54" s="428"/>
      <c r="J54" s="463">
        <v>45383.0</v>
      </c>
      <c r="K54" s="464">
        <f t="shared" ref="K54:O54" si="12">SUMIFS($G:$G, $H:$H, K$2, $B:$B, IF($J54&lt;&gt;"", TEXT($J54, "MMMM"), ""), $C:$C, YEAR($J54))</f>
        <v>0</v>
      </c>
      <c r="L54" s="464">
        <f t="shared" si="12"/>
        <v>0</v>
      </c>
      <c r="M54" s="464">
        <f t="shared" si="12"/>
        <v>0</v>
      </c>
      <c r="N54" s="464">
        <f t="shared" si="12"/>
        <v>0</v>
      </c>
      <c r="O54" s="465">
        <f t="shared" si="12"/>
        <v>0</v>
      </c>
      <c r="P54" s="414"/>
      <c r="Q54" s="414"/>
      <c r="R54" s="414"/>
      <c r="S54" s="445"/>
      <c r="T54" s="445"/>
      <c r="U54" s="445"/>
      <c r="V54" s="428"/>
      <c r="W54" s="463">
        <v>45383.0</v>
      </c>
      <c r="X54" s="464">
        <f>SUMIFS(Income!$G:$G,Income!$H:$H, X$2,Income!$F:$F, $V$1, Income!$B:$B, IF($W54&lt;&gt;"", TEXT($W54, "MMMM"), ""), Income!$C:$C, YEAR($W54))</f>
        <v>0</v>
      </c>
      <c r="Y54" s="464">
        <f>SUMIFS(Income!$G:$G,Income!$H:$H, Y$2,Income!$F:$F, $V$1, Income!$B:$B, IF($W54&lt;&gt;"", TEXT($W54, "MMMM"), ""), Income!$C:$C, YEAR($W54))</f>
        <v>42</v>
      </c>
      <c r="Z54" s="464">
        <f>SUMIFS(Income!$G:$G,Income!$H:$H, Z$2,Income!$F:$F, $V$1, Income!$B:$B, IF($W54&lt;&gt;"", TEXT($W54, "MMMM"), ""), Income!$C:$C, YEAR($W54))</f>
        <v>43.5</v>
      </c>
      <c r="AA54" s="464">
        <f>SUMIFS(Income!$G:$G,Income!$H:$H, AA$2,Income!$F:$F, $V$1, Income!$B:$B, IF($W54&lt;&gt;"", TEXT($W54, "MMMM"), ""), Income!$C:$C, YEAR($W54))</f>
        <v>203</v>
      </c>
      <c r="AB54" s="464">
        <f>SUMIFS(Income!$G:$G,Income!$H:$H, AB$2,Income!$F:$F, $V$1, Income!$B:$B, IF($W54&lt;&gt;"", TEXT($W54, "MMMM"), ""), Income!$C:$C, YEAR($W54))</f>
        <v>0</v>
      </c>
      <c r="AC54" s="467">
        <f>SUMIFS(Income!$G:$G,Income!$H:$H, AC$2,Income!$F:$F, $V$1, Income!$B:$B, IF($W54&lt;&gt;"", TEXT($W54, "MMMM"), ""), Income!$C:$C, YEAR($W54))</f>
        <v>26</v>
      </c>
      <c r="AD54" s="428"/>
      <c r="AE54" s="463">
        <v>45383.0</v>
      </c>
      <c r="AF54" s="464">
        <f>SUMIFS(Income!$G:$G,Income!$H:$H, AF$2,Income!$F:$F, $AD$1, Income!$B:$B, IF($AE54&lt;&gt;"", TEXT($AE54, "MMMM"), ""), Income!$C:$C, YEAR($AE54))</f>
        <v>0</v>
      </c>
      <c r="AG54" s="464">
        <f>SUMIFS(Income!$G:$G,Income!$H:$H, AG$2,Income!$F:$F, $AD$1, Income!$B:$B, IF($AE54&lt;&gt;"", TEXT($AE54, "MMMM"), ""), Income!$C:$C, YEAR($AE54))</f>
        <v>0</v>
      </c>
      <c r="AH54" s="464">
        <f>SUMIFS(Income!$G:$G,Income!$H:$H, AH$2,Income!$F:$F, $AD$1, Income!$B:$B, IF($AE54&lt;&gt;"", TEXT($AE54, "MMMM"), ""), Income!$C:$C, YEAR($AE54))</f>
        <v>0</v>
      </c>
      <c r="AI54" s="464">
        <f>SUMIFS(Income!$G:$G,Income!$H:$H, AI$2,Income!$F:$F, $AD$1, Income!$B:$B, IF($AE54&lt;&gt;"", TEXT($AE54, "MMMM"), ""), Income!$C:$C, YEAR($AE54))</f>
        <v>0</v>
      </c>
      <c r="AJ54" s="464">
        <f>SUMIFS(Income!$G:$G,Income!$H:$H, AJ$2,Income!$F:$F, $AD$1, Income!$B:$B, IF($AE54&lt;&gt;"", TEXT($AE54, "MMMM"), ""), Income!$C:$C, YEAR($AE54))</f>
        <v>0</v>
      </c>
      <c r="AK54" s="467">
        <f>SUMIFS(Income!$G:$G,Income!$H:$H, AK$2,Income!$F:$F, $AD$1, Income!$B:$B, IF($AE54&lt;&gt;"", TEXT($AE54, "MMMM"), ""), Income!$C:$C, YEAR($AE54))</f>
        <v>0</v>
      </c>
      <c r="AL54" s="428"/>
      <c r="AM54" s="463">
        <v>45383.0</v>
      </c>
      <c r="AN54" s="464">
        <f>SUMIFS(Income!$G:$G,Income!$H:$H, AN$2,Income!$F:$F, $AL$1, Income!$B:$B, IF($AM54&lt;&gt;"", TEXT($AM54, "MMMM"), ""), Income!$C:$C, YEAR($AM54))+SUMIFS($T:$T, $U:$U,AN$2,$Q:$Q,IF($AM54&lt;&gt;"", TEXT($AM54, "MMMM"), ""),$R:$R,YEAR($AM54))</f>
        <v>0</v>
      </c>
      <c r="AO54" s="464">
        <f>SUMIFS(Income!$G:$G,Income!$H:$H, AO$2,Income!$F:$F, $AL$1, Income!$B:$B, IF($AM54&lt;&gt;"", TEXT($AM54, "MMMM"), ""), Income!$C:$C, YEAR($AM54))+SUMIFS($T:$T, $U:$U,AO$2,$Q:$Q,IF($AM54&lt;&gt;"", TEXT($AM54, "MMMM"), ""),$R:$R,YEAR($AM54))</f>
        <v>0</v>
      </c>
      <c r="AP54" s="464">
        <f>SUMIFS(Income!$G:$G,Income!$H:$H, AP$2,Income!$F:$F, $AL$1, Income!$B:$B, IF($AM54&lt;&gt;"", TEXT($AM54, "MMMM"), ""), Income!$C:$C, YEAR($AM54))+SUMIFS($T:$T, $U:$U,AP$2,$Q:$Q,IF($AM54&lt;&gt;"", TEXT($AM54, "MMMM"), ""),$R:$R,YEAR($AM54))</f>
        <v>10</v>
      </c>
      <c r="AQ54" s="464">
        <f>SUMIFS(Income!$G:$G,Income!$H:$H, AQ$2,Income!$F:$F, $AL$1, Income!$B:$B, IF($AM54&lt;&gt;"", TEXT($AM54, "MMMM"), ""), Income!$C:$C, YEAR($AM54))+SUMIFS($T:$T, $U:$U,AQ$2,$Q:$Q,IF($AM54&lt;&gt;"", TEXT($AM54, "MMMM"), ""),$R:$R,YEAR($AM54))</f>
        <v>150</v>
      </c>
      <c r="AR54" s="464">
        <f>SUMIFS(Income!$G:$G,Income!$H:$H, AR$2,Income!$F:$F, $AL$1, Income!$B:$B, IF($AM54&lt;&gt;"", TEXT($AM54, "MMMM"), ""), Income!$C:$C, YEAR($AM54))+SUMIFS($T:$T, $U:$U,AR$2,$Q:$Q,IF($AM54&lt;&gt;"", TEXT($AM54, "MMMM"), ""),$R:$R,YEAR($AM54))</f>
        <v>250</v>
      </c>
      <c r="AS54" s="467">
        <f>SUMIFS(Income!$G:$G,Income!$H:$H, AS$2,Income!$F:$F, $AL$1, Income!$B:$B, IF($AM54&lt;&gt;"", TEXT($AM54, "MMMM"), ""), Income!$C:$C, YEAR($AM54))+SUMIFS($T:$T, $U:$U,AS$2,$Q:$Q,IF($AM54&lt;&gt;"", TEXT($AM54, "MMMM"), ""),$R:$R,YEAR($AM54))</f>
        <v>0</v>
      </c>
      <c r="AT54" s="428"/>
      <c r="AU54" s="463">
        <v>45383.0</v>
      </c>
      <c r="AV54" s="464">
        <f>SUMIFS(Income!$G:$G,Income!$H:$H, AV$2,Income!$F:$F, $AT$1, Income!$B:$B, IF($AU54&lt;&gt;"", TEXT($AU54, "MMMM"), ""), Income!$C:$C, YEAR($AU54))</f>
        <v>0</v>
      </c>
      <c r="AW54" s="464">
        <f>SUMIFS(Income!$G:$G,Income!$H:$H, AW$2,Income!$F:$F, $AT$1, Income!$B:$B, IF($AU54&lt;&gt;"", TEXT($AU54, "MMMM"), ""), Income!$C:$C, YEAR($AU54))</f>
        <v>0</v>
      </c>
      <c r="AX54" s="464">
        <f>SUMIFS(Income!$G:$G,Income!$H:$H, AX$2,Income!$F:$F, $AT$1, Income!$B:$B, IF($AU54&lt;&gt;"", TEXT($AU54, "MMMM"), ""), Income!$C:$C, YEAR($AU54))</f>
        <v>0</v>
      </c>
      <c r="AY54" s="464">
        <f>SUMIFS(Income!$G:$G,Income!$H:$H, AY$2,Income!$F:$F, $AT$1, Income!$B:$B, IF($AU54&lt;&gt;"", TEXT($AU54, "MMMM"), ""), Income!$C:$C, YEAR($AU54))</f>
        <v>0</v>
      </c>
      <c r="AZ54" s="464">
        <f>SUMIFS(Income!$G:$G,Income!$H:$H, AZ$2,Income!$F:$F, $AT$1, Income!$B:$B, IF($AU54&lt;&gt;"", TEXT($AU54, "MMMM"), ""), Income!$C:$C, YEAR($AU54))</f>
        <v>0</v>
      </c>
      <c r="BA54" s="468">
        <f>SUMIFS(Income!$G:$G,Income!$H:$H, BA$2,Income!$F:$F, $AT$1, Income!$B:$B, IF($AU54&lt;&gt;"", TEXT($AU54, "MMMM"), ""), Income!$C:$C, YEAR($AU54))</f>
        <v>0</v>
      </c>
      <c r="BB54" s="345"/>
      <c r="BC54" s="345"/>
      <c r="BD54" s="345"/>
      <c r="BE54" s="345"/>
    </row>
    <row r="55" ht="13.5" customHeight="1">
      <c r="A55" s="436">
        <f>'Membership Application List'!A284</f>
        <v>45339.45878</v>
      </c>
      <c r="B55" s="437" t="str">
        <f t="shared" si="6"/>
        <v>February</v>
      </c>
      <c r="C55" s="437">
        <f t="shared" si="7"/>
        <v>2024</v>
      </c>
      <c r="D55" s="438" t="str">
        <f>'Membership Application List'!E284</f>
        <v>Cindy Lou Skipper</v>
      </c>
      <c r="E55" s="438">
        <f>IF('Membership Application List'!J284 = "Food/Litter Donation", 0, IF('Membership Application List'!J284 = "$15 Donation, Discord Verification", IF('Membership Application List'!N284 = TRUE, 15, 0)))</f>
        <v>15</v>
      </c>
      <c r="F55" s="438">
        <f>if('Membership Application List'!K284=TRUE, 5,0)</f>
        <v>0</v>
      </c>
      <c r="G55" s="438">
        <f t="shared" si="8"/>
        <v>15</v>
      </c>
      <c r="H55" s="439" t="str">
        <f>'Membership Application List'!L284</f>
        <v>Paypal</v>
      </c>
      <c r="I55" s="428"/>
      <c r="J55" s="463">
        <v>45413.0</v>
      </c>
      <c r="K55" s="464">
        <f t="shared" ref="K55:O55" si="13">SUMIFS($G:$G, $H:$H, K$2, $B:$B, IF($J55&lt;&gt;"", TEXT($J55, "MMMM"), ""), $C:$C, YEAR($J55))</f>
        <v>0</v>
      </c>
      <c r="L55" s="464">
        <f t="shared" si="13"/>
        <v>0</v>
      </c>
      <c r="M55" s="464">
        <f t="shared" si="13"/>
        <v>0</v>
      </c>
      <c r="N55" s="464">
        <f t="shared" si="13"/>
        <v>0</v>
      </c>
      <c r="O55" s="465">
        <f t="shared" si="13"/>
        <v>0</v>
      </c>
      <c r="P55" s="414"/>
      <c r="Q55" s="414"/>
      <c r="R55" s="414"/>
      <c r="S55" s="445"/>
      <c r="T55" s="445"/>
      <c r="U55" s="445"/>
      <c r="V55" s="428"/>
      <c r="W55" s="463">
        <v>45413.0</v>
      </c>
      <c r="X55" s="464">
        <f>SUMIFS(Income!$G:$G,Income!$H:$H, X$2,Income!$F:$F, $V$1, Income!$B:$B, IF($W55&lt;&gt;"", TEXT($W55, "MMMM"), ""), Income!$C:$C, YEAR($W55))</f>
        <v>0</v>
      </c>
      <c r="Y55" s="464">
        <f>SUMIFS(Income!$G:$G,Income!$H:$H, Y$2,Income!$F:$F, $V$1, Income!$B:$B, IF($W55&lt;&gt;"", TEXT($W55, "MMMM"), ""), Income!$C:$C, YEAR($W55))</f>
        <v>0</v>
      </c>
      <c r="Z55" s="464">
        <f>SUMIFS(Income!$G:$G,Income!$H:$H, Z$2,Income!$F:$F, $V$1, Income!$B:$B, IF($W55&lt;&gt;"", TEXT($W55, "MMMM"), ""), Income!$C:$C, YEAR($W55))</f>
        <v>0</v>
      </c>
      <c r="AA55" s="464">
        <f>SUMIFS(Income!$G:$G,Income!$H:$H, AA$2,Income!$F:$F, $V$1, Income!$B:$B, IF($W55&lt;&gt;"", TEXT($W55, "MMMM"), ""), Income!$C:$C, YEAR($W55))</f>
        <v>0</v>
      </c>
      <c r="AB55" s="464">
        <f>SUMIFS(Income!$G:$G,Income!$H:$H, AB$2,Income!$F:$F, $V$1, Income!$B:$B, IF($W55&lt;&gt;"", TEXT($W55, "MMMM"), ""), Income!$C:$C, YEAR($W55))</f>
        <v>0</v>
      </c>
      <c r="AC55" s="467">
        <f>SUMIFS(Income!$G:$G,Income!$H:$H, AC$2,Income!$F:$F, $V$1, Income!$B:$B, IF($W55&lt;&gt;"", TEXT($W55, "MMMM"), ""), Income!$C:$C, YEAR($W55))</f>
        <v>0</v>
      </c>
      <c r="AD55" s="428"/>
      <c r="AE55" s="463">
        <v>45413.0</v>
      </c>
      <c r="AF55" s="464">
        <f>SUMIFS(Income!$G:$G,Income!$H:$H, AF$2,Income!$F:$F, $AD$1, Income!$B:$B, IF($AE55&lt;&gt;"", TEXT($AE55, "MMMM"), ""), Income!$C:$C, YEAR($AE55))</f>
        <v>0</v>
      </c>
      <c r="AG55" s="464">
        <f>SUMIFS(Income!$G:$G,Income!$H:$H, AG$2,Income!$F:$F, $AD$1, Income!$B:$B, IF($AE55&lt;&gt;"", TEXT($AE55, "MMMM"), ""), Income!$C:$C, YEAR($AE55))</f>
        <v>0</v>
      </c>
      <c r="AH55" s="464">
        <f>SUMIFS(Income!$G:$G,Income!$H:$H, AH$2,Income!$F:$F, $AD$1, Income!$B:$B, IF($AE55&lt;&gt;"", TEXT($AE55, "MMMM"), ""), Income!$C:$C, YEAR($AE55))</f>
        <v>0</v>
      </c>
      <c r="AI55" s="464">
        <f>SUMIFS(Income!$G:$G,Income!$H:$H, AI$2,Income!$F:$F, $AD$1, Income!$B:$B, IF($AE55&lt;&gt;"", TEXT($AE55, "MMMM"), ""), Income!$C:$C, YEAR($AE55))</f>
        <v>0</v>
      </c>
      <c r="AJ55" s="464">
        <f>SUMIFS(Income!$G:$G,Income!$H:$H, AJ$2,Income!$F:$F, $AD$1, Income!$B:$B, IF($AE55&lt;&gt;"", TEXT($AE55, "MMMM"), ""), Income!$C:$C, YEAR($AE55))</f>
        <v>50</v>
      </c>
      <c r="AK55" s="467">
        <f>SUMIFS(Income!$G:$G,Income!$H:$H, AK$2,Income!$F:$F, $AD$1, Income!$B:$B, IF($AE55&lt;&gt;"", TEXT($AE55, "MMMM"), ""), Income!$C:$C, YEAR($AE55))</f>
        <v>0</v>
      </c>
      <c r="AL55" s="428"/>
      <c r="AM55" s="463">
        <v>45413.0</v>
      </c>
      <c r="AN55" s="464">
        <f>SUMIFS(Income!$G:$G,Income!$H:$H, AN$2,Income!$F:$F, $AL$1, Income!$B:$B, IF($AM55&lt;&gt;"", TEXT($AM55, "MMMM"), ""), Income!$C:$C, YEAR($AM55))+SUMIFS($T:$T, $U:$U,AN$2,$Q:$Q,IF($AM55&lt;&gt;"", TEXT($AM55, "MMMM"), ""),$R:$R,YEAR($AM55))</f>
        <v>0</v>
      </c>
      <c r="AO55" s="464">
        <f>SUMIFS(Income!$G:$G,Income!$H:$H, AO$2,Income!$F:$F, $AL$1, Income!$B:$B, IF($AM55&lt;&gt;"", TEXT($AM55, "MMMM"), ""), Income!$C:$C, YEAR($AM55))+SUMIFS($T:$T, $U:$U,AO$2,$Q:$Q,IF($AM55&lt;&gt;"", TEXT($AM55, "MMMM"), ""),$R:$R,YEAR($AM55))</f>
        <v>50</v>
      </c>
      <c r="AP55" s="464">
        <f>SUMIFS(Income!$G:$G,Income!$H:$H, AP$2,Income!$F:$F, $AL$1, Income!$B:$B, IF($AM55&lt;&gt;"", TEXT($AM55, "MMMM"), ""), Income!$C:$C, YEAR($AM55))+SUMIFS($T:$T, $U:$U,AP$2,$Q:$Q,IF($AM55&lt;&gt;"", TEXT($AM55, "MMMM"), ""),$R:$R,YEAR($AM55))</f>
        <v>0</v>
      </c>
      <c r="AQ55" s="464">
        <f>SUMIFS(Income!$G:$G,Income!$H:$H, AQ$2,Income!$F:$F, $AL$1, Income!$B:$B, IF($AM55&lt;&gt;"", TEXT($AM55, "MMMM"), ""), Income!$C:$C, YEAR($AM55))+SUMIFS($T:$T, $U:$U,AQ$2,$Q:$Q,IF($AM55&lt;&gt;"", TEXT($AM55, "MMMM"), ""),$R:$R,YEAR($AM55))</f>
        <v>0</v>
      </c>
      <c r="AR55" s="464">
        <f>SUMIFS(Income!$G:$G,Income!$H:$H, AR$2,Income!$F:$F, $AL$1, Income!$B:$B, IF($AM55&lt;&gt;"", TEXT($AM55, "MMMM"), ""), Income!$C:$C, YEAR($AM55))+SUMIFS($T:$T, $U:$U,AR$2,$Q:$Q,IF($AM55&lt;&gt;"", TEXT($AM55, "MMMM"), ""),$R:$R,YEAR($AM55))</f>
        <v>0</v>
      </c>
      <c r="AS55" s="467">
        <f>SUMIFS(Income!$G:$G,Income!$H:$H, AS$2,Income!$F:$F, $AL$1, Income!$B:$B, IF($AM55&lt;&gt;"", TEXT($AM55, "MMMM"), ""), Income!$C:$C, YEAR($AM55))+SUMIFS($T:$T, $U:$U,AS$2,$Q:$Q,IF($AM55&lt;&gt;"", TEXT($AM55, "MMMM"), ""),$R:$R,YEAR($AM55))</f>
        <v>0</v>
      </c>
      <c r="AT55" s="428"/>
      <c r="AU55" s="463">
        <v>45413.0</v>
      </c>
      <c r="AV55" s="464">
        <f>SUMIFS(Income!$G:$G,Income!$H:$H, AV$2,Income!$F:$F, $AT$1, Income!$B:$B, IF($AU55&lt;&gt;"", TEXT($AU55, "MMMM"), ""), Income!$C:$C, YEAR($AU55))</f>
        <v>0</v>
      </c>
      <c r="AW55" s="464">
        <f>SUMIFS(Income!$G:$G,Income!$H:$H, AW$2,Income!$F:$F, $AT$1, Income!$B:$B, IF($AU55&lt;&gt;"", TEXT($AU55, "MMMM"), ""), Income!$C:$C, YEAR($AU55))</f>
        <v>0</v>
      </c>
      <c r="AX55" s="464">
        <f>SUMIFS(Income!$G:$G,Income!$H:$H, AX$2,Income!$F:$F, $AT$1, Income!$B:$B, IF($AU55&lt;&gt;"", TEXT($AU55, "MMMM"), ""), Income!$C:$C, YEAR($AU55))</f>
        <v>0</v>
      </c>
      <c r="AY55" s="464">
        <f>SUMIFS(Income!$G:$G,Income!$H:$H, AY$2,Income!$F:$F, $AT$1, Income!$B:$B, IF($AU55&lt;&gt;"", TEXT($AU55, "MMMM"), ""), Income!$C:$C, YEAR($AU55))</f>
        <v>0</v>
      </c>
      <c r="AZ55" s="464">
        <f>SUMIFS(Income!$G:$G,Income!$H:$H, AZ$2,Income!$F:$F, $AT$1, Income!$B:$B, IF($AU55&lt;&gt;"", TEXT($AU55, "MMMM"), ""), Income!$C:$C, YEAR($AU55))</f>
        <v>0</v>
      </c>
      <c r="BA55" s="468">
        <f>SUMIFS(Income!$G:$G,Income!$H:$H, BA$2,Income!$F:$F, $AT$1, Income!$B:$B, IF($AU55&lt;&gt;"", TEXT($AU55, "MMMM"), ""), Income!$C:$C, YEAR($AU55))</f>
        <v>0</v>
      </c>
      <c r="BB55" s="345"/>
      <c r="BC55" s="345"/>
      <c r="BD55" s="345"/>
      <c r="BE55" s="345"/>
    </row>
    <row r="56" ht="13.5" customHeight="1">
      <c r="A56" s="424">
        <f>'Membership Application List'!A285</f>
        <v>45339.46753</v>
      </c>
      <c r="B56" s="443" t="str">
        <f t="shared" si="6"/>
        <v>February</v>
      </c>
      <c r="C56" s="443">
        <f t="shared" si="7"/>
        <v>2024</v>
      </c>
      <c r="D56" s="426" t="str">
        <f>'Membership Application List'!E285</f>
        <v>Jordan Hardin</v>
      </c>
      <c r="E56" s="426">
        <f>IF('Membership Application List'!J285 = "Food/Litter Donation", 0, IF('Membership Application List'!J285 = "$15 Donation, Discord Verification", IF('Membership Application List'!N285 = TRUE, 15, 0)))</f>
        <v>0</v>
      </c>
      <c r="F56" s="426">
        <f>if('Membership Application List'!K285=TRUE, 5,0)</f>
        <v>0</v>
      </c>
      <c r="G56" s="426">
        <f t="shared" si="8"/>
        <v>0</v>
      </c>
      <c r="H56" s="427" t="str">
        <f>'Membership Application List'!L285</f>
        <v/>
      </c>
      <c r="I56" s="447" t="s">
        <v>777</v>
      </c>
      <c r="J56" s="463">
        <v>45444.0</v>
      </c>
      <c r="K56" s="464">
        <f t="shared" ref="K56:O56" si="14">SUMIFS($G:$G, $H:$H, K$2, $B:$B, IF($J56&lt;&gt;"", TEXT($J56, "MMMM"), ""), $C:$C, YEAR($J56))</f>
        <v>0</v>
      </c>
      <c r="L56" s="464">
        <f t="shared" si="14"/>
        <v>0</v>
      </c>
      <c r="M56" s="464">
        <f t="shared" si="14"/>
        <v>0</v>
      </c>
      <c r="N56" s="464">
        <f t="shared" si="14"/>
        <v>0</v>
      </c>
      <c r="O56" s="465">
        <f t="shared" si="14"/>
        <v>0</v>
      </c>
      <c r="P56" s="414"/>
      <c r="Q56" s="414"/>
      <c r="R56" s="414"/>
      <c r="S56" s="445"/>
      <c r="T56" s="445"/>
      <c r="U56" s="445"/>
      <c r="V56" s="447" t="s">
        <v>777</v>
      </c>
      <c r="W56" s="463">
        <v>45444.0</v>
      </c>
      <c r="X56" s="464">
        <f>SUMIFS(Income!$G:$G,Income!$H:$H, X$2,Income!$F:$F, $V$1, Income!$B:$B, IF($W56&lt;&gt;"", TEXT($W56, "MMMM"), ""), Income!$C:$C, YEAR($W56))</f>
        <v>0</v>
      </c>
      <c r="Y56" s="464">
        <f>SUMIFS(Income!$G:$G,Income!$H:$H, Y$2,Income!$F:$F, $V$1, Income!$B:$B, IF($W56&lt;&gt;"", TEXT($W56, "MMMM"), ""), Income!$C:$C, YEAR($W56))</f>
        <v>0</v>
      </c>
      <c r="Z56" s="464">
        <f>SUMIFS(Income!$G:$G,Income!$H:$H, Z$2,Income!$F:$F, $V$1, Income!$B:$B, IF($W56&lt;&gt;"", TEXT($W56, "MMMM"), ""), Income!$C:$C, YEAR($W56))</f>
        <v>0</v>
      </c>
      <c r="AA56" s="464">
        <f>SUMIFS(Income!$G:$G,Income!$H:$H, AA$2,Income!$F:$F, $V$1, Income!$B:$B, IF($W56&lt;&gt;"", TEXT($W56, "MMMM"), ""), Income!$C:$C, YEAR($W56))</f>
        <v>0</v>
      </c>
      <c r="AB56" s="464">
        <f>SUMIFS(Income!$G:$G,Income!$H:$H, AB$2,Income!$F:$F, $V$1, Income!$B:$B, IF($W56&lt;&gt;"", TEXT($W56, "MMMM"), ""), Income!$C:$C, YEAR($W56))</f>
        <v>0</v>
      </c>
      <c r="AC56" s="467">
        <f>SUMIFS(Income!$G:$G,Income!$H:$H, AC$2,Income!$F:$F, $V$1, Income!$B:$B, IF($W56&lt;&gt;"", TEXT($W56, "MMMM"), ""), Income!$C:$C, YEAR($W56))</f>
        <v>0</v>
      </c>
      <c r="AD56" s="447" t="s">
        <v>777</v>
      </c>
      <c r="AE56" s="463">
        <v>45444.0</v>
      </c>
      <c r="AF56" s="464">
        <f>SUMIFS(Income!$G:$G,Income!$H:$H, AF$2,Income!$F:$F, $AD$1, Income!$B:$B, IF($AE56&lt;&gt;"", TEXT($AE56, "MMMM"), ""), Income!$C:$C, YEAR($AE56))</f>
        <v>0</v>
      </c>
      <c r="AG56" s="464">
        <f>SUMIFS(Income!$G:$G,Income!$H:$H, AG$2,Income!$F:$F, $AD$1, Income!$B:$B, IF($AE56&lt;&gt;"", TEXT($AE56, "MMMM"), ""), Income!$C:$C, YEAR($AE56))</f>
        <v>0</v>
      </c>
      <c r="AH56" s="464">
        <f>SUMIFS(Income!$G:$G,Income!$H:$H, AH$2,Income!$F:$F, $AD$1, Income!$B:$B, IF($AE56&lt;&gt;"", TEXT($AE56, "MMMM"), ""), Income!$C:$C, YEAR($AE56))</f>
        <v>0</v>
      </c>
      <c r="AI56" s="464">
        <f>SUMIFS(Income!$G:$G,Income!$H:$H, AI$2,Income!$F:$F, $AD$1, Income!$B:$B, IF($AE56&lt;&gt;"", TEXT($AE56, "MMMM"), ""), Income!$C:$C, YEAR($AE56))</f>
        <v>0</v>
      </c>
      <c r="AJ56" s="464">
        <f>SUMIFS(Income!$G:$G,Income!$H:$H, AJ$2,Income!$F:$F, $AD$1, Income!$B:$B, IF($AE56&lt;&gt;"", TEXT($AE56, "MMMM"), ""), Income!$C:$C, YEAR($AE56))</f>
        <v>0</v>
      </c>
      <c r="AK56" s="467">
        <f>SUMIFS(Income!$G:$G,Income!$H:$H, AK$2,Income!$F:$F, $AD$1, Income!$B:$B, IF($AE56&lt;&gt;"", TEXT($AE56, "MMMM"), ""), Income!$C:$C, YEAR($AE56))</f>
        <v>0</v>
      </c>
      <c r="AL56" s="447" t="s">
        <v>777</v>
      </c>
      <c r="AM56" s="463">
        <v>45444.0</v>
      </c>
      <c r="AN56" s="464">
        <f>SUMIFS(Income!$G:$G,Income!$H:$H, AN$2,Income!$F:$F, $AL$1, Income!$B:$B, IF($AM56&lt;&gt;"", TEXT($AM56, "MMMM"), ""), Income!$C:$C, YEAR($AM56))+SUMIFS($T:$T, $U:$U,AN$2,$Q:$Q,IF($AM56&lt;&gt;"", TEXT($AM56, "MMMM"), ""),$R:$R,YEAR($AM56))</f>
        <v>0</v>
      </c>
      <c r="AO56" s="464">
        <f>SUMIFS(Income!$G:$G,Income!$H:$H, AO$2,Income!$F:$F, $AL$1, Income!$B:$B, IF($AM56&lt;&gt;"", TEXT($AM56, "MMMM"), ""), Income!$C:$C, YEAR($AM56))+SUMIFS($T:$T, $U:$U,AO$2,$Q:$Q,IF($AM56&lt;&gt;"", TEXT($AM56, "MMMM"), ""),$R:$R,YEAR($AM56))</f>
        <v>50</v>
      </c>
      <c r="AP56" s="464">
        <f>SUMIFS(Income!$G:$G,Income!$H:$H, AP$2,Income!$F:$F, $AL$1, Income!$B:$B, IF($AM56&lt;&gt;"", TEXT($AM56, "MMMM"), ""), Income!$C:$C, YEAR($AM56))+SUMIFS($T:$T, $U:$U,AP$2,$Q:$Q,IF($AM56&lt;&gt;"", TEXT($AM56, "MMMM"), ""),$R:$R,YEAR($AM56))</f>
        <v>0</v>
      </c>
      <c r="AQ56" s="464">
        <f>SUMIFS(Income!$G:$G,Income!$H:$H, AQ$2,Income!$F:$F, $AL$1, Income!$B:$B, IF($AM56&lt;&gt;"", TEXT($AM56, "MMMM"), ""), Income!$C:$C, YEAR($AM56))+SUMIFS($T:$T, $U:$U,AQ$2,$Q:$Q,IF($AM56&lt;&gt;"", TEXT($AM56, "MMMM"), ""),$R:$R,YEAR($AM56))</f>
        <v>0</v>
      </c>
      <c r="AR56" s="464">
        <f>SUMIFS(Income!$G:$G,Income!$H:$H, AR$2,Income!$F:$F, $AL$1, Income!$B:$B, IF($AM56&lt;&gt;"", TEXT($AM56, "MMMM"), ""), Income!$C:$C, YEAR($AM56))+SUMIFS($T:$T, $U:$U,AR$2,$Q:$Q,IF($AM56&lt;&gt;"", TEXT($AM56, "MMMM"), ""),$R:$R,YEAR($AM56))</f>
        <v>0</v>
      </c>
      <c r="AS56" s="467">
        <f>SUMIFS(Income!$G:$G,Income!$H:$H, AS$2,Income!$F:$F, $AL$1, Income!$B:$B, IF($AM56&lt;&gt;"", TEXT($AM56, "MMMM"), ""), Income!$C:$C, YEAR($AM56))+SUMIFS($T:$T, $U:$U,AS$2,$Q:$Q,IF($AM56&lt;&gt;"", TEXT($AM56, "MMMM"), ""),$R:$R,YEAR($AM56))</f>
        <v>0</v>
      </c>
      <c r="AT56" s="447" t="s">
        <v>777</v>
      </c>
      <c r="AU56" s="463">
        <v>45444.0</v>
      </c>
      <c r="AV56" s="464">
        <f>SUMIFS(Income!$G:$G,Income!$H:$H, AV$2,Income!$F:$F, $AT$1, Income!$B:$B, IF($AU56&lt;&gt;"", TEXT($AU56, "MMMM"), ""), Income!$C:$C, YEAR($AU56))</f>
        <v>0</v>
      </c>
      <c r="AW56" s="464">
        <f>SUMIFS(Income!$G:$G,Income!$H:$H, AW$2,Income!$F:$F, $AT$1, Income!$B:$B, IF($AU56&lt;&gt;"", TEXT($AU56, "MMMM"), ""), Income!$C:$C, YEAR($AU56))</f>
        <v>0</v>
      </c>
      <c r="AX56" s="464">
        <f>SUMIFS(Income!$G:$G,Income!$H:$H, AX$2,Income!$F:$F, $AT$1, Income!$B:$B, IF($AU56&lt;&gt;"", TEXT($AU56, "MMMM"), ""), Income!$C:$C, YEAR($AU56))</f>
        <v>0</v>
      </c>
      <c r="AY56" s="464">
        <f>SUMIFS(Income!$G:$G,Income!$H:$H, AY$2,Income!$F:$F, $AT$1, Income!$B:$B, IF($AU56&lt;&gt;"", TEXT($AU56, "MMMM"), ""), Income!$C:$C, YEAR($AU56))</f>
        <v>0</v>
      </c>
      <c r="AZ56" s="464">
        <f>SUMIFS(Income!$G:$G,Income!$H:$H, AZ$2,Income!$F:$F, $AT$1, Income!$B:$B, IF($AU56&lt;&gt;"", TEXT($AU56, "MMMM"), ""), Income!$C:$C, YEAR($AU56))</f>
        <v>0</v>
      </c>
      <c r="BA56" s="468">
        <f>SUMIFS(Income!$G:$G,Income!$H:$H, BA$2,Income!$F:$F, $AT$1, Income!$B:$B, IF($AU56&lt;&gt;"", TEXT($AU56, "MMMM"), ""), Income!$C:$C, YEAR($AU56))</f>
        <v>0</v>
      </c>
      <c r="BB56" s="345"/>
      <c r="BC56" s="345"/>
      <c r="BD56" s="345"/>
      <c r="BE56" s="345"/>
    </row>
    <row r="57" ht="13.5" customHeight="1">
      <c r="A57" s="436">
        <f>'Membership Application List'!A286</f>
        <v>45339.48156</v>
      </c>
      <c r="B57" s="437" t="str">
        <f t="shared" si="6"/>
        <v>February</v>
      </c>
      <c r="C57" s="437">
        <f t="shared" si="7"/>
        <v>2024</v>
      </c>
      <c r="D57" s="438" t="str">
        <f>'Membership Application List'!E286</f>
        <v>Nick Hatcher</v>
      </c>
      <c r="E57" s="438">
        <f>IF('Membership Application List'!J286 = "Food/Litter Donation", 0, IF('Membership Application List'!J286 = "$15 Donation, Discord Verification", IF('Membership Application List'!N286 = TRUE, 15, 0)))</f>
        <v>15</v>
      </c>
      <c r="F57" s="438">
        <f>if('Membership Application List'!K286=TRUE, 5,0)</f>
        <v>0</v>
      </c>
      <c r="G57" s="438">
        <f t="shared" si="8"/>
        <v>15</v>
      </c>
      <c r="H57" s="439" t="str">
        <f>'Membership Application List'!L286</f>
        <v>Venmo</v>
      </c>
      <c r="I57" s="428"/>
      <c r="J57" s="463">
        <v>45474.0</v>
      </c>
      <c r="K57" s="464">
        <f t="shared" ref="K57:O57" si="15">SUMIFS($G:$G, $H:$H, K$2, $B:$B, IF($J57&lt;&gt;"", TEXT($J57, "MMMM"), ""), $C:$C, YEAR($J57))</f>
        <v>40</v>
      </c>
      <c r="L57" s="464">
        <f t="shared" si="15"/>
        <v>30</v>
      </c>
      <c r="M57" s="464">
        <f t="shared" si="15"/>
        <v>30</v>
      </c>
      <c r="N57" s="464">
        <f t="shared" si="15"/>
        <v>0</v>
      </c>
      <c r="O57" s="465">
        <f t="shared" si="15"/>
        <v>0</v>
      </c>
      <c r="P57" s="414"/>
      <c r="Q57" s="414"/>
      <c r="R57" s="414"/>
      <c r="S57" s="445"/>
      <c r="T57" s="445"/>
      <c r="U57" s="445"/>
      <c r="V57" s="428"/>
      <c r="W57" s="463">
        <v>45474.0</v>
      </c>
      <c r="X57" s="464">
        <f>SUMIFS(Income!$G:$G,Income!$H:$H, X$2,Income!$F:$F, $V$1, Income!$B:$B, IF($W57&lt;&gt;"", TEXT($W57, "MMMM"), ""), Income!$C:$C, YEAR($W57))</f>
        <v>0</v>
      </c>
      <c r="Y57" s="464">
        <f>SUMIFS(Income!$G:$G,Income!$H:$H, Y$2,Income!$F:$F, $V$1, Income!$B:$B, IF($W57&lt;&gt;"", TEXT($W57, "MMMM"), ""), Income!$C:$C, YEAR($W57))</f>
        <v>0</v>
      </c>
      <c r="Z57" s="464">
        <f>SUMIFS(Income!$G:$G,Income!$H:$H, Z$2,Income!$F:$F, $V$1, Income!$B:$B, IF($W57&lt;&gt;"", TEXT($W57, "MMMM"), ""), Income!$C:$C, YEAR($W57))</f>
        <v>0</v>
      </c>
      <c r="AA57" s="464">
        <f>SUMIFS(Income!$G:$G,Income!$H:$H, AA$2,Income!$F:$F, $V$1, Income!$B:$B, IF($W57&lt;&gt;"", TEXT($W57, "MMMM"), ""), Income!$C:$C, YEAR($W57))</f>
        <v>0</v>
      </c>
      <c r="AB57" s="464">
        <f>SUMIFS(Income!$G:$G,Income!$H:$H, AB$2,Income!$F:$F, $V$1, Income!$B:$B, IF($W57&lt;&gt;"", TEXT($W57, "MMMM"), ""), Income!$C:$C, YEAR($W57))</f>
        <v>0</v>
      </c>
      <c r="AC57" s="467">
        <f>SUMIFS(Income!$G:$G,Income!$H:$H, AC$2,Income!$F:$F, $V$1, Income!$B:$B, IF($W57&lt;&gt;"", TEXT($W57, "MMMM"), ""), Income!$C:$C, YEAR($W57))</f>
        <v>0</v>
      </c>
      <c r="AD57" s="428"/>
      <c r="AE57" s="463">
        <v>45474.0</v>
      </c>
      <c r="AF57" s="464">
        <f>SUMIFS(Income!$G:$G,Income!$H:$H, AF$2,Income!$F:$F, $AD$1, Income!$B:$B, IF($AE57&lt;&gt;"", TEXT($AE57, "MMMM"), ""), Income!$C:$C, YEAR($AE57))</f>
        <v>0</v>
      </c>
      <c r="AG57" s="464">
        <f>SUMIFS(Income!$G:$G,Income!$H:$H, AG$2,Income!$F:$F, $AD$1, Income!$B:$B, IF($AE57&lt;&gt;"", TEXT($AE57, "MMMM"), ""), Income!$C:$C, YEAR($AE57))</f>
        <v>20</v>
      </c>
      <c r="AH57" s="464">
        <f>SUMIFS(Income!$G:$G,Income!$H:$H, AH$2,Income!$F:$F, $AD$1, Income!$B:$B, IF($AE57&lt;&gt;"", TEXT($AE57, "MMMM"), ""), Income!$C:$C, YEAR($AE57))</f>
        <v>0</v>
      </c>
      <c r="AI57" s="464">
        <f>SUMIFS(Income!$G:$G,Income!$H:$H, AI$2,Income!$F:$F, $AD$1, Income!$B:$B, IF($AE57&lt;&gt;"", TEXT($AE57, "MMMM"), ""), Income!$C:$C, YEAR($AE57))</f>
        <v>0</v>
      </c>
      <c r="AJ57" s="464">
        <f>SUMIFS(Income!$G:$G,Income!$H:$H, AJ$2,Income!$F:$F, $AD$1, Income!$B:$B, IF($AE57&lt;&gt;"", TEXT($AE57, "MMMM"), ""), Income!$C:$C, YEAR($AE57))</f>
        <v>0</v>
      </c>
      <c r="AK57" s="467">
        <f>SUMIFS(Income!$G:$G,Income!$H:$H, AK$2,Income!$F:$F, $AD$1, Income!$B:$B, IF($AE57&lt;&gt;"", TEXT($AE57, "MMMM"), ""), Income!$C:$C, YEAR($AE57))</f>
        <v>0</v>
      </c>
      <c r="AL57" s="428"/>
      <c r="AM57" s="463">
        <v>45474.0</v>
      </c>
      <c r="AN57" s="464">
        <f>SUMIFS(Income!$G:$G,Income!$H:$H, AN$2,Income!$F:$F, $AL$1, Income!$B:$B, IF($AM57&lt;&gt;"", TEXT($AM57, "MMMM"), ""), Income!$C:$C, YEAR($AM57))+SUMIFS($T:$T, $U:$U,AN$2,$Q:$Q,IF($AM57&lt;&gt;"", TEXT($AM57, "MMMM"), ""),$R:$R,YEAR($AM57))</f>
        <v>15</v>
      </c>
      <c r="AO57" s="464">
        <f>SUMIFS(Income!$G:$G,Income!$H:$H, AO$2,Income!$F:$F, $AL$1, Income!$B:$B, IF($AM57&lt;&gt;"", TEXT($AM57, "MMMM"), ""), Income!$C:$C, YEAR($AM57))+SUMIFS($T:$T, $U:$U,AO$2,$Q:$Q,IF($AM57&lt;&gt;"", TEXT($AM57, "MMMM"), ""),$R:$R,YEAR($AM57))</f>
        <v>0</v>
      </c>
      <c r="AP57" s="464">
        <f>SUMIFS(Income!$G:$G,Income!$H:$H, AP$2,Income!$F:$F, $AL$1, Income!$B:$B, IF($AM57&lt;&gt;"", TEXT($AM57, "MMMM"), ""), Income!$C:$C, YEAR($AM57))+SUMIFS($T:$T, $U:$U,AP$2,$Q:$Q,IF($AM57&lt;&gt;"", TEXT($AM57, "MMMM"), ""),$R:$R,YEAR($AM57))</f>
        <v>125</v>
      </c>
      <c r="AQ57" s="464">
        <f>SUMIFS(Income!$G:$G,Income!$H:$H, AQ$2,Income!$F:$F, $AL$1, Income!$B:$B, IF($AM57&lt;&gt;"", TEXT($AM57, "MMMM"), ""), Income!$C:$C, YEAR($AM57))+SUMIFS($T:$T, $U:$U,AQ$2,$Q:$Q,IF($AM57&lt;&gt;"", TEXT($AM57, "MMMM"), ""),$R:$R,YEAR($AM57))</f>
        <v>0</v>
      </c>
      <c r="AR57" s="464">
        <f>SUMIFS(Income!$G:$G,Income!$H:$H, AR$2,Income!$F:$F, $AL$1, Income!$B:$B, IF($AM57&lt;&gt;"", TEXT($AM57, "MMMM"), ""), Income!$C:$C, YEAR($AM57))+SUMIFS($T:$T, $U:$U,AR$2,$Q:$Q,IF($AM57&lt;&gt;"", TEXT($AM57, "MMMM"), ""),$R:$R,YEAR($AM57))</f>
        <v>453.11</v>
      </c>
      <c r="AS57" s="467">
        <f>SUMIFS(Income!$G:$G,Income!$H:$H, AS$2,Income!$F:$F, $AL$1, Income!$B:$B, IF($AM57&lt;&gt;"", TEXT($AM57, "MMMM"), ""), Income!$C:$C, YEAR($AM57))+SUMIFS($T:$T, $U:$U,AS$2,$Q:$Q,IF($AM57&lt;&gt;"", TEXT($AM57, "MMMM"), ""),$R:$R,YEAR($AM57))</f>
        <v>0</v>
      </c>
      <c r="AT57" s="428"/>
      <c r="AU57" s="463">
        <v>45474.0</v>
      </c>
      <c r="AV57" s="464">
        <f>SUMIFS(Income!$G:$G,Income!$H:$H, AV$2,Income!$F:$F, $AT$1, Income!$B:$B, IF($AU57&lt;&gt;"", TEXT($AU57, "MMMM"), ""), Income!$C:$C, YEAR($AU57))</f>
        <v>0</v>
      </c>
      <c r="AW57" s="464">
        <f>SUMIFS(Income!$G:$G,Income!$H:$H, AW$2,Income!$F:$F, $AT$1, Income!$B:$B, IF($AU57&lt;&gt;"", TEXT($AU57, "MMMM"), ""), Income!$C:$C, YEAR($AU57))</f>
        <v>150</v>
      </c>
      <c r="AX57" s="464">
        <f>SUMIFS(Income!$G:$G,Income!$H:$H, AX$2,Income!$F:$F, $AT$1, Income!$B:$B, IF($AU57&lt;&gt;"", TEXT($AU57, "MMMM"), ""), Income!$C:$C, YEAR($AU57))</f>
        <v>0</v>
      </c>
      <c r="AY57" s="464">
        <f>SUMIFS(Income!$G:$G,Income!$H:$H, AY$2,Income!$F:$F, $AT$1, Income!$B:$B, IF($AU57&lt;&gt;"", TEXT($AU57, "MMMM"), ""), Income!$C:$C, YEAR($AU57))</f>
        <v>0</v>
      </c>
      <c r="AZ57" s="464">
        <f>SUMIFS(Income!$G:$G,Income!$H:$H, AZ$2,Income!$F:$F, $AT$1, Income!$B:$B, IF($AU57&lt;&gt;"", TEXT($AU57, "MMMM"), ""), Income!$C:$C, YEAR($AU57))</f>
        <v>0</v>
      </c>
      <c r="BA57" s="468">
        <f>SUMIFS(Income!$G:$G,Income!$H:$H, BA$2,Income!$F:$F, $AT$1, Income!$B:$B, IF($AU57&lt;&gt;"", TEXT($AU57, "MMMM"), ""), Income!$C:$C, YEAR($AU57))</f>
        <v>0</v>
      </c>
      <c r="BB57" s="345"/>
      <c r="BC57" s="345"/>
      <c r="BD57" s="345"/>
      <c r="BE57" s="345"/>
    </row>
    <row r="58" ht="13.5" customHeight="1">
      <c r="A58" s="424">
        <f>'Membership Application List'!A287</f>
        <v>45339.50031</v>
      </c>
      <c r="B58" s="443" t="str">
        <f t="shared" si="6"/>
        <v>February</v>
      </c>
      <c r="C58" s="443">
        <f t="shared" si="7"/>
        <v>2024</v>
      </c>
      <c r="D58" s="426" t="str">
        <f>'Membership Application List'!E287</f>
        <v>Ryan Johnson</v>
      </c>
      <c r="E58" s="426">
        <f>IF('Membership Application List'!J287 = "Food/Litter Donation", 0, IF('Membership Application List'!J287 = "$15 Donation, Discord Verification", IF('Membership Application List'!N287 = TRUE, 15, 0)))</f>
        <v>15</v>
      </c>
      <c r="F58" s="426">
        <f>if('Membership Application List'!K287=TRUE, 5,0)</f>
        <v>0</v>
      </c>
      <c r="G58" s="426">
        <f t="shared" si="8"/>
        <v>15</v>
      </c>
      <c r="H58" s="427" t="str">
        <f>'Membership Application List'!L287</f>
        <v>Cashapp</v>
      </c>
      <c r="I58" s="428"/>
      <c r="J58" s="463">
        <v>45505.0</v>
      </c>
      <c r="K58" s="464">
        <f t="shared" ref="K58:O58" si="16">SUMIFS($G:$G, $H:$H, K$2, $B:$B, IF($J58&lt;&gt;"", TEXT($J58, "MMMM"), ""), $C:$C, YEAR($J58))</f>
        <v>165</v>
      </c>
      <c r="L58" s="464">
        <f t="shared" si="16"/>
        <v>240</v>
      </c>
      <c r="M58" s="464">
        <f t="shared" si="16"/>
        <v>180</v>
      </c>
      <c r="N58" s="464">
        <f t="shared" si="16"/>
        <v>75</v>
      </c>
      <c r="O58" s="465">
        <f t="shared" si="16"/>
        <v>0</v>
      </c>
      <c r="P58" s="414"/>
      <c r="Q58" s="414"/>
      <c r="R58" s="414"/>
      <c r="S58" s="445"/>
      <c r="T58" s="445"/>
      <c r="U58" s="445"/>
      <c r="V58" s="428"/>
      <c r="W58" s="463">
        <v>45505.0</v>
      </c>
      <c r="X58" s="464">
        <f>SUMIFS(Income!$G:$G,Income!$H:$H, X$2,Income!$F:$F, $V$1, Income!$B:$B, IF($W58&lt;&gt;"", TEXT($W58, "MMMM"), ""), Income!$C:$C, YEAR($W58))</f>
        <v>0</v>
      </c>
      <c r="Y58" s="464">
        <f>SUMIFS(Income!$G:$G,Income!$H:$H, Y$2,Income!$F:$F, $V$1, Income!$B:$B, IF($W58&lt;&gt;"", TEXT($W58, "MMMM"), ""), Income!$C:$C, YEAR($W58))</f>
        <v>0</v>
      </c>
      <c r="Z58" s="464">
        <f>SUMIFS(Income!$G:$G,Income!$H:$H, Z$2,Income!$F:$F, $V$1, Income!$B:$B, IF($W58&lt;&gt;"", TEXT($W58, "MMMM"), ""), Income!$C:$C, YEAR($W58))</f>
        <v>0</v>
      </c>
      <c r="AA58" s="464">
        <f>SUMIFS(Income!$G:$G,Income!$H:$H, AA$2,Income!$F:$F, $V$1, Income!$B:$B, IF($W58&lt;&gt;"", TEXT($W58, "MMMM"), ""), Income!$C:$C, YEAR($W58))</f>
        <v>0</v>
      </c>
      <c r="AB58" s="464">
        <f>SUMIFS(Income!$G:$G,Income!$H:$H, AB$2,Income!$F:$F, $V$1, Income!$B:$B, IF($W58&lt;&gt;"", TEXT($W58, "MMMM"), ""), Income!$C:$C, YEAR($W58))</f>
        <v>0</v>
      </c>
      <c r="AC58" s="467">
        <f>SUMIFS(Income!$G:$G,Income!$H:$H, AC$2,Income!$F:$F, $V$1, Income!$B:$B, IF($W58&lt;&gt;"", TEXT($W58, "MMMM"), ""), Income!$C:$C, YEAR($W58))</f>
        <v>0</v>
      </c>
      <c r="AD58" s="428"/>
      <c r="AE58" s="463">
        <v>45505.0</v>
      </c>
      <c r="AF58" s="464">
        <f>SUMIFS(Income!$G:$G,Income!$H:$H, AF$2,Income!$F:$F, $AD$1, Income!$B:$B, IF($AE58&lt;&gt;"", TEXT($AE58, "MMMM"), ""), Income!$C:$C, YEAR($AE58))</f>
        <v>0</v>
      </c>
      <c r="AG58" s="464">
        <f>SUMIFS(Income!$G:$G,Income!$H:$H, AG$2,Income!$F:$F, $AD$1, Income!$B:$B, IF($AE58&lt;&gt;"", TEXT($AE58, "MMMM"), ""), Income!$C:$C, YEAR($AE58))</f>
        <v>0</v>
      </c>
      <c r="AH58" s="464">
        <f>SUMIFS(Income!$G:$G,Income!$H:$H, AH$2,Income!$F:$F, $AD$1, Income!$B:$B, IF($AE58&lt;&gt;"", TEXT($AE58, "MMMM"), ""), Income!$C:$C, YEAR($AE58))</f>
        <v>0</v>
      </c>
      <c r="AI58" s="464">
        <f>SUMIFS(Income!$G:$G,Income!$H:$H, AI$2,Income!$F:$F, $AD$1, Income!$B:$B, IF($AE58&lt;&gt;"", TEXT($AE58, "MMMM"), ""), Income!$C:$C, YEAR($AE58))</f>
        <v>0</v>
      </c>
      <c r="AJ58" s="464">
        <f>SUMIFS(Income!$G:$G,Income!$H:$H, AJ$2,Income!$F:$F, $AD$1, Income!$B:$B, IF($AE58&lt;&gt;"", TEXT($AE58, "MMMM"), ""), Income!$C:$C, YEAR($AE58))</f>
        <v>0</v>
      </c>
      <c r="AK58" s="467">
        <f>SUMIFS(Income!$G:$G,Income!$H:$H, AK$2,Income!$F:$F, $AD$1, Income!$B:$B, IF($AE58&lt;&gt;"", TEXT($AE58, "MMMM"), ""), Income!$C:$C, YEAR($AE58))</f>
        <v>0</v>
      </c>
      <c r="AL58" s="428"/>
      <c r="AM58" s="463">
        <v>45505.0</v>
      </c>
      <c r="AN58" s="464">
        <f>SUMIFS(Income!$G:$G,Income!$H:$H, AN$2,Income!$F:$F, $AL$1, Income!$B:$B, IF($AM58&lt;&gt;"", TEXT($AM58, "MMMM"), ""), Income!$C:$C, YEAR($AM58))+SUMIFS($T:$T, $U:$U,AN$2,$Q:$Q,IF($AM58&lt;&gt;"", TEXT($AM58, "MMMM"), ""),$R:$R,YEAR($AM58))</f>
        <v>295</v>
      </c>
      <c r="AO58" s="464">
        <f>SUMIFS(Income!$G:$G,Income!$H:$H, AO$2,Income!$F:$F, $AL$1, Income!$B:$B, IF($AM58&lt;&gt;"", TEXT($AM58, "MMMM"), ""), Income!$C:$C, YEAR($AM58))+SUMIFS($T:$T, $U:$U,AO$2,$Q:$Q,IF($AM58&lt;&gt;"", TEXT($AM58, "MMMM"), ""),$R:$R,YEAR($AM58))</f>
        <v>155</v>
      </c>
      <c r="AP58" s="464">
        <f>SUMIFS(Income!$G:$G,Income!$H:$H, AP$2,Income!$F:$F, $AL$1, Income!$B:$B, IF($AM58&lt;&gt;"", TEXT($AM58, "MMMM"), ""), Income!$C:$C, YEAR($AM58))+SUMIFS($T:$T, $U:$U,AP$2,$Q:$Q,IF($AM58&lt;&gt;"", TEXT($AM58, "MMMM"), ""),$R:$R,YEAR($AM58))</f>
        <v>760</v>
      </c>
      <c r="AQ58" s="464">
        <f>SUMIFS(Income!$G:$G,Income!$H:$H, AQ$2,Income!$F:$F, $AL$1, Income!$B:$B, IF($AM58&lt;&gt;"", TEXT($AM58, "MMMM"), ""), Income!$C:$C, YEAR($AM58))+SUMIFS($T:$T, $U:$U,AQ$2,$Q:$Q,IF($AM58&lt;&gt;"", TEXT($AM58, "MMMM"), ""),$R:$R,YEAR($AM58))</f>
        <v>5</v>
      </c>
      <c r="AR58" s="464">
        <f>SUMIFS(Income!$G:$G,Income!$H:$H, AR$2,Income!$F:$F, $AL$1, Income!$B:$B, IF($AM58&lt;&gt;"", TEXT($AM58, "MMMM"), ""), Income!$C:$C, YEAR($AM58))+SUMIFS($T:$T, $U:$U,AR$2,$Q:$Q,IF($AM58&lt;&gt;"", TEXT($AM58, "MMMM"), ""),$R:$R,YEAR($AM58))</f>
        <v>271.92</v>
      </c>
      <c r="AS58" s="467">
        <f>SUMIFS(Income!$G:$G,Income!$H:$H, AS$2,Income!$F:$F, $AL$1, Income!$B:$B, IF($AM58&lt;&gt;"", TEXT($AM58, "MMMM"), ""), Income!$C:$C, YEAR($AM58))+SUMIFS($T:$T, $U:$U,AS$2,$Q:$Q,IF($AM58&lt;&gt;"", TEXT($AM58, "MMMM"), ""),$R:$R,YEAR($AM58))</f>
        <v>0</v>
      </c>
      <c r="AT58" s="428"/>
      <c r="AU58" s="463">
        <v>45505.0</v>
      </c>
      <c r="AV58" s="464">
        <f>SUMIFS(Income!$G:$G,Income!$H:$H, AV$2,Income!$F:$F, $AT$1, Income!$B:$B, IF($AU58&lt;&gt;"", TEXT($AU58, "MMMM"), ""), Income!$C:$C, YEAR($AU58))</f>
        <v>0</v>
      </c>
      <c r="AW58" s="464">
        <f>SUMIFS(Income!$G:$G,Income!$H:$H, AW$2,Income!$F:$F, $AT$1, Income!$B:$B, IF($AU58&lt;&gt;"", TEXT($AU58, "MMMM"), ""), Income!$C:$C, YEAR($AU58))</f>
        <v>0</v>
      </c>
      <c r="AX58" s="464">
        <f>SUMIFS(Income!$G:$G,Income!$H:$H, AX$2,Income!$F:$F, $AT$1, Income!$B:$B, IF($AU58&lt;&gt;"", TEXT($AU58, "MMMM"), ""), Income!$C:$C, YEAR($AU58))</f>
        <v>0</v>
      </c>
      <c r="AY58" s="464">
        <f>SUMIFS(Income!$G:$G,Income!$H:$H, AY$2,Income!$F:$F, $AT$1, Income!$B:$B, IF($AU58&lt;&gt;"", TEXT($AU58, "MMMM"), ""), Income!$C:$C, YEAR($AU58))</f>
        <v>0</v>
      </c>
      <c r="AZ58" s="464">
        <f>SUMIFS(Income!$G:$G,Income!$H:$H, AZ$2,Income!$F:$F, $AT$1, Income!$B:$B, IF($AU58&lt;&gt;"", TEXT($AU58, "MMMM"), ""), Income!$C:$C, YEAR($AU58))</f>
        <v>0</v>
      </c>
      <c r="BA58" s="468">
        <f>SUMIFS(Income!$G:$G,Income!$H:$H, BA$2,Income!$F:$F, $AT$1, Income!$B:$B, IF($AU58&lt;&gt;"", TEXT($AU58, "MMMM"), ""), Income!$C:$C, YEAR($AU58))</f>
        <v>0</v>
      </c>
      <c r="BB58" s="345"/>
      <c r="BC58" s="345"/>
      <c r="BD58" s="345"/>
      <c r="BE58" s="345"/>
    </row>
    <row r="59" ht="13.5" customHeight="1">
      <c r="A59" s="436">
        <f>'Membership Application List'!A288</f>
        <v>45339.50264</v>
      </c>
      <c r="B59" s="437" t="str">
        <f t="shared" si="6"/>
        <v>February</v>
      </c>
      <c r="C59" s="437">
        <f t="shared" si="7"/>
        <v>2024</v>
      </c>
      <c r="D59" s="438" t="str">
        <f>'Membership Application List'!E288</f>
        <v>John Joseph Sanchez</v>
      </c>
      <c r="E59" s="438">
        <f>IF('Membership Application List'!J288 = "Food/Litter Donation", 0, IF('Membership Application List'!J288 = "$15 Donation, Discord Verification", IF('Membership Application List'!N288 = TRUE, 15, 0)))</f>
        <v>0</v>
      </c>
      <c r="F59" s="438">
        <f>if('Membership Application List'!K288=TRUE, 5,0)</f>
        <v>0</v>
      </c>
      <c r="G59" s="438">
        <f t="shared" si="8"/>
        <v>0</v>
      </c>
      <c r="H59" s="439" t="str">
        <f>'Membership Application List'!L288</f>
        <v>Cash</v>
      </c>
      <c r="I59" s="428"/>
      <c r="J59" s="463">
        <v>45536.0</v>
      </c>
      <c r="K59" s="464">
        <f t="shared" ref="K59:O59" si="17">SUMIFS($G:$G, $H:$H, K$2, $B:$B, IF($J59&lt;&gt;"", TEXT($J59, "MMMM"), ""), $C:$C, YEAR($J59))</f>
        <v>135</v>
      </c>
      <c r="L59" s="464">
        <f t="shared" si="17"/>
        <v>105</v>
      </c>
      <c r="M59" s="464">
        <f t="shared" si="17"/>
        <v>90</v>
      </c>
      <c r="N59" s="464">
        <f t="shared" si="17"/>
        <v>150</v>
      </c>
      <c r="O59" s="465">
        <f t="shared" si="17"/>
        <v>0</v>
      </c>
      <c r="P59" s="414"/>
      <c r="Q59" s="414"/>
      <c r="R59" s="414"/>
      <c r="S59" s="445"/>
      <c r="T59" s="445"/>
      <c r="U59" s="445"/>
      <c r="V59" s="428"/>
      <c r="W59" s="463">
        <v>45536.0</v>
      </c>
      <c r="X59" s="464">
        <f>SUMIFS(Income!$G:$G,Income!$H:$H, X$2,Income!$F:$F, $V$1, Income!$B:$B, IF($W59&lt;&gt;"", TEXT($W59, "MMMM"), ""), Income!$C:$C, YEAR($W59))</f>
        <v>0</v>
      </c>
      <c r="Y59" s="464">
        <f>SUMIFS(Income!$G:$G,Income!$H:$H, Y$2,Income!$F:$F, $V$1, Income!$B:$B, IF($W59&lt;&gt;"", TEXT($W59, "MMMM"), ""), Income!$C:$C, YEAR($W59))</f>
        <v>114</v>
      </c>
      <c r="Z59" s="464">
        <f>SUMIFS(Income!$G:$G,Income!$H:$H, Z$2,Income!$F:$F, $V$1, Income!$B:$B, IF($W59&lt;&gt;"", TEXT($W59, "MMMM"), ""), Income!$C:$C, YEAR($W59))</f>
        <v>80</v>
      </c>
      <c r="AA59" s="464">
        <f>SUMIFS(Income!$G:$G,Income!$H:$H, AA$2,Income!$F:$F, $V$1, Income!$B:$B, IF($W59&lt;&gt;"", TEXT($W59, "MMMM"), ""), Income!$C:$C, YEAR($W59))</f>
        <v>158</v>
      </c>
      <c r="AB59" s="464">
        <f>SUMIFS(Income!$G:$G,Income!$H:$H, AB$2,Income!$F:$F, $V$1, Income!$B:$B, IF($W59&lt;&gt;"", TEXT($W59, "MMMM"), ""), Income!$C:$C, YEAR($W59))</f>
        <v>0</v>
      </c>
      <c r="AC59" s="467">
        <f>SUMIFS(Income!$G:$G,Income!$H:$H, AC$2,Income!$F:$F, $V$1, Income!$B:$B, IF($W59&lt;&gt;"", TEXT($W59, "MMMM"), ""), Income!$C:$C, YEAR($W59))</f>
        <v>0</v>
      </c>
      <c r="AD59" s="428"/>
      <c r="AE59" s="463">
        <v>45536.0</v>
      </c>
      <c r="AF59" s="464">
        <f>SUMIFS(Income!$G:$G,Income!$H:$H, AF$2,Income!$F:$F, $AD$1, Income!$B:$B, IF($AE59&lt;&gt;"", TEXT($AE59, "MMMM"), ""), Income!$C:$C, YEAR($AE59))</f>
        <v>0</v>
      </c>
      <c r="AG59" s="464">
        <f>SUMIFS(Income!$G:$G,Income!$H:$H, AG$2,Income!$F:$F, $AD$1, Income!$B:$B, IF($AE59&lt;&gt;"", TEXT($AE59, "MMMM"), ""), Income!$C:$C, YEAR($AE59))</f>
        <v>0</v>
      </c>
      <c r="AH59" s="464">
        <f>SUMIFS(Income!$G:$G,Income!$H:$H, AH$2,Income!$F:$F, $AD$1, Income!$B:$B, IF($AE59&lt;&gt;"", TEXT($AE59, "MMMM"), ""), Income!$C:$C, YEAR($AE59))</f>
        <v>0</v>
      </c>
      <c r="AI59" s="464">
        <f>SUMIFS(Income!$G:$G,Income!$H:$H, AI$2,Income!$F:$F, $AD$1, Income!$B:$B, IF($AE59&lt;&gt;"", TEXT($AE59, "MMMM"), ""), Income!$C:$C, YEAR($AE59))</f>
        <v>0</v>
      </c>
      <c r="AJ59" s="464">
        <f>SUMIFS(Income!$G:$G,Income!$H:$H, AJ$2,Income!$F:$F, $AD$1, Income!$B:$B, IF($AE59&lt;&gt;"", TEXT($AE59, "MMMM"), ""), Income!$C:$C, YEAR($AE59))</f>
        <v>0</v>
      </c>
      <c r="AK59" s="467">
        <f>SUMIFS(Income!$G:$G,Income!$H:$H, AK$2,Income!$F:$F, $AD$1, Income!$B:$B, IF($AE59&lt;&gt;"", TEXT($AE59, "MMMM"), ""), Income!$C:$C, YEAR($AE59))</f>
        <v>0</v>
      </c>
      <c r="AL59" s="428"/>
      <c r="AM59" s="463">
        <v>45536.0</v>
      </c>
      <c r="AN59" s="464">
        <f>SUMIFS(Income!$G:$G,Income!$H:$H, AN$2,Income!$F:$F, $AL$1, Income!$B:$B, IF($AM59&lt;&gt;"", TEXT($AM59, "MMMM"), ""), Income!$C:$C, YEAR($AM59))+SUMIFS($T:$T, $U:$U,AN$2,$Q:$Q,IF($AM59&lt;&gt;"", TEXT($AM59, "MMMM"), ""),$R:$R,YEAR($AM59))</f>
        <v>100</v>
      </c>
      <c r="AO59" s="464">
        <f>SUMIFS(Income!$G:$G,Income!$H:$H, AO$2,Income!$F:$F, $AL$1, Income!$B:$B, IF($AM59&lt;&gt;"", TEXT($AM59, "MMMM"), ""), Income!$C:$C, YEAR($AM59))+SUMIFS($T:$T, $U:$U,AO$2,$Q:$Q,IF($AM59&lt;&gt;"", TEXT($AM59, "MMMM"), ""),$R:$R,YEAR($AM59))</f>
        <v>75</v>
      </c>
      <c r="AP59" s="464">
        <f>SUMIFS(Income!$G:$G,Income!$H:$H, AP$2,Income!$F:$F, $AL$1, Income!$B:$B, IF($AM59&lt;&gt;"", TEXT($AM59, "MMMM"), ""), Income!$C:$C, YEAR($AM59))+SUMIFS($T:$T, $U:$U,AP$2,$Q:$Q,IF($AM59&lt;&gt;"", TEXT($AM59, "MMMM"), ""),$R:$R,YEAR($AM59))</f>
        <v>0</v>
      </c>
      <c r="AQ59" s="464">
        <f>SUMIFS(Income!$G:$G,Income!$H:$H, AQ$2,Income!$F:$F, $AL$1, Income!$B:$B, IF($AM59&lt;&gt;"", TEXT($AM59, "MMMM"), ""), Income!$C:$C, YEAR($AM59))+SUMIFS($T:$T, $U:$U,AQ$2,$Q:$Q,IF($AM59&lt;&gt;"", TEXT($AM59, "MMMM"), ""),$R:$R,YEAR($AM59))</f>
        <v>65</v>
      </c>
      <c r="AR59" s="464">
        <f>SUMIFS(Income!$G:$G,Income!$H:$H, AR$2,Income!$F:$F, $AL$1, Income!$B:$B, IF($AM59&lt;&gt;"", TEXT($AM59, "MMMM"), ""), Income!$C:$C, YEAR($AM59))+SUMIFS($T:$T, $U:$U,AR$2,$Q:$Q,IF($AM59&lt;&gt;"", TEXT($AM59, "MMMM"), ""),$R:$R,YEAR($AM59))</f>
        <v>800</v>
      </c>
      <c r="AS59" s="467">
        <f>SUMIFS(Income!$G:$G,Income!$H:$H, AS$2,Income!$F:$F, $AL$1, Income!$B:$B, IF($AM59&lt;&gt;"", TEXT($AM59, "MMMM"), ""), Income!$C:$C, YEAR($AM59))+SUMIFS($T:$T, $U:$U,AS$2,$Q:$Q,IF($AM59&lt;&gt;"", TEXT($AM59, "MMMM"), ""),$R:$R,YEAR($AM59))</f>
        <v>0</v>
      </c>
      <c r="AT59" s="428"/>
      <c r="AU59" s="463">
        <v>45536.0</v>
      </c>
      <c r="AV59" s="464">
        <f>SUMIFS(Income!$G:$G,Income!$H:$H, AV$2,Income!$F:$F, $AT$1, Income!$B:$B, IF($AU59&lt;&gt;"", TEXT($AU59, "MMMM"), ""), Income!$C:$C, YEAR($AU59))</f>
        <v>0</v>
      </c>
      <c r="AW59" s="464">
        <f>SUMIFS(Income!$G:$G,Income!$H:$H, AW$2,Income!$F:$F, $AT$1, Income!$B:$B, IF($AU59&lt;&gt;"", TEXT($AU59, "MMMM"), ""), Income!$C:$C, YEAR($AU59))</f>
        <v>0</v>
      </c>
      <c r="AX59" s="464">
        <f>SUMIFS(Income!$G:$G,Income!$H:$H, AX$2,Income!$F:$F, $AT$1, Income!$B:$B, IF($AU59&lt;&gt;"", TEXT($AU59, "MMMM"), ""), Income!$C:$C, YEAR($AU59))</f>
        <v>0</v>
      </c>
      <c r="AY59" s="464">
        <f>SUMIFS(Income!$G:$G,Income!$H:$H, AY$2,Income!$F:$F, $AT$1, Income!$B:$B, IF($AU59&lt;&gt;"", TEXT($AU59, "MMMM"), ""), Income!$C:$C, YEAR($AU59))</f>
        <v>0</v>
      </c>
      <c r="AZ59" s="464">
        <f>SUMIFS(Income!$G:$G,Income!$H:$H, AZ$2,Income!$F:$F, $AT$1, Income!$B:$B, IF($AU59&lt;&gt;"", TEXT($AU59, "MMMM"), ""), Income!$C:$C, YEAR($AU59))</f>
        <v>0</v>
      </c>
      <c r="BA59" s="468">
        <f>SUMIFS(Income!$G:$G,Income!$H:$H, BA$2,Income!$F:$F, $AT$1, Income!$B:$B, IF($AU59&lt;&gt;"", TEXT($AU59, "MMMM"), ""), Income!$C:$C, YEAR($AU59))</f>
        <v>0</v>
      </c>
      <c r="BB59" s="345"/>
      <c r="BC59" s="345"/>
      <c r="BD59" s="345"/>
      <c r="BE59" s="345"/>
    </row>
    <row r="60" ht="13.5" customHeight="1">
      <c r="A60" s="424">
        <f>'Membership Application List'!A289</f>
        <v>45339.97647</v>
      </c>
      <c r="B60" s="443" t="str">
        <f t="shared" si="6"/>
        <v>February</v>
      </c>
      <c r="C60" s="443">
        <f t="shared" si="7"/>
        <v>2024</v>
      </c>
      <c r="D60" s="426" t="str">
        <f>'Membership Application List'!E289</f>
        <v>Axel Torres </v>
      </c>
      <c r="E60" s="426">
        <f>IF('Membership Application List'!J289 = "Food/Litter Donation", 0, IF('Membership Application List'!J289 = "$15 Donation, Discord Verification", IF('Membership Application List'!N289 = TRUE, 15, 0)))</f>
        <v>15</v>
      </c>
      <c r="F60" s="426">
        <f>if('Membership Application List'!K289=TRUE, 5,0)</f>
        <v>0</v>
      </c>
      <c r="G60" s="426">
        <f t="shared" si="8"/>
        <v>15</v>
      </c>
      <c r="H60" s="427" t="str">
        <f>'Membership Application List'!L289</f>
        <v>Paypal</v>
      </c>
      <c r="I60" s="428"/>
      <c r="J60" s="463">
        <v>45566.0</v>
      </c>
      <c r="K60" s="464">
        <f t="shared" ref="K60:O60" si="18">SUMIFS($G:$G, $H:$H, K$2, $B:$B, IF($J60&lt;&gt;"", TEXT($J60, "MMMM"), ""), $C:$C, YEAR($J60))</f>
        <v>15</v>
      </c>
      <c r="L60" s="464">
        <f t="shared" si="18"/>
        <v>15</v>
      </c>
      <c r="M60" s="464">
        <f t="shared" si="18"/>
        <v>60</v>
      </c>
      <c r="N60" s="464">
        <f t="shared" si="18"/>
        <v>0</v>
      </c>
      <c r="O60" s="465">
        <f t="shared" si="18"/>
        <v>0</v>
      </c>
      <c r="P60" s="414"/>
      <c r="Q60" s="414"/>
      <c r="R60" s="414"/>
      <c r="S60" s="445"/>
      <c r="T60" s="445"/>
      <c r="U60" s="445"/>
      <c r="V60" s="428"/>
      <c r="W60" s="463">
        <v>45566.0</v>
      </c>
      <c r="X60" s="464">
        <f>SUMIFS(Income!$G:$G,Income!$H:$H, X$2,Income!$F:$F, $V$1, Income!$B:$B, IF($W60&lt;&gt;"", TEXT($W60, "MMMM"), ""), Income!$C:$C, YEAR($W60))</f>
        <v>0</v>
      </c>
      <c r="Y60" s="464">
        <f>SUMIFS(Income!$G:$G,Income!$H:$H, Y$2,Income!$F:$F, $V$1, Income!$B:$B, IF($W60&lt;&gt;"", TEXT($W60, "MMMM"), ""), Income!$C:$C, YEAR($W60))</f>
        <v>63</v>
      </c>
      <c r="Z60" s="464">
        <f>SUMIFS(Income!$G:$G,Income!$H:$H, Z$2,Income!$F:$F, $V$1, Income!$B:$B, IF($W60&lt;&gt;"", TEXT($W60, "MMMM"), ""), Income!$C:$C, YEAR($W60))</f>
        <v>46</v>
      </c>
      <c r="AA60" s="464">
        <f>SUMIFS(Income!$G:$G,Income!$H:$H, AA$2,Income!$F:$F, $V$1, Income!$B:$B, IF($W60&lt;&gt;"", TEXT($W60, "MMMM"), ""), Income!$C:$C, YEAR($W60))</f>
        <v>118</v>
      </c>
      <c r="AB60" s="464">
        <f>SUMIFS(Income!$G:$G,Income!$H:$H, AB$2,Income!$F:$F, $V$1, Income!$B:$B, IF($W60&lt;&gt;"", TEXT($W60, "MMMM"), ""), Income!$C:$C, YEAR($W60))</f>
        <v>0</v>
      </c>
      <c r="AC60" s="467">
        <f>SUMIFS(Income!$G:$G,Income!$H:$H, AC$2,Income!$F:$F, $V$1, Income!$B:$B, IF($W60&lt;&gt;"", TEXT($W60, "MMMM"), ""), Income!$C:$C, YEAR($W60))</f>
        <v>19</v>
      </c>
      <c r="AD60" s="428"/>
      <c r="AE60" s="463">
        <v>45566.0</v>
      </c>
      <c r="AF60" s="464">
        <f>SUMIFS(Income!$G:$G,Income!$H:$H, AF$2,Income!$F:$F, $AD$1, Income!$B:$B, IF($AE60&lt;&gt;"", TEXT($AE60, "MMMM"), ""), Income!$C:$C, YEAR($AE60))</f>
        <v>0</v>
      </c>
      <c r="AG60" s="464">
        <f>SUMIFS(Income!$G:$G,Income!$H:$H, AG$2,Income!$F:$F, $AD$1, Income!$B:$B, IF($AE60&lt;&gt;"", TEXT($AE60, "MMMM"), ""), Income!$C:$C, YEAR($AE60))</f>
        <v>0</v>
      </c>
      <c r="AH60" s="464">
        <f>SUMIFS(Income!$G:$G,Income!$H:$H, AH$2,Income!$F:$F, $AD$1, Income!$B:$B, IF($AE60&lt;&gt;"", TEXT($AE60, "MMMM"), ""), Income!$C:$C, YEAR($AE60))</f>
        <v>0</v>
      </c>
      <c r="AI60" s="464">
        <f>SUMIFS(Income!$G:$G,Income!$H:$H, AI$2,Income!$F:$F, $AD$1, Income!$B:$B, IF($AE60&lt;&gt;"", TEXT($AE60, "MMMM"), ""), Income!$C:$C, YEAR($AE60))</f>
        <v>0</v>
      </c>
      <c r="AJ60" s="464">
        <f>SUMIFS(Income!$G:$G,Income!$H:$H, AJ$2,Income!$F:$F, $AD$1, Income!$B:$B, IF($AE60&lt;&gt;"", TEXT($AE60, "MMMM"), ""), Income!$C:$C, YEAR($AE60))</f>
        <v>0</v>
      </c>
      <c r="AK60" s="467">
        <f>SUMIFS(Income!$G:$G,Income!$H:$H, AK$2,Income!$F:$F, $AD$1, Income!$B:$B, IF($AE60&lt;&gt;"", TEXT($AE60, "MMMM"), ""), Income!$C:$C, YEAR($AE60))</f>
        <v>0</v>
      </c>
      <c r="AL60" s="428"/>
      <c r="AM60" s="463">
        <v>45566.0</v>
      </c>
      <c r="AN60" s="464">
        <f>SUMIFS(Income!$G:$G,Income!$H:$H, AN$2,Income!$F:$F, $AL$1, Income!$B:$B, IF($AM60&lt;&gt;"", TEXT($AM60, "MMMM"), ""), Income!$C:$C, YEAR($AM60))+SUMIFS($T:$T, $U:$U,AN$2,$Q:$Q,IF($AM60&lt;&gt;"", TEXT($AM60, "MMMM"), ""),$R:$R,YEAR($AM60))</f>
        <v>0</v>
      </c>
      <c r="AO60" s="464">
        <f>SUMIFS(Income!$G:$G,Income!$H:$H, AO$2,Income!$F:$F, $AL$1, Income!$B:$B, IF($AM60&lt;&gt;"", TEXT($AM60, "MMMM"), ""), Income!$C:$C, YEAR($AM60))+SUMIFS($T:$T, $U:$U,AO$2,$Q:$Q,IF($AM60&lt;&gt;"", TEXT($AM60, "MMMM"), ""),$R:$R,YEAR($AM60))</f>
        <v>25</v>
      </c>
      <c r="AP60" s="464">
        <f>SUMIFS(Income!$G:$G,Income!$H:$H, AP$2,Income!$F:$F, $AL$1, Income!$B:$B, IF($AM60&lt;&gt;"", TEXT($AM60, "MMMM"), ""), Income!$C:$C, YEAR($AM60))+SUMIFS($T:$T, $U:$U,AP$2,$Q:$Q,IF($AM60&lt;&gt;"", TEXT($AM60, "MMMM"), ""),$R:$R,YEAR($AM60))</f>
        <v>0</v>
      </c>
      <c r="AQ60" s="464">
        <f>SUMIFS(Income!$G:$G,Income!$H:$H, AQ$2,Income!$F:$F, $AL$1, Income!$B:$B, IF($AM60&lt;&gt;"", TEXT($AM60, "MMMM"), ""), Income!$C:$C, YEAR($AM60))+SUMIFS($T:$T, $U:$U,AQ$2,$Q:$Q,IF($AM60&lt;&gt;"", TEXT($AM60, "MMMM"), ""),$R:$R,YEAR($AM60))</f>
        <v>0</v>
      </c>
      <c r="AR60" s="464">
        <f>SUMIFS(Income!$G:$G,Income!$H:$H, AR$2,Income!$F:$F, $AL$1, Income!$B:$B, IF($AM60&lt;&gt;"", TEXT($AM60, "MMMM"), ""), Income!$C:$C, YEAR($AM60))+SUMIFS($T:$T, $U:$U,AR$2,$Q:$Q,IF($AM60&lt;&gt;"", TEXT($AM60, "MMMM"), ""),$R:$R,YEAR($AM60))</f>
        <v>0</v>
      </c>
      <c r="AS60" s="467">
        <f>SUMIFS(Income!$G:$G,Income!$H:$H, AS$2,Income!$F:$F, $AL$1, Income!$B:$B, IF($AM60&lt;&gt;"", TEXT($AM60, "MMMM"), ""), Income!$C:$C, YEAR($AM60))+SUMIFS($T:$T, $U:$U,AS$2,$Q:$Q,IF($AM60&lt;&gt;"", TEXT($AM60, "MMMM"), ""),$R:$R,YEAR($AM60))</f>
        <v>0</v>
      </c>
      <c r="AT60" s="428"/>
      <c r="AU60" s="463">
        <v>45566.0</v>
      </c>
      <c r="AV60" s="464">
        <f>SUMIFS(Income!$G:$G,Income!$H:$H, AV$2,Income!$F:$F, $AT$1, Income!$B:$B, IF($AU60&lt;&gt;"", TEXT($AU60, "MMMM"), ""), Income!$C:$C, YEAR($AU60))</f>
        <v>0</v>
      </c>
      <c r="AW60" s="464">
        <f>SUMIFS(Income!$G:$G,Income!$H:$H, AW$2,Income!$F:$F, $AT$1, Income!$B:$B, IF($AU60&lt;&gt;"", TEXT($AU60, "MMMM"), ""), Income!$C:$C, YEAR($AU60))</f>
        <v>0</v>
      </c>
      <c r="AX60" s="464">
        <f>SUMIFS(Income!$G:$G,Income!$H:$H, AX$2,Income!$F:$F, $AT$1, Income!$B:$B, IF($AU60&lt;&gt;"", TEXT($AU60, "MMMM"), ""), Income!$C:$C, YEAR($AU60))</f>
        <v>0</v>
      </c>
      <c r="AY60" s="464">
        <f>SUMIFS(Income!$G:$G,Income!$H:$H, AY$2,Income!$F:$F, $AT$1, Income!$B:$B, IF($AU60&lt;&gt;"", TEXT($AU60, "MMMM"), ""), Income!$C:$C, YEAR($AU60))</f>
        <v>0</v>
      </c>
      <c r="AZ60" s="464">
        <f>SUMIFS(Income!$G:$G,Income!$H:$H, AZ$2,Income!$F:$F, $AT$1, Income!$B:$B, IF($AU60&lt;&gt;"", TEXT($AU60, "MMMM"), ""), Income!$C:$C, YEAR($AU60))</f>
        <v>0</v>
      </c>
      <c r="BA60" s="468">
        <f>SUMIFS(Income!$G:$G,Income!$H:$H, BA$2,Income!$F:$F, $AT$1, Income!$B:$B, IF($AU60&lt;&gt;"", TEXT($AU60, "MMMM"), ""), Income!$C:$C, YEAR($AU60))</f>
        <v>0</v>
      </c>
      <c r="BB60" s="345"/>
      <c r="BC60" s="345"/>
      <c r="BD60" s="345"/>
      <c r="BE60" s="345"/>
    </row>
    <row r="61" ht="13.5" customHeight="1">
      <c r="A61" s="436">
        <f>'Membership Application List'!A290</f>
        <v>45342.4655</v>
      </c>
      <c r="B61" s="437" t="str">
        <f t="shared" si="6"/>
        <v>February</v>
      </c>
      <c r="C61" s="437">
        <f t="shared" si="7"/>
        <v>2024</v>
      </c>
      <c r="D61" s="438" t="str">
        <f>'Membership Application List'!E290</f>
        <v>Morgan Chivers</v>
      </c>
      <c r="E61" s="438">
        <f>IF('Membership Application List'!J290 = "Food/Litter Donation", 0, IF('Membership Application List'!J290 = "$15 Donation, Discord Verification", IF('Membership Application List'!N290 = TRUE, 15, 0)))</f>
        <v>0</v>
      </c>
      <c r="F61" s="438">
        <f>if('Membership Application List'!K290=TRUE, 5,0)</f>
        <v>0</v>
      </c>
      <c r="G61" s="438">
        <f t="shared" si="8"/>
        <v>0</v>
      </c>
      <c r="H61" s="439" t="str">
        <f>'Membership Application List'!L290</f>
        <v/>
      </c>
      <c r="I61" s="428"/>
      <c r="J61" s="463">
        <v>45597.0</v>
      </c>
      <c r="K61" s="464">
        <f t="shared" ref="K61:O61" si="19">SUMIFS($G:$G, $H:$H, K$2, $B:$B, IF($J61&lt;&gt;"", TEXT($J61, "MMMM"), ""), $C:$C, YEAR($J61))</f>
        <v>0</v>
      </c>
      <c r="L61" s="464">
        <f t="shared" si="19"/>
        <v>0</v>
      </c>
      <c r="M61" s="464">
        <f t="shared" si="19"/>
        <v>0</v>
      </c>
      <c r="N61" s="464">
        <f t="shared" si="19"/>
        <v>0</v>
      </c>
      <c r="O61" s="465">
        <f t="shared" si="19"/>
        <v>0</v>
      </c>
      <c r="P61" s="414"/>
      <c r="Q61" s="414"/>
      <c r="R61" s="414"/>
      <c r="S61" s="445"/>
      <c r="T61" s="445"/>
      <c r="U61" s="445"/>
      <c r="V61" s="428"/>
      <c r="W61" s="463">
        <v>45597.0</v>
      </c>
      <c r="X61" s="464">
        <f>SUMIFS(Income!$G:$G,Income!$H:$H, X$2,Income!$F:$F, $V$1, Income!$B:$B, IF($W61&lt;&gt;"", TEXT($W61, "MMMM"), ""), Income!$C:$C, YEAR($W61))</f>
        <v>0</v>
      </c>
      <c r="Y61" s="464">
        <f>SUMIFS(Income!$G:$G,Income!$H:$H, Y$2,Income!$F:$F, $V$1, Income!$B:$B, IF($W61&lt;&gt;"", TEXT($W61, "MMMM"), ""), Income!$C:$C, YEAR($W61))</f>
        <v>0</v>
      </c>
      <c r="Z61" s="464">
        <f>SUMIFS(Income!$G:$G,Income!$H:$H, Z$2,Income!$F:$F, $V$1, Income!$B:$B, IF($W61&lt;&gt;"", TEXT($W61, "MMMM"), ""), Income!$C:$C, YEAR($W61))</f>
        <v>0</v>
      </c>
      <c r="AA61" s="464">
        <f>SUMIFS(Income!$G:$G,Income!$H:$H, AA$2,Income!$F:$F, $V$1, Income!$B:$B, IF($W61&lt;&gt;"", TEXT($W61, "MMMM"), ""), Income!$C:$C, YEAR($W61))</f>
        <v>0</v>
      </c>
      <c r="AB61" s="464">
        <f>SUMIFS(Income!$G:$G,Income!$H:$H, AB$2,Income!$F:$F, $V$1, Income!$B:$B, IF($W61&lt;&gt;"", TEXT($W61, "MMMM"), ""), Income!$C:$C, YEAR($W61))</f>
        <v>0</v>
      </c>
      <c r="AC61" s="467">
        <f>SUMIFS(Income!$G:$G,Income!$H:$H, AC$2,Income!$F:$F, $V$1, Income!$B:$B, IF($W61&lt;&gt;"", TEXT($W61, "MMMM"), ""), Income!$C:$C, YEAR($W61))</f>
        <v>0</v>
      </c>
      <c r="AD61" s="428"/>
      <c r="AE61" s="463">
        <v>45597.0</v>
      </c>
      <c r="AF61" s="464">
        <f>SUMIFS(Income!$G:$G,Income!$H:$H, AF$2,Income!$F:$F, $AD$1, Income!$B:$B, IF($AE61&lt;&gt;"", TEXT($AE61, "MMMM"), ""), Income!$C:$C, YEAR($AE61))</f>
        <v>0</v>
      </c>
      <c r="AG61" s="464">
        <f>SUMIFS(Income!$G:$G,Income!$H:$H, AG$2,Income!$F:$F, $AD$1, Income!$B:$B, IF($AE61&lt;&gt;"", TEXT($AE61, "MMMM"), ""), Income!$C:$C, YEAR($AE61))</f>
        <v>0</v>
      </c>
      <c r="AH61" s="464">
        <f>SUMIFS(Income!$G:$G,Income!$H:$H, AH$2,Income!$F:$F, $AD$1, Income!$B:$B, IF($AE61&lt;&gt;"", TEXT($AE61, "MMMM"), ""), Income!$C:$C, YEAR($AE61))</f>
        <v>0</v>
      </c>
      <c r="AI61" s="464">
        <f>SUMIFS(Income!$G:$G,Income!$H:$H, AI$2,Income!$F:$F, $AD$1, Income!$B:$B, IF($AE61&lt;&gt;"", TEXT($AE61, "MMMM"), ""), Income!$C:$C, YEAR($AE61))</f>
        <v>0</v>
      </c>
      <c r="AJ61" s="464">
        <f>SUMIFS(Income!$G:$G,Income!$H:$H, AJ$2,Income!$F:$F, $AD$1, Income!$B:$B, IF($AE61&lt;&gt;"", TEXT($AE61, "MMMM"), ""), Income!$C:$C, YEAR($AE61))</f>
        <v>0</v>
      </c>
      <c r="AK61" s="467">
        <f>SUMIFS(Income!$G:$G,Income!$H:$H, AK$2,Income!$F:$F, $AD$1, Income!$B:$B, IF($AE61&lt;&gt;"", TEXT($AE61, "MMMM"), ""), Income!$C:$C, YEAR($AE61))</f>
        <v>0</v>
      </c>
      <c r="AL61" s="428"/>
      <c r="AM61" s="463">
        <v>45597.0</v>
      </c>
      <c r="AN61" s="464">
        <f>SUMIFS(Income!$G:$G,Income!$H:$H, AN$2,Income!$F:$F, $AL$1, Income!$B:$B, IF($AM61&lt;&gt;"", TEXT($AM61, "MMMM"), ""), Income!$C:$C, YEAR($AM61))+SUMIFS($T:$T, $U:$U,AN$2,$Q:$Q,IF($AM61&lt;&gt;"", TEXT($AM61, "MMMM"), ""),$R:$R,YEAR($AM61))</f>
        <v>50</v>
      </c>
      <c r="AO61" s="464">
        <f>SUMIFS(Income!$G:$G,Income!$H:$H, AO$2,Income!$F:$F, $AL$1, Income!$B:$B, IF($AM61&lt;&gt;"", TEXT($AM61, "MMMM"), ""), Income!$C:$C, YEAR($AM61))+SUMIFS($T:$T, $U:$U,AO$2,$Q:$Q,IF($AM61&lt;&gt;"", TEXT($AM61, "MMMM"), ""),$R:$R,YEAR($AM61))</f>
        <v>25</v>
      </c>
      <c r="AP61" s="464">
        <f>SUMIFS(Income!$G:$G,Income!$H:$H, AP$2,Income!$F:$F, $AL$1, Income!$B:$B, IF($AM61&lt;&gt;"", TEXT($AM61, "MMMM"), ""), Income!$C:$C, YEAR($AM61))+SUMIFS($T:$T, $U:$U,AP$2,$Q:$Q,IF($AM61&lt;&gt;"", TEXT($AM61, "MMMM"), ""),$R:$R,YEAR($AM61))</f>
        <v>85</v>
      </c>
      <c r="AQ61" s="464">
        <f>SUMIFS(Income!$G:$G,Income!$H:$H, AQ$2,Income!$F:$F, $AL$1, Income!$B:$B, IF($AM61&lt;&gt;"", TEXT($AM61, "MMMM"), ""), Income!$C:$C, YEAR($AM61))+SUMIFS($T:$T, $U:$U,AQ$2,$Q:$Q,IF($AM61&lt;&gt;"", TEXT($AM61, "MMMM"), ""),$R:$R,YEAR($AM61))</f>
        <v>0</v>
      </c>
      <c r="AR61" s="464">
        <f>SUMIFS(Income!$G:$G,Income!$H:$H, AR$2,Income!$F:$F, $AL$1, Income!$B:$B, IF($AM61&lt;&gt;"", TEXT($AM61, "MMMM"), ""), Income!$C:$C, YEAR($AM61))+SUMIFS($T:$T, $U:$U,AR$2,$Q:$Q,IF($AM61&lt;&gt;"", TEXT($AM61, "MMMM"), ""),$R:$R,YEAR($AM61))</f>
        <v>0</v>
      </c>
      <c r="AS61" s="467">
        <f>SUMIFS(Income!$G:$G,Income!$H:$H, AS$2,Income!$F:$F, $AL$1, Income!$B:$B, IF($AM61&lt;&gt;"", TEXT($AM61, "MMMM"), ""), Income!$C:$C, YEAR($AM61))+SUMIFS($T:$T, $U:$U,AS$2,$Q:$Q,IF($AM61&lt;&gt;"", TEXT($AM61, "MMMM"), ""),$R:$R,YEAR($AM61))</f>
        <v>0</v>
      </c>
      <c r="AT61" s="428"/>
      <c r="AU61" s="463">
        <v>45597.0</v>
      </c>
      <c r="AV61" s="464">
        <f>SUMIFS(Income!$G:$G,Income!$H:$H, AV$2,Income!$F:$F, $AT$1, Income!$B:$B, IF($AU61&lt;&gt;"", TEXT($AU61, "MMMM"), ""), Income!$C:$C, YEAR($AU61))</f>
        <v>0</v>
      </c>
      <c r="AW61" s="464">
        <f>SUMIFS(Income!$G:$G,Income!$H:$H, AW$2,Income!$F:$F, $AT$1, Income!$B:$B, IF($AU61&lt;&gt;"", TEXT($AU61, "MMMM"), ""), Income!$C:$C, YEAR($AU61))</f>
        <v>0</v>
      </c>
      <c r="AX61" s="464">
        <f>SUMIFS(Income!$G:$G,Income!$H:$H, AX$2,Income!$F:$F, $AT$1, Income!$B:$B, IF($AU61&lt;&gt;"", TEXT($AU61, "MMMM"), ""), Income!$C:$C, YEAR($AU61))</f>
        <v>0</v>
      </c>
      <c r="AY61" s="464">
        <f>SUMIFS(Income!$G:$G,Income!$H:$H, AY$2,Income!$F:$F, $AT$1, Income!$B:$B, IF($AU61&lt;&gt;"", TEXT($AU61, "MMMM"), ""), Income!$C:$C, YEAR($AU61))</f>
        <v>0</v>
      </c>
      <c r="AZ61" s="464">
        <f>SUMIFS(Income!$G:$G,Income!$H:$H, AZ$2,Income!$F:$F, $AT$1, Income!$B:$B, IF($AU61&lt;&gt;"", TEXT($AU61, "MMMM"), ""), Income!$C:$C, YEAR($AU61))</f>
        <v>0</v>
      </c>
      <c r="BA61" s="468">
        <f>SUMIFS(Income!$G:$G,Income!$H:$H, BA$2,Income!$F:$F, $AT$1, Income!$B:$B, IF($AU61&lt;&gt;"", TEXT($AU61, "MMMM"), ""), Income!$C:$C, YEAR($AU61))</f>
        <v>0</v>
      </c>
      <c r="BB61" s="345"/>
      <c r="BC61" s="345"/>
      <c r="BD61" s="345"/>
      <c r="BE61" s="345"/>
    </row>
    <row r="62" ht="13.5" customHeight="1">
      <c r="A62" s="424">
        <f>'Membership Application List'!A291</f>
        <v>45346.75029</v>
      </c>
      <c r="B62" s="443" t="str">
        <f t="shared" si="6"/>
        <v>February</v>
      </c>
      <c r="C62" s="443">
        <f t="shared" si="7"/>
        <v>2024</v>
      </c>
      <c r="D62" s="426" t="str">
        <f>'Membership Application List'!E291</f>
        <v>Aileen Sengupta</v>
      </c>
      <c r="E62" s="426">
        <f>IF('Membership Application List'!J291 = "Food/Litter Donation", 0, IF('Membership Application List'!J291 = "$15 Donation, Discord Verification", IF('Membership Application List'!N291 = TRUE, 15, 0)))</f>
        <v>0</v>
      </c>
      <c r="F62" s="426">
        <f>if('Membership Application List'!K291=TRUE, 5,0)</f>
        <v>0</v>
      </c>
      <c r="G62" s="426">
        <f t="shared" si="8"/>
        <v>0</v>
      </c>
      <c r="H62" s="427" t="str">
        <f>'Membership Application List'!L291</f>
        <v/>
      </c>
      <c r="I62" s="428"/>
      <c r="J62" s="463">
        <v>45627.0</v>
      </c>
      <c r="K62" s="464">
        <f t="shared" ref="K62:O62" si="20">SUMIFS($G:$G, $H:$H, K$2, $B:$B, IF($J62&lt;&gt;"", TEXT($J62, "MMMM"), ""), $C:$C, YEAR($J62))</f>
        <v>0</v>
      </c>
      <c r="L62" s="464">
        <f t="shared" si="20"/>
        <v>0</v>
      </c>
      <c r="M62" s="464">
        <f t="shared" si="20"/>
        <v>0</v>
      </c>
      <c r="N62" s="464">
        <f t="shared" si="20"/>
        <v>0</v>
      </c>
      <c r="O62" s="465">
        <f t="shared" si="20"/>
        <v>0</v>
      </c>
      <c r="P62" s="414"/>
      <c r="Q62" s="414"/>
      <c r="R62" s="414"/>
      <c r="S62" s="445"/>
      <c r="T62" s="445"/>
      <c r="U62" s="445"/>
      <c r="V62" s="428"/>
      <c r="W62" s="463">
        <v>45627.0</v>
      </c>
      <c r="X62" s="464">
        <f>SUMIFS(Income!$G:$G,Income!$H:$H, X$2,Income!$F:$F, $V$1, Income!$B:$B, IF($W62&lt;&gt;"", TEXT($W62, "MMMM"), ""), Income!$C:$C, YEAR($W62))</f>
        <v>0</v>
      </c>
      <c r="Y62" s="464">
        <f>SUMIFS(Income!$G:$G,Income!$H:$H, Y$2,Income!$F:$F, $V$1, Income!$B:$B, IF($W62&lt;&gt;"", TEXT($W62, "MMMM"), ""), Income!$C:$C, YEAR($W62))</f>
        <v>0</v>
      </c>
      <c r="Z62" s="464">
        <f>SUMIFS(Income!$G:$G,Income!$H:$H, Z$2,Income!$F:$F, $V$1, Income!$B:$B, IF($W62&lt;&gt;"", TEXT($W62, "MMMM"), ""), Income!$C:$C, YEAR($W62))</f>
        <v>0</v>
      </c>
      <c r="AA62" s="464">
        <f>SUMIFS(Income!$G:$G,Income!$H:$H, AA$2,Income!$F:$F, $V$1, Income!$B:$B, IF($W62&lt;&gt;"", TEXT($W62, "MMMM"), ""), Income!$C:$C, YEAR($W62))</f>
        <v>0</v>
      </c>
      <c r="AB62" s="464">
        <f>SUMIFS(Income!$G:$G,Income!$H:$H, AB$2,Income!$F:$F, $V$1, Income!$B:$B, IF($W62&lt;&gt;"", TEXT($W62, "MMMM"), ""), Income!$C:$C, YEAR($W62))</f>
        <v>0</v>
      </c>
      <c r="AC62" s="467">
        <f>SUMIFS(Income!$G:$G,Income!$H:$H, AC$2,Income!$F:$F, $V$1, Income!$B:$B, IF($W62&lt;&gt;"", TEXT($W62, "MMMM"), ""), Income!$C:$C, YEAR($W62))</f>
        <v>0</v>
      </c>
      <c r="AD62" s="428"/>
      <c r="AE62" s="463">
        <v>45627.0</v>
      </c>
      <c r="AF62" s="464">
        <f>SUMIFS(Income!$G:$G,Income!$H:$H, AF$2,Income!$F:$F, $AD$1, Income!$B:$B, IF($AE62&lt;&gt;"", TEXT($AE62, "MMMM"), ""), Income!$C:$C, YEAR($AE62))</f>
        <v>0</v>
      </c>
      <c r="AG62" s="464">
        <f>SUMIFS(Income!$G:$G,Income!$H:$H, AG$2,Income!$F:$F, $AD$1, Income!$B:$B, IF($AE62&lt;&gt;"", TEXT($AE62, "MMMM"), ""), Income!$C:$C, YEAR($AE62))</f>
        <v>0</v>
      </c>
      <c r="AH62" s="464">
        <f>SUMIFS(Income!$G:$G,Income!$H:$H, AH$2,Income!$F:$F, $AD$1, Income!$B:$B, IF($AE62&lt;&gt;"", TEXT($AE62, "MMMM"), ""), Income!$C:$C, YEAR($AE62))</f>
        <v>0</v>
      </c>
      <c r="AI62" s="464">
        <f>SUMIFS(Income!$G:$G,Income!$H:$H, AI$2,Income!$F:$F, $AD$1, Income!$B:$B, IF($AE62&lt;&gt;"", TEXT($AE62, "MMMM"), ""), Income!$C:$C, YEAR($AE62))</f>
        <v>0</v>
      </c>
      <c r="AJ62" s="464">
        <f>SUMIFS(Income!$G:$G,Income!$H:$H, AJ$2,Income!$F:$F, $AD$1, Income!$B:$B, IF($AE62&lt;&gt;"", TEXT($AE62, "MMMM"), ""), Income!$C:$C, YEAR($AE62))</f>
        <v>0</v>
      </c>
      <c r="AK62" s="467">
        <f>SUMIFS(Income!$G:$G,Income!$H:$H, AK$2,Income!$F:$F, $AD$1, Income!$B:$B, IF($AE62&lt;&gt;"", TEXT($AE62, "MMMM"), ""), Income!$C:$C, YEAR($AE62))</f>
        <v>0</v>
      </c>
      <c r="AL62" s="428"/>
      <c r="AM62" s="463">
        <v>45627.0</v>
      </c>
      <c r="AN62" s="464">
        <f>SUMIFS(Income!$G:$G,Income!$H:$H, AN$2,Income!$F:$F, $AL$1, Income!$B:$B, IF($AM62&lt;&gt;"", TEXT($AM62, "MMMM"), ""), Income!$C:$C, YEAR($AM62))+SUMIFS($T:$T, $U:$U,AN$2,$Q:$Q,IF($AM62&lt;&gt;"", TEXT($AM62, "MMMM"), ""),$R:$R,YEAR($AM62))</f>
        <v>0</v>
      </c>
      <c r="AO62" s="464">
        <f>SUMIFS(Income!$G:$G,Income!$H:$H, AO$2,Income!$F:$F, $AL$1, Income!$B:$B, IF($AM62&lt;&gt;"", TEXT($AM62, "MMMM"), ""), Income!$C:$C, YEAR($AM62))+SUMIFS($T:$T, $U:$U,AO$2,$Q:$Q,IF($AM62&lt;&gt;"", TEXT($AM62, "MMMM"), ""),$R:$R,YEAR($AM62))</f>
        <v>25</v>
      </c>
      <c r="AP62" s="464">
        <f>SUMIFS(Income!$G:$G,Income!$H:$H, AP$2,Income!$F:$F, $AL$1, Income!$B:$B, IF($AM62&lt;&gt;"", TEXT($AM62, "MMMM"), ""), Income!$C:$C, YEAR($AM62))+SUMIFS($T:$T, $U:$U,AP$2,$Q:$Q,IF($AM62&lt;&gt;"", TEXT($AM62, "MMMM"), ""),$R:$R,YEAR($AM62))</f>
        <v>0</v>
      </c>
      <c r="AQ62" s="464">
        <f>SUMIFS(Income!$G:$G,Income!$H:$H, AQ$2,Income!$F:$F, $AL$1, Income!$B:$B, IF($AM62&lt;&gt;"", TEXT($AM62, "MMMM"), ""), Income!$C:$C, YEAR($AM62))+SUMIFS($T:$T, $U:$U,AQ$2,$Q:$Q,IF($AM62&lt;&gt;"", TEXT($AM62, "MMMM"), ""),$R:$R,YEAR($AM62))</f>
        <v>0</v>
      </c>
      <c r="AR62" s="464">
        <f>SUMIFS(Income!$G:$G,Income!$H:$H, AR$2,Income!$F:$F, $AL$1, Income!$B:$B, IF($AM62&lt;&gt;"", TEXT($AM62, "MMMM"), ""), Income!$C:$C, YEAR($AM62))+SUMIFS($T:$T, $U:$U,AR$2,$Q:$Q,IF($AM62&lt;&gt;"", TEXT($AM62, "MMMM"), ""),$R:$R,YEAR($AM62))</f>
        <v>0</v>
      </c>
      <c r="AS62" s="467">
        <f>SUMIFS(Income!$G:$G,Income!$H:$H, AS$2,Income!$F:$F, $AL$1, Income!$B:$B, IF($AM62&lt;&gt;"", TEXT($AM62, "MMMM"), ""), Income!$C:$C, YEAR($AM62))+SUMIFS($T:$T, $U:$U,AS$2,$Q:$Q,IF($AM62&lt;&gt;"", TEXT($AM62, "MMMM"), ""),$R:$R,YEAR($AM62))</f>
        <v>0</v>
      </c>
      <c r="AT62" s="428"/>
      <c r="AU62" s="463">
        <v>45627.0</v>
      </c>
      <c r="AV62" s="464">
        <f>SUMIFS(Income!$G:$G,Income!$H:$H, AV$2,Income!$F:$F, $AT$1, Income!$B:$B, IF($AU62&lt;&gt;"", TEXT($AU62, "MMMM"), ""), Income!$C:$C, YEAR($AU62))</f>
        <v>0</v>
      </c>
      <c r="AW62" s="464">
        <f>SUMIFS(Income!$G:$G,Income!$H:$H, AW$2,Income!$F:$F, $AT$1, Income!$B:$B, IF($AU62&lt;&gt;"", TEXT($AU62, "MMMM"), ""), Income!$C:$C, YEAR($AU62))</f>
        <v>0</v>
      </c>
      <c r="AX62" s="464">
        <f>SUMIFS(Income!$G:$G,Income!$H:$H, AX$2,Income!$F:$F, $AT$1, Income!$B:$B, IF($AU62&lt;&gt;"", TEXT($AU62, "MMMM"), ""), Income!$C:$C, YEAR($AU62))</f>
        <v>50</v>
      </c>
      <c r="AY62" s="464">
        <f>SUMIFS(Income!$G:$G,Income!$H:$H, AY$2,Income!$F:$F, $AT$1, Income!$B:$B, IF($AU62&lt;&gt;"", TEXT($AU62, "MMMM"), ""), Income!$C:$C, YEAR($AU62))</f>
        <v>0</v>
      </c>
      <c r="AZ62" s="464">
        <f>SUMIFS(Income!$G:$G,Income!$H:$H, AZ$2,Income!$F:$F, $AT$1, Income!$B:$B, IF($AU62&lt;&gt;"", TEXT($AU62, "MMMM"), ""), Income!$C:$C, YEAR($AU62))</f>
        <v>0</v>
      </c>
      <c r="BA62" s="468">
        <f>SUMIFS(Income!$G:$G,Income!$H:$H, BA$2,Income!$F:$F, $AT$1, Income!$B:$B, IF($AU62&lt;&gt;"", TEXT($AU62, "MMMM"), ""), Income!$C:$C, YEAR($AU62))</f>
        <v>0</v>
      </c>
      <c r="BB62" s="345"/>
      <c r="BC62" s="345"/>
      <c r="BD62" s="345"/>
      <c r="BE62" s="345"/>
    </row>
    <row r="63" ht="13.5" customHeight="1">
      <c r="A63" s="436">
        <f>'Membership Application List'!A292</f>
        <v>45308.76373</v>
      </c>
      <c r="B63" s="437" t="str">
        <f t="shared" si="6"/>
        <v>January</v>
      </c>
      <c r="C63" s="437">
        <f t="shared" si="7"/>
        <v>2024</v>
      </c>
      <c r="D63" s="438" t="str">
        <f>'Membership Application List'!E292</f>
        <v>Angelina Nguyen</v>
      </c>
      <c r="E63" s="438">
        <f>IF('Membership Application List'!J292 = "Food/Litter Donation", 0, IF('Membership Application List'!J292 = "$15 Donation, Discord Verification", IF('Membership Application List'!N292 = TRUE, 15, 0)))</f>
        <v>15</v>
      </c>
      <c r="F63" s="438">
        <f>if('Membership Application List'!K292=TRUE, 5,0)</f>
        <v>0</v>
      </c>
      <c r="G63" s="438">
        <f t="shared" si="8"/>
        <v>15</v>
      </c>
      <c r="H63" s="439" t="str">
        <f>'Membership Application List'!L292</f>
        <v>Cashapp</v>
      </c>
      <c r="I63" s="407" t="s">
        <v>778</v>
      </c>
      <c r="J63" s="463">
        <v>45658.0</v>
      </c>
      <c r="K63" s="464">
        <f t="shared" ref="K63:O63" si="21">SUMIFS($G:$G, $H:$H, K$2, $B:$B, IF($J63&lt;&gt;"", TEXT($J63, "MMMM"), ""), $C:$C, YEAR($J63))</f>
        <v>195</v>
      </c>
      <c r="L63" s="464">
        <f t="shared" si="21"/>
        <v>75</v>
      </c>
      <c r="M63" s="464">
        <f t="shared" si="21"/>
        <v>165</v>
      </c>
      <c r="N63" s="464">
        <f t="shared" si="21"/>
        <v>30</v>
      </c>
      <c r="O63" s="465">
        <f t="shared" si="21"/>
        <v>0</v>
      </c>
      <c r="P63" s="414"/>
      <c r="Q63" s="414"/>
      <c r="R63" s="414"/>
      <c r="S63" s="445"/>
      <c r="T63" s="445"/>
      <c r="U63" s="445"/>
      <c r="V63" s="407" t="s">
        <v>778</v>
      </c>
      <c r="W63" s="463">
        <v>45658.0</v>
      </c>
      <c r="X63" s="464">
        <f>SUMIFS(Income!$G:$G,Income!$H:$H, X$2,Income!$F:$F, $V$1, Income!$B:$B, IF($W63&lt;&gt;"", TEXT($W63, "MMMM"), ""), Income!$C:$C, YEAR($W63))</f>
        <v>0</v>
      </c>
      <c r="Y63" s="464">
        <f>SUMIFS(Income!$G:$G,Income!$H:$H, Y$2,Income!$F:$F, $V$1, Income!$B:$B, IF($W63&lt;&gt;"", TEXT($W63, "MMMM"), ""), Income!$C:$C, YEAR($W63))</f>
        <v>99</v>
      </c>
      <c r="Z63" s="464">
        <f>SUMIFS(Income!$G:$G,Income!$H:$H, Z$2,Income!$F:$F, $V$1, Income!$B:$B, IF($W63&lt;&gt;"", TEXT($W63, "MMMM"), ""), Income!$C:$C, YEAR($W63))</f>
        <v>18.86</v>
      </c>
      <c r="AA63" s="464">
        <f>SUMIFS(Income!$G:$G,Income!$H:$H, AA$2,Income!$F:$F, $V$1, Income!$B:$B, IF($W63&lt;&gt;"", TEXT($W63, "MMMM"), ""), Income!$C:$C, YEAR($W63))</f>
        <v>0</v>
      </c>
      <c r="AB63" s="464">
        <f>SUMIFS(Income!$G:$G,Income!$H:$H, AB$2,Income!$F:$F, $V$1, Income!$B:$B, IF($W63&lt;&gt;"", TEXT($W63, "MMMM"), ""), Income!$C:$C, YEAR($W63))</f>
        <v>0</v>
      </c>
      <c r="AC63" s="467">
        <f>SUMIFS(Income!$G:$G,Income!$H:$H, AC$2,Income!$F:$F, $V$1, Income!$B:$B, IF($W63&lt;&gt;"", TEXT($W63, "MMMM"), ""), Income!$C:$C, YEAR($W63))</f>
        <v>80</v>
      </c>
      <c r="AD63" s="407" t="s">
        <v>778</v>
      </c>
      <c r="AE63" s="463">
        <v>45658.0</v>
      </c>
      <c r="AF63" s="464">
        <f>SUMIFS(Income!$G:$G,Income!$H:$H, AF$2,Income!$F:$F, $AD$1, Income!$B:$B, IF($AE63&lt;&gt;"", TEXT($AE63, "MMMM"), ""), Income!$C:$C, YEAR($AE63))</f>
        <v>0</v>
      </c>
      <c r="AG63" s="464">
        <f>SUMIFS(Income!$G:$G,Income!$H:$H, AG$2,Income!$F:$F, $AD$1, Income!$B:$B, IF($AE63&lt;&gt;"", TEXT($AE63, "MMMM"), ""), Income!$C:$C, YEAR($AE63))</f>
        <v>1</v>
      </c>
      <c r="AH63" s="464">
        <f>SUMIFS(Income!$G:$G,Income!$H:$H, AH$2,Income!$F:$F, $AD$1, Income!$B:$B, IF($AE63&lt;&gt;"", TEXT($AE63, "MMMM"), ""), Income!$C:$C, YEAR($AE63))</f>
        <v>11</v>
      </c>
      <c r="AI63" s="464">
        <f>SUMIFS(Income!$G:$G,Income!$H:$H, AI$2,Income!$F:$F, $AD$1, Income!$B:$B, IF($AE63&lt;&gt;"", TEXT($AE63, "MMMM"), ""), Income!$C:$C, YEAR($AE63))</f>
        <v>4</v>
      </c>
      <c r="AJ63" s="464">
        <f>SUMIFS(Income!$G:$G,Income!$H:$H, AJ$2,Income!$F:$F, $AD$1, Income!$B:$B, IF($AE63&lt;&gt;"", TEXT($AE63, "MMMM"), ""), Income!$C:$C, YEAR($AE63))</f>
        <v>0</v>
      </c>
      <c r="AK63" s="467">
        <f>SUMIFS(Income!$G:$G,Income!$H:$H, AK$2,Income!$F:$F, $AD$1, Income!$B:$B, IF($AE63&lt;&gt;"", TEXT($AE63, "MMMM"), ""), Income!$C:$C, YEAR($AE63))</f>
        <v>0</v>
      </c>
      <c r="AL63" s="407" t="s">
        <v>778</v>
      </c>
      <c r="AM63" s="463">
        <v>45658.0</v>
      </c>
      <c r="AN63" s="464">
        <f>SUMIFS(Income!$G:$G,Income!$H:$H, AN$2,Income!$F:$F, $AL$1, Income!$B:$B, IF($AM63&lt;&gt;"", TEXT($AM63, "MMMM"), ""), Income!$C:$C, YEAR($AM63))+SUMIFS($T:$T, $U:$U,AN$2,$Q:$Q,IF($AM63&lt;&gt;"", TEXT($AM63, "MMMM"), ""),$R:$R,YEAR($AM63))</f>
        <v>25</v>
      </c>
      <c r="AO63" s="464">
        <f>SUMIFS(Income!$G:$G,Income!$H:$H, AO$2,Income!$F:$F, $AL$1, Income!$B:$B, IF($AM63&lt;&gt;"", TEXT($AM63, "MMMM"), ""), Income!$C:$C, YEAR($AM63))+SUMIFS($T:$T, $U:$U,AO$2,$Q:$Q,IF($AM63&lt;&gt;"", TEXT($AM63, "MMMM"), ""),$R:$R,YEAR($AM63))</f>
        <v>0</v>
      </c>
      <c r="AP63" s="464">
        <f>SUMIFS(Income!$G:$G,Income!$H:$H, AP$2,Income!$F:$F, $AL$1, Income!$B:$B, IF($AM63&lt;&gt;"", TEXT($AM63, "MMMM"), ""), Income!$C:$C, YEAR($AM63))+SUMIFS($T:$T, $U:$U,AP$2,$Q:$Q,IF($AM63&lt;&gt;"", TEXT($AM63, "MMMM"), ""),$R:$R,YEAR($AM63))</f>
        <v>30</v>
      </c>
      <c r="AQ63" s="464">
        <f>SUMIFS(Income!$G:$G,Income!$H:$H, AQ$2,Income!$F:$F, $AL$1, Income!$B:$B, IF($AM63&lt;&gt;"", TEXT($AM63, "MMMM"), ""), Income!$C:$C, YEAR($AM63))+SUMIFS($T:$T, $U:$U,AQ$2,$Q:$Q,IF($AM63&lt;&gt;"", TEXT($AM63, "MMMM"), ""),$R:$R,YEAR($AM63))</f>
        <v>8</v>
      </c>
      <c r="AR63" s="464">
        <f>SUMIFS(Income!$G:$G,Income!$H:$H, AR$2,Income!$F:$F, $AL$1, Income!$B:$B, IF($AM63&lt;&gt;"", TEXT($AM63, "MMMM"), ""), Income!$C:$C, YEAR($AM63))+SUMIFS($T:$T, $U:$U,AR$2,$Q:$Q,IF($AM63&lt;&gt;"", TEXT($AM63, "MMMM"), ""),$R:$R,YEAR($AM63))</f>
        <v>0</v>
      </c>
      <c r="AS63" s="467">
        <f>SUMIFS(Income!$G:$G,Income!$H:$H, AS$2,Income!$F:$F, $AL$1, Income!$B:$B, IF($AM63&lt;&gt;"", TEXT($AM63, "MMMM"), ""), Income!$C:$C, YEAR($AM63))+SUMIFS($T:$T, $U:$U,AS$2,$Q:$Q,IF($AM63&lt;&gt;"", TEXT($AM63, "MMMM"), ""),$R:$R,YEAR($AM63))</f>
        <v>0</v>
      </c>
      <c r="AT63" s="407" t="s">
        <v>778</v>
      </c>
      <c r="AU63" s="463">
        <v>45658.0</v>
      </c>
      <c r="AV63" s="464">
        <f>SUMIFS(Income!$G:$G,Income!$H:$H, AV$2,Income!$F:$F, $AT$1, Income!$B:$B, IF($AU63&lt;&gt;"", TEXT($AU63, "MMMM"), ""), Income!$C:$C, YEAR($AU63))</f>
        <v>0</v>
      </c>
      <c r="AW63" s="464">
        <f>SUMIFS(Income!$G:$G,Income!$H:$H, AW$2,Income!$F:$F, $AT$1, Income!$B:$B, IF($AU63&lt;&gt;"", TEXT($AU63, "MMMM"), ""), Income!$C:$C, YEAR($AU63))</f>
        <v>0</v>
      </c>
      <c r="AX63" s="464">
        <f>SUMIFS(Income!$G:$G,Income!$H:$H, AX$2,Income!$F:$F, $AT$1, Income!$B:$B, IF($AU63&lt;&gt;"", TEXT($AU63, "MMMM"), ""), Income!$C:$C, YEAR($AU63))</f>
        <v>0</v>
      </c>
      <c r="AY63" s="464">
        <f>SUMIFS(Income!$G:$G,Income!$H:$H, AY$2,Income!$F:$F, $AT$1, Income!$B:$B, IF($AU63&lt;&gt;"", TEXT($AU63, "MMMM"), ""), Income!$C:$C, YEAR($AU63))</f>
        <v>0</v>
      </c>
      <c r="AZ63" s="464">
        <f>SUMIFS(Income!$G:$G,Income!$H:$H, AZ$2,Income!$F:$F, $AT$1, Income!$B:$B, IF($AU63&lt;&gt;"", TEXT($AU63, "MMMM"), ""), Income!$C:$C, YEAR($AU63))</f>
        <v>0</v>
      </c>
      <c r="BA63" s="468">
        <f>SUMIFS(Income!$G:$G,Income!$H:$H, BA$2,Income!$F:$F, $AT$1, Income!$B:$B, IF($AU63&lt;&gt;"", TEXT($AU63, "MMMM"), ""), Income!$C:$C, YEAR($AU63))</f>
        <v>0</v>
      </c>
      <c r="BB63" s="345"/>
      <c r="BC63" s="345"/>
      <c r="BD63" s="345"/>
      <c r="BE63" s="345"/>
    </row>
    <row r="64" ht="13.5" customHeight="1">
      <c r="A64" s="424">
        <f>'Membership Application List'!A293</f>
        <v>45308.42112</v>
      </c>
      <c r="B64" s="443" t="str">
        <f t="shared" si="6"/>
        <v>January</v>
      </c>
      <c r="C64" s="443">
        <f t="shared" si="7"/>
        <v>2024</v>
      </c>
      <c r="D64" s="426" t="str">
        <f>'Membership Application List'!E293</f>
        <v>Olivia kurtzeborn-sowell</v>
      </c>
      <c r="E64" s="426">
        <f>IF('Membership Application List'!J293 = "Food/Litter Donation", 0, IF('Membership Application List'!J293 = "$15 Donation, Discord Verification", IF('Membership Application List'!N293 = TRUE, 15, 0)))</f>
        <v>15</v>
      </c>
      <c r="F64" s="426">
        <f>if('Membership Application List'!K293=TRUE, 5,0)</f>
        <v>0</v>
      </c>
      <c r="G64" s="426">
        <f t="shared" si="8"/>
        <v>15</v>
      </c>
      <c r="H64" s="427" t="str">
        <f>'Membership Application List'!L293</f>
        <v>Paypal</v>
      </c>
      <c r="I64" s="428"/>
      <c r="J64" s="463">
        <v>45689.0</v>
      </c>
      <c r="K64" s="464">
        <f t="shared" ref="K64:O64" si="22">SUMIFS($G:$G, $H:$H, K$2, $B:$B, IF($J64&lt;&gt;"", TEXT($J64, "MMMM"), ""), $C:$C, YEAR($J64))</f>
        <v>105</v>
      </c>
      <c r="L64" s="464">
        <f t="shared" si="22"/>
        <v>105</v>
      </c>
      <c r="M64" s="464">
        <f t="shared" si="22"/>
        <v>120</v>
      </c>
      <c r="N64" s="464">
        <f t="shared" si="22"/>
        <v>30</v>
      </c>
      <c r="O64" s="465">
        <f t="shared" si="22"/>
        <v>0</v>
      </c>
      <c r="P64" s="414"/>
      <c r="Q64" s="414"/>
      <c r="R64" s="414"/>
      <c r="S64" s="445"/>
      <c r="T64" s="445"/>
      <c r="U64" s="445"/>
      <c r="V64" s="428"/>
      <c r="W64" s="463">
        <v>45689.0</v>
      </c>
      <c r="X64" s="464">
        <f>SUMIFS(Income!$G:$G,Income!$H:$H, X$2,Income!$F:$F, $V$1, Income!$B:$B, IF($W64&lt;&gt;"", TEXT($W64, "MMMM"), ""), Income!$C:$C, YEAR($W64))</f>
        <v>0</v>
      </c>
      <c r="Y64" s="464">
        <f>SUMIFS(Income!$G:$G,Income!$H:$H, Y$2,Income!$F:$F, $V$1, Income!$B:$B, IF($W64&lt;&gt;"", TEXT($W64, "MMMM"), ""), Income!$C:$C, YEAR($W64))</f>
        <v>108</v>
      </c>
      <c r="Z64" s="464">
        <f>SUMIFS(Income!$G:$G,Income!$H:$H, Z$2,Income!$F:$F, $V$1, Income!$B:$B, IF($W64&lt;&gt;"", TEXT($W64, "MMMM"), ""), Income!$C:$C, YEAR($W64))</f>
        <v>228.92</v>
      </c>
      <c r="AA64" s="464">
        <f>SUMIFS(Income!$G:$G,Income!$H:$H, AA$2,Income!$F:$F, $V$1, Income!$B:$B, IF($W64&lt;&gt;"", TEXT($W64, "MMMM"), ""), Income!$C:$C, YEAR($W64))</f>
        <v>414</v>
      </c>
      <c r="AB64" s="464">
        <f>SUMIFS(Income!$G:$G,Income!$H:$H, AB$2,Income!$F:$F, $V$1, Income!$B:$B, IF($W64&lt;&gt;"", TEXT($W64, "MMMM"), ""), Income!$C:$C, YEAR($W64))</f>
        <v>0</v>
      </c>
      <c r="AC64" s="467">
        <f>SUMIFS(Income!$G:$G,Income!$H:$H, AC$2,Income!$F:$F, $V$1, Income!$B:$B, IF($W64&lt;&gt;"", TEXT($W64, "MMMM"), ""), Income!$C:$C, YEAR($W64))</f>
        <v>0</v>
      </c>
      <c r="AD64" s="428"/>
      <c r="AE64" s="463">
        <v>45689.0</v>
      </c>
      <c r="AF64" s="464">
        <f>SUMIFS(Income!$G:$G,Income!$H:$H, AF$2,Income!$F:$F, $AD$1, Income!$B:$B, IF($AE64&lt;&gt;"", TEXT($AE64, "MMMM"), ""), Income!$C:$C, YEAR($AE64))</f>
        <v>0</v>
      </c>
      <c r="AG64" s="464">
        <f>SUMIFS(Income!$G:$G,Income!$H:$H, AG$2,Income!$F:$F, $AD$1, Income!$B:$B, IF($AE64&lt;&gt;"", TEXT($AE64, "MMMM"), ""), Income!$C:$C, YEAR($AE64))</f>
        <v>0</v>
      </c>
      <c r="AH64" s="464">
        <f>SUMIFS(Income!$G:$G,Income!$H:$H, AH$2,Income!$F:$F, $AD$1, Income!$B:$B, IF($AE64&lt;&gt;"", TEXT($AE64, "MMMM"), ""), Income!$C:$C, YEAR($AE64))</f>
        <v>0</v>
      </c>
      <c r="AI64" s="464">
        <f>SUMIFS(Income!$G:$G,Income!$H:$H, AI$2,Income!$F:$F, $AD$1, Income!$B:$B, IF($AE64&lt;&gt;"", TEXT($AE64, "MMMM"), ""), Income!$C:$C, YEAR($AE64))</f>
        <v>0</v>
      </c>
      <c r="AJ64" s="464">
        <f>SUMIFS(Income!$G:$G,Income!$H:$H, AJ$2,Income!$F:$F, $AD$1, Income!$B:$B, IF($AE64&lt;&gt;"", TEXT($AE64, "MMMM"), ""), Income!$C:$C, YEAR($AE64))</f>
        <v>0</v>
      </c>
      <c r="AK64" s="467">
        <f>SUMIFS(Income!$G:$G,Income!$H:$H, AK$2,Income!$F:$F, $AD$1, Income!$B:$B, IF($AE64&lt;&gt;"", TEXT($AE64, "MMMM"), ""), Income!$C:$C, YEAR($AE64))</f>
        <v>0</v>
      </c>
      <c r="AL64" s="428"/>
      <c r="AM64" s="463">
        <v>45689.0</v>
      </c>
      <c r="AN64" s="464">
        <f>SUMIFS(Income!$G:$G,Income!$H:$H, AN$2,Income!$F:$F, $AL$1, Income!$B:$B, IF($AM64&lt;&gt;"", TEXT($AM64, "MMMM"), ""), Income!$C:$C, YEAR($AM64))+SUMIFS($T:$T, $U:$U,AN$2,$Q:$Q,IF($AM64&lt;&gt;"", TEXT($AM64, "MMMM"), ""),$R:$R,YEAR($AM64))</f>
        <v>0</v>
      </c>
      <c r="AO64" s="464">
        <f>SUMIFS(Income!$G:$G,Income!$H:$H, AO$2,Income!$F:$F, $AL$1, Income!$B:$B, IF($AM64&lt;&gt;"", TEXT($AM64, "MMMM"), ""), Income!$C:$C, YEAR($AM64))+SUMIFS($T:$T, $U:$U,AO$2,$Q:$Q,IF($AM64&lt;&gt;"", TEXT($AM64, "MMMM"), ""),$R:$R,YEAR($AM64))</f>
        <v>0</v>
      </c>
      <c r="AP64" s="464">
        <f>SUMIFS(Income!$G:$G,Income!$H:$H, AP$2,Income!$F:$F, $AL$1, Income!$B:$B, IF($AM64&lt;&gt;"", TEXT($AM64, "MMMM"), ""), Income!$C:$C, YEAR($AM64))+SUMIFS($T:$T, $U:$U,AP$2,$Q:$Q,IF($AM64&lt;&gt;"", TEXT($AM64, "MMMM"), ""),$R:$R,YEAR($AM64))</f>
        <v>0</v>
      </c>
      <c r="AQ64" s="464">
        <f>SUMIFS(Income!$G:$G,Income!$H:$H, AQ$2,Income!$F:$F, $AL$1, Income!$B:$B, IF($AM64&lt;&gt;"", TEXT($AM64, "MMMM"), ""), Income!$C:$C, YEAR($AM64))+SUMIFS($T:$T, $U:$U,AQ$2,$Q:$Q,IF($AM64&lt;&gt;"", TEXT($AM64, "MMMM"), ""),$R:$R,YEAR($AM64))</f>
        <v>0</v>
      </c>
      <c r="AR64" s="464">
        <f>SUMIFS(Income!$G:$G,Income!$H:$H, AR$2,Income!$F:$F, $AL$1, Income!$B:$B, IF($AM64&lt;&gt;"", TEXT($AM64, "MMMM"), ""), Income!$C:$C, YEAR($AM64))+SUMIFS($T:$T, $U:$U,AR$2,$Q:$Q,IF($AM64&lt;&gt;"", TEXT($AM64, "MMMM"), ""),$R:$R,YEAR($AM64))</f>
        <v>0</v>
      </c>
      <c r="AS64" s="467">
        <f>SUMIFS(Income!$G:$G,Income!$H:$H, AS$2,Income!$F:$F, $AL$1, Income!$B:$B, IF($AM64&lt;&gt;"", TEXT($AM64, "MMMM"), ""), Income!$C:$C, YEAR($AM64))+SUMIFS($T:$T, $U:$U,AS$2,$Q:$Q,IF($AM64&lt;&gt;"", TEXT($AM64, "MMMM"), ""),$R:$R,YEAR($AM64))</f>
        <v>0</v>
      </c>
      <c r="AT64" s="428"/>
      <c r="AU64" s="463">
        <v>45689.0</v>
      </c>
      <c r="AV64" s="464">
        <f>SUMIFS(Income!$G:$G,Income!$H:$H, AV$2,Income!$F:$F, $AT$1, Income!$B:$B, IF($AU64&lt;&gt;"", TEXT($AU64, "MMMM"), ""), Income!$C:$C, YEAR($AU64))</f>
        <v>0</v>
      </c>
      <c r="AW64" s="464">
        <f>SUMIFS(Income!$G:$G,Income!$H:$H, AW$2,Income!$F:$F, $AT$1, Income!$B:$B, IF($AU64&lt;&gt;"", TEXT($AU64, "MMMM"), ""), Income!$C:$C, YEAR($AU64))</f>
        <v>0</v>
      </c>
      <c r="AX64" s="464">
        <f>SUMIFS(Income!$G:$G,Income!$H:$H, AX$2,Income!$F:$F, $AT$1, Income!$B:$B, IF($AU64&lt;&gt;"", TEXT($AU64, "MMMM"), ""), Income!$C:$C, YEAR($AU64))</f>
        <v>0</v>
      </c>
      <c r="AY64" s="464">
        <f>SUMIFS(Income!$G:$G,Income!$H:$H, AY$2,Income!$F:$F, $AT$1, Income!$B:$B, IF($AU64&lt;&gt;"", TEXT($AU64, "MMMM"), ""), Income!$C:$C, YEAR($AU64))</f>
        <v>0</v>
      </c>
      <c r="AZ64" s="464">
        <f>SUMIFS(Income!$G:$G,Income!$H:$H, AZ$2,Income!$F:$F, $AT$1, Income!$B:$B, IF($AU64&lt;&gt;"", TEXT($AU64, "MMMM"), ""), Income!$C:$C, YEAR($AU64))</f>
        <v>0</v>
      </c>
      <c r="BA64" s="468">
        <f>SUMIFS(Income!$G:$G,Income!$H:$H, BA$2,Income!$F:$F, $AT$1, Income!$B:$B, IF($AU64&lt;&gt;"", TEXT($AU64, "MMMM"), ""), Income!$C:$C, YEAR($AU64))</f>
        <v>0</v>
      </c>
      <c r="BB64" s="345"/>
      <c r="BC64" s="345"/>
      <c r="BD64" s="345"/>
      <c r="BE64" s="345"/>
    </row>
    <row r="65" ht="13.5" customHeight="1">
      <c r="A65" s="436">
        <f>'Membership Application List'!A294</f>
        <v>45353.76302</v>
      </c>
      <c r="B65" s="437" t="str">
        <f t="shared" si="6"/>
        <v>March</v>
      </c>
      <c r="C65" s="437">
        <f t="shared" si="7"/>
        <v>2024</v>
      </c>
      <c r="D65" s="438" t="str">
        <f>'Membership Application List'!E294</f>
        <v>Vinay Datta Chenimineni</v>
      </c>
      <c r="E65" s="438">
        <f>IF('Membership Application List'!J294 = "Food/Litter Donation", 0, IF('Membership Application List'!J294 = "$15 Donation, Discord Verification", IF('Membership Application List'!N294 = TRUE, 15, 0)))</f>
        <v>15</v>
      </c>
      <c r="F65" s="438">
        <f>if('Membership Application List'!K294=TRUE, 5,0)</f>
        <v>0</v>
      </c>
      <c r="G65" s="438">
        <f t="shared" si="8"/>
        <v>15</v>
      </c>
      <c r="H65" s="439" t="str">
        <f>'Membership Application List'!L294</f>
        <v>Paypal</v>
      </c>
      <c r="I65" s="428"/>
      <c r="J65" s="463">
        <v>45717.0</v>
      </c>
      <c r="K65" s="464">
        <f t="shared" ref="K65:O65" si="23">SUMIFS($G:$G, $H:$H, K$2, $B:$B, IF($J65&lt;&gt;"", TEXT($J65, "MMMM"), ""), $C:$C, YEAR($J65))</f>
        <v>0</v>
      </c>
      <c r="L65" s="464">
        <f t="shared" si="23"/>
        <v>0</v>
      </c>
      <c r="M65" s="464">
        <f t="shared" si="23"/>
        <v>15</v>
      </c>
      <c r="N65" s="464">
        <f t="shared" si="23"/>
        <v>0</v>
      </c>
      <c r="O65" s="465">
        <f t="shared" si="23"/>
        <v>0</v>
      </c>
      <c r="P65" s="414"/>
      <c r="Q65" s="414"/>
      <c r="R65" s="414"/>
      <c r="S65" s="445"/>
      <c r="T65" s="445"/>
      <c r="U65" s="445"/>
      <c r="V65" s="428"/>
      <c r="W65" s="463">
        <v>45717.0</v>
      </c>
      <c r="X65" s="464">
        <f>SUMIFS(Income!$G:$G,Income!$H:$H, X$2,Income!$F:$F, $V$1, Income!$B:$B, IF($W65&lt;&gt;"", TEXT($W65, "MMMM"), ""), Income!$C:$C, YEAR($W65))</f>
        <v>0</v>
      </c>
      <c r="Y65" s="464">
        <f>SUMIFS(Income!$G:$G,Income!$H:$H, Y$2,Income!$F:$F, $V$1, Income!$B:$B, IF($W65&lt;&gt;"", TEXT($W65, "MMMM"), ""), Income!$C:$C, YEAR($W65))</f>
        <v>49</v>
      </c>
      <c r="Z65" s="464">
        <f>SUMIFS(Income!$G:$G,Income!$H:$H, Z$2,Income!$F:$F, $V$1, Income!$B:$B, IF($W65&lt;&gt;"", TEXT($W65, "MMMM"), ""), Income!$C:$C, YEAR($W65))</f>
        <v>87</v>
      </c>
      <c r="AA65" s="464">
        <f>SUMIFS(Income!$G:$G,Income!$H:$H, AA$2,Income!$F:$F, $V$1, Income!$B:$B, IF($W65&lt;&gt;"", TEXT($W65, "MMMM"), ""), Income!$C:$C, YEAR($W65))</f>
        <v>328</v>
      </c>
      <c r="AB65" s="464">
        <f>SUMIFS(Income!$G:$G,Income!$H:$H, AB$2,Income!$F:$F, $V$1, Income!$B:$B, IF($W65&lt;&gt;"", TEXT($W65, "MMMM"), ""), Income!$C:$C, YEAR($W65))</f>
        <v>0</v>
      </c>
      <c r="AC65" s="467">
        <f>SUMIFS(Income!$G:$G,Income!$H:$H, AC$2,Income!$F:$F, $V$1, Income!$B:$B, IF($W65&lt;&gt;"", TEXT($W65, "MMMM"), ""), Income!$C:$C, YEAR($W65))</f>
        <v>0</v>
      </c>
      <c r="AD65" s="428"/>
      <c r="AE65" s="463">
        <v>45717.0</v>
      </c>
      <c r="AF65" s="464">
        <f>SUMIFS(Income!$G:$G,Income!$H:$H, AF$2,Income!$F:$F, $AD$1, Income!$B:$B, IF($AE65&lt;&gt;"", TEXT($AE65, "MMMM"), ""), Income!$C:$C, YEAR($AE65))</f>
        <v>0</v>
      </c>
      <c r="AG65" s="464">
        <f>SUMIFS(Income!$G:$G,Income!$H:$H, AG$2,Income!$F:$F, $AD$1, Income!$B:$B, IF($AE65&lt;&gt;"", TEXT($AE65, "MMMM"), ""), Income!$C:$C, YEAR($AE65))</f>
        <v>0</v>
      </c>
      <c r="AH65" s="464">
        <f>SUMIFS(Income!$G:$G,Income!$H:$H, AH$2,Income!$F:$F, $AD$1, Income!$B:$B, IF($AE65&lt;&gt;"", TEXT($AE65, "MMMM"), ""), Income!$C:$C, YEAR($AE65))</f>
        <v>0</v>
      </c>
      <c r="AI65" s="464">
        <f>SUMIFS(Income!$G:$G,Income!$H:$H, AI$2,Income!$F:$F, $AD$1, Income!$B:$B, IF($AE65&lt;&gt;"", TEXT($AE65, "MMMM"), ""), Income!$C:$C, YEAR($AE65))</f>
        <v>0</v>
      </c>
      <c r="AJ65" s="464">
        <f>SUMIFS(Income!$G:$G,Income!$H:$H, AJ$2,Income!$F:$F, $AD$1, Income!$B:$B, IF($AE65&lt;&gt;"", TEXT($AE65, "MMMM"), ""), Income!$C:$C, YEAR($AE65))</f>
        <v>0</v>
      </c>
      <c r="AK65" s="467">
        <f>SUMIFS(Income!$G:$G,Income!$H:$H, AK$2,Income!$F:$F, $AD$1, Income!$B:$B, IF($AE65&lt;&gt;"", TEXT($AE65, "MMMM"), ""), Income!$C:$C, YEAR($AE65))</f>
        <v>0</v>
      </c>
      <c r="AL65" s="428"/>
      <c r="AM65" s="463">
        <v>45717.0</v>
      </c>
      <c r="AN65" s="464">
        <f>SUMIFS(Income!$G:$G,Income!$H:$H, AN$2,Income!$F:$F, $AL$1, Income!$B:$B, IF($AM65&lt;&gt;"", TEXT($AM65, "MMMM"), ""), Income!$C:$C, YEAR($AM65))+SUMIFS($T:$T, $U:$U,AN$2,$Q:$Q,IF($AM65&lt;&gt;"", TEXT($AM65, "MMMM"), ""),$R:$R,YEAR($AM65))</f>
        <v>0</v>
      </c>
      <c r="AO65" s="464">
        <f>SUMIFS(Income!$G:$G,Income!$H:$H, AO$2,Income!$F:$F, $AL$1, Income!$B:$B, IF($AM65&lt;&gt;"", TEXT($AM65, "MMMM"), ""), Income!$C:$C, YEAR($AM65))+SUMIFS($T:$T, $U:$U,AO$2,$Q:$Q,IF($AM65&lt;&gt;"", TEXT($AM65, "MMMM"), ""),$R:$R,YEAR($AM65))</f>
        <v>0</v>
      </c>
      <c r="AP65" s="464">
        <f>SUMIFS(Income!$G:$G,Income!$H:$H, AP$2,Income!$F:$F, $AL$1, Income!$B:$B, IF($AM65&lt;&gt;"", TEXT($AM65, "MMMM"), ""), Income!$C:$C, YEAR($AM65))+SUMIFS($T:$T, $U:$U,AP$2,$Q:$Q,IF($AM65&lt;&gt;"", TEXT($AM65, "MMMM"), ""),$R:$R,YEAR($AM65))</f>
        <v>5</v>
      </c>
      <c r="AQ65" s="464">
        <f>SUMIFS(Income!$G:$G,Income!$H:$H, AQ$2,Income!$F:$F, $AL$1, Income!$B:$B, IF($AM65&lt;&gt;"", TEXT($AM65, "MMMM"), ""), Income!$C:$C, YEAR($AM65))+SUMIFS($T:$T, $U:$U,AQ$2,$Q:$Q,IF($AM65&lt;&gt;"", TEXT($AM65, "MMMM"), ""),$R:$R,YEAR($AM65))</f>
        <v>0</v>
      </c>
      <c r="AR65" s="464">
        <f>SUMIFS(Income!$G:$G,Income!$H:$H, AR$2,Income!$F:$F, $AL$1, Income!$B:$B, IF($AM65&lt;&gt;"", TEXT($AM65, "MMMM"), ""), Income!$C:$C, YEAR($AM65))+SUMIFS($T:$T, $U:$U,AR$2,$Q:$Q,IF($AM65&lt;&gt;"", TEXT($AM65, "MMMM"), ""),$R:$R,YEAR($AM65))</f>
        <v>0</v>
      </c>
      <c r="AS65" s="467">
        <f>SUMIFS(Income!$G:$G,Income!$H:$H, AS$2,Income!$F:$F, $AL$1, Income!$B:$B, IF($AM65&lt;&gt;"", TEXT($AM65, "MMMM"), ""), Income!$C:$C, YEAR($AM65))+SUMIFS($T:$T, $U:$U,AS$2,$Q:$Q,IF($AM65&lt;&gt;"", TEXT($AM65, "MMMM"), ""),$R:$R,YEAR($AM65))</f>
        <v>0</v>
      </c>
      <c r="AT65" s="428"/>
      <c r="AU65" s="463">
        <v>45717.0</v>
      </c>
      <c r="AV65" s="464">
        <f>SUMIFS(Income!$G:$G,Income!$H:$H, AV$2,Income!$F:$F, $AT$1, Income!$B:$B, IF($AU65&lt;&gt;"", TEXT($AU65, "MMMM"), ""), Income!$C:$C, YEAR($AU65))</f>
        <v>0</v>
      </c>
      <c r="AW65" s="464">
        <f>SUMIFS(Income!$G:$G,Income!$H:$H, AW$2,Income!$F:$F, $AT$1, Income!$B:$B, IF($AU65&lt;&gt;"", TEXT($AU65, "MMMM"), ""), Income!$C:$C, YEAR($AU65))</f>
        <v>0</v>
      </c>
      <c r="AX65" s="464">
        <f>SUMIFS(Income!$G:$G,Income!$H:$H, AX$2,Income!$F:$F, $AT$1, Income!$B:$B, IF($AU65&lt;&gt;"", TEXT($AU65, "MMMM"), ""), Income!$C:$C, YEAR($AU65))</f>
        <v>150</v>
      </c>
      <c r="AY65" s="464">
        <f>SUMIFS(Income!$G:$G,Income!$H:$H, AY$2,Income!$F:$F, $AT$1, Income!$B:$B, IF($AU65&lt;&gt;"", TEXT($AU65, "MMMM"), ""), Income!$C:$C, YEAR($AU65))</f>
        <v>0</v>
      </c>
      <c r="AZ65" s="464">
        <f>SUMIFS(Income!$G:$G,Income!$H:$H, AZ$2,Income!$F:$F, $AT$1, Income!$B:$B, IF($AU65&lt;&gt;"", TEXT($AU65, "MMMM"), ""), Income!$C:$C, YEAR($AU65))</f>
        <v>0</v>
      </c>
      <c r="BA65" s="468">
        <f>SUMIFS(Income!$G:$G,Income!$H:$H, BA$2,Income!$F:$F, $AT$1, Income!$B:$B, IF($AU65&lt;&gt;"", TEXT($AU65, "MMMM"), ""), Income!$C:$C, YEAR($AU65))</f>
        <v>0</v>
      </c>
      <c r="BB65" s="345"/>
      <c r="BC65" s="345"/>
      <c r="BD65" s="345"/>
      <c r="BE65" s="345"/>
    </row>
    <row r="66" ht="13.5" customHeight="1">
      <c r="A66" s="424">
        <f>'Membership Application List'!A295</f>
        <v>45354.68278</v>
      </c>
      <c r="B66" s="443" t="str">
        <f t="shared" si="6"/>
        <v>March</v>
      </c>
      <c r="C66" s="443">
        <f t="shared" si="7"/>
        <v>2024</v>
      </c>
      <c r="D66" s="426" t="str">
        <f>'Membership Application List'!E295</f>
        <v>Daphne Tran</v>
      </c>
      <c r="E66" s="426">
        <f>IF('Membership Application List'!J295 = "Food/Litter Donation", 0, IF('Membership Application List'!J295 = "$15 Donation, Discord Verification", IF('Membership Application List'!N295 = TRUE, 15, 0)))</f>
        <v>0</v>
      </c>
      <c r="F66" s="426">
        <f>if('Membership Application List'!K295=TRUE, 5,0)</f>
        <v>0</v>
      </c>
      <c r="G66" s="426">
        <f t="shared" si="8"/>
        <v>0</v>
      </c>
      <c r="H66" s="427" t="str">
        <f>'Membership Application List'!L295</f>
        <v>Venmo</v>
      </c>
      <c r="I66" s="428"/>
      <c r="J66" s="463">
        <v>45748.0</v>
      </c>
      <c r="K66" s="464">
        <f t="shared" ref="K66:O66" si="24">SUMIFS($G:$G, $H:$H, K$2, $B:$B, IF($J66&lt;&gt;"", TEXT($J66, "MMMM"), ""), $C:$C, YEAR($J66))</f>
        <v>15</v>
      </c>
      <c r="L66" s="464">
        <f t="shared" si="24"/>
        <v>0</v>
      </c>
      <c r="M66" s="464">
        <f t="shared" si="24"/>
        <v>0</v>
      </c>
      <c r="N66" s="464">
        <f t="shared" si="24"/>
        <v>0</v>
      </c>
      <c r="O66" s="465">
        <f t="shared" si="24"/>
        <v>0</v>
      </c>
      <c r="P66" s="414"/>
      <c r="Q66" s="414"/>
      <c r="R66" s="414"/>
      <c r="S66" s="445"/>
      <c r="T66" s="445"/>
      <c r="U66" s="445"/>
      <c r="V66" s="428"/>
      <c r="W66" s="463">
        <v>45748.0</v>
      </c>
      <c r="X66" s="464">
        <f>SUMIFS(Income!$G:$G,Income!$H:$H, X$2,Income!$F:$F, $V$1, Income!$B:$B, IF($W66&lt;&gt;"", TEXT($W66, "MMMM"), ""), Income!$C:$C, YEAR($W66))</f>
        <v>3</v>
      </c>
      <c r="Y66" s="464">
        <f>SUMIFS(Income!$G:$G,Income!$H:$H, Y$2,Income!$F:$F, $V$1, Income!$B:$B, IF($W66&lt;&gt;"", TEXT($W66, "MMMM"), ""), Income!$C:$C, YEAR($W66))</f>
        <v>36</v>
      </c>
      <c r="Z66" s="464">
        <f>SUMIFS(Income!$G:$G,Income!$H:$H, Z$2,Income!$F:$F, $V$1, Income!$B:$B, IF($W66&lt;&gt;"", TEXT($W66, "MMMM"), ""), Income!$C:$C, YEAR($W66))</f>
        <v>14</v>
      </c>
      <c r="AA66" s="464">
        <f>SUMIFS(Income!$G:$G,Income!$H:$H, AA$2,Income!$F:$F, $V$1, Income!$B:$B, IF($W66&lt;&gt;"", TEXT($W66, "MMMM"), ""), Income!$C:$C, YEAR($W66))</f>
        <v>0</v>
      </c>
      <c r="AB66" s="464">
        <f>SUMIFS(Income!$G:$G,Income!$H:$H, AB$2,Income!$F:$F, $V$1, Income!$B:$B, IF($W66&lt;&gt;"", TEXT($W66, "MMMM"), ""), Income!$C:$C, YEAR($W66))</f>
        <v>0</v>
      </c>
      <c r="AC66" s="467">
        <f>SUMIFS(Income!$G:$G,Income!$H:$H, AC$2,Income!$F:$F, $V$1, Income!$B:$B, IF($W66&lt;&gt;"", TEXT($W66, "MMMM"), ""), Income!$C:$C, YEAR($W66))</f>
        <v>0</v>
      </c>
      <c r="AD66" s="428"/>
      <c r="AE66" s="463">
        <v>45748.0</v>
      </c>
      <c r="AF66" s="464">
        <f>SUMIFS(Income!$G:$G,Income!$H:$H, AF$2,Income!$F:$F, $AD$1, Income!$B:$B, IF($AE66&lt;&gt;"", TEXT($AE66, "MMMM"), ""), Income!$C:$C, YEAR($AE66))</f>
        <v>0</v>
      </c>
      <c r="AG66" s="464">
        <f>SUMIFS(Income!$G:$G,Income!$H:$H, AG$2,Income!$F:$F, $AD$1, Income!$B:$B, IF($AE66&lt;&gt;"", TEXT($AE66, "MMMM"), ""), Income!$C:$C, YEAR($AE66))</f>
        <v>0</v>
      </c>
      <c r="AH66" s="464">
        <f>SUMIFS(Income!$G:$G,Income!$H:$H, AH$2,Income!$F:$F, $AD$1, Income!$B:$B, IF($AE66&lt;&gt;"", TEXT($AE66, "MMMM"), ""), Income!$C:$C, YEAR($AE66))</f>
        <v>0</v>
      </c>
      <c r="AI66" s="464">
        <f>SUMIFS(Income!$G:$G,Income!$H:$H, AI$2,Income!$F:$F, $AD$1, Income!$B:$B, IF($AE66&lt;&gt;"", TEXT($AE66, "MMMM"), ""), Income!$C:$C, YEAR($AE66))</f>
        <v>0</v>
      </c>
      <c r="AJ66" s="464">
        <f>SUMIFS(Income!$G:$G,Income!$H:$H, AJ$2,Income!$F:$F, $AD$1, Income!$B:$B, IF($AE66&lt;&gt;"", TEXT($AE66, "MMMM"), ""), Income!$C:$C, YEAR($AE66))</f>
        <v>0</v>
      </c>
      <c r="AK66" s="467">
        <f>SUMIFS(Income!$G:$G,Income!$H:$H, AK$2,Income!$F:$F, $AD$1, Income!$B:$B, IF($AE66&lt;&gt;"", TEXT($AE66, "MMMM"), ""), Income!$C:$C, YEAR($AE66))</f>
        <v>0</v>
      </c>
      <c r="AL66" s="428"/>
      <c r="AM66" s="463">
        <v>45748.0</v>
      </c>
      <c r="AN66" s="464">
        <f>SUMIFS(Income!$G:$G,Income!$H:$H, AN$2,Income!$F:$F, $AL$1, Income!$B:$B, IF($AM66&lt;&gt;"", TEXT($AM66, "MMMM"), ""), Income!$C:$C, YEAR($AM66))+SUMIFS($T:$T, $U:$U,AN$2,$Q:$Q,IF($AM66&lt;&gt;"", TEXT($AM66, "MMMM"), ""),$R:$R,YEAR($AM66))</f>
        <v>1.94</v>
      </c>
      <c r="AO66" s="464">
        <f>SUMIFS(Income!$G:$G,Income!$H:$H, AO$2,Income!$F:$F, $AL$1, Income!$B:$B, IF($AM66&lt;&gt;"", TEXT($AM66, "MMMM"), ""), Income!$C:$C, YEAR($AM66))+SUMIFS($T:$T, $U:$U,AO$2,$Q:$Q,IF($AM66&lt;&gt;"", TEXT($AM66, "MMMM"), ""),$R:$R,YEAR($AM66))</f>
        <v>0</v>
      </c>
      <c r="AP66" s="464">
        <f>SUMIFS(Income!$G:$G,Income!$H:$H, AP$2,Income!$F:$F, $AL$1, Income!$B:$B, IF($AM66&lt;&gt;"", TEXT($AM66, "MMMM"), ""), Income!$C:$C, YEAR($AM66))+SUMIFS($T:$T, $U:$U,AP$2,$Q:$Q,IF($AM66&lt;&gt;"", TEXT($AM66, "MMMM"), ""),$R:$R,YEAR($AM66))</f>
        <v>0</v>
      </c>
      <c r="AQ66" s="464">
        <f>SUMIFS(Income!$G:$G,Income!$H:$H, AQ$2,Income!$F:$F, $AL$1, Income!$B:$B, IF($AM66&lt;&gt;"", TEXT($AM66, "MMMM"), ""), Income!$C:$C, YEAR($AM66))+SUMIFS($T:$T, $U:$U,AQ$2,$Q:$Q,IF($AM66&lt;&gt;"", TEXT($AM66, "MMMM"), ""),$R:$R,YEAR($AM66))</f>
        <v>0</v>
      </c>
      <c r="AR66" s="464">
        <f>SUMIFS(Income!$G:$G,Income!$H:$H, AR$2,Income!$F:$F, $AL$1, Income!$B:$B, IF($AM66&lt;&gt;"", TEXT($AM66, "MMMM"), ""), Income!$C:$C, YEAR($AM66))+SUMIFS($T:$T, $U:$U,AR$2,$Q:$Q,IF($AM66&lt;&gt;"", TEXT($AM66, "MMMM"), ""),$R:$R,YEAR($AM66))</f>
        <v>0</v>
      </c>
      <c r="AS66" s="467">
        <f>SUMIFS(Income!$G:$G,Income!$H:$H, AS$2,Income!$F:$F, $AL$1, Income!$B:$B, IF($AM66&lt;&gt;"", TEXT($AM66, "MMMM"), ""), Income!$C:$C, YEAR($AM66))+SUMIFS($T:$T, $U:$U,AS$2,$Q:$Q,IF($AM66&lt;&gt;"", TEXT($AM66, "MMMM"), ""),$R:$R,YEAR($AM66))</f>
        <v>0</v>
      </c>
      <c r="AT66" s="428"/>
      <c r="AU66" s="463">
        <v>45748.0</v>
      </c>
      <c r="AV66" s="464">
        <f>SUMIFS(Income!$G:$G,Income!$H:$H, AV$2,Income!$F:$F, $AT$1, Income!$B:$B, IF($AU66&lt;&gt;"", TEXT($AU66, "MMMM"), ""), Income!$C:$C, YEAR($AU66))</f>
        <v>0</v>
      </c>
      <c r="AW66" s="464">
        <f>SUMIFS(Income!$G:$G,Income!$H:$H, AW$2,Income!$F:$F, $AT$1, Income!$B:$B, IF($AU66&lt;&gt;"", TEXT($AU66, "MMMM"), ""), Income!$C:$C, YEAR($AU66))</f>
        <v>0</v>
      </c>
      <c r="AX66" s="464">
        <f>SUMIFS(Income!$G:$G,Income!$H:$H, AX$2,Income!$F:$F, $AT$1, Income!$B:$B, IF($AU66&lt;&gt;"", TEXT($AU66, "MMMM"), ""), Income!$C:$C, YEAR($AU66))</f>
        <v>0</v>
      </c>
      <c r="AY66" s="464">
        <f>SUMIFS(Income!$G:$G,Income!$H:$H, AY$2,Income!$F:$F, $AT$1, Income!$B:$B, IF($AU66&lt;&gt;"", TEXT($AU66, "MMMM"), ""), Income!$C:$C, YEAR($AU66))</f>
        <v>0</v>
      </c>
      <c r="AZ66" s="464">
        <f>SUMIFS(Income!$G:$G,Income!$H:$H, AZ$2,Income!$F:$F, $AT$1, Income!$B:$B, IF($AU66&lt;&gt;"", TEXT($AU66, "MMMM"), ""), Income!$C:$C, YEAR($AU66))</f>
        <v>0</v>
      </c>
      <c r="BA66" s="468">
        <f>SUMIFS(Income!$G:$G,Income!$H:$H, BA$2,Income!$F:$F, $AT$1, Income!$B:$B, IF($AU66&lt;&gt;"", TEXT($AU66, "MMMM"), ""), Income!$C:$C, YEAR($AU66))</f>
        <v>0</v>
      </c>
      <c r="BB66" s="345"/>
      <c r="BC66" s="345"/>
      <c r="BD66" s="345"/>
      <c r="BE66" s="345"/>
    </row>
    <row r="67" ht="13.5" customHeight="1">
      <c r="A67" s="436">
        <f>'Membership Application List'!A296</f>
        <v>45363.58149</v>
      </c>
      <c r="B67" s="437" t="str">
        <f t="shared" si="6"/>
        <v>March</v>
      </c>
      <c r="C67" s="437">
        <f t="shared" si="7"/>
        <v>2024</v>
      </c>
      <c r="D67" s="438" t="str">
        <f>'Membership Application List'!E296</f>
        <v>Rosalia Zamarripa </v>
      </c>
      <c r="E67" s="438">
        <f>IF('Membership Application List'!J296 = "Food/Litter Donation", 0, IF('Membership Application List'!J296 = "$15 Donation, Discord Verification", IF('Membership Application List'!N296 = TRUE, 15, 0)))</f>
        <v>15</v>
      </c>
      <c r="F67" s="438">
        <f>if('Membership Application List'!K296=TRUE, 5,0)</f>
        <v>0</v>
      </c>
      <c r="G67" s="438">
        <f t="shared" si="8"/>
        <v>15</v>
      </c>
      <c r="H67" s="439" t="str">
        <f>'Membership Application List'!L296</f>
        <v>Cashapp</v>
      </c>
      <c r="I67" s="428"/>
      <c r="J67" s="463">
        <v>45778.0</v>
      </c>
      <c r="K67" s="464">
        <f t="shared" ref="K67:O67" si="25">SUMIFS($G:$G, $H:$H, K$2, $B:$B, IF($J67&lt;&gt;"", TEXT($J67, "MMMM"), ""), $C:$C, YEAR($J67))</f>
        <v>15</v>
      </c>
      <c r="L67" s="464">
        <f t="shared" si="25"/>
        <v>0</v>
      </c>
      <c r="M67" s="464">
        <f t="shared" si="25"/>
        <v>0</v>
      </c>
      <c r="N67" s="464">
        <f t="shared" si="25"/>
        <v>0</v>
      </c>
      <c r="O67" s="465">
        <f t="shared" si="25"/>
        <v>0</v>
      </c>
      <c r="P67" s="414"/>
      <c r="Q67" s="414"/>
      <c r="R67" s="414"/>
      <c r="S67" s="445"/>
      <c r="T67" s="445"/>
      <c r="U67" s="445"/>
      <c r="V67" s="428"/>
      <c r="W67" s="463">
        <v>45778.0</v>
      </c>
      <c r="X67" s="464">
        <f>SUMIFS(Income!$G:$G,Income!$H:$H, X$2,Income!$F:$F, $V$1, Income!$B:$B, IF($W67&lt;&gt;"", TEXT($W67, "MMMM"), ""), Income!$C:$C, YEAR($W67))</f>
        <v>0</v>
      </c>
      <c r="Y67" s="464">
        <f>SUMIFS(Income!$G:$G,Income!$H:$H, Y$2,Income!$F:$F, $V$1, Income!$B:$B, IF($W67&lt;&gt;"", TEXT($W67, "MMMM"), ""), Income!$C:$C, YEAR($W67))</f>
        <v>0</v>
      </c>
      <c r="Z67" s="464">
        <f>SUMIFS(Income!$G:$G,Income!$H:$H, Z$2,Income!$F:$F, $V$1, Income!$B:$B, IF($W67&lt;&gt;"", TEXT($W67, "MMMM"), ""), Income!$C:$C, YEAR($W67))</f>
        <v>0</v>
      </c>
      <c r="AA67" s="464">
        <f>SUMIFS(Income!$G:$G,Income!$H:$H, AA$2,Income!$F:$F, $V$1, Income!$B:$B, IF($W67&lt;&gt;"", TEXT($W67, "MMMM"), ""), Income!$C:$C, YEAR($W67))</f>
        <v>0</v>
      </c>
      <c r="AB67" s="464">
        <f>SUMIFS(Income!$G:$G,Income!$H:$H, AB$2,Income!$F:$F, $V$1, Income!$B:$B, IF($W67&lt;&gt;"", TEXT($W67, "MMMM"), ""), Income!$C:$C, YEAR($W67))</f>
        <v>0</v>
      </c>
      <c r="AC67" s="467">
        <f>SUMIFS(Income!$G:$G,Income!$H:$H, AC$2,Income!$F:$F, $V$1, Income!$B:$B, IF($W67&lt;&gt;"", TEXT($W67, "MMMM"), ""), Income!$C:$C, YEAR($W67))</f>
        <v>0</v>
      </c>
      <c r="AD67" s="428"/>
      <c r="AE67" s="463">
        <v>45778.0</v>
      </c>
      <c r="AF67" s="464">
        <f>SUMIFS(Income!$G:$G,Income!$H:$H, AF$2,Income!$F:$F, $AD$1, Income!$B:$B, IF($AE67&lt;&gt;"", TEXT($AE67, "MMMM"), ""), Income!$C:$C, YEAR($AE67))</f>
        <v>0</v>
      </c>
      <c r="AG67" s="464">
        <f>SUMIFS(Income!$G:$G,Income!$H:$H, AG$2,Income!$F:$F, $AD$1, Income!$B:$B, IF($AE67&lt;&gt;"", TEXT($AE67, "MMMM"), ""), Income!$C:$C, YEAR($AE67))</f>
        <v>0</v>
      </c>
      <c r="AH67" s="464">
        <f>SUMIFS(Income!$G:$G,Income!$H:$H, AH$2,Income!$F:$F, $AD$1, Income!$B:$B, IF($AE67&lt;&gt;"", TEXT($AE67, "MMMM"), ""), Income!$C:$C, YEAR($AE67))</f>
        <v>0</v>
      </c>
      <c r="AI67" s="464">
        <f>SUMIFS(Income!$G:$G,Income!$H:$H, AI$2,Income!$F:$F, $AD$1, Income!$B:$B, IF($AE67&lt;&gt;"", TEXT($AE67, "MMMM"), ""), Income!$C:$C, YEAR($AE67))</f>
        <v>0</v>
      </c>
      <c r="AJ67" s="464">
        <f>SUMIFS(Income!$G:$G,Income!$H:$H, AJ$2,Income!$F:$F, $AD$1, Income!$B:$B, IF($AE67&lt;&gt;"", TEXT($AE67, "MMMM"), ""), Income!$C:$C, YEAR($AE67))</f>
        <v>0</v>
      </c>
      <c r="AK67" s="467">
        <f>SUMIFS(Income!$G:$G,Income!$H:$H, AK$2,Income!$F:$F, $AD$1, Income!$B:$B, IF($AE67&lt;&gt;"", TEXT($AE67, "MMMM"), ""), Income!$C:$C, YEAR($AE67))</f>
        <v>0</v>
      </c>
      <c r="AL67" s="428"/>
      <c r="AM67" s="463">
        <v>45778.0</v>
      </c>
      <c r="AN67" s="464">
        <f>SUMIFS(Income!$G:$G,Income!$H:$H, AN$2,Income!$F:$F, $AL$1, Income!$B:$B, IF($AM67&lt;&gt;"", TEXT($AM67, "MMMM"), ""), Income!$C:$C, YEAR($AM67))+SUMIFS($T:$T, $U:$U,AN$2,$Q:$Q,IF($AM67&lt;&gt;"", TEXT($AM67, "MMMM"), ""),$R:$R,YEAR($AM67))</f>
        <v>0</v>
      </c>
      <c r="AO67" s="464">
        <f>SUMIFS(Income!$G:$G,Income!$H:$H, AO$2,Income!$F:$F, $AL$1, Income!$B:$B, IF($AM67&lt;&gt;"", TEXT($AM67, "MMMM"), ""), Income!$C:$C, YEAR($AM67))+SUMIFS($T:$T, $U:$U,AO$2,$Q:$Q,IF($AM67&lt;&gt;"", TEXT($AM67, "MMMM"), ""),$R:$R,YEAR($AM67))</f>
        <v>0</v>
      </c>
      <c r="AP67" s="464">
        <f>SUMIFS(Income!$G:$G,Income!$H:$H, AP$2,Income!$F:$F, $AL$1, Income!$B:$B, IF($AM67&lt;&gt;"", TEXT($AM67, "MMMM"), ""), Income!$C:$C, YEAR($AM67))+SUMIFS($T:$T, $U:$U,AP$2,$Q:$Q,IF($AM67&lt;&gt;"", TEXT($AM67, "MMMM"), ""),$R:$R,YEAR($AM67))</f>
        <v>0</v>
      </c>
      <c r="AQ67" s="464">
        <f>SUMIFS(Income!$G:$G,Income!$H:$H, AQ$2,Income!$F:$F, $AL$1, Income!$B:$B, IF($AM67&lt;&gt;"", TEXT($AM67, "MMMM"), ""), Income!$C:$C, YEAR($AM67))+SUMIFS($T:$T, $U:$U,AQ$2,$Q:$Q,IF($AM67&lt;&gt;"", TEXT($AM67, "MMMM"), ""),$R:$R,YEAR($AM67))</f>
        <v>0</v>
      </c>
      <c r="AR67" s="464">
        <f>SUMIFS(Income!$G:$G,Income!$H:$H, AR$2,Income!$F:$F, $AL$1, Income!$B:$B, IF($AM67&lt;&gt;"", TEXT($AM67, "MMMM"), ""), Income!$C:$C, YEAR($AM67))+SUMIFS($T:$T, $U:$U,AR$2,$Q:$Q,IF($AM67&lt;&gt;"", TEXT($AM67, "MMMM"), ""),$R:$R,YEAR($AM67))</f>
        <v>0</v>
      </c>
      <c r="AS67" s="467">
        <f>SUMIFS(Income!$G:$G,Income!$H:$H, AS$2,Income!$F:$F, $AL$1, Income!$B:$B, IF($AM67&lt;&gt;"", TEXT($AM67, "MMMM"), ""), Income!$C:$C, YEAR($AM67))+SUMIFS($T:$T, $U:$U,AS$2,$Q:$Q,IF($AM67&lt;&gt;"", TEXT($AM67, "MMMM"), ""),$R:$R,YEAR($AM67))</f>
        <v>0</v>
      </c>
      <c r="AT67" s="428"/>
      <c r="AU67" s="463">
        <v>45778.0</v>
      </c>
      <c r="AV67" s="464">
        <f>SUMIFS(Income!$G:$G,Income!$H:$H, AV$2,Income!$F:$F, $AT$1, Income!$B:$B, IF($AU67&lt;&gt;"", TEXT($AU67, "MMMM"), ""), Income!$C:$C, YEAR($AU67))</f>
        <v>0</v>
      </c>
      <c r="AW67" s="464">
        <f>SUMIFS(Income!$G:$G,Income!$H:$H, AW$2,Income!$F:$F, $AT$1, Income!$B:$B, IF($AU67&lt;&gt;"", TEXT($AU67, "MMMM"), ""), Income!$C:$C, YEAR($AU67))</f>
        <v>0</v>
      </c>
      <c r="AX67" s="464">
        <f>SUMIFS(Income!$G:$G,Income!$H:$H, AX$2,Income!$F:$F, $AT$1, Income!$B:$B, IF($AU67&lt;&gt;"", TEXT($AU67, "MMMM"), ""), Income!$C:$C, YEAR($AU67))</f>
        <v>0</v>
      </c>
      <c r="AY67" s="464">
        <f>SUMIFS(Income!$G:$G,Income!$H:$H, AY$2,Income!$F:$F, $AT$1, Income!$B:$B, IF($AU67&lt;&gt;"", TEXT($AU67, "MMMM"), ""), Income!$C:$C, YEAR($AU67))</f>
        <v>0</v>
      </c>
      <c r="AZ67" s="464">
        <f>SUMIFS(Income!$G:$G,Income!$H:$H, AZ$2,Income!$F:$F, $AT$1, Income!$B:$B, IF($AU67&lt;&gt;"", TEXT($AU67, "MMMM"), ""), Income!$C:$C, YEAR($AU67))</f>
        <v>0</v>
      </c>
      <c r="BA67" s="468">
        <f>SUMIFS(Income!$G:$G,Income!$H:$H, BA$2,Income!$F:$F, $AT$1, Income!$B:$B, IF($AU67&lt;&gt;"", TEXT($AU67, "MMMM"), ""), Income!$C:$C, YEAR($AU67))</f>
        <v>0</v>
      </c>
      <c r="BB67" s="345"/>
      <c r="BC67" s="345"/>
      <c r="BD67" s="345"/>
      <c r="BE67" s="345"/>
    </row>
    <row r="68" ht="13.5" customHeight="1">
      <c r="A68" s="424">
        <f>'Membership Application List'!A297</f>
        <v>45333</v>
      </c>
      <c r="B68" s="443" t="str">
        <f t="shared" si="6"/>
        <v>February</v>
      </c>
      <c r="C68" s="443">
        <f t="shared" si="7"/>
        <v>2024</v>
      </c>
      <c r="D68" s="426" t="str">
        <f>'Membership Application List'!E297</f>
        <v>Brandon Isom</v>
      </c>
      <c r="E68" s="426">
        <f>IF('Membership Application List'!J297 = "Food/Litter Donation", 0, IF('Membership Application List'!J297 = "$15 Donation, Discord Verification", IF('Membership Application List'!N297 = TRUE, 15, 0)))</f>
        <v>15</v>
      </c>
      <c r="F68" s="426">
        <f>if('Membership Application List'!K297=TRUE, 5,0)</f>
        <v>0</v>
      </c>
      <c r="G68" s="426">
        <f t="shared" si="8"/>
        <v>15</v>
      </c>
      <c r="H68" s="427" t="str">
        <f>'Membership Application List'!L297</f>
        <v>Cashapp</v>
      </c>
      <c r="I68" s="447" t="s">
        <v>779</v>
      </c>
      <c r="J68" s="463">
        <v>45809.0</v>
      </c>
      <c r="K68" s="464">
        <f t="shared" ref="K68:O68" si="26">SUMIFS($G:$G, $H:$H, K$2, $B:$B, IF($J68&lt;&gt;"", TEXT($J68, "MMMM"), ""), $C:$C, YEAR($J68))</f>
        <v>15</v>
      </c>
      <c r="L68" s="464">
        <f t="shared" si="26"/>
        <v>0</v>
      </c>
      <c r="M68" s="464">
        <f t="shared" si="26"/>
        <v>0</v>
      </c>
      <c r="N68" s="464">
        <f t="shared" si="26"/>
        <v>0</v>
      </c>
      <c r="O68" s="465">
        <f t="shared" si="26"/>
        <v>0</v>
      </c>
      <c r="P68" s="414"/>
      <c r="Q68" s="414"/>
      <c r="R68" s="414"/>
      <c r="S68" s="445"/>
      <c r="T68" s="445"/>
      <c r="U68" s="445"/>
      <c r="V68" s="447" t="s">
        <v>779</v>
      </c>
      <c r="W68" s="463">
        <v>45809.0</v>
      </c>
      <c r="X68" s="464">
        <f>SUMIFS(Income!$G:$G,Income!$H:$H, X$2,Income!$F:$F, $V$1, Income!$B:$B, IF($W68&lt;&gt;"", TEXT($W68, "MMMM"), ""), Income!$C:$C, YEAR($W68))</f>
        <v>0</v>
      </c>
      <c r="Y68" s="464">
        <f>SUMIFS(Income!$G:$G,Income!$H:$H, Y$2,Income!$F:$F, $V$1, Income!$B:$B, IF($W68&lt;&gt;"", TEXT($W68, "MMMM"), ""), Income!$C:$C, YEAR($W68))</f>
        <v>0</v>
      </c>
      <c r="Z68" s="464">
        <f>SUMIFS(Income!$G:$G,Income!$H:$H, Z$2,Income!$F:$F, $V$1, Income!$B:$B, IF($W68&lt;&gt;"", TEXT($W68, "MMMM"), ""), Income!$C:$C, YEAR($W68))</f>
        <v>0</v>
      </c>
      <c r="AA68" s="464">
        <f>SUMIFS(Income!$G:$G,Income!$H:$H, AA$2,Income!$F:$F, $V$1, Income!$B:$B, IF($W68&lt;&gt;"", TEXT($W68, "MMMM"), ""), Income!$C:$C, YEAR($W68))</f>
        <v>0</v>
      </c>
      <c r="AB68" s="464">
        <f>SUMIFS(Income!$G:$G,Income!$H:$H, AB$2,Income!$F:$F, $V$1, Income!$B:$B, IF($W68&lt;&gt;"", TEXT($W68, "MMMM"), ""), Income!$C:$C, YEAR($W68))</f>
        <v>0</v>
      </c>
      <c r="AC68" s="467">
        <f>SUMIFS(Income!$G:$G,Income!$H:$H, AC$2,Income!$F:$F, $V$1, Income!$B:$B, IF($W68&lt;&gt;"", TEXT($W68, "MMMM"), ""), Income!$C:$C, YEAR($W68))</f>
        <v>0</v>
      </c>
      <c r="AD68" s="447" t="s">
        <v>779</v>
      </c>
      <c r="AE68" s="463">
        <v>45809.0</v>
      </c>
      <c r="AF68" s="464">
        <f>SUMIFS(Income!$G:$G,Income!$H:$H, AF$2,Income!$F:$F, $AD$1, Income!$B:$B, IF($AE68&lt;&gt;"", TEXT($AE68, "MMMM"), ""), Income!$C:$C, YEAR($AE68))</f>
        <v>0</v>
      </c>
      <c r="AG68" s="464">
        <f>SUMIFS(Income!$G:$G,Income!$H:$H, AG$2,Income!$F:$F, $AD$1, Income!$B:$B, IF($AE68&lt;&gt;"", TEXT($AE68, "MMMM"), ""), Income!$C:$C, YEAR($AE68))</f>
        <v>0</v>
      </c>
      <c r="AH68" s="464">
        <f>SUMIFS(Income!$G:$G,Income!$H:$H, AH$2,Income!$F:$F, $AD$1, Income!$B:$B, IF($AE68&lt;&gt;"", TEXT($AE68, "MMMM"), ""), Income!$C:$C, YEAR($AE68))</f>
        <v>211.18</v>
      </c>
      <c r="AI68" s="464">
        <f>SUMIFS(Income!$G:$G,Income!$H:$H, AI$2,Income!$F:$F, $AD$1, Income!$B:$B, IF($AE68&lt;&gt;"", TEXT($AE68, "MMMM"), ""), Income!$C:$C, YEAR($AE68))</f>
        <v>0</v>
      </c>
      <c r="AJ68" s="464">
        <f>SUMIFS(Income!$G:$G,Income!$H:$H, AJ$2,Income!$F:$F, $AD$1, Income!$B:$B, IF($AE68&lt;&gt;"", TEXT($AE68, "MMMM"), ""), Income!$C:$C, YEAR($AE68))</f>
        <v>0</v>
      </c>
      <c r="AK68" s="467">
        <f>SUMIFS(Income!$G:$G,Income!$H:$H, AK$2,Income!$F:$F, $AD$1, Income!$B:$B, IF($AE68&lt;&gt;"", TEXT($AE68, "MMMM"), ""), Income!$C:$C, YEAR($AE68))</f>
        <v>0</v>
      </c>
      <c r="AL68" s="447" t="s">
        <v>779</v>
      </c>
      <c r="AM68" s="463">
        <v>45809.0</v>
      </c>
      <c r="AN68" s="464">
        <f>SUMIFS(Income!$G:$G,Income!$H:$H, AN$2,Income!$F:$F, $AL$1, Income!$B:$B, IF($AM68&lt;&gt;"", TEXT($AM68, "MMMM"), ""), Income!$C:$C, YEAR($AM68))+SUMIFS($T:$T, $U:$U,AN$2,$Q:$Q,IF($AM68&lt;&gt;"", TEXT($AM68, "MMMM"), ""),$R:$R,YEAR($AM68))</f>
        <v>0</v>
      </c>
      <c r="AO68" s="464">
        <f>SUMIFS(Income!$G:$G,Income!$H:$H, AO$2,Income!$F:$F, $AL$1, Income!$B:$B, IF($AM68&lt;&gt;"", TEXT($AM68, "MMMM"), ""), Income!$C:$C, YEAR($AM68))+SUMIFS($T:$T, $U:$U,AO$2,$Q:$Q,IF($AM68&lt;&gt;"", TEXT($AM68, "MMMM"), ""),$R:$R,YEAR($AM68))</f>
        <v>0</v>
      </c>
      <c r="AP68" s="464">
        <f>SUMIFS(Income!$G:$G,Income!$H:$H, AP$2,Income!$F:$F, $AL$1, Income!$B:$B, IF($AM68&lt;&gt;"", TEXT($AM68, "MMMM"), ""), Income!$C:$C, YEAR($AM68))+SUMIFS($T:$T, $U:$U,AP$2,$Q:$Q,IF($AM68&lt;&gt;"", TEXT($AM68, "MMMM"), ""),$R:$R,YEAR($AM68))</f>
        <v>211.18</v>
      </c>
      <c r="AQ68" s="464">
        <f>SUMIFS(Income!$G:$G,Income!$H:$H, AQ$2,Income!$F:$F, $AL$1, Income!$B:$B, IF($AM68&lt;&gt;"", TEXT($AM68, "MMMM"), ""), Income!$C:$C, YEAR($AM68))+SUMIFS($T:$T, $U:$U,AQ$2,$Q:$Q,IF($AM68&lt;&gt;"", TEXT($AM68, "MMMM"), ""),$R:$R,YEAR($AM68))</f>
        <v>0</v>
      </c>
      <c r="AR68" s="464">
        <f>SUMIFS(Income!$G:$G,Income!$H:$H, AR$2,Income!$F:$F, $AL$1, Income!$B:$B, IF($AM68&lt;&gt;"", TEXT($AM68, "MMMM"), ""), Income!$C:$C, YEAR($AM68))+SUMIFS($T:$T, $U:$U,AR$2,$Q:$Q,IF($AM68&lt;&gt;"", TEXT($AM68, "MMMM"), ""),$R:$R,YEAR($AM68))</f>
        <v>0</v>
      </c>
      <c r="AS68" s="467">
        <f>SUMIFS(Income!$G:$G,Income!$H:$H, AS$2,Income!$F:$F, $AL$1, Income!$B:$B, IF($AM68&lt;&gt;"", TEXT($AM68, "MMMM"), ""), Income!$C:$C, YEAR($AM68))+SUMIFS($T:$T, $U:$U,AS$2,$Q:$Q,IF($AM68&lt;&gt;"", TEXT($AM68, "MMMM"), ""),$R:$R,YEAR($AM68))</f>
        <v>0</v>
      </c>
      <c r="AT68" s="447" t="s">
        <v>779</v>
      </c>
      <c r="AU68" s="463">
        <v>45809.0</v>
      </c>
      <c r="AV68" s="464">
        <f>SUMIFS(Income!$G:$G,Income!$H:$H, AV$2,Income!$F:$F, $AT$1, Income!$B:$B, IF($AU68&lt;&gt;"", TEXT($AU68, "MMMM"), ""), Income!$C:$C, YEAR($AU68))</f>
        <v>0</v>
      </c>
      <c r="AW68" s="464">
        <f>SUMIFS(Income!$G:$G,Income!$H:$H, AW$2,Income!$F:$F, $AT$1, Income!$B:$B, IF($AU68&lt;&gt;"", TEXT($AU68, "MMMM"), ""), Income!$C:$C, YEAR($AU68))</f>
        <v>0</v>
      </c>
      <c r="AX68" s="464">
        <f>SUMIFS(Income!$G:$G,Income!$H:$H, AX$2,Income!$F:$F, $AT$1, Income!$B:$B, IF($AU68&lt;&gt;"", TEXT($AU68, "MMMM"), ""), Income!$C:$C, YEAR($AU68))</f>
        <v>0</v>
      </c>
      <c r="AY68" s="464">
        <f>SUMIFS(Income!$G:$G,Income!$H:$H, AY$2,Income!$F:$F, $AT$1, Income!$B:$B, IF($AU68&lt;&gt;"", TEXT($AU68, "MMMM"), ""), Income!$C:$C, YEAR($AU68))</f>
        <v>0</v>
      </c>
      <c r="AZ68" s="464">
        <f>SUMIFS(Income!$G:$G,Income!$H:$H, AZ$2,Income!$F:$F, $AT$1, Income!$B:$B, IF($AU68&lt;&gt;"", TEXT($AU68, "MMMM"), ""), Income!$C:$C, YEAR($AU68))</f>
        <v>0</v>
      </c>
      <c r="BA68" s="468">
        <f>SUMIFS(Income!$G:$G,Income!$H:$H, BA$2,Income!$F:$F, $AT$1, Income!$B:$B, IF($AU68&lt;&gt;"", TEXT($AU68, "MMMM"), ""), Income!$C:$C, YEAR($AU68))</f>
        <v>0</v>
      </c>
      <c r="BB68" s="345"/>
      <c r="BC68" s="345"/>
      <c r="BD68" s="345"/>
      <c r="BE68" s="345"/>
    </row>
    <row r="69" ht="13.5" customHeight="1">
      <c r="A69" s="436">
        <f>'Membership Application List'!A298</f>
        <v>45390.44293</v>
      </c>
      <c r="B69" s="437" t="str">
        <f t="shared" si="6"/>
        <v>April</v>
      </c>
      <c r="C69" s="437">
        <f t="shared" si="7"/>
        <v>2024</v>
      </c>
      <c r="D69" s="438" t="str">
        <f>'Membership Application List'!E298</f>
        <v>Kaustubh Mahimkar</v>
      </c>
      <c r="E69" s="438">
        <f>IF('Membership Application List'!J298 = "Food/Litter Donation", 0, IF('Membership Application List'!J298 = "$15 Donation, Discord Verification", IF('Membership Application List'!N298 = TRUE, 15, 0)))</f>
        <v>0</v>
      </c>
      <c r="F69" s="438">
        <f>if('Membership Application List'!K298=TRUE, 5,0)</f>
        <v>0</v>
      </c>
      <c r="G69" s="438">
        <f t="shared" si="8"/>
        <v>0</v>
      </c>
      <c r="H69" s="439" t="str">
        <f>'Membership Application List'!L298</f>
        <v/>
      </c>
      <c r="I69" s="428"/>
      <c r="J69" s="463">
        <v>45839.0</v>
      </c>
      <c r="K69" s="464">
        <f t="shared" ref="K69:O69" si="27">SUMIFS($G:$G, $H:$H, K$2, $B:$B, IF($J69&lt;&gt;"", TEXT($J69, "MMMM"), ""), $C:$C, YEAR($J69))</f>
        <v>0</v>
      </c>
      <c r="L69" s="464">
        <f t="shared" si="27"/>
        <v>0</v>
      </c>
      <c r="M69" s="464">
        <f t="shared" si="27"/>
        <v>0</v>
      </c>
      <c r="N69" s="464">
        <f t="shared" si="27"/>
        <v>0</v>
      </c>
      <c r="O69" s="465">
        <f t="shared" si="27"/>
        <v>0</v>
      </c>
      <c r="P69" s="414"/>
      <c r="Q69" s="414"/>
      <c r="R69" s="414"/>
      <c r="S69" s="445"/>
      <c r="T69" s="445"/>
      <c r="U69" s="445"/>
      <c r="V69" s="428"/>
      <c r="W69" s="463">
        <v>45839.0</v>
      </c>
      <c r="X69" s="464">
        <f>SUMIFS(Income!$G:$G,Income!$H:$H, X$2,Income!$F:$F, $V$1, Income!$B:$B, IF($W69&lt;&gt;"", TEXT($W69, "MMMM"), ""), Income!$C:$C, YEAR($W69))</f>
        <v>0</v>
      </c>
      <c r="Y69" s="464">
        <f>SUMIFS(Income!$G:$G,Income!$H:$H, Y$2,Income!$F:$F, $V$1, Income!$B:$B, IF($W69&lt;&gt;"", TEXT($W69, "MMMM"), ""), Income!$C:$C, YEAR($W69))</f>
        <v>0</v>
      </c>
      <c r="Z69" s="464">
        <f>SUMIFS(Income!$G:$G,Income!$H:$H, Z$2,Income!$F:$F, $V$1, Income!$B:$B, IF($W69&lt;&gt;"", TEXT($W69, "MMMM"), ""), Income!$C:$C, YEAR($W69))</f>
        <v>0</v>
      </c>
      <c r="AA69" s="464">
        <f>SUMIFS(Income!$G:$G,Income!$H:$H, AA$2,Income!$F:$F, $V$1, Income!$B:$B, IF($W69&lt;&gt;"", TEXT($W69, "MMMM"), ""), Income!$C:$C, YEAR($W69))</f>
        <v>0</v>
      </c>
      <c r="AB69" s="464">
        <f>SUMIFS(Income!$G:$G,Income!$H:$H, AB$2,Income!$F:$F, $V$1, Income!$B:$B, IF($W69&lt;&gt;"", TEXT($W69, "MMMM"), ""), Income!$C:$C, YEAR($W69))</f>
        <v>0</v>
      </c>
      <c r="AC69" s="467">
        <f>SUMIFS(Income!$G:$G,Income!$H:$H, AC$2,Income!$F:$F, $V$1, Income!$B:$B, IF($W69&lt;&gt;"", TEXT($W69, "MMMM"), ""), Income!$C:$C, YEAR($W69))</f>
        <v>0</v>
      </c>
      <c r="AD69" s="428"/>
      <c r="AE69" s="463">
        <v>45839.0</v>
      </c>
      <c r="AF69" s="464">
        <f>SUMIFS(Income!$G:$G,Income!$H:$H, AF$2,Income!$F:$F, $AD$1, Income!$B:$B, IF($AE69&lt;&gt;"", TEXT($AE69, "MMMM"), ""), Income!$C:$C, YEAR($AE69))</f>
        <v>0</v>
      </c>
      <c r="AG69" s="464">
        <f>SUMIFS(Income!$G:$G,Income!$H:$H, AG$2,Income!$F:$F, $AD$1, Income!$B:$B, IF($AE69&lt;&gt;"", TEXT($AE69, "MMMM"), ""), Income!$C:$C, YEAR($AE69))</f>
        <v>0</v>
      </c>
      <c r="AH69" s="464">
        <f>SUMIFS(Income!$G:$G,Income!$H:$H, AH$2,Income!$F:$F, $AD$1, Income!$B:$B, IF($AE69&lt;&gt;"", TEXT($AE69, "MMMM"), ""), Income!$C:$C, YEAR($AE69))</f>
        <v>0</v>
      </c>
      <c r="AI69" s="464">
        <f>SUMIFS(Income!$G:$G,Income!$H:$H, AI$2,Income!$F:$F, $AD$1, Income!$B:$B, IF($AE69&lt;&gt;"", TEXT($AE69, "MMMM"), ""), Income!$C:$C, YEAR($AE69))</f>
        <v>0</v>
      </c>
      <c r="AJ69" s="464">
        <f>SUMIFS(Income!$G:$G,Income!$H:$H, AJ$2,Income!$F:$F, $AD$1, Income!$B:$B, IF($AE69&lt;&gt;"", TEXT($AE69, "MMMM"), ""), Income!$C:$C, YEAR($AE69))</f>
        <v>0</v>
      </c>
      <c r="AK69" s="467">
        <f>SUMIFS(Income!$G:$G,Income!$H:$H, AK$2,Income!$F:$F, $AD$1, Income!$B:$B, IF($AE69&lt;&gt;"", TEXT($AE69, "MMMM"), ""), Income!$C:$C, YEAR($AE69))</f>
        <v>0</v>
      </c>
      <c r="AL69" s="428"/>
      <c r="AM69" s="463">
        <v>45839.0</v>
      </c>
      <c r="AN69" s="464">
        <f>SUMIFS(Income!$G:$G,Income!$H:$H, AN$2,Income!$F:$F, $AL$1, Income!$B:$B, IF($AM69&lt;&gt;"", TEXT($AM69, "MMMM"), ""), Income!$C:$C, YEAR($AM69))+SUMIFS($T:$T, $U:$U,AN$2,$Q:$Q,IF($AM69&lt;&gt;"", TEXT($AM69, "MMMM"), ""),$R:$R,YEAR($AM69))</f>
        <v>0</v>
      </c>
      <c r="AO69" s="464">
        <f>SUMIFS(Income!$G:$G,Income!$H:$H, AO$2,Income!$F:$F, $AL$1, Income!$B:$B, IF($AM69&lt;&gt;"", TEXT($AM69, "MMMM"), ""), Income!$C:$C, YEAR($AM69))+SUMIFS($T:$T, $U:$U,AO$2,$Q:$Q,IF($AM69&lt;&gt;"", TEXT($AM69, "MMMM"), ""),$R:$R,YEAR($AM69))</f>
        <v>0</v>
      </c>
      <c r="AP69" s="464">
        <f>SUMIFS(Income!$G:$G,Income!$H:$H, AP$2,Income!$F:$F, $AL$1, Income!$B:$B, IF($AM69&lt;&gt;"", TEXT($AM69, "MMMM"), ""), Income!$C:$C, YEAR($AM69))+SUMIFS($T:$T, $U:$U,AP$2,$Q:$Q,IF($AM69&lt;&gt;"", TEXT($AM69, "MMMM"), ""),$R:$R,YEAR($AM69))</f>
        <v>0</v>
      </c>
      <c r="AQ69" s="464">
        <f>SUMIFS(Income!$G:$G,Income!$H:$H, AQ$2,Income!$F:$F, $AL$1, Income!$B:$B, IF($AM69&lt;&gt;"", TEXT($AM69, "MMMM"), ""), Income!$C:$C, YEAR($AM69))+SUMIFS($T:$T, $U:$U,AQ$2,$Q:$Q,IF($AM69&lt;&gt;"", TEXT($AM69, "MMMM"), ""),$R:$R,YEAR($AM69))</f>
        <v>0</v>
      </c>
      <c r="AR69" s="464">
        <f>SUMIFS(Income!$G:$G,Income!$H:$H, AR$2,Income!$F:$F, $AL$1, Income!$B:$B, IF($AM69&lt;&gt;"", TEXT($AM69, "MMMM"), ""), Income!$C:$C, YEAR($AM69))+SUMIFS($T:$T, $U:$U,AR$2,$Q:$Q,IF($AM69&lt;&gt;"", TEXT($AM69, "MMMM"), ""),$R:$R,YEAR($AM69))</f>
        <v>0</v>
      </c>
      <c r="AS69" s="467">
        <f>SUMIFS(Income!$G:$G,Income!$H:$H, AS$2,Income!$F:$F, $AL$1, Income!$B:$B, IF($AM69&lt;&gt;"", TEXT($AM69, "MMMM"), ""), Income!$C:$C, YEAR($AM69))+SUMIFS($T:$T, $U:$U,AS$2,$Q:$Q,IF($AM69&lt;&gt;"", TEXT($AM69, "MMMM"), ""),$R:$R,YEAR($AM69))</f>
        <v>0</v>
      </c>
      <c r="AT69" s="428"/>
      <c r="AU69" s="463">
        <v>45839.0</v>
      </c>
      <c r="AV69" s="464">
        <f>SUMIFS(Income!$G:$G,Income!$H:$H, AV$2,Income!$F:$F, $AT$1, Income!$B:$B, IF($AU69&lt;&gt;"", TEXT($AU69, "MMMM"), ""), Income!$C:$C, YEAR($AU69))</f>
        <v>0</v>
      </c>
      <c r="AW69" s="464">
        <f>SUMIFS(Income!$G:$G,Income!$H:$H, AW$2,Income!$F:$F, $AT$1, Income!$B:$B, IF($AU69&lt;&gt;"", TEXT($AU69, "MMMM"), ""), Income!$C:$C, YEAR($AU69))</f>
        <v>0</v>
      </c>
      <c r="AX69" s="464">
        <f>SUMIFS(Income!$G:$G,Income!$H:$H, AX$2,Income!$F:$F, $AT$1, Income!$B:$B, IF($AU69&lt;&gt;"", TEXT($AU69, "MMMM"), ""), Income!$C:$C, YEAR($AU69))</f>
        <v>0</v>
      </c>
      <c r="AY69" s="464">
        <f>SUMIFS(Income!$G:$G,Income!$H:$H, AY$2,Income!$F:$F, $AT$1, Income!$B:$B, IF($AU69&lt;&gt;"", TEXT($AU69, "MMMM"), ""), Income!$C:$C, YEAR($AU69))</f>
        <v>0</v>
      </c>
      <c r="AZ69" s="464">
        <f>SUMIFS(Income!$G:$G,Income!$H:$H, AZ$2,Income!$F:$F, $AT$1, Income!$B:$B, IF($AU69&lt;&gt;"", TEXT($AU69, "MMMM"), ""), Income!$C:$C, YEAR($AU69))</f>
        <v>0</v>
      </c>
      <c r="BA69" s="468">
        <f>SUMIFS(Income!$G:$G,Income!$H:$H, BA$2,Income!$F:$F, $AT$1, Income!$B:$B, IF($AU69&lt;&gt;"", TEXT($AU69, "MMMM"), ""), Income!$C:$C, YEAR($AU69))</f>
        <v>0</v>
      </c>
      <c r="BB69" s="345"/>
      <c r="BC69" s="345"/>
      <c r="BD69" s="345"/>
      <c r="BE69" s="345"/>
    </row>
    <row r="70" ht="13.5" customHeight="1">
      <c r="A70" s="424">
        <f>'Membership Application List'!A299</f>
        <v>45464.16863</v>
      </c>
      <c r="B70" s="443" t="str">
        <f t="shared" si="6"/>
        <v>June</v>
      </c>
      <c r="C70" s="443">
        <f t="shared" si="7"/>
        <v>2024</v>
      </c>
      <c r="D70" s="426" t="str">
        <f>'Membership Application List'!E299</f>
        <v>Isabella Ramirez</v>
      </c>
      <c r="E70" s="426">
        <f>IF('Membership Application List'!J299 = "Food/Litter Donation", 0, IF('Membership Application List'!J299 = "$15 Donation, Discord Verification", IF('Membership Application List'!N299 = TRUE, 15, 0)))</f>
        <v>0</v>
      </c>
      <c r="F70" s="426">
        <f>if('Membership Application List'!K299=TRUE, 5,0)</f>
        <v>0</v>
      </c>
      <c r="G70" s="426">
        <f t="shared" si="8"/>
        <v>0</v>
      </c>
      <c r="H70" s="427" t="str">
        <f>'Membership Application List'!L299</f>
        <v/>
      </c>
      <c r="I70" s="428"/>
      <c r="J70" s="463">
        <v>45870.0</v>
      </c>
      <c r="K70" s="464">
        <f t="shared" ref="K70:O70" si="28">SUMIFS($G:$G, $H:$H, K$2, $B:$B, IF($J70&lt;&gt;"", TEXT($J70, "MMMM"), ""), $C:$C, YEAR($J70))</f>
        <v>75</v>
      </c>
      <c r="L70" s="464">
        <f t="shared" si="28"/>
        <v>105</v>
      </c>
      <c r="M70" s="464">
        <f t="shared" si="28"/>
        <v>180</v>
      </c>
      <c r="N70" s="464">
        <f t="shared" si="28"/>
        <v>105</v>
      </c>
      <c r="O70" s="465">
        <f t="shared" si="28"/>
        <v>0</v>
      </c>
      <c r="P70" s="414"/>
      <c r="Q70" s="414"/>
      <c r="R70" s="414"/>
      <c r="S70" s="445"/>
      <c r="T70" s="445"/>
      <c r="U70" s="445"/>
      <c r="V70" s="428"/>
      <c r="W70" s="463">
        <v>45870.0</v>
      </c>
      <c r="X70" s="464">
        <f>SUMIFS(Income!$G:$G,Income!$H:$H, X$2,Income!$F:$F, $V$1, Income!$B:$B, IF($W70&lt;&gt;"", TEXT($W70, "MMMM"), ""), Income!$C:$C, YEAR($W70))</f>
        <v>10</v>
      </c>
      <c r="Y70" s="464">
        <f>SUMIFS(Income!$G:$G,Income!$H:$H, Y$2,Income!$F:$F, $V$1, Income!$B:$B, IF($W70&lt;&gt;"", TEXT($W70, "MMMM"), ""), Income!$C:$C, YEAR($W70))</f>
        <v>53</v>
      </c>
      <c r="Z70" s="464">
        <f>SUMIFS(Income!$G:$G,Income!$H:$H, Z$2,Income!$F:$F, $V$1, Income!$B:$B, IF($W70&lt;&gt;"", TEXT($W70, "MMMM"), ""), Income!$C:$C, YEAR($W70))</f>
        <v>195</v>
      </c>
      <c r="AA70" s="464">
        <f>SUMIFS(Income!$G:$G,Income!$H:$H, AA$2,Income!$F:$F, $V$1, Income!$B:$B, IF($W70&lt;&gt;"", TEXT($W70, "MMMM"), ""), Income!$C:$C, YEAR($W70))</f>
        <v>0</v>
      </c>
      <c r="AB70" s="464">
        <f>SUMIFS(Income!$G:$G,Income!$H:$H, AB$2,Income!$F:$F, $V$1, Income!$B:$B, IF($W70&lt;&gt;"", TEXT($W70, "MMMM"), ""), Income!$C:$C, YEAR($W70))</f>
        <v>0</v>
      </c>
      <c r="AC70" s="467">
        <f>SUMIFS(Income!$G:$G,Income!$H:$H, AC$2,Income!$F:$F, $V$1, Income!$B:$B, IF($W70&lt;&gt;"", TEXT($W70, "MMMM"), ""), Income!$C:$C, YEAR($W70))</f>
        <v>0</v>
      </c>
      <c r="AD70" s="428"/>
      <c r="AE70" s="463">
        <v>45870.0</v>
      </c>
      <c r="AF70" s="464">
        <f>SUMIFS(Income!$G:$G,Income!$H:$H, AF$2,Income!$F:$F, $AD$1, Income!$B:$B, IF($AE70&lt;&gt;"", TEXT($AE70, "MMMM"), ""), Income!$C:$C, YEAR($AE70))</f>
        <v>0</v>
      </c>
      <c r="AG70" s="464">
        <f>SUMIFS(Income!$G:$G,Income!$H:$H, AG$2,Income!$F:$F, $AD$1, Income!$B:$B, IF($AE70&lt;&gt;"", TEXT($AE70, "MMMM"), ""), Income!$C:$C, YEAR($AE70))</f>
        <v>0</v>
      </c>
      <c r="AH70" s="464">
        <f>SUMIFS(Income!$G:$G,Income!$H:$H, AH$2,Income!$F:$F, $AD$1, Income!$B:$B, IF($AE70&lt;&gt;"", TEXT($AE70, "MMMM"), ""), Income!$C:$C, YEAR($AE70))</f>
        <v>0</v>
      </c>
      <c r="AI70" s="464">
        <f>SUMIFS(Income!$G:$G,Income!$H:$H, AI$2,Income!$F:$F, $AD$1, Income!$B:$B, IF($AE70&lt;&gt;"", TEXT($AE70, "MMMM"), ""), Income!$C:$C, YEAR($AE70))</f>
        <v>0</v>
      </c>
      <c r="AJ70" s="464">
        <f>SUMIFS(Income!$G:$G,Income!$H:$H, AJ$2,Income!$F:$F, $AD$1, Income!$B:$B, IF($AE70&lt;&gt;"", TEXT($AE70, "MMMM"), ""), Income!$C:$C, YEAR($AE70))</f>
        <v>0</v>
      </c>
      <c r="AK70" s="467">
        <f>SUMIFS(Income!$G:$G,Income!$H:$H, AK$2,Income!$F:$F, $AD$1, Income!$B:$B, IF($AE70&lt;&gt;"", TEXT($AE70, "MMMM"), ""), Income!$C:$C, YEAR($AE70))</f>
        <v>0</v>
      </c>
      <c r="AL70" s="428"/>
      <c r="AM70" s="463">
        <v>45870.0</v>
      </c>
      <c r="AN70" s="464">
        <f>SUMIFS(Income!$G:$G,Income!$H:$H, AN$2,Income!$F:$F, $AL$1, Income!$B:$B, IF($AM70&lt;&gt;"", TEXT($AM70, "MMMM"), ""), Income!$C:$C, YEAR($AM70))+SUMIFS($T:$T, $U:$U,AN$2,$Q:$Q,IF($AM70&lt;&gt;"", TEXT($AM70, "MMMM"), ""),$R:$R,YEAR($AM70))</f>
        <v>61.77</v>
      </c>
      <c r="AO70" s="464">
        <f>SUMIFS(Income!$G:$G,Income!$H:$H, AO$2,Income!$F:$F, $AL$1, Income!$B:$B, IF($AM70&lt;&gt;"", TEXT($AM70, "MMMM"), ""), Income!$C:$C, YEAR($AM70))+SUMIFS($T:$T, $U:$U,AO$2,$Q:$Q,IF($AM70&lt;&gt;"", TEXT($AM70, "MMMM"), ""),$R:$R,YEAR($AM70))</f>
        <v>10</v>
      </c>
      <c r="AP70" s="464">
        <f>SUMIFS(Income!$G:$G,Income!$H:$H, AP$2,Income!$F:$F, $AL$1, Income!$B:$B, IF($AM70&lt;&gt;"", TEXT($AM70, "MMMM"), ""), Income!$C:$C, YEAR($AM70))+SUMIFS($T:$T, $U:$U,AP$2,$Q:$Q,IF($AM70&lt;&gt;"", TEXT($AM70, "MMMM"), ""),$R:$R,YEAR($AM70))</f>
        <v>5</v>
      </c>
      <c r="AQ70" s="464">
        <f>SUMIFS(Income!$G:$G,Income!$H:$H, AQ$2,Income!$F:$F, $AL$1, Income!$B:$B, IF($AM70&lt;&gt;"", TEXT($AM70, "MMMM"), ""), Income!$C:$C, YEAR($AM70))+SUMIFS($T:$T, $U:$U,AQ$2,$Q:$Q,IF($AM70&lt;&gt;"", TEXT($AM70, "MMMM"), ""),$R:$R,YEAR($AM70))</f>
        <v>0</v>
      </c>
      <c r="AR70" s="464">
        <f>SUMIFS(Income!$G:$G,Income!$H:$H, AR$2,Income!$F:$F, $AL$1, Income!$B:$B, IF($AM70&lt;&gt;"", TEXT($AM70, "MMMM"), ""), Income!$C:$C, YEAR($AM70))+SUMIFS($T:$T, $U:$U,AR$2,$Q:$Q,IF($AM70&lt;&gt;"", TEXT($AM70, "MMMM"), ""),$R:$R,YEAR($AM70))</f>
        <v>0</v>
      </c>
      <c r="AS70" s="467">
        <f>SUMIFS(Income!$G:$G,Income!$H:$H, AS$2,Income!$F:$F, $AL$1, Income!$B:$B, IF($AM70&lt;&gt;"", TEXT($AM70, "MMMM"), ""), Income!$C:$C, YEAR($AM70))+SUMIFS($T:$T, $U:$U,AS$2,$Q:$Q,IF($AM70&lt;&gt;"", TEXT($AM70, "MMMM"), ""),$R:$R,YEAR($AM70))</f>
        <v>0</v>
      </c>
      <c r="AT70" s="428"/>
      <c r="AU70" s="463">
        <v>45870.0</v>
      </c>
      <c r="AV70" s="464">
        <f>SUMIFS(Income!$G:$G,Income!$H:$H, AV$2,Income!$F:$F, $AT$1, Income!$B:$B, IF($AU70&lt;&gt;"", TEXT($AU70, "MMMM"), ""), Income!$C:$C, YEAR($AU70))</f>
        <v>0</v>
      </c>
      <c r="AW70" s="464">
        <f>SUMIFS(Income!$G:$G,Income!$H:$H, AW$2,Income!$F:$F, $AT$1, Income!$B:$B, IF($AU70&lt;&gt;"", TEXT($AU70, "MMMM"), ""), Income!$C:$C, YEAR($AU70))</f>
        <v>0</v>
      </c>
      <c r="AX70" s="464">
        <f>SUMIFS(Income!$G:$G,Income!$H:$H, AX$2,Income!$F:$F, $AT$1, Income!$B:$B, IF($AU70&lt;&gt;"", TEXT($AU70, "MMMM"), ""), Income!$C:$C, YEAR($AU70))</f>
        <v>0</v>
      </c>
      <c r="AY70" s="464">
        <f>SUMIFS(Income!$G:$G,Income!$H:$H, AY$2,Income!$F:$F, $AT$1, Income!$B:$B, IF($AU70&lt;&gt;"", TEXT($AU70, "MMMM"), ""), Income!$C:$C, YEAR($AU70))</f>
        <v>0</v>
      </c>
      <c r="AZ70" s="464">
        <f>SUMIFS(Income!$G:$G,Income!$H:$H, AZ$2,Income!$F:$F, $AT$1, Income!$B:$B, IF($AU70&lt;&gt;"", TEXT($AU70, "MMMM"), ""), Income!$C:$C, YEAR($AU70))</f>
        <v>0</v>
      </c>
      <c r="BA70" s="468">
        <f>SUMIFS(Income!$G:$G,Income!$H:$H, BA$2,Income!$F:$F, $AT$1, Income!$B:$B, IF($AU70&lt;&gt;"", TEXT($AU70, "MMMM"), ""), Income!$C:$C, YEAR($AU70))</f>
        <v>0</v>
      </c>
      <c r="BB70" s="345"/>
      <c r="BC70" s="345"/>
      <c r="BD70" s="345"/>
      <c r="BE70" s="345"/>
    </row>
    <row r="71" ht="13.5" customHeight="1">
      <c r="A71" s="436">
        <f>'Membership Application List'!A300</f>
        <v>45472.38541</v>
      </c>
      <c r="B71" s="437" t="str">
        <f t="shared" si="6"/>
        <v>June</v>
      </c>
      <c r="C71" s="437">
        <f t="shared" si="7"/>
        <v>2024</v>
      </c>
      <c r="D71" s="438" t="str">
        <f>'Membership Application List'!E300</f>
        <v>Siti Amirah Abdolgony </v>
      </c>
      <c r="E71" s="438">
        <f>IF('Membership Application List'!J300 = "Food/Litter Donation", 0, IF('Membership Application List'!J300 = "$15 Donation, Discord Verification", IF('Membership Application List'!N300 = TRUE, 15, 0)))</f>
        <v>0</v>
      </c>
      <c r="F71" s="438">
        <f>if('Membership Application List'!K300=TRUE, 5,0)</f>
        <v>0</v>
      </c>
      <c r="G71" s="438">
        <f t="shared" si="8"/>
        <v>0</v>
      </c>
      <c r="H71" s="439" t="str">
        <f>'Membership Application List'!L300</f>
        <v/>
      </c>
      <c r="I71" s="428"/>
      <c r="J71" s="463">
        <v>45901.0</v>
      </c>
      <c r="K71" s="464">
        <f t="shared" ref="K71:O71" si="29">SUMIFS($G:$G, $H:$H, K$2, $B:$B, IF($J71&lt;&gt;"", TEXT($J71, "MMMM"), ""), $C:$C, YEAR($J71))</f>
        <v>130</v>
      </c>
      <c r="L71" s="464">
        <f t="shared" si="29"/>
        <v>195</v>
      </c>
      <c r="M71" s="464">
        <f t="shared" si="29"/>
        <v>60</v>
      </c>
      <c r="N71" s="464">
        <f t="shared" si="29"/>
        <v>255</v>
      </c>
      <c r="O71" s="465">
        <f t="shared" si="29"/>
        <v>0</v>
      </c>
      <c r="P71" s="414"/>
      <c r="Q71" s="414"/>
      <c r="R71" s="414"/>
      <c r="S71" s="445"/>
      <c r="T71" s="445"/>
      <c r="U71" s="445"/>
      <c r="V71" s="428"/>
      <c r="W71" s="463">
        <v>45901.0</v>
      </c>
      <c r="X71" s="464">
        <f>SUMIFS(Income!$G:$G,Income!$H:$H, X$2,Income!$F:$F, $V$1, Income!$B:$B, IF($W71&lt;&gt;"", TEXT($W71, "MMMM"), ""), Income!$C:$C, YEAR($W71))</f>
        <v>0</v>
      </c>
      <c r="Y71" s="464">
        <f>SUMIFS(Income!$G:$G,Income!$H:$H, Y$2,Income!$F:$F, $V$1, Income!$B:$B, IF($W71&lt;&gt;"", TEXT($W71, "MMMM"), ""), Income!$C:$C, YEAR($W71))</f>
        <v>75</v>
      </c>
      <c r="Z71" s="464">
        <f>SUMIFS(Income!$G:$G,Income!$H:$H, Z$2,Income!$F:$F, $V$1, Income!$B:$B, IF($W71&lt;&gt;"", TEXT($W71, "MMMM"), ""), Income!$C:$C, YEAR($W71))</f>
        <v>31</v>
      </c>
      <c r="AA71" s="464">
        <f>SUMIFS(Income!$G:$G,Income!$H:$H, AA$2,Income!$F:$F, $V$1, Income!$B:$B, IF($W71&lt;&gt;"", TEXT($W71, "MMMM"), ""), Income!$C:$C, YEAR($W71))</f>
        <v>0</v>
      </c>
      <c r="AB71" s="464">
        <f>SUMIFS(Income!$G:$G,Income!$H:$H, AB$2,Income!$F:$F, $V$1, Income!$B:$B, IF($W71&lt;&gt;"", TEXT($W71, "MMMM"), ""), Income!$C:$C, YEAR($W71))</f>
        <v>0</v>
      </c>
      <c r="AC71" s="467">
        <f>SUMIFS(Income!$G:$G,Income!$H:$H, AC$2,Income!$F:$F, $V$1, Income!$B:$B, IF($W71&lt;&gt;"", TEXT($W71, "MMMM"), ""), Income!$C:$C, YEAR($W71))</f>
        <v>0</v>
      </c>
      <c r="AD71" s="428"/>
      <c r="AE71" s="463">
        <v>45901.0</v>
      </c>
      <c r="AF71" s="464">
        <f>SUMIFS(Income!$G:$G,Income!$H:$H, AF$2,Income!$F:$F, $AD$1, Income!$B:$B, IF($AE71&lt;&gt;"", TEXT($AE71, "MMMM"), ""), Income!$C:$C, YEAR($AE71))</f>
        <v>0</v>
      </c>
      <c r="AG71" s="464">
        <f>SUMIFS(Income!$G:$G,Income!$H:$H, AG$2,Income!$F:$F, $AD$1, Income!$B:$B, IF($AE71&lt;&gt;"", TEXT($AE71, "MMMM"), ""), Income!$C:$C, YEAR($AE71))</f>
        <v>0</v>
      </c>
      <c r="AH71" s="464">
        <f>SUMIFS(Income!$G:$G,Income!$H:$H, AH$2,Income!$F:$F, $AD$1, Income!$B:$B, IF($AE71&lt;&gt;"", TEXT($AE71, "MMMM"), ""), Income!$C:$C, YEAR($AE71))</f>
        <v>0</v>
      </c>
      <c r="AI71" s="464">
        <f>SUMIFS(Income!$G:$G,Income!$H:$H, AI$2,Income!$F:$F, $AD$1, Income!$B:$B, IF($AE71&lt;&gt;"", TEXT($AE71, "MMMM"), ""), Income!$C:$C, YEAR($AE71))</f>
        <v>0</v>
      </c>
      <c r="AJ71" s="464">
        <f>SUMIFS(Income!$G:$G,Income!$H:$H, AJ$2,Income!$F:$F, $AD$1, Income!$B:$B, IF($AE71&lt;&gt;"", TEXT($AE71, "MMMM"), ""), Income!$C:$C, YEAR($AE71))</f>
        <v>0</v>
      </c>
      <c r="AK71" s="467">
        <f>SUMIFS(Income!$G:$G,Income!$H:$H, AK$2,Income!$F:$F, $AD$1, Income!$B:$B, IF($AE71&lt;&gt;"", TEXT($AE71, "MMMM"), ""), Income!$C:$C, YEAR($AE71))</f>
        <v>0</v>
      </c>
      <c r="AL71" s="428"/>
      <c r="AM71" s="463">
        <v>45901.0</v>
      </c>
      <c r="AN71" s="464">
        <f>SUMIFS(Income!$G:$G,Income!$H:$H, AN$2,Income!$F:$F, $AL$1, Income!$B:$B, IF($AM71&lt;&gt;"", TEXT($AM71, "MMMM"), ""), Income!$C:$C, YEAR($AM71))+SUMIFS($T:$T, $U:$U,AN$2,$Q:$Q,IF($AM71&lt;&gt;"", TEXT($AM71, "MMMM"), ""),$R:$R,YEAR($AM71))</f>
        <v>38.13</v>
      </c>
      <c r="AO71" s="464">
        <f>SUMIFS(Income!$G:$G,Income!$H:$H, AO$2,Income!$F:$F, $AL$1, Income!$B:$B, IF($AM71&lt;&gt;"", TEXT($AM71, "MMMM"), ""), Income!$C:$C, YEAR($AM71))+SUMIFS($T:$T, $U:$U,AO$2,$Q:$Q,IF($AM71&lt;&gt;"", TEXT($AM71, "MMMM"), ""),$R:$R,YEAR($AM71))</f>
        <v>3</v>
      </c>
      <c r="AP71" s="464">
        <f>SUMIFS(Income!$G:$G,Income!$H:$H, AP$2,Income!$F:$F, $AL$1, Income!$B:$B, IF($AM71&lt;&gt;"", TEXT($AM71, "MMMM"), ""), Income!$C:$C, YEAR($AM71))+SUMIFS($T:$T, $U:$U,AP$2,$Q:$Q,IF($AM71&lt;&gt;"", TEXT($AM71, "MMMM"), ""),$R:$R,YEAR($AM71))</f>
        <v>0</v>
      </c>
      <c r="AQ71" s="464">
        <f>SUMIFS(Income!$G:$G,Income!$H:$H, AQ$2,Income!$F:$F, $AL$1, Income!$B:$B, IF($AM71&lt;&gt;"", TEXT($AM71, "MMMM"), ""), Income!$C:$C, YEAR($AM71))+SUMIFS($T:$T, $U:$U,AQ$2,$Q:$Q,IF($AM71&lt;&gt;"", TEXT($AM71, "MMMM"), ""),$R:$R,YEAR($AM71))</f>
        <v>0</v>
      </c>
      <c r="AR71" s="464">
        <f>SUMIFS(Income!$G:$G,Income!$H:$H, AR$2,Income!$F:$F, $AL$1, Income!$B:$B, IF($AM71&lt;&gt;"", TEXT($AM71, "MMMM"), ""), Income!$C:$C, YEAR($AM71))+SUMIFS($T:$T, $U:$U,AR$2,$Q:$Q,IF($AM71&lt;&gt;"", TEXT($AM71, "MMMM"), ""),$R:$R,YEAR($AM71))</f>
        <v>0</v>
      </c>
      <c r="AS71" s="467">
        <f>SUMIFS(Income!$G:$G,Income!$H:$H, AS$2,Income!$F:$F, $AL$1, Income!$B:$B, IF($AM71&lt;&gt;"", TEXT($AM71, "MMMM"), ""), Income!$C:$C, YEAR($AM71))+SUMIFS($T:$T, $U:$U,AS$2,$Q:$Q,IF($AM71&lt;&gt;"", TEXT($AM71, "MMMM"), ""),$R:$R,YEAR($AM71))</f>
        <v>0</v>
      </c>
      <c r="AT71" s="428"/>
      <c r="AU71" s="463">
        <v>45901.0</v>
      </c>
      <c r="AV71" s="464">
        <f>SUMIFS(Income!$G:$G,Income!$H:$H, AV$2,Income!$F:$F, $AT$1, Income!$B:$B, IF($AU71&lt;&gt;"", TEXT($AU71, "MMMM"), ""), Income!$C:$C, YEAR($AU71))</f>
        <v>0</v>
      </c>
      <c r="AW71" s="464">
        <f>SUMIFS(Income!$G:$G,Income!$H:$H, AW$2,Income!$F:$F, $AT$1, Income!$B:$B, IF($AU71&lt;&gt;"", TEXT($AU71, "MMMM"), ""), Income!$C:$C, YEAR($AU71))</f>
        <v>0</v>
      </c>
      <c r="AX71" s="464">
        <f>SUMIFS(Income!$G:$G,Income!$H:$H, AX$2,Income!$F:$F, $AT$1, Income!$B:$B, IF($AU71&lt;&gt;"", TEXT($AU71, "MMMM"), ""), Income!$C:$C, YEAR($AU71))</f>
        <v>0</v>
      </c>
      <c r="AY71" s="464">
        <f>SUMIFS(Income!$G:$G,Income!$H:$H, AY$2,Income!$F:$F, $AT$1, Income!$B:$B, IF($AU71&lt;&gt;"", TEXT($AU71, "MMMM"), ""), Income!$C:$C, YEAR($AU71))</f>
        <v>0</v>
      </c>
      <c r="AZ71" s="464">
        <f>SUMIFS(Income!$G:$G,Income!$H:$H, AZ$2,Income!$F:$F, $AT$1, Income!$B:$B, IF($AU71&lt;&gt;"", TEXT($AU71, "MMMM"), ""), Income!$C:$C, YEAR($AU71))</f>
        <v>0</v>
      </c>
      <c r="BA71" s="468">
        <f>SUMIFS(Income!$G:$G,Income!$H:$H, BA$2,Income!$F:$F, $AT$1, Income!$B:$B, IF($AU71&lt;&gt;"", TEXT($AU71, "MMMM"), ""), Income!$C:$C, YEAR($AU71))</f>
        <v>0</v>
      </c>
      <c r="BB71" s="345"/>
      <c r="BC71" s="345"/>
      <c r="BD71" s="345"/>
      <c r="BE71" s="345"/>
    </row>
    <row r="72" ht="13.5" customHeight="1">
      <c r="A72" s="424">
        <f>'Membership Application List'!A301</f>
        <v>45486.61927</v>
      </c>
      <c r="B72" s="443" t="str">
        <f t="shared" si="6"/>
        <v>July</v>
      </c>
      <c r="C72" s="443">
        <f t="shared" si="7"/>
        <v>2024</v>
      </c>
      <c r="D72" s="426" t="str">
        <f>'Membership Application List'!E301</f>
        <v>Cailyn Wright</v>
      </c>
      <c r="E72" s="426">
        <f>IF('Membership Application List'!J301 = "Food/Litter Donation", 0, IF('Membership Application List'!J301 = "$15 Donation, Discord Verification", IF('Membership Application List'!N301 = TRUE, 15, 0)))</f>
        <v>15</v>
      </c>
      <c r="F72" s="426">
        <f>if('Membership Application List'!K301=TRUE, 5,0)</f>
        <v>0</v>
      </c>
      <c r="G72" s="426">
        <f t="shared" si="8"/>
        <v>15</v>
      </c>
      <c r="H72" s="427" t="str">
        <f>'Membership Application List'!L301</f>
        <v>Venmo</v>
      </c>
      <c r="I72" s="428"/>
      <c r="J72" s="463">
        <v>45931.0</v>
      </c>
      <c r="K72" s="464">
        <f t="shared" ref="K72:O72" si="30">SUMIFS($G:$G, $H:$H, K$2, $B:$B, IF($J72&lt;&gt;"", TEXT($J72, "MMMM"), ""), $C:$C, YEAR($J72))</f>
        <v>0</v>
      </c>
      <c r="L72" s="464">
        <f t="shared" si="30"/>
        <v>0</v>
      </c>
      <c r="M72" s="464">
        <f t="shared" si="30"/>
        <v>0</v>
      </c>
      <c r="N72" s="464">
        <f t="shared" si="30"/>
        <v>0</v>
      </c>
      <c r="O72" s="465">
        <f t="shared" si="30"/>
        <v>0</v>
      </c>
      <c r="P72" s="414"/>
      <c r="Q72" s="414"/>
      <c r="R72" s="414"/>
      <c r="S72" s="445"/>
      <c r="T72" s="445"/>
      <c r="U72" s="445"/>
      <c r="V72" s="428"/>
      <c r="W72" s="463">
        <v>45931.0</v>
      </c>
      <c r="X72" s="464">
        <f>SUMIFS(Income!$G:$G,Income!$H:$H, X$2,Income!$F:$F, $V$1, Income!$B:$B, IF($W72&lt;&gt;"", TEXT($W72, "MMMM"), ""), Income!$C:$C, YEAR($W72))</f>
        <v>0</v>
      </c>
      <c r="Y72" s="464">
        <f>SUMIFS(Income!$G:$G,Income!$H:$H, Y$2,Income!$F:$F, $V$1, Income!$B:$B, IF($W72&lt;&gt;"", TEXT($W72, "MMMM"), ""), Income!$C:$C, YEAR($W72))</f>
        <v>0</v>
      </c>
      <c r="Z72" s="464">
        <f>SUMIFS(Income!$G:$G,Income!$H:$H, Z$2,Income!$F:$F, $V$1, Income!$B:$B, IF($W72&lt;&gt;"", TEXT($W72, "MMMM"), ""), Income!$C:$C, YEAR($W72))</f>
        <v>0</v>
      </c>
      <c r="AA72" s="464">
        <f>SUMIFS(Income!$G:$G,Income!$H:$H, AA$2,Income!$F:$F, $V$1, Income!$B:$B, IF($W72&lt;&gt;"", TEXT($W72, "MMMM"), ""), Income!$C:$C, YEAR($W72))</f>
        <v>0</v>
      </c>
      <c r="AB72" s="464">
        <f>SUMIFS(Income!$G:$G,Income!$H:$H, AB$2,Income!$F:$F, $V$1, Income!$B:$B, IF($W72&lt;&gt;"", TEXT($W72, "MMMM"), ""), Income!$C:$C, YEAR($W72))</f>
        <v>0</v>
      </c>
      <c r="AC72" s="467">
        <f>SUMIFS(Income!$G:$G,Income!$H:$H, AC$2,Income!$F:$F, $V$1, Income!$B:$B, IF($W72&lt;&gt;"", TEXT($W72, "MMMM"), ""), Income!$C:$C, YEAR($W72))</f>
        <v>0</v>
      </c>
      <c r="AD72" s="428"/>
      <c r="AE72" s="463">
        <v>45931.0</v>
      </c>
      <c r="AF72" s="464">
        <f>SUMIFS(Income!$G:$G,Income!$H:$H, AF$2,Income!$F:$F, $AD$1, Income!$B:$B, IF($AE72&lt;&gt;"", TEXT($AE72, "MMMM"), ""), Income!$C:$C, YEAR($AE72))</f>
        <v>0</v>
      </c>
      <c r="AG72" s="464">
        <f>SUMIFS(Income!$G:$G,Income!$H:$H, AG$2,Income!$F:$F, $AD$1, Income!$B:$B, IF($AE72&lt;&gt;"", TEXT($AE72, "MMMM"), ""), Income!$C:$C, YEAR($AE72))</f>
        <v>0</v>
      </c>
      <c r="AH72" s="464">
        <f>SUMIFS(Income!$G:$G,Income!$H:$H, AH$2,Income!$F:$F, $AD$1, Income!$B:$B, IF($AE72&lt;&gt;"", TEXT($AE72, "MMMM"), ""), Income!$C:$C, YEAR($AE72))</f>
        <v>3</v>
      </c>
      <c r="AI72" s="464">
        <f>SUMIFS(Income!$G:$G,Income!$H:$H, AI$2,Income!$F:$F, $AD$1, Income!$B:$B, IF($AE72&lt;&gt;"", TEXT($AE72, "MMMM"), ""), Income!$C:$C, YEAR($AE72))</f>
        <v>0</v>
      </c>
      <c r="AJ72" s="464">
        <f>SUMIFS(Income!$G:$G,Income!$H:$H, AJ$2,Income!$F:$F, $AD$1, Income!$B:$B, IF($AE72&lt;&gt;"", TEXT($AE72, "MMMM"), ""), Income!$C:$C, YEAR($AE72))</f>
        <v>0</v>
      </c>
      <c r="AK72" s="467">
        <f>SUMIFS(Income!$G:$G,Income!$H:$H, AK$2,Income!$F:$F, $AD$1, Income!$B:$B, IF($AE72&lt;&gt;"", TEXT($AE72, "MMMM"), ""), Income!$C:$C, YEAR($AE72))</f>
        <v>0</v>
      </c>
      <c r="AL72" s="428"/>
      <c r="AM72" s="463">
        <v>45931.0</v>
      </c>
      <c r="AN72" s="464">
        <f>SUMIFS(Income!$G:$G,Income!$H:$H, AN$2,Income!$F:$F, $AL$1, Income!$B:$B, IF($AM72&lt;&gt;"", TEXT($AM72, "MMMM"), ""), Income!$C:$C, YEAR($AM72))+SUMIFS($T:$T, $U:$U,AN$2,$Q:$Q,IF($AM72&lt;&gt;"", TEXT($AM72, "MMMM"), ""),$R:$R,YEAR($AM72))</f>
        <v>5.82</v>
      </c>
      <c r="AO72" s="464">
        <f>SUMIFS(Income!$G:$G,Income!$H:$H, AO$2,Income!$F:$F, $AL$1, Income!$B:$B, IF($AM72&lt;&gt;"", TEXT($AM72, "MMMM"), ""), Income!$C:$C, YEAR($AM72))+SUMIFS($T:$T, $U:$U,AO$2,$Q:$Q,IF($AM72&lt;&gt;"", TEXT($AM72, "MMMM"), ""),$R:$R,YEAR($AM72))</f>
        <v>0</v>
      </c>
      <c r="AP72" s="464">
        <f>SUMIFS(Income!$G:$G,Income!$H:$H, AP$2,Income!$F:$F, $AL$1, Income!$B:$B, IF($AM72&lt;&gt;"", TEXT($AM72, "MMMM"), ""), Income!$C:$C, YEAR($AM72))+SUMIFS($T:$T, $U:$U,AP$2,$Q:$Q,IF($AM72&lt;&gt;"", TEXT($AM72, "MMMM"), ""),$R:$R,YEAR($AM72))</f>
        <v>49</v>
      </c>
      <c r="AQ72" s="464">
        <f>SUMIFS(Income!$G:$G,Income!$H:$H, AQ$2,Income!$F:$F, $AL$1, Income!$B:$B, IF($AM72&lt;&gt;"", TEXT($AM72, "MMMM"), ""), Income!$C:$C, YEAR($AM72))+SUMIFS($T:$T, $U:$U,AQ$2,$Q:$Q,IF($AM72&lt;&gt;"", TEXT($AM72, "MMMM"), ""),$R:$R,YEAR($AM72))</f>
        <v>0</v>
      </c>
      <c r="AR72" s="464">
        <f>SUMIFS(Income!$G:$G,Income!$H:$H, AR$2,Income!$F:$F, $AL$1, Income!$B:$B, IF($AM72&lt;&gt;"", TEXT($AM72, "MMMM"), ""), Income!$C:$C, YEAR($AM72))+SUMIFS($T:$T, $U:$U,AR$2,$Q:$Q,IF($AM72&lt;&gt;"", TEXT($AM72, "MMMM"), ""),$R:$R,YEAR($AM72))</f>
        <v>0</v>
      </c>
      <c r="AS72" s="467">
        <f>SUMIFS(Income!$G:$G,Income!$H:$H, AS$2,Income!$F:$F, $AL$1, Income!$B:$B, IF($AM72&lt;&gt;"", TEXT($AM72, "MMMM"), ""), Income!$C:$C, YEAR($AM72))+SUMIFS($T:$T, $U:$U,AS$2,$Q:$Q,IF($AM72&lt;&gt;"", TEXT($AM72, "MMMM"), ""),$R:$R,YEAR($AM72))</f>
        <v>0</v>
      </c>
      <c r="AT72" s="428"/>
      <c r="AU72" s="463">
        <v>45931.0</v>
      </c>
      <c r="AV72" s="464">
        <f>SUMIFS(Income!$G:$G,Income!$H:$H, AV$2,Income!$F:$F, $AT$1, Income!$B:$B, IF($AU72&lt;&gt;"", TEXT($AU72, "MMMM"), ""), Income!$C:$C, YEAR($AU72))</f>
        <v>0</v>
      </c>
      <c r="AW72" s="464">
        <f>SUMIFS(Income!$G:$G,Income!$H:$H, AW$2,Income!$F:$F, $AT$1, Income!$B:$B, IF($AU72&lt;&gt;"", TEXT($AU72, "MMMM"), ""), Income!$C:$C, YEAR($AU72))</f>
        <v>0</v>
      </c>
      <c r="AX72" s="464">
        <f>SUMIFS(Income!$G:$G,Income!$H:$H, AX$2,Income!$F:$F, $AT$1, Income!$B:$B, IF($AU72&lt;&gt;"", TEXT($AU72, "MMMM"), ""), Income!$C:$C, YEAR($AU72))</f>
        <v>0</v>
      </c>
      <c r="AY72" s="464">
        <f>SUMIFS(Income!$G:$G,Income!$H:$H, AY$2,Income!$F:$F, $AT$1, Income!$B:$B, IF($AU72&lt;&gt;"", TEXT($AU72, "MMMM"), ""), Income!$C:$C, YEAR($AU72))</f>
        <v>0</v>
      </c>
      <c r="AZ72" s="464">
        <f>SUMIFS(Income!$G:$G,Income!$H:$H, AZ$2,Income!$F:$F, $AT$1, Income!$B:$B, IF($AU72&lt;&gt;"", TEXT($AU72, "MMMM"), ""), Income!$C:$C, YEAR($AU72))</f>
        <v>0</v>
      </c>
      <c r="BA72" s="468">
        <f>SUMIFS(Income!$G:$G,Income!$H:$H, BA$2,Income!$F:$F, $AT$1, Income!$B:$B, IF($AU72&lt;&gt;"", TEXT($AU72, "MMMM"), ""), Income!$C:$C, YEAR($AU72))</f>
        <v>0</v>
      </c>
      <c r="BB72" s="345"/>
      <c r="BC72" s="345"/>
      <c r="BD72" s="345"/>
      <c r="BE72" s="345"/>
    </row>
    <row r="73" ht="13.5" customHeight="1">
      <c r="A73" s="436">
        <f>'Membership Application List'!A302</f>
        <v>45486.68595</v>
      </c>
      <c r="B73" s="437" t="str">
        <f t="shared" si="6"/>
        <v>July</v>
      </c>
      <c r="C73" s="437">
        <f t="shared" si="7"/>
        <v>2024</v>
      </c>
      <c r="D73" s="438" t="str">
        <f>'Membership Application List'!E302</f>
        <v>Alexandria</v>
      </c>
      <c r="E73" s="438">
        <f>IF('Membership Application List'!J302 = "Food/Litter Donation", 0, IF('Membership Application List'!J302 = "$15 Donation, Discord Verification", IF('Membership Application List'!N302 = TRUE, 15, 0)))</f>
        <v>0</v>
      </c>
      <c r="F73" s="438">
        <f>if('Membership Application List'!K302=TRUE, 5,0)</f>
        <v>0</v>
      </c>
      <c r="G73" s="438">
        <f t="shared" si="8"/>
        <v>0</v>
      </c>
      <c r="H73" s="439" t="str">
        <f>'Membership Application List'!L302</f>
        <v/>
      </c>
      <c r="I73" s="428"/>
      <c r="J73" s="463">
        <v>45962.0</v>
      </c>
      <c r="K73" s="464">
        <f t="shared" ref="K73:O73" si="31">SUMIFS($G:$G, $H:$H, K$2, $B:$B, IF($J73&lt;&gt;"", TEXT($J73, "MMMM"), ""), $C:$C, YEAR($J73))</f>
        <v>0</v>
      </c>
      <c r="L73" s="464">
        <f t="shared" si="31"/>
        <v>0</v>
      </c>
      <c r="M73" s="464">
        <f t="shared" si="31"/>
        <v>0</v>
      </c>
      <c r="N73" s="464">
        <f t="shared" si="31"/>
        <v>0</v>
      </c>
      <c r="O73" s="465">
        <f t="shared" si="31"/>
        <v>0</v>
      </c>
      <c r="P73" s="414"/>
      <c r="Q73" s="414"/>
      <c r="R73" s="414"/>
      <c r="S73" s="445"/>
      <c r="T73" s="445"/>
      <c r="U73" s="445"/>
      <c r="V73" s="428"/>
      <c r="W73" s="463">
        <v>45962.0</v>
      </c>
      <c r="X73" s="464">
        <f>SUMIFS(Income!$G:$G,Income!$H:$H, X$2,Income!$F:$F, $V$1, Income!$B:$B, IF($W73&lt;&gt;"", TEXT($W73, "MMMM"), ""), Income!$C:$C, YEAR($W73))</f>
        <v>0</v>
      </c>
      <c r="Y73" s="464">
        <f>SUMIFS(Income!$G:$G,Income!$H:$H, Y$2,Income!$F:$F, $V$1, Income!$B:$B, IF($W73&lt;&gt;"", TEXT($W73, "MMMM"), ""), Income!$C:$C, YEAR($W73))</f>
        <v>0</v>
      </c>
      <c r="Z73" s="464">
        <f>SUMIFS(Income!$G:$G,Income!$H:$H, Z$2,Income!$F:$F, $V$1, Income!$B:$B, IF($W73&lt;&gt;"", TEXT($W73, "MMMM"), ""), Income!$C:$C, YEAR($W73))</f>
        <v>0</v>
      </c>
      <c r="AA73" s="464">
        <f>SUMIFS(Income!$G:$G,Income!$H:$H, AA$2,Income!$F:$F, $V$1, Income!$B:$B, IF($W73&lt;&gt;"", TEXT($W73, "MMMM"), ""), Income!$C:$C, YEAR($W73))</f>
        <v>0</v>
      </c>
      <c r="AB73" s="464">
        <f>SUMIFS(Income!$G:$G,Income!$H:$H, AB$2,Income!$F:$F, $V$1, Income!$B:$B, IF($W73&lt;&gt;"", TEXT($W73, "MMMM"), ""), Income!$C:$C, YEAR($W73))</f>
        <v>0</v>
      </c>
      <c r="AC73" s="467">
        <f>SUMIFS(Income!$G:$G,Income!$H:$H, AC$2,Income!$F:$F, $V$1, Income!$B:$B, IF($W73&lt;&gt;"", TEXT($W73, "MMMM"), ""), Income!$C:$C, YEAR($W73))</f>
        <v>0</v>
      </c>
      <c r="AD73" s="428"/>
      <c r="AE73" s="463">
        <v>45962.0</v>
      </c>
      <c r="AF73" s="464">
        <f>SUMIFS(Income!$G:$G,Income!$H:$H, AF$2,Income!$F:$F, $AD$1, Income!$B:$B, IF($AE73&lt;&gt;"", TEXT($AE73, "MMMM"), ""), Income!$C:$C, YEAR($AE73))</f>
        <v>0</v>
      </c>
      <c r="AG73" s="464">
        <f>SUMIFS(Income!$G:$G,Income!$H:$H, AG$2,Income!$F:$F, $AD$1, Income!$B:$B, IF($AE73&lt;&gt;"", TEXT($AE73, "MMMM"), ""), Income!$C:$C, YEAR($AE73))</f>
        <v>0</v>
      </c>
      <c r="AH73" s="464">
        <f>SUMIFS(Income!$G:$G,Income!$H:$H, AH$2,Income!$F:$F, $AD$1, Income!$B:$B, IF($AE73&lt;&gt;"", TEXT($AE73, "MMMM"), ""), Income!$C:$C, YEAR($AE73))</f>
        <v>0</v>
      </c>
      <c r="AI73" s="464">
        <f>SUMIFS(Income!$G:$G,Income!$H:$H, AI$2,Income!$F:$F, $AD$1, Income!$B:$B, IF($AE73&lt;&gt;"", TEXT($AE73, "MMMM"), ""), Income!$C:$C, YEAR($AE73))</f>
        <v>0</v>
      </c>
      <c r="AJ73" s="464">
        <f>SUMIFS(Income!$G:$G,Income!$H:$H, AJ$2,Income!$F:$F, $AD$1, Income!$B:$B, IF($AE73&lt;&gt;"", TEXT($AE73, "MMMM"), ""), Income!$C:$C, YEAR($AE73))</f>
        <v>0</v>
      </c>
      <c r="AK73" s="467">
        <f>SUMIFS(Income!$G:$G,Income!$H:$H, AK$2,Income!$F:$F, $AD$1, Income!$B:$B, IF($AE73&lt;&gt;"", TEXT($AE73, "MMMM"), ""), Income!$C:$C, YEAR($AE73))</f>
        <v>0</v>
      </c>
      <c r="AL73" s="428"/>
      <c r="AM73" s="463">
        <v>45962.0</v>
      </c>
      <c r="AN73" s="464">
        <f>SUMIFS(Income!$G:$G,Income!$H:$H, AN$2,Income!$F:$F, $AL$1, Income!$B:$B, IF($AM73&lt;&gt;"", TEXT($AM73, "MMMM"), ""), Income!$C:$C, YEAR($AM73))+SUMIFS($T:$T, $U:$U,AN$2,$Q:$Q,IF($AM73&lt;&gt;"", TEXT($AM73, "MMMM"), ""),$R:$R,YEAR($AM73))</f>
        <v>0</v>
      </c>
      <c r="AO73" s="464">
        <f>SUMIFS(Income!$G:$G,Income!$H:$H, AO$2,Income!$F:$F, $AL$1, Income!$B:$B, IF($AM73&lt;&gt;"", TEXT($AM73, "MMMM"), ""), Income!$C:$C, YEAR($AM73))+SUMIFS($T:$T, $U:$U,AO$2,$Q:$Q,IF($AM73&lt;&gt;"", TEXT($AM73, "MMMM"), ""),$R:$R,YEAR($AM73))</f>
        <v>0</v>
      </c>
      <c r="AP73" s="464">
        <f>SUMIFS(Income!$G:$G,Income!$H:$H, AP$2,Income!$F:$F, $AL$1, Income!$B:$B, IF($AM73&lt;&gt;"", TEXT($AM73, "MMMM"), ""), Income!$C:$C, YEAR($AM73))+SUMIFS($T:$T, $U:$U,AP$2,$Q:$Q,IF($AM73&lt;&gt;"", TEXT($AM73, "MMMM"), ""),$R:$R,YEAR($AM73))</f>
        <v>0</v>
      </c>
      <c r="AQ73" s="464">
        <f>SUMIFS(Income!$G:$G,Income!$H:$H, AQ$2,Income!$F:$F, $AL$1, Income!$B:$B, IF($AM73&lt;&gt;"", TEXT($AM73, "MMMM"), ""), Income!$C:$C, YEAR($AM73))+SUMIFS($T:$T, $U:$U,AQ$2,$Q:$Q,IF($AM73&lt;&gt;"", TEXT($AM73, "MMMM"), ""),$R:$R,YEAR($AM73))</f>
        <v>0</v>
      </c>
      <c r="AR73" s="464">
        <f>SUMIFS(Income!$G:$G,Income!$H:$H, AR$2,Income!$F:$F, $AL$1, Income!$B:$B, IF($AM73&lt;&gt;"", TEXT($AM73, "MMMM"), ""), Income!$C:$C, YEAR($AM73))+SUMIFS($T:$T, $U:$U,AR$2,$Q:$Q,IF($AM73&lt;&gt;"", TEXT($AM73, "MMMM"), ""),$R:$R,YEAR($AM73))</f>
        <v>0</v>
      </c>
      <c r="AS73" s="467">
        <f>SUMIFS(Income!$G:$G,Income!$H:$H, AS$2,Income!$F:$F, $AL$1, Income!$B:$B, IF($AM73&lt;&gt;"", TEXT($AM73, "MMMM"), ""), Income!$C:$C, YEAR($AM73))+SUMIFS($T:$T, $U:$U,AS$2,$Q:$Q,IF($AM73&lt;&gt;"", TEXT($AM73, "MMMM"), ""),$R:$R,YEAR($AM73))</f>
        <v>0</v>
      </c>
      <c r="AT73" s="428"/>
      <c r="AU73" s="463">
        <v>45962.0</v>
      </c>
      <c r="AV73" s="464">
        <f>SUMIFS(Income!$G:$G,Income!$H:$H, AV$2,Income!$F:$F, $AT$1, Income!$B:$B, IF($AU73&lt;&gt;"", TEXT($AU73, "MMMM"), ""), Income!$C:$C, YEAR($AU73))</f>
        <v>0</v>
      </c>
      <c r="AW73" s="464">
        <f>SUMIFS(Income!$G:$G,Income!$H:$H, AW$2,Income!$F:$F, $AT$1, Income!$B:$B, IF($AU73&lt;&gt;"", TEXT($AU73, "MMMM"), ""), Income!$C:$C, YEAR($AU73))</f>
        <v>0</v>
      </c>
      <c r="AX73" s="464">
        <f>SUMIFS(Income!$G:$G,Income!$H:$H, AX$2,Income!$F:$F, $AT$1, Income!$B:$B, IF($AU73&lt;&gt;"", TEXT($AU73, "MMMM"), ""), Income!$C:$C, YEAR($AU73))</f>
        <v>0</v>
      </c>
      <c r="AY73" s="464">
        <f>SUMIFS(Income!$G:$G,Income!$H:$H, AY$2,Income!$F:$F, $AT$1, Income!$B:$B, IF($AU73&lt;&gt;"", TEXT($AU73, "MMMM"), ""), Income!$C:$C, YEAR($AU73))</f>
        <v>0</v>
      </c>
      <c r="AZ73" s="464">
        <f>SUMIFS(Income!$G:$G,Income!$H:$H, AZ$2,Income!$F:$F, $AT$1, Income!$B:$B, IF($AU73&lt;&gt;"", TEXT($AU73, "MMMM"), ""), Income!$C:$C, YEAR($AU73))</f>
        <v>0</v>
      </c>
      <c r="BA73" s="468">
        <f>SUMIFS(Income!$G:$G,Income!$H:$H, BA$2,Income!$F:$F, $AT$1, Income!$B:$B, IF($AU73&lt;&gt;"", TEXT($AU73, "MMMM"), ""), Income!$C:$C, YEAR($AU73))</f>
        <v>0</v>
      </c>
      <c r="BB73" s="345"/>
      <c r="BC73" s="345"/>
      <c r="BD73" s="345"/>
      <c r="BE73" s="345"/>
    </row>
    <row r="74" ht="13.5" customHeight="1">
      <c r="A74" s="424">
        <f>'Membership Application List'!A303</f>
        <v>45488.88781</v>
      </c>
      <c r="B74" s="443" t="str">
        <f t="shared" si="6"/>
        <v>July</v>
      </c>
      <c r="C74" s="443">
        <f t="shared" si="7"/>
        <v>2024</v>
      </c>
      <c r="D74" s="426" t="str">
        <f>'Membership Application List'!E303</f>
        <v>Seja Ismail</v>
      </c>
      <c r="E74" s="426">
        <f>IF('Membership Application List'!J303 = "Food/Litter Donation", 0, IF('Membership Application List'!J303 = "$15 Donation, Discord Verification", IF('Membership Application List'!N303 = TRUE, 15, 0)))</f>
        <v>15</v>
      </c>
      <c r="F74" s="426">
        <f>if('Membership Application List'!K303=TRUE, 5,0)</f>
        <v>0</v>
      </c>
      <c r="G74" s="426">
        <f t="shared" si="8"/>
        <v>15</v>
      </c>
      <c r="H74" s="427" t="str">
        <f>'Membership Application List'!L303</f>
        <v>Cashapp</v>
      </c>
      <c r="I74" s="428"/>
      <c r="J74" s="463">
        <v>45992.0</v>
      </c>
      <c r="K74" s="464">
        <f t="shared" ref="K74:O74" si="32">SUMIFS($G:$G, $H:$H, K$2, $B:$B, IF($J74&lt;&gt;"", TEXT($J74, "MMMM"), ""), $C:$C, YEAR($J74))</f>
        <v>0</v>
      </c>
      <c r="L74" s="464">
        <f t="shared" si="32"/>
        <v>0</v>
      </c>
      <c r="M74" s="464">
        <f t="shared" si="32"/>
        <v>0</v>
      </c>
      <c r="N74" s="464">
        <f t="shared" si="32"/>
        <v>0</v>
      </c>
      <c r="O74" s="465">
        <f t="shared" si="32"/>
        <v>0</v>
      </c>
      <c r="P74" s="414"/>
      <c r="Q74" s="414"/>
      <c r="R74" s="414"/>
      <c r="S74" s="445"/>
      <c r="T74" s="445"/>
      <c r="U74" s="445"/>
      <c r="V74" s="428"/>
      <c r="W74" s="463">
        <v>45992.0</v>
      </c>
      <c r="X74" s="464">
        <f>SUMIFS(Income!$G:$G,Income!$H:$H, X$2,Income!$F:$F, $V$1, Income!$B:$B, IF($W74&lt;&gt;"", TEXT($W74, "MMMM"), ""), Income!$C:$C, YEAR($W74))</f>
        <v>0</v>
      </c>
      <c r="Y74" s="464">
        <f>SUMIFS(Income!$G:$G,Income!$H:$H, Y$2,Income!$F:$F, $V$1, Income!$B:$B, IF($W74&lt;&gt;"", TEXT($W74, "MMMM"), ""), Income!$C:$C, YEAR($W74))</f>
        <v>0</v>
      </c>
      <c r="Z74" s="464">
        <f>SUMIFS(Income!$G:$G,Income!$H:$H, Z$2,Income!$F:$F, $V$1, Income!$B:$B, IF($W74&lt;&gt;"", TEXT($W74, "MMMM"), ""), Income!$C:$C, YEAR($W74))</f>
        <v>0</v>
      </c>
      <c r="AA74" s="464">
        <f>SUMIFS(Income!$G:$G,Income!$H:$H, AA$2,Income!$F:$F, $V$1, Income!$B:$B, IF($W74&lt;&gt;"", TEXT($W74, "MMMM"), ""), Income!$C:$C, YEAR($W74))</f>
        <v>0</v>
      </c>
      <c r="AB74" s="464">
        <f>SUMIFS(Income!$G:$G,Income!$H:$H, AB$2,Income!$F:$F, $V$1, Income!$B:$B, IF($W74&lt;&gt;"", TEXT($W74, "MMMM"), ""), Income!$C:$C, YEAR($W74))</f>
        <v>0</v>
      </c>
      <c r="AC74" s="467">
        <f>SUMIFS(Income!$G:$G,Income!$H:$H, AC$2,Income!$F:$F, $V$1, Income!$B:$B, IF($W74&lt;&gt;"", TEXT($W74, "MMMM"), ""), Income!$C:$C, YEAR($W74))</f>
        <v>0</v>
      </c>
      <c r="AD74" s="428"/>
      <c r="AE74" s="463">
        <v>45992.0</v>
      </c>
      <c r="AF74" s="464">
        <f>SUMIFS(Income!$G:$G,Income!$H:$H, AF$2,Income!$F:$F, $AD$1, Income!$B:$B, IF($AE74&lt;&gt;"", TEXT($AE74, "MMMM"), ""), Income!$C:$C, YEAR($AE74))</f>
        <v>0</v>
      </c>
      <c r="AG74" s="464">
        <f>SUMIFS(Income!$G:$G,Income!$H:$H, AG$2,Income!$F:$F, $AD$1, Income!$B:$B, IF($AE74&lt;&gt;"", TEXT($AE74, "MMMM"), ""), Income!$C:$C, YEAR($AE74))</f>
        <v>0</v>
      </c>
      <c r="AH74" s="464">
        <f>SUMIFS(Income!$G:$G,Income!$H:$H, AH$2,Income!$F:$F, $AD$1, Income!$B:$B, IF($AE74&lt;&gt;"", TEXT($AE74, "MMMM"), ""), Income!$C:$C, YEAR($AE74))</f>
        <v>0</v>
      </c>
      <c r="AI74" s="464">
        <f>SUMIFS(Income!$G:$G,Income!$H:$H, AI$2,Income!$F:$F, $AD$1, Income!$B:$B, IF($AE74&lt;&gt;"", TEXT($AE74, "MMMM"), ""), Income!$C:$C, YEAR($AE74))</f>
        <v>0</v>
      </c>
      <c r="AJ74" s="464">
        <f>SUMIFS(Income!$G:$G,Income!$H:$H, AJ$2,Income!$F:$F, $AD$1, Income!$B:$B, IF($AE74&lt;&gt;"", TEXT($AE74, "MMMM"), ""), Income!$C:$C, YEAR($AE74))</f>
        <v>0</v>
      </c>
      <c r="AK74" s="467">
        <f>SUMIFS(Income!$G:$G,Income!$H:$H, AK$2,Income!$F:$F, $AD$1, Income!$B:$B, IF($AE74&lt;&gt;"", TEXT($AE74, "MMMM"), ""), Income!$C:$C, YEAR($AE74))</f>
        <v>0</v>
      </c>
      <c r="AL74" s="428"/>
      <c r="AM74" s="463">
        <v>45992.0</v>
      </c>
      <c r="AN74" s="464">
        <f>SUMIFS(Income!$G:$G,Income!$H:$H, AN$2,Income!$F:$F, $AL$1, Income!$B:$B, IF($AM74&lt;&gt;"", TEXT($AM74, "MMMM"), ""), Income!$C:$C, YEAR($AM74))+SUMIFS($T:$T, $U:$U,AN$2,$Q:$Q,IF($AM74&lt;&gt;"", TEXT($AM74, "MMMM"), ""),$R:$R,YEAR($AM74))</f>
        <v>0</v>
      </c>
      <c r="AO74" s="464">
        <f>SUMIFS(Income!$G:$G,Income!$H:$H, AO$2,Income!$F:$F, $AL$1, Income!$B:$B, IF($AM74&lt;&gt;"", TEXT($AM74, "MMMM"), ""), Income!$C:$C, YEAR($AM74))+SUMIFS($T:$T, $U:$U,AO$2,$Q:$Q,IF($AM74&lt;&gt;"", TEXT($AM74, "MMMM"), ""),$R:$R,YEAR($AM74))</f>
        <v>0</v>
      </c>
      <c r="AP74" s="464">
        <f>SUMIFS(Income!$G:$G,Income!$H:$H, AP$2,Income!$F:$F, $AL$1, Income!$B:$B, IF($AM74&lt;&gt;"", TEXT($AM74, "MMMM"), ""), Income!$C:$C, YEAR($AM74))+SUMIFS($T:$T, $U:$U,AP$2,$Q:$Q,IF($AM74&lt;&gt;"", TEXT($AM74, "MMMM"), ""),$R:$R,YEAR($AM74))</f>
        <v>0</v>
      </c>
      <c r="AQ74" s="464">
        <f>SUMIFS(Income!$G:$G,Income!$H:$H, AQ$2,Income!$F:$F, $AL$1, Income!$B:$B, IF($AM74&lt;&gt;"", TEXT($AM74, "MMMM"), ""), Income!$C:$C, YEAR($AM74))+SUMIFS($T:$T, $U:$U,AQ$2,$Q:$Q,IF($AM74&lt;&gt;"", TEXT($AM74, "MMMM"), ""),$R:$R,YEAR($AM74))</f>
        <v>0</v>
      </c>
      <c r="AR74" s="464">
        <f>SUMIFS(Income!$G:$G,Income!$H:$H, AR$2,Income!$F:$F, $AL$1, Income!$B:$B, IF($AM74&lt;&gt;"", TEXT($AM74, "MMMM"), ""), Income!$C:$C, YEAR($AM74))+SUMIFS($T:$T, $U:$U,AR$2,$Q:$Q,IF($AM74&lt;&gt;"", TEXT($AM74, "MMMM"), ""),$R:$R,YEAR($AM74))</f>
        <v>0</v>
      </c>
      <c r="AS74" s="467">
        <f>SUMIFS(Income!$G:$G,Income!$H:$H, AS$2,Income!$F:$F, $AL$1, Income!$B:$B, IF($AM74&lt;&gt;"", TEXT($AM74, "MMMM"), ""), Income!$C:$C, YEAR($AM74))+SUMIFS($T:$T, $U:$U,AS$2,$Q:$Q,IF($AM74&lt;&gt;"", TEXT($AM74, "MMMM"), ""),$R:$R,YEAR($AM74))</f>
        <v>0</v>
      </c>
      <c r="AT74" s="428"/>
      <c r="AU74" s="463">
        <v>45992.0</v>
      </c>
      <c r="AV74" s="464">
        <f>SUMIFS(Income!$G:$G,Income!$H:$H, AV$2,Income!$F:$F, $AT$1, Income!$B:$B, IF($AU74&lt;&gt;"", TEXT($AU74, "MMMM"), ""), Income!$C:$C, YEAR($AU74))</f>
        <v>0</v>
      </c>
      <c r="AW74" s="464">
        <f>SUMIFS(Income!$G:$G,Income!$H:$H, AW$2,Income!$F:$F, $AT$1, Income!$B:$B, IF($AU74&lt;&gt;"", TEXT($AU74, "MMMM"), ""), Income!$C:$C, YEAR($AU74))</f>
        <v>0</v>
      </c>
      <c r="AX74" s="464">
        <f>SUMIFS(Income!$G:$G,Income!$H:$H, AX$2,Income!$F:$F, $AT$1, Income!$B:$B, IF($AU74&lt;&gt;"", TEXT($AU74, "MMMM"), ""), Income!$C:$C, YEAR($AU74))</f>
        <v>0</v>
      </c>
      <c r="AY74" s="464">
        <f>SUMIFS(Income!$G:$G,Income!$H:$H, AY$2,Income!$F:$F, $AT$1, Income!$B:$B, IF($AU74&lt;&gt;"", TEXT($AU74, "MMMM"), ""), Income!$C:$C, YEAR($AU74))</f>
        <v>0</v>
      </c>
      <c r="AZ74" s="464">
        <f>SUMIFS(Income!$G:$G,Income!$H:$H, AZ$2,Income!$F:$F, $AT$1, Income!$B:$B, IF($AU74&lt;&gt;"", TEXT($AU74, "MMMM"), ""), Income!$C:$C, YEAR($AU74))</f>
        <v>0</v>
      </c>
      <c r="BA74" s="468">
        <f>SUMIFS(Income!$G:$G,Income!$H:$H, BA$2,Income!$F:$F, $AT$1, Income!$B:$B, IF($AU74&lt;&gt;"", TEXT($AU74, "MMMM"), ""), Income!$C:$C, YEAR($AU74))</f>
        <v>0</v>
      </c>
      <c r="BB74" s="345"/>
      <c r="BC74" s="345"/>
      <c r="BD74" s="345"/>
      <c r="BE74" s="345"/>
    </row>
    <row r="75" ht="13.5" customHeight="1">
      <c r="A75" s="436">
        <f>'Membership Application List'!A304</f>
        <v>45489.52061</v>
      </c>
      <c r="B75" s="437" t="str">
        <f t="shared" si="6"/>
        <v>July</v>
      </c>
      <c r="C75" s="437">
        <f t="shared" si="7"/>
        <v>2024</v>
      </c>
      <c r="D75" s="438" t="str">
        <f>'Membership Application List'!E304</f>
        <v>Austin Brown</v>
      </c>
      <c r="E75" s="438">
        <f>IF('Membership Application List'!J304 = "Food/Litter Donation", 0, IF('Membership Application List'!J304 = "$15 Donation, Discord Verification", IF('Membership Application List'!N304 = TRUE, 15, 0)))</f>
        <v>15</v>
      </c>
      <c r="F75" s="438">
        <f>if('Membership Application List'!K304=TRUE, 5,0)</f>
        <v>0</v>
      </c>
      <c r="G75" s="438">
        <f t="shared" si="8"/>
        <v>15</v>
      </c>
      <c r="H75" s="439" t="str">
        <f>'Membership Application List'!L304</f>
        <v>Venmo</v>
      </c>
      <c r="I75" s="407" t="s">
        <v>780</v>
      </c>
      <c r="J75" s="463">
        <v>46023.0</v>
      </c>
      <c r="K75" s="464">
        <f t="shared" ref="K75:O75" si="33">SUMIFS($G:$G, $H:$H, K$2, $B:$B, IF($J75&lt;&gt;"", TEXT($J75, "MMMM"), ""), $C:$C, YEAR($J75))</f>
        <v>0</v>
      </c>
      <c r="L75" s="464">
        <f t="shared" si="33"/>
        <v>0</v>
      </c>
      <c r="M75" s="464">
        <f t="shared" si="33"/>
        <v>0</v>
      </c>
      <c r="N75" s="464">
        <f t="shared" si="33"/>
        <v>0</v>
      </c>
      <c r="O75" s="465">
        <f t="shared" si="33"/>
        <v>0</v>
      </c>
      <c r="P75" s="414"/>
      <c r="Q75" s="414"/>
      <c r="R75" s="414"/>
      <c r="S75" s="445"/>
      <c r="T75" s="445"/>
      <c r="U75" s="445"/>
      <c r="V75" s="407" t="s">
        <v>780</v>
      </c>
      <c r="W75" s="463">
        <v>46023.0</v>
      </c>
      <c r="X75" s="464">
        <f>SUMIFS(Income!$G:$G,Income!$H:$H, X$2,Income!$F:$F, $V$1, Income!$B:$B, IF($W75&lt;&gt;"", TEXT($W75, "MMMM"), ""), Income!$C:$C, YEAR($W75))</f>
        <v>0</v>
      </c>
      <c r="Y75" s="464">
        <f>SUMIFS(Income!$G:$G,Income!$H:$H, Y$2,Income!$F:$F, $V$1, Income!$B:$B, IF($W75&lt;&gt;"", TEXT($W75, "MMMM"), ""), Income!$C:$C, YEAR($W75))</f>
        <v>0</v>
      </c>
      <c r="Z75" s="464">
        <f>SUMIFS(Income!$G:$G,Income!$H:$H, Z$2,Income!$F:$F, $V$1, Income!$B:$B, IF($W75&lt;&gt;"", TEXT($W75, "MMMM"), ""), Income!$C:$C, YEAR($W75))</f>
        <v>0</v>
      </c>
      <c r="AA75" s="464">
        <f>SUMIFS(Income!$G:$G,Income!$H:$H, AA$2,Income!$F:$F, $V$1, Income!$B:$B, IF($W75&lt;&gt;"", TEXT($W75, "MMMM"), ""), Income!$C:$C, YEAR($W75))</f>
        <v>0</v>
      </c>
      <c r="AB75" s="464">
        <f>SUMIFS(Income!$G:$G,Income!$H:$H, AB$2,Income!$F:$F, $V$1, Income!$B:$B, IF($W75&lt;&gt;"", TEXT($W75, "MMMM"), ""), Income!$C:$C, YEAR($W75))</f>
        <v>0</v>
      </c>
      <c r="AC75" s="467">
        <f>SUMIFS(Income!$G:$G,Income!$H:$H, AC$2,Income!$F:$F, $V$1, Income!$B:$B, IF($W75&lt;&gt;"", TEXT($W75, "MMMM"), ""), Income!$C:$C, YEAR($W75))</f>
        <v>0</v>
      </c>
      <c r="AD75" s="407" t="s">
        <v>780</v>
      </c>
      <c r="AE75" s="463">
        <v>46023.0</v>
      </c>
      <c r="AF75" s="464">
        <f>SUMIFS(Income!$G:$G,Income!$H:$H, AF$2,Income!$F:$F, $AD$1, Income!$B:$B, IF($AE75&lt;&gt;"", TEXT($AE75, "MMMM"), ""), Income!$C:$C, YEAR($AE75))</f>
        <v>0</v>
      </c>
      <c r="AG75" s="464">
        <f>SUMIFS(Income!$G:$G,Income!$H:$H, AG$2,Income!$F:$F, $AD$1, Income!$B:$B, IF($AE75&lt;&gt;"", TEXT($AE75, "MMMM"), ""), Income!$C:$C, YEAR($AE75))</f>
        <v>0</v>
      </c>
      <c r="AH75" s="464">
        <f>SUMIFS(Income!$G:$G,Income!$H:$H, AH$2,Income!$F:$F, $AD$1, Income!$B:$B, IF($AE75&lt;&gt;"", TEXT($AE75, "MMMM"), ""), Income!$C:$C, YEAR($AE75))</f>
        <v>0</v>
      </c>
      <c r="AI75" s="464">
        <f>SUMIFS(Income!$G:$G,Income!$H:$H, AI$2,Income!$F:$F, $AD$1, Income!$B:$B, IF($AE75&lt;&gt;"", TEXT($AE75, "MMMM"), ""), Income!$C:$C, YEAR($AE75))</f>
        <v>0</v>
      </c>
      <c r="AJ75" s="464">
        <f>SUMIFS(Income!$G:$G,Income!$H:$H, AJ$2,Income!$F:$F, $AD$1, Income!$B:$B, IF($AE75&lt;&gt;"", TEXT($AE75, "MMMM"), ""), Income!$C:$C, YEAR($AE75))</f>
        <v>0</v>
      </c>
      <c r="AK75" s="467">
        <f>SUMIFS(Income!$G:$G,Income!$H:$H, AK$2,Income!$F:$F, $AD$1, Income!$B:$B, IF($AE75&lt;&gt;"", TEXT($AE75, "MMMM"), ""), Income!$C:$C, YEAR($AE75))</f>
        <v>0</v>
      </c>
      <c r="AL75" s="407" t="s">
        <v>780</v>
      </c>
      <c r="AM75" s="463">
        <v>46023.0</v>
      </c>
      <c r="AN75" s="464">
        <f>SUMIFS(Income!$G:$G,Income!$H:$H, AN$2,Income!$F:$F, $AL$1, Income!$B:$B, IF($AM75&lt;&gt;"", TEXT($AM75, "MMMM"), ""), Income!$C:$C, YEAR($AM75))+SUMIFS($T:$T, $U:$U,AN$2,$Q:$Q,IF($AM75&lt;&gt;"", TEXT($AM75, "MMMM"), ""),$R:$R,YEAR($AM75))</f>
        <v>0</v>
      </c>
      <c r="AO75" s="464">
        <f>SUMIFS(Income!$G:$G,Income!$H:$H, AO$2,Income!$F:$F, $AL$1, Income!$B:$B, IF($AM75&lt;&gt;"", TEXT($AM75, "MMMM"), ""), Income!$C:$C, YEAR($AM75))+SUMIFS($T:$T, $U:$U,AO$2,$Q:$Q,IF($AM75&lt;&gt;"", TEXT($AM75, "MMMM"), ""),$R:$R,YEAR($AM75))</f>
        <v>0</v>
      </c>
      <c r="AP75" s="464">
        <f>SUMIFS(Income!$G:$G,Income!$H:$H, AP$2,Income!$F:$F, $AL$1, Income!$B:$B, IF($AM75&lt;&gt;"", TEXT($AM75, "MMMM"), ""), Income!$C:$C, YEAR($AM75))+SUMIFS($T:$T, $U:$U,AP$2,$Q:$Q,IF($AM75&lt;&gt;"", TEXT($AM75, "MMMM"), ""),$R:$R,YEAR($AM75))</f>
        <v>0</v>
      </c>
      <c r="AQ75" s="464">
        <f>SUMIFS(Income!$G:$G,Income!$H:$H, AQ$2,Income!$F:$F, $AL$1, Income!$B:$B, IF($AM75&lt;&gt;"", TEXT($AM75, "MMMM"), ""), Income!$C:$C, YEAR($AM75))+SUMIFS($T:$T, $U:$U,AQ$2,$Q:$Q,IF($AM75&lt;&gt;"", TEXT($AM75, "MMMM"), ""),$R:$R,YEAR($AM75))</f>
        <v>0</v>
      </c>
      <c r="AR75" s="464">
        <f>SUMIFS(Income!$G:$G,Income!$H:$H, AR$2,Income!$F:$F, $AL$1, Income!$B:$B, IF($AM75&lt;&gt;"", TEXT($AM75, "MMMM"), ""), Income!$C:$C, YEAR($AM75))+SUMIFS($T:$T, $U:$U,AR$2,$Q:$Q,IF($AM75&lt;&gt;"", TEXT($AM75, "MMMM"), ""),$R:$R,YEAR($AM75))</f>
        <v>0</v>
      </c>
      <c r="AS75" s="467">
        <f>SUMIFS(Income!$G:$G,Income!$H:$H, AS$2,Income!$F:$F, $AL$1, Income!$B:$B, IF($AM75&lt;&gt;"", TEXT($AM75, "MMMM"), ""), Income!$C:$C, YEAR($AM75))+SUMIFS($T:$T, $U:$U,AS$2,$Q:$Q,IF($AM75&lt;&gt;"", TEXT($AM75, "MMMM"), ""),$R:$R,YEAR($AM75))</f>
        <v>0</v>
      </c>
      <c r="AT75" s="407" t="s">
        <v>780</v>
      </c>
      <c r="AU75" s="463">
        <v>46023.0</v>
      </c>
      <c r="AV75" s="464">
        <f>SUMIFS(Income!$G:$G,Income!$H:$H, AV$2,Income!$F:$F, $AT$1, Income!$B:$B, IF($AU75&lt;&gt;"", TEXT($AU75, "MMMM"), ""), Income!$C:$C, YEAR($AU75))</f>
        <v>0</v>
      </c>
      <c r="AW75" s="464">
        <f>SUMIFS(Income!$G:$G,Income!$H:$H, AW$2,Income!$F:$F, $AT$1, Income!$B:$B, IF($AU75&lt;&gt;"", TEXT($AU75, "MMMM"), ""), Income!$C:$C, YEAR($AU75))</f>
        <v>0</v>
      </c>
      <c r="AX75" s="464">
        <f>SUMIFS(Income!$G:$G,Income!$H:$H, AX$2,Income!$F:$F, $AT$1, Income!$B:$B, IF($AU75&lt;&gt;"", TEXT($AU75, "MMMM"), ""), Income!$C:$C, YEAR($AU75))</f>
        <v>0</v>
      </c>
      <c r="AY75" s="464">
        <f>SUMIFS(Income!$G:$G,Income!$H:$H, AY$2,Income!$F:$F, $AT$1, Income!$B:$B, IF($AU75&lt;&gt;"", TEXT($AU75, "MMMM"), ""), Income!$C:$C, YEAR($AU75))</f>
        <v>0</v>
      </c>
      <c r="AZ75" s="464">
        <f>SUMIFS(Income!$G:$G,Income!$H:$H, AZ$2,Income!$F:$F, $AT$1, Income!$B:$B, IF($AU75&lt;&gt;"", TEXT($AU75, "MMMM"), ""), Income!$C:$C, YEAR($AU75))</f>
        <v>0</v>
      </c>
      <c r="BA75" s="468">
        <f>SUMIFS(Income!$G:$G,Income!$H:$H, BA$2,Income!$F:$F, $AT$1, Income!$B:$B, IF($AU75&lt;&gt;"", TEXT($AU75, "MMMM"), ""), Income!$C:$C, YEAR($AU75))</f>
        <v>0</v>
      </c>
      <c r="BB75" s="345"/>
      <c r="BC75" s="345"/>
      <c r="BD75" s="345"/>
      <c r="BE75" s="345"/>
    </row>
    <row r="76" ht="13.5" customHeight="1">
      <c r="A76" s="424">
        <f>'Membership Application List'!A305</f>
        <v>45489.52848</v>
      </c>
      <c r="B76" s="443" t="str">
        <f t="shared" si="6"/>
        <v>July</v>
      </c>
      <c r="C76" s="443">
        <f t="shared" si="7"/>
        <v>2024</v>
      </c>
      <c r="D76" s="426" t="str">
        <f>'Membership Application List'!E305</f>
        <v>Jesse Jarrell</v>
      </c>
      <c r="E76" s="426">
        <f>IF('Membership Application List'!J305 = "Food/Litter Donation", 0, IF('Membership Application List'!J305 = "$15 Donation, Discord Verification", IF('Membership Application List'!N305 = TRUE, 15, 0)))</f>
        <v>15</v>
      </c>
      <c r="F76" s="426">
        <f>if('Membership Application List'!K305=TRUE, 5,0)</f>
        <v>0</v>
      </c>
      <c r="G76" s="426">
        <f t="shared" si="8"/>
        <v>15</v>
      </c>
      <c r="H76" s="427" t="str">
        <f>'Membership Application List'!L305</f>
        <v>Paypal</v>
      </c>
      <c r="I76" s="428"/>
      <c r="J76" s="463">
        <v>46054.0</v>
      </c>
      <c r="K76" s="464">
        <f t="shared" ref="K76:O76" si="34">SUMIFS($G:$G, $H:$H, K$2, $B:$B, IF($J76&lt;&gt;"", TEXT($J76, "MMMM"), ""), $C:$C, YEAR($J76))</f>
        <v>0</v>
      </c>
      <c r="L76" s="464">
        <f t="shared" si="34"/>
        <v>0</v>
      </c>
      <c r="M76" s="464">
        <f t="shared" si="34"/>
        <v>0</v>
      </c>
      <c r="N76" s="464">
        <f t="shared" si="34"/>
        <v>0</v>
      </c>
      <c r="O76" s="465">
        <f t="shared" si="34"/>
        <v>0</v>
      </c>
      <c r="P76" s="414"/>
      <c r="Q76" s="414"/>
      <c r="R76" s="414"/>
      <c r="S76" s="445"/>
      <c r="T76" s="445"/>
      <c r="U76" s="445"/>
      <c r="V76" s="428"/>
      <c r="W76" s="463">
        <v>46054.0</v>
      </c>
      <c r="X76" s="464">
        <f>SUMIFS(Income!$G:$G,Income!$H:$H, X$2,Income!$F:$F, $V$1, Income!$B:$B, IF($W76&lt;&gt;"", TEXT($W76, "MMMM"), ""), Income!$C:$C, YEAR($W76))</f>
        <v>0</v>
      </c>
      <c r="Y76" s="464">
        <f>SUMIFS(Income!$G:$G,Income!$H:$H, Y$2,Income!$F:$F, $V$1, Income!$B:$B, IF($W76&lt;&gt;"", TEXT($W76, "MMMM"), ""), Income!$C:$C, YEAR($W76))</f>
        <v>0</v>
      </c>
      <c r="Z76" s="464">
        <f>SUMIFS(Income!$G:$G,Income!$H:$H, Z$2,Income!$F:$F, $V$1, Income!$B:$B, IF($W76&lt;&gt;"", TEXT($W76, "MMMM"), ""), Income!$C:$C, YEAR($W76))</f>
        <v>0</v>
      </c>
      <c r="AA76" s="464">
        <f>SUMIFS(Income!$G:$G,Income!$H:$H, AA$2,Income!$F:$F, $V$1, Income!$B:$B, IF($W76&lt;&gt;"", TEXT($W76, "MMMM"), ""), Income!$C:$C, YEAR($W76))</f>
        <v>0</v>
      </c>
      <c r="AB76" s="464">
        <f>SUMIFS(Income!$G:$G,Income!$H:$H, AB$2,Income!$F:$F, $V$1, Income!$B:$B, IF($W76&lt;&gt;"", TEXT($W76, "MMMM"), ""), Income!$C:$C, YEAR($W76))</f>
        <v>0</v>
      </c>
      <c r="AC76" s="467">
        <f>SUMIFS(Income!$G:$G,Income!$H:$H, AC$2,Income!$F:$F, $V$1, Income!$B:$B, IF($W76&lt;&gt;"", TEXT($W76, "MMMM"), ""), Income!$C:$C, YEAR($W76))</f>
        <v>0</v>
      </c>
      <c r="AD76" s="428"/>
      <c r="AE76" s="463">
        <v>46054.0</v>
      </c>
      <c r="AF76" s="464">
        <f>SUMIFS(Income!$G:$G,Income!$H:$H, AF$2,Income!$F:$F, $AD$1, Income!$B:$B, IF($AE76&lt;&gt;"", TEXT($AE76, "MMMM"), ""), Income!$C:$C, YEAR($AE76))</f>
        <v>0</v>
      </c>
      <c r="AG76" s="464">
        <f>SUMIFS(Income!$G:$G,Income!$H:$H, AG$2,Income!$F:$F, $AD$1, Income!$B:$B, IF($AE76&lt;&gt;"", TEXT($AE76, "MMMM"), ""), Income!$C:$C, YEAR($AE76))</f>
        <v>0</v>
      </c>
      <c r="AH76" s="464">
        <f>SUMIFS(Income!$G:$G,Income!$H:$H, AH$2,Income!$F:$F, $AD$1, Income!$B:$B, IF($AE76&lt;&gt;"", TEXT($AE76, "MMMM"), ""), Income!$C:$C, YEAR($AE76))</f>
        <v>0</v>
      </c>
      <c r="AI76" s="464">
        <f>SUMIFS(Income!$G:$G,Income!$H:$H, AI$2,Income!$F:$F, $AD$1, Income!$B:$B, IF($AE76&lt;&gt;"", TEXT($AE76, "MMMM"), ""), Income!$C:$C, YEAR($AE76))</f>
        <v>0</v>
      </c>
      <c r="AJ76" s="464">
        <f>SUMIFS(Income!$G:$G,Income!$H:$H, AJ$2,Income!$F:$F, $AD$1, Income!$B:$B, IF($AE76&lt;&gt;"", TEXT($AE76, "MMMM"), ""), Income!$C:$C, YEAR($AE76))</f>
        <v>0</v>
      </c>
      <c r="AK76" s="467">
        <f>SUMIFS(Income!$G:$G,Income!$H:$H, AK$2,Income!$F:$F, $AD$1, Income!$B:$B, IF($AE76&lt;&gt;"", TEXT($AE76, "MMMM"), ""), Income!$C:$C, YEAR($AE76))</f>
        <v>0</v>
      </c>
      <c r="AL76" s="428"/>
      <c r="AM76" s="463">
        <v>46054.0</v>
      </c>
      <c r="AN76" s="464">
        <f>SUMIFS(Income!$G:$G,Income!$H:$H, AN$2,Income!$F:$F, $AL$1, Income!$B:$B, IF($AM76&lt;&gt;"", TEXT($AM76, "MMMM"), ""), Income!$C:$C, YEAR($AM76))+SUMIFS($T:$T, $U:$U,AN$2,$Q:$Q,IF($AM76&lt;&gt;"", TEXT($AM76, "MMMM"), ""),$R:$R,YEAR($AM76))</f>
        <v>0</v>
      </c>
      <c r="AO76" s="464">
        <f>SUMIFS(Income!$G:$G,Income!$H:$H, AO$2,Income!$F:$F, $AL$1, Income!$B:$B, IF($AM76&lt;&gt;"", TEXT($AM76, "MMMM"), ""), Income!$C:$C, YEAR($AM76))+SUMIFS($T:$T, $U:$U,AO$2,$Q:$Q,IF($AM76&lt;&gt;"", TEXT($AM76, "MMMM"), ""),$R:$R,YEAR($AM76))</f>
        <v>0</v>
      </c>
      <c r="AP76" s="464">
        <f>SUMIFS(Income!$G:$G,Income!$H:$H, AP$2,Income!$F:$F, $AL$1, Income!$B:$B, IF($AM76&lt;&gt;"", TEXT($AM76, "MMMM"), ""), Income!$C:$C, YEAR($AM76))+SUMIFS($T:$T, $U:$U,AP$2,$Q:$Q,IF($AM76&lt;&gt;"", TEXT($AM76, "MMMM"), ""),$R:$R,YEAR($AM76))</f>
        <v>0</v>
      </c>
      <c r="AQ76" s="464">
        <f>SUMIFS(Income!$G:$G,Income!$H:$H, AQ$2,Income!$F:$F, $AL$1, Income!$B:$B, IF($AM76&lt;&gt;"", TEXT($AM76, "MMMM"), ""), Income!$C:$C, YEAR($AM76))+SUMIFS($T:$T, $U:$U,AQ$2,$Q:$Q,IF($AM76&lt;&gt;"", TEXT($AM76, "MMMM"), ""),$R:$R,YEAR($AM76))</f>
        <v>0</v>
      </c>
      <c r="AR76" s="464">
        <f>SUMIFS(Income!$G:$G,Income!$H:$H, AR$2,Income!$F:$F, $AL$1, Income!$B:$B, IF($AM76&lt;&gt;"", TEXT($AM76, "MMMM"), ""), Income!$C:$C, YEAR($AM76))+SUMIFS($T:$T, $U:$U,AR$2,$Q:$Q,IF($AM76&lt;&gt;"", TEXT($AM76, "MMMM"), ""),$R:$R,YEAR($AM76))</f>
        <v>0</v>
      </c>
      <c r="AS76" s="467">
        <f>SUMIFS(Income!$G:$G,Income!$H:$H, AS$2,Income!$F:$F, $AL$1, Income!$B:$B, IF($AM76&lt;&gt;"", TEXT($AM76, "MMMM"), ""), Income!$C:$C, YEAR($AM76))+SUMIFS($T:$T, $U:$U,AS$2,$Q:$Q,IF($AM76&lt;&gt;"", TEXT($AM76, "MMMM"), ""),$R:$R,YEAR($AM76))</f>
        <v>0</v>
      </c>
      <c r="AT76" s="428"/>
      <c r="AU76" s="463">
        <v>46054.0</v>
      </c>
      <c r="AV76" s="464">
        <f>SUMIFS(Income!$G:$G,Income!$H:$H, AV$2,Income!$F:$F, $AT$1, Income!$B:$B, IF($AU76&lt;&gt;"", TEXT($AU76, "MMMM"), ""), Income!$C:$C, YEAR($AU76))</f>
        <v>0</v>
      </c>
      <c r="AW76" s="464">
        <f>SUMIFS(Income!$G:$G,Income!$H:$H, AW$2,Income!$F:$F, $AT$1, Income!$B:$B, IF($AU76&lt;&gt;"", TEXT($AU76, "MMMM"), ""), Income!$C:$C, YEAR($AU76))</f>
        <v>0</v>
      </c>
      <c r="AX76" s="464">
        <f>SUMIFS(Income!$G:$G,Income!$H:$H, AX$2,Income!$F:$F, $AT$1, Income!$B:$B, IF($AU76&lt;&gt;"", TEXT($AU76, "MMMM"), ""), Income!$C:$C, YEAR($AU76))</f>
        <v>0</v>
      </c>
      <c r="AY76" s="464">
        <f>SUMIFS(Income!$G:$G,Income!$H:$H, AY$2,Income!$F:$F, $AT$1, Income!$B:$B, IF($AU76&lt;&gt;"", TEXT($AU76, "MMMM"), ""), Income!$C:$C, YEAR($AU76))</f>
        <v>0</v>
      </c>
      <c r="AZ76" s="464">
        <f>SUMIFS(Income!$G:$G,Income!$H:$H, AZ$2,Income!$F:$F, $AT$1, Income!$B:$B, IF($AU76&lt;&gt;"", TEXT($AU76, "MMMM"), ""), Income!$C:$C, YEAR($AU76))</f>
        <v>0</v>
      </c>
      <c r="BA76" s="468">
        <f>SUMIFS(Income!$G:$G,Income!$H:$H, BA$2,Income!$F:$F, $AT$1, Income!$B:$B, IF($AU76&lt;&gt;"", TEXT($AU76, "MMMM"), ""), Income!$C:$C, YEAR($AU76))</f>
        <v>0</v>
      </c>
      <c r="BB76" s="345"/>
      <c r="BC76" s="345"/>
      <c r="BD76" s="345"/>
      <c r="BE76" s="345"/>
    </row>
    <row r="77" ht="13.5" customHeight="1">
      <c r="A77" s="436">
        <f>'Membership Application List'!A306</f>
        <v>45489.55847</v>
      </c>
      <c r="B77" s="437" t="str">
        <f t="shared" si="6"/>
        <v>July</v>
      </c>
      <c r="C77" s="437">
        <f t="shared" si="7"/>
        <v>2024</v>
      </c>
      <c r="D77" s="438" t="str">
        <f>'Membership Application List'!E306</f>
        <v>Derek Santiago Fuentes</v>
      </c>
      <c r="E77" s="438">
        <f>IF('Membership Application List'!J306 = "Food/Litter Donation", 0, IF('Membership Application List'!J306 = "$15 Donation, Discord Verification", IF('Membership Application List'!N306 = TRUE, 15, 0)))</f>
        <v>15</v>
      </c>
      <c r="F77" s="438">
        <f>if('Membership Application List'!K306=TRUE, 5,0)</f>
        <v>0</v>
      </c>
      <c r="G77" s="438">
        <f t="shared" si="8"/>
        <v>15</v>
      </c>
      <c r="H77" s="439" t="str">
        <f>'Membership Application List'!L306</f>
        <v>Paypal</v>
      </c>
      <c r="I77" s="428"/>
      <c r="J77" s="463">
        <v>46082.0</v>
      </c>
      <c r="K77" s="464">
        <f t="shared" ref="K77:O77" si="35">SUMIFS($G:$G, $H:$H, K$2, $B:$B, IF($J77&lt;&gt;"", TEXT($J77, "MMMM"), ""), $C:$C, YEAR($J77))</f>
        <v>0</v>
      </c>
      <c r="L77" s="464">
        <f t="shared" si="35"/>
        <v>0</v>
      </c>
      <c r="M77" s="464">
        <f t="shared" si="35"/>
        <v>0</v>
      </c>
      <c r="N77" s="464">
        <f t="shared" si="35"/>
        <v>0</v>
      </c>
      <c r="O77" s="465">
        <f t="shared" si="35"/>
        <v>0</v>
      </c>
      <c r="P77" s="414"/>
      <c r="Q77" s="414"/>
      <c r="R77" s="414"/>
      <c r="S77" s="445"/>
      <c r="T77" s="445"/>
      <c r="U77" s="445"/>
      <c r="V77" s="428"/>
      <c r="W77" s="463">
        <v>46082.0</v>
      </c>
      <c r="X77" s="464">
        <f>SUMIFS(Income!$G:$G,Income!$H:$H, X$2,Income!$F:$F, $V$1, Income!$B:$B, IF($W77&lt;&gt;"", TEXT($W77, "MMMM"), ""), Income!$C:$C, YEAR($W77))</f>
        <v>0</v>
      </c>
      <c r="Y77" s="464">
        <f>SUMIFS(Income!$G:$G,Income!$H:$H, Y$2,Income!$F:$F, $V$1, Income!$B:$B, IF($W77&lt;&gt;"", TEXT($W77, "MMMM"), ""), Income!$C:$C, YEAR($W77))</f>
        <v>0</v>
      </c>
      <c r="Z77" s="464">
        <f>SUMIFS(Income!$G:$G,Income!$H:$H, Z$2,Income!$F:$F, $V$1, Income!$B:$B, IF($W77&lt;&gt;"", TEXT($W77, "MMMM"), ""), Income!$C:$C, YEAR($W77))</f>
        <v>0</v>
      </c>
      <c r="AA77" s="464">
        <f>SUMIFS(Income!$G:$G,Income!$H:$H, AA$2,Income!$F:$F, $V$1, Income!$B:$B, IF($W77&lt;&gt;"", TEXT($W77, "MMMM"), ""), Income!$C:$C, YEAR($W77))</f>
        <v>0</v>
      </c>
      <c r="AB77" s="464">
        <f>SUMIFS(Income!$G:$G,Income!$H:$H, AB$2,Income!$F:$F, $V$1, Income!$B:$B, IF($W77&lt;&gt;"", TEXT($W77, "MMMM"), ""), Income!$C:$C, YEAR($W77))</f>
        <v>0</v>
      </c>
      <c r="AC77" s="467">
        <f>SUMIFS(Income!$G:$G,Income!$H:$H, AC$2,Income!$F:$F, $V$1, Income!$B:$B, IF($W77&lt;&gt;"", TEXT($W77, "MMMM"), ""), Income!$C:$C, YEAR($W77))</f>
        <v>0</v>
      </c>
      <c r="AD77" s="428"/>
      <c r="AE77" s="463">
        <v>46082.0</v>
      </c>
      <c r="AF77" s="464">
        <f>SUMIFS(Income!$G:$G,Income!$H:$H, AF$2,Income!$F:$F, $AD$1, Income!$B:$B, IF($AE77&lt;&gt;"", TEXT($AE77, "MMMM"), ""), Income!$C:$C, YEAR($AE77))</f>
        <v>0</v>
      </c>
      <c r="AG77" s="464">
        <f>SUMIFS(Income!$G:$G,Income!$H:$H, AG$2,Income!$F:$F, $AD$1, Income!$B:$B, IF($AE77&lt;&gt;"", TEXT($AE77, "MMMM"), ""), Income!$C:$C, YEAR($AE77))</f>
        <v>0</v>
      </c>
      <c r="AH77" s="464">
        <f>SUMIFS(Income!$G:$G,Income!$H:$H, AH$2,Income!$F:$F, $AD$1, Income!$B:$B, IF($AE77&lt;&gt;"", TEXT($AE77, "MMMM"), ""), Income!$C:$C, YEAR($AE77))</f>
        <v>0</v>
      </c>
      <c r="AI77" s="464">
        <f>SUMIFS(Income!$G:$G,Income!$H:$H, AI$2,Income!$F:$F, $AD$1, Income!$B:$B, IF($AE77&lt;&gt;"", TEXT($AE77, "MMMM"), ""), Income!$C:$C, YEAR($AE77))</f>
        <v>0</v>
      </c>
      <c r="AJ77" s="464">
        <f>SUMIFS(Income!$G:$G,Income!$H:$H, AJ$2,Income!$F:$F, $AD$1, Income!$B:$B, IF($AE77&lt;&gt;"", TEXT($AE77, "MMMM"), ""), Income!$C:$C, YEAR($AE77))</f>
        <v>0</v>
      </c>
      <c r="AK77" s="467">
        <f>SUMIFS(Income!$G:$G,Income!$H:$H, AK$2,Income!$F:$F, $AD$1, Income!$B:$B, IF($AE77&lt;&gt;"", TEXT($AE77, "MMMM"), ""), Income!$C:$C, YEAR($AE77))</f>
        <v>0</v>
      </c>
      <c r="AL77" s="428"/>
      <c r="AM77" s="463">
        <v>46082.0</v>
      </c>
      <c r="AN77" s="464">
        <f>SUMIFS(Income!$G:$G,Income!$H:$H, AN$2,Income!$F:$F, $AL$1, Income!$B:$B, IF($AM77&lt;&gt;"", TEXT($AM77, "MMMM"), ""), Income!$C:$C, YEAR($AM77))+SUMIFS($T:$T, $U:$U,AN$2,$Q:$Q,IF($AM77&lt;&gt;"", TEXT($AM77, "MMMM"), ""),$R:$R,YEAR($AM77))</f>
        <v>0</v>
      </c>
      <c r="AO77" s="464">
        <f>SUMIFS(Income!$G:$G,Income!$H:$H, AO$2,Income!$F:$F, $AL$1, Income!$B:$B, IF($AM77&lt;&gt;"", TEXT($AM77, "MMMM"), ""), Income!$C:$C, YEAR($AM77))+SUMIFS($T:$T, $U:$U,AO$2,$Q:$Q,IF($AM77&lt;&gt;"", TEXT($AM77, "MMMM"), ""),$R:$R,YEAR($AM77))</f>
        <v>0</v>
      </c>
      <c r="AP77" s="464">
        <f>SUMIFS(Income!$G:$G,Income!$H:$H, AP$2,Income!$F:$F, $AL$1, Income!$B:$B, IF($AM77&lt;&gt;"", TEXT($AM77, "MMMM"), ""), Income!$C:$C, YEAR($AM77))+SUMIFS($T:$T, $U:$U,AP$2,$Q:$Q,IF($AM77&lt;&gt;"", TEXT($AM77, "MMMM"), ""),$R:$R,YEAR($AM77))</f>
        <v>0</v>
      </c>
      <c r="AQ77" s="464">
        <f>SUMIFS(Income!$G:$G,Income!$H:$H, AQ$2,Income!$F:$F, $AL$1, Income!$B:$B, IF($AM77&lt;&gt;"", TEXT($AM77, "MMMM"), ""), Income!$C:$C, YEAR($AM77))+SUMIFS($T:$T, $U:$U,AQ$2,$Q:$Q,IF($AM77&lt;&gt;"", TEXT($AM77, "MMMM"), ""),$R:$R,YEAR($AM77))</f>
        <v>0</v>
      </c>
      <c r="AR77" s="464">
        <f>SUMIFS(Income!$G:$G,Income!$H:$H, AR$2,Income!$F:$F, $AL$1, Income!$B:$B, IF($AM77&lt;&gt;"", TEXT($AM77, "MMMM"), ""), Income!$C:$C, YEAR($AM77))+SUMIFS($T:$T, $U:$U,AR$2,$Q:$Q,IF($AM77&lt;&gt;"", TEXT($AM77, "MMMM"), ""),$R:$R,YEAR($AM77))</f>
        <v>0</v>
      </c>
      <c r="AS77" s="467">
        <f>SUMIFS(Income!$G:$G,Income!$H:$H, AS$2,Income!$F:$F, $AL$1, Income!$B:$B, IF($AM77&lt;&gt;"", TEXT($AM77, "MMMM"), ""), Income!$C:$C, YEAR($AM77))+SUMIFS($T:$T, $U:$U,AS$2,$Q:$Q,IF($AM77&lt;&gt;"", TEXT($AM77, "MMMM"), ""),$R:$R,YEAR($AM77))</f>
        <v>0</v>
      </c>
      <c r="AT77" s="428"/>
      <c r="AU77" s="463">
        <v>46082.0</v>
      </c>
      <c r="AV77" s="464">
        <f>SUMIFS(Income!$G:$G,Income!$H:$H, AV$2,Income!$F:$F, $AT$1, Income!$B:$B, IF($AU77&lt;&gt;"", TEXT($AU77, "MMMM"), ""), Income!$C:$C, YEAR($AU77))</f>
        <v>0</v>
      </c>
      <c r="AW77" s="464">
        <f>SUMIFS(Income!$G:$G,Income!$H:$H, AW$2,Income!$F:$F, $AT$1, Income!$B:$B, IF($AU77&lt;&gt;"", TEXT($AU77, "MMMM"), ""), Income!$C:$C, YEAR($AU77))</f>
        <v>0</v>
      </c>
      <c r="AX77" s="464">
        <f>SUMIFS(Income!$G:$G,Income!$H:$H, AX$2,Income!$F:$F, $AT$1, Income!$B:$B, IF($AU77&lt;&gt;"", TEXT($AU77, "MMMM"), ""), Income!$C:$C, YEAR($AU77))</f>
        <v>0</v>
      </c>
      <c r="AY77" s="464">
        <f>SUMIFS(Income!$G:$G,Income!$H:$H, AY$2,Income!$F:$F, $AT$1, Income!$B:$B, IF($AU77&lt;&gt;"", TEXT($AU77, "MMMM"), ""), Income!$C:$C, YEAR($AU77))</f>
        <v>0</v>
      </c>
      <c r="AZ77" s="464">
        <f>SUMIFS(Income!$G:$G,Income!$H:$H, AZ$2,Income!$F:$F, $AT$1, Income!$B:$B, IF($AU77&lt;&gt;"", TEXT($AU77, "MMMM"), ""), Income!$C:$C, YEAR($AU77))</f>
        <v>0</v>
      </c>
      <c r="BA77" s="468">
        <f>SUMIFS(Income!$G:$G,Income!$H:$H, BA$2,Income!$F:$F, $AT$1, Income!$B:$B, IF($AU77&lt;&gt;"", TEXT($AU77, "MMMM"), ""), Income!$C:$C, YEAR($AU77))</f>
        <v>0</v>
      </c>
      <c r="BB77" s="345"/>
      <c r="BC77" s="345"/>
      <c r="BD77" s="345"/>
      <c r="BE77" s="345"/>
    </row>
    <row r="78" ht="13.5" customHeight="1">
      <c r="A78" s="424">
        <f>'Membership Application List'!A307</f>
        <v>45492.55566</v>
      </c>
      <c r="B78" s="443" t="str">
        <f t="shared" si="6"/>
        <v>July</v>
      </c>
      <c r="C78" s="443">
        <f t="shared" si="7"/>
        <v>2024</v>
      </c>
      <c r="D78" s="426" t="str">
        <f>'Membership Application List'!E307</f>
        <v>Brittany Tran</v>
      </c>
      <c r="E78" s="426">
        <f>IF('Membership Application List'!J307 = "Food/Litter Donation", 0, IF('Membership Application List'!J307 = "$15 Donation, Discord Verification", IF('Membership Application List'!N307 = TRUE, 15, 0)))</f>
        <v>0</v>
      </c>
      <c r="F78" s="426">
        <f>if('Membership Application List'!K307=TRUE, 5,0)</f>
        <v>0</v>
      </c>
      <c r="G78" s="426">
        <f t="shared" si="8"/>
        <v>0</v>
      </c>
      <c r="H78" s="427" t="str">
        <f>'Membership Application List'!L307</f>
        <v>Cash</v>
      </c>
      <c r="I78" s="428"/>
      <c r="J78" s="463">
        <v>46113.0</v>
      </c>
      <c r="K78" s="464">
        <f t="shared" ref="K78:O78" si="36">SUMIFS($G:$G, $H:$H, K$2, $B:$B, IF($J78&lt;&gt;"", TEXT($J78, "MMMM"), ""), $C:$C, YEAR($J78))</f>
        <v>0</v>
      </c>
      <c r="L78" s="464">
        <f t="shared" si="36"/>
        <v>0</v>
      </c>
      <c r="M78" s="464">
        <f t="shared" si="36"/>
        <v>0</v>
      </c>
      <c r="N78" s="464">
        <f t="shared" si="36"/>
        <v>0</v>
      </c>
      <c r="O78" s="465">
        <f t="shared" si="36"/>
        <v>0</v>
      </c>
      <c r="P78" s="414"/>
      <c r="Q78" s="414"/>
      <c r="R78" s="414"/>
      <c r="S78" s="445"/>
      <c r="T78" s="445"/>
      <c r="U78" s="445"/>
      <c r="V78" s="428"/>
      <c r="W78" s="463">
        <v>46113.0</v>
      </c>
      <c r="X78" s="464">
        <f>SUMIFS(Income!$G:$G,Income!$H:$H, X$2,Income!$F:$F, $V$1, Income!$B:$B, IF($W78&lt;&gt;"", TEXT($W78, "MMMM"), ""), Income!$C:$C, YEAR($W78))</f>
        <v>0</v>
      </c>
      <c r="Y78" s="464">
        <f>SUMIFS(Income!$G:$G,Income!$H:$H, Y$2,Income!$F:$F, $V$1, Income!$B:$B, IF($W78&lt;&gt;"", TEXT($W78, "MMMM"), ""), Income!$C:$C, YEAR($W78))</f>
        <v>0</v>
      </c>
      <c r="Z78" s="464">
        <f>SUMIFS(Income!$G:$G,Income!$H:$H, Z$2,Income!$F:$F, $V$1, Income!$B:$B, IF($W78&lt;&gt;"", TEXT($W78, "MMMM"), ""), Income!$C:$C, YEAR($W78))</f>
        <v>0</v>
      </c>
      <c r="AA78" s="464">
        <f>SUMIFS(Income!$G:$G,Income!$H:$H, AA$2,Income!$F:$F, $V$1, Income!$B:$B, IF($W78&lt;&gt;"", TEXT($W78, "MMMM"), ""), Income!$C:$C, YEAR($W78))</f>
        <v>0</v>
      </c>
      <c r="AB78" s="464">
        <f>SUMIFS(Income!$G:$G,Income!$H:$H, AB$2,Income!$F:$F, $V$1, Income!$B:$B, IF($W78&lt;&gt;"", TEXT($W78, "MMMM"), ""), Income!$C:$C, YEAR($W78))</f>
        <v>0</v>
      </c>
      <c r="AC78" s="467">
        <f>SUMIFS(Income!$G:$G,Income!$H:$H, AC$2,Income!$F:$F, $V$1, Income!$B:$B, IF($W78&lt;&gt;"", TEXT($W78, "MMMM"), ""), Income!$C:$C, YEAR($W78))</f>
        <v>0</v>
      </c>
      <c r="AD78" s="428"/>
      <c r="AE78" s="463">
        <v>46113.0</v>
      </c>
      <c r="AF78" s="464">
        <f>SUMIFS(Income!$G:$G,Income!$H:$H, AF$2,Income!$F:$F, $AD$1, Income!$B:$B, IF($AE78&lt;&gt;"", TEXT($AE78, "MMMM"), ""), Income!$C:$C, YEAR($AE78))</f>
        <v>0</v>
      </c>
      <c r="AG78" s="464">
        <f>SUMIFS(Income!$G:$G,Income!$H:$H, AG$2,Income!$F:$F, $AD$1, Income!$B:$B, IF($AE78&lt;&gt;"", TEXT($AE78, "MMMM"), ""), Income!$C:$C, YEAR($AE78))</f>
        <v>0</v>
      </c>
      <c r="AH78" s="464">
        <f>SUMIFS(Income!$G:$G,Income!$H:$H, AH$2,Income!$F:$F, $AD$1, Income!$B:$B, IF($AE78&lt;&gt;"", TEXT($AE78, "MMMM"), ""), Income!$C:$C, YEAR($AE78))</f>
        <v>0</v>
      </c>
      <c r="AI78" s="464">
        <f>SUMIFS(Income!$G:$G,Income!$H:$H, AI$2,Income!$F:$F, $AD$1, Income!$B:$B, IF($AE78&lt;&gt;"", TEXT($AE78, "MMMM"), ""), Income!$C:$C, YEAR($AE78))</f>
        <v>0</v>
      </c>
      <c r="AJ78" s="464">
        <f>SUMIFS(Income!$G:$G,Income!$H:$H, AJ$2,Income!$F:$F, $AD$1, Income!$B:$B, IF($AE78&lt;&gt;"", TEXT($AE78, "MMMM"), ""), Income!$C:$C, YEAR($AE78))</f>
        <v>0</v>
      </c>
      <c r="AK78" s="467">
        <f>SUMIFS(Income!$G:$G,Income!$H:$H, AK$2,Income!$F:$F, $AD$1, Income!$B:$B, IF($AE78&lt;&gt;"", TEXT($AE78, "MMMM"), ""), Income!$C:$C, YEAR($AE78))</f>
        <v>0</v>
      </c>
      <c r="AL78" s="428"/>
      <c r="AM78" s="463">
        <v>46113.0</v>
      </c>
      <c r="AN78" s="464">
        <f>SUMIFS(Income!$G:$G,Income!$H:$H, AN$2,Income!$F:$F, $AL$1, Income!$B:$B, IF($AM78&lt;&gt;"", TEXT($AM78, "MMMM"), ""), Income!$C:$C, YEAR($AM78))+SUMIFS($T:$T, $U:$U,AN$2,$Q:$Q,IF($AM78&lt;&gt;"", TEXT($AM78, "MMMM"), ""),$R:$R,YEAR($AM78))</f>
        <v>0</v>
      </c>
      <c r="AO78" s="464">
        <f>SUMIFS(Income!$G:$G,Income!$H:$H, AO$2,Income!$F:$F, $AL$1, Income!$B:$B, IF($AM78&lt;&gt;"", TEXT($AM78, "MMMM"), ""), Income!$C:$C, YEAR($AM78))+SUMIFS($T:$T, $U:$U,AO$2,$Q:$Q,IF($AM78&lt;&gt;"", TEXT($AM78, "MMMM"), ""),$R:$R,YEAR($AM78))</f>
        <v>0</v>
      </c>
      <c r="AP78" s="464">
        <f>SUMIFS(Income!$G:$G,Income!$H:$H, AP$2,Income!$F:$F, $AL$1, Income!$B:$B, IF($AM78&lt;&gt;"", TEXT($AM78, "MMMM"), ""), Income!$C:$C, YEAR($AM78))+SUMIFS($T:$T, $U:$U,AP$2,$Q:$Q,IF($AM78&lt;&gt;"", TEXT($AM78, "MMMM"), ""),$R:$R,YEAR($AM78))</f>
        <v>0</v>
      </c>
      <c r="AQ78" s="464">
        <f>SUMIFS(Income!$G:$G,Income!$H:$H, AQ$2,Income!$F:$F, $AL$1, Income!$B:$B, IF($AM78&lt;&gt;"", TEXT($AM78, "MMMM"), ""), Income!$C:$C, YEAR($AM78))+SUMIFS($T:$T, $U:$U,AQ$2,$Q:$Q,IF($AM78&lt;&gt;"", TEXT($AM78, "MMMM"), ""),$R:$R,YEAR($AM78))</f>
        <v>0</v>
      </c>
      <c r="AR78" s="464">
        <f>SUMIFS(Income!$G:$G,Income!$H:$H, AR$2,Income!$F:$F, $AL$1, Income!$B:$B, IF($AM78&lt;&gt;"", TEXT($AM78, "MMMM"), ""), Income!$C:$C, YEAR($AM78))+SUMIFS($T:$T, $U:$U,AR$2,$Q:$Q,IF($AM78&lt;&gt;"", TEXT($AM78, "MMMM"), ""),$R:$R,YEAR($AM78))</f>
        <v>0</v>
      </c>
      <c r="AS78" s="467">
        <f>SUMIFS(Income!$G:$G,Income!$H:$H, AS$2,Income!$F:$F, $AL$1, Income!$B:$B, IF($AM78&lt;&gt;"", TEXT($AM78, "MMMM"), ""), Income!$C:$C, YEAR($AM78))+SUMIFS($T:$T, $U:$U,AS$2,$Q:$Q,IF($AM78&lt;&gt;"", TEXT($AM78, "MMMM"), ""),$R:$R,YEAR($AM78))</f>
        <v>0</v>
      </c>
      <c r="AT78" s="428"/>
      <c r="AU78" s="463">
        <v>46113.0</v>
      </c>
      <c r="AV78" s="464">
        <f>SUMIFS(Income!$G:$G,Income!$H:$H, AV$2,Income!$F:$F, $AT$1, Income!$B:$B, IF($AU78&lt;&gt;"", TEXT($AU78, "MMMM"), ""), Income!$C:$C, YEAR($AU78))</f>
        <v>0</v>
      </c>
      <c r="AW78" s="464">
        <f>SUMIFS(Income!$G:$G,Income!$H:$H, AW$2,Income!$F:$F, $AT$1, Income!$B:$B, IF($AU78&lt;&gt;"", TEXT($AU78, "MMMM"), ""), Income!$C:$C, YEAR($AU78))</f>
        <v>0</v>
      </c>
      <c r="AX78" s="464">
        <f>SUMIFS(Income!$G:$G,Income!$H:$H, AX$2,Income!$F:$F, $AT$1, Income!$B:$B, IF($AU78&lt;&gt;"", TEXT($AU78, "MMMM"), ""), Income!$C:$C, YEAR($AU78))</f>
        <v>0</v>
      </c>
      <c r="AY78" s="464">
        <f>SUMIFS(Income!$G:$G,Income!$H:$H, AY$2,Income!$F:$F, $AT$1, Income!$B:$B, IF($AU78&lt;&gt;"", TEXT($AU78, "MMMM"), ""), Income!$C:$C, YEAR($AU78))</f>
        <v>0</v>
      </c>
      <c r="AZ78" s="464">
        <f>SUMIFS(Income!$G:$G,Income!$H:$H, AZ$2,Income!$F:$F, $AT$1, Income!$B:$B, IF($AU78&lt;&gt;"", TEXT($AU78, "MMMM"), ""), Income!$C:$C, YEAR($AU78))</f>
        <v>0</v>
      </c>
      <c r="BA78" s="468">
        <f>SUMIFS(Income!$G:$G,Income!$H:$H, BA$2,Income!$F:$F, $AT$1, Income!$B:$B, IF($AU78&lt;&gt;"", TEXT($AU78, "MMMM"), ""), Income!$C:$C, YEAR($AU78))</f>
        <v>0</v>
      </c>
      <c r="BB78" s="345"/>
      <c r="BC78" s="345"/>
      <c r="BD78" s="345"/>
      <c r="BE78" s="345"/>
    </row>
    <row r="79" ht="13.5" customHeight="1">
      <c r="A79" s="436">
        <f>'Membership Application List'!A308</f>
        <v>45492.61283</v>
      </c>
      <c r="B79" s="437" t="str">
        <f t="shared" si="6"/>
        <v>July</v>
      </c>
      <c r="C79" s="437">
        <f t="shared" si="7"/>
        <v>2024</v>
      </c>
      <c r="D79" s="438" t="str">
        <f>'Membership Application List'!E308</f>
        <v>Camila Gamboa-Mendoza</v>
      </c>
      <c r="E79" s="438">
        <f>IF('Membership Application List'!J308 = "Food/Litter Donation", 0, IF('Membership Application List'!J308 = "$15 Donation, Discord Verification", IF('Membership Application List'!N308 = TRUE, 15, 0)))</f>
        <v>0</v>
      </c>
      <c r="F79" s="438">
        <f>if('Membership Application List'!K308=TRUE, 5,0)</f>
        <v>0</v>
      </c>
      <c r="G79" s="438">
        <f t="shared" si="8"/>
        <v>0</v>
      </c>
      <c r="H79" s="439" t="str">
        <f>'Membership Application List'!L308</f>
        <v>Cashapp</v>
      </c>
      <c r="I79" s="428"/>
      <c r="J79" s="463">
        <v>46143.0</v>
      </c>
      <c r="K79" s="464">
        <f t="shared" ref="K79:O79" si="37">SUMIFS($G:$G, $H:$H, K$2, $B:$B, IF($J79&lt;&gt;"", TEXT($J79, "MMMM"), ""), $C:$C, YEAR($J79))</f>
        <v>0</v>
      </c>
      <c r="L79" s="464">
        <f t="shared" si="37"/>
        <v>0</v>
      </c>
      <c r="M79" s="464">
        <f t="shared" si="37"/>
        <v>0</v>
      </c>
      <c r="N79" s="464">
        <f t="shared" si="37"/>
        <v>0</v>
      </c>
      <c r="O79" s="465">
        <f t="shared" si="37"/>
        <v>0</v>
      </c>
      <c r="P79" s="414"/>
      <c r="Q79" s="414"/>
      <c r="R79" s="414"/>
      <c r="S79" s="445"/>
      <c r="T79" s="445"/>
      <c r="U79" s="445"/>
      <c r="V79" s="428"/>
      <c r="W79" s="463">
        <v>46143.0</v>
      </c>
      <c r="X79" s="464">
        <f>SUMIFS(Income!$G:$G,Income!$H:$H, X$2,Income!$F:$F, $V$1, Income!$B:$B, IF($W79&lt;&gt;"", TEXT($W79, "MMMM"), ""), Income!$C:$C, YEAR($W79))</f>
        <v>0</v>
      </c>
      <c r="Y79" s="464">
        <f>SUMIFS(Income!$G:$G,Income!$H:$H, Y$2,Income!$F:$F, $V$1, Income!$B:$B, IF($W79&lt;&gt;"", TEXT($W79, "MMMM"), ""), Income!$C:$C, YEAR($W79))</f>
        <v>0</v>
      </c>
      <c r="Z79" s="464">
        <f>SUMIFS(Income!$G:$G,Income!$H:$H, Z$2,Income!$F:$F, $V$1, Income!$B:$B, IF($W79&lt;&gt;"", TEXT($W79, "MMMM"), ""), Income!$C:$C, YEAR($W79))</f>
        <v>0</v>
      </c>
      <c r="AA79" s="464">
        <f>SUMIFS(Income!$G:$G,Income!$H:$H, AA$2,Income!$F:$F, $V$1, Income!$B:$B, IF($W79&lt;&gt;"", TEXT($W79, "MMMM"), ""), Income!$C:$C, YEAR($W79))</f>
        <v>0</v>
      </c>
      <c r="AB79" s="464">
        <f>SUMIFS(Income!$G:$G,Income!$H:$H, AB$2,Income!$F:$F, $V$1, Income!$B:$B, IF($W79&lt;&gt;"", TEXT($W79, "MMMM"), ""), Income!$C:$C, YEAR($W79))</f>
        <v>0</v>
      </c>
      <c r="AC79" s="467">
        <f>SUMIFS(Income!$G:$G,Income!$H:$H, AC$2,Income!$F:$F, $V$1, Income!$B:$B, IF($W79&lt;&gt;"", TEXT($W79, "MMMM"), ""), Income!$C:$C, YEAR($W79))</f>
        <v>0</v>
      </c>
      <c r="AD79" s="428"/>
      <c r="AE79" s="463">
        <v>46143.0</v>
      </c>
      <c r="AF79" s="464">
        <f>SUMIFS(Income!$G:$G,Income!$H:$H, AF$2,Income!$F:$F, $AD$1, Income!$B:$B, IF($AE79&lt;&gt;"", TEXT($AE79, "MMMM"), ""), Income!$C:$C, YEAR($AE79))</f>
        <v>0</v>
      </c>
      <c r="AG79" s="464">
        <f>SUMIFS(Income!$G:$G,Income!$H:$H, AG$2,Income!$F:$F, $AD$1, Income!$B:$B, IF($AE79&lt;&gt;"", TEXT($AE79, "MMMM"), ""), Income!$C:$C, YEAR($AE79))</f>
        <v>0</v>
      </c>
      <c r="AH79" s="464">
        <f>SUMIFS(Income!$G:$G,Income!$H:$H, AH$2,Income!$F:$F, $AD$1, Income!$B:$B, IF($AE79&lt;&gt;"", TEXT($AE79, "MMMM"), ""), Income!$C:$C, YEAR($AE79))</f>
        <v>0</v>
      </c>
      <c r="AI79" s="464">
        <f>SUMIFS(Income!$G:$G,Income!$H:$H, AI$2,Income!$F:$F, $AD$1, Income!$B:$B, IF($AE79&lt;&gt;"", TEXT($AE79, "MMMM"), ""), Income!$C:$C, YEAR($AE79))</f>
        <v>0</v>
      </c>
      <c r="AJ79" s="464">
        <f>SUMIFS(Income!$G:$G,Income!$H:$H, AJ$2,Income!$F:$F, $AD$1, Income!$B:$B, IF($AE79&lt;&gt;"", TEXT($AE79, "MMMM"), ""), Income!$C:$C, YEAR($AE79))</f>
        <v>0</v>
      </c>
      <c r="AK79" s="467">
        <f>SUMIFS(Income!$G:$G,Income!$H:$H, AK$2,Income!$F:$F, $AD$1, Income!$B:$B, IF($AE79&lt;&gt;"", TEXT($AE79, "MMMM"), ""), Income!$C:$C, YEAR($AE79))</f>
        <v>0</v>
      </c>
      <c r="AL79" s="428"/>
      <c r="AM79" s="463">
        <v>46143.0</v>
      </c>
      <c r="AN79" s="464">
        <f>SUMIFS(Income!$G:$G,Income!$H:$H, AN$2,Income!$F:$F, $AL$1, Income!$B:$B, IF($AM79&lt;&gt;"", TEXT($AM79, "MMMM"), ""), Income!$C:$C, YEAR($AM79))+SUMIFS($T:$T, $U:$U,AN$2,$Q:$Q,IF($AM79&lt;&gt;"", TEXT($AM79, "MMMM"), ""),$R:$R,YEAR($AM79))</f>
        <v>0</v>
      </c>
      <c r="AO79" s="464">
        <f>SUMIFS(Income!$G:$G,Income!$H:$H, AO$2,Income!$F:$F, $AL$1, Income!$B:$B, IF($AM79&lt;&gt;"", TEXT($AM79, "MMMM"), ""), Income!$C:$C, YEAR($AM79))+SUMIFS($T:$T, $U:$U,AO$2,$Q:$Q,IF($AM79&lt;&gt;"", TEXT($AM79, "MMMM"), ""),$R:$R,YEAR($AM79))</f>
        <v>0</v>
      </c>
      <c r="AP79" s="464">
        <f>SUMIFS(Income!$G:$G,Income!$H:$H, AP$2,Income!$F:$F, $AL$1, Income!$B:$B, IF($AM79&lt;&gt;"", TEXT($AM79, "MMMM"), ""), Income!$C:$C, YEAR($AM79))+SUMIFS($T:$T, $U:$U,AP$2,$Q:$Q,IF($AM79&lt;&gt;"", TEXT($AM79, "MMMM"), ""),$R:$R,YEAR($AM79))</f>
        <v>0</v>
      </c>
      <c r="AQ79" s="464">
        <f>SUMIFS(Income!$G:$G,Income!$H:$H, AQ$2,Income!$F:$F, $AL$1, Income!$B:$B, IF($AM79&lt;&gt;"", TEXT($AM79, "MMMM"), ""), Income!$C:$C, YEAR($AM79))+SUMIFS($T:$T, $U:$U,AQ$2,$Q:$Q,IF($AM79&lt;&gt;"", TEXT($AM79, "MMMM"), ""),$R:$R,YEAR($AM79))</f>
        <v>0</v>
      </c>
      <c r="AR79" s="464">
        <f>SUMIFS(Income!$G:$G,Income!$H:$H, AR$2,Income!$F:$F, $AL$1, Income!$B:$B, IF($AM79&lt;&gt;"", TEXT($AM79, "MMMM"), ""), Income!$C:$C, YEAR($AM79))+SUMIFS($T:$T, $U:$U,AR$2,$Q:$Q,IF($AM79&lt;&gt;"", TEXT($AM79, "MMMM"), ""),$R:$R,YEAR($AM79))</f>
        <v>0</v>
      </c>
      <c r="AS79" s="467">
        <f>SUMIFS(Income!$G:$G,Income!$H:$H, AS$2,Income!$F:$F, $AL$1, Income!$B:$B, IF($AM79&lt;&gt;"", TEXT($AM79, "MMMM"), ""), Income!$C:$C, YEAR($AM79))+SUMIFS($T:$T, $U:$U,AS$2,$Q:$Q,IF($AM79&lt;&gt;"", TEXT($AM79, "MMMM"), ""),$R:$R,YEAR($AM79))</f>
        <v>0</v>
      </c>
      <c r="AT79" s="428"/>
      <c r="AU79" s="463">
        <v>46143.0</v>
      </c>
      <c r="AV79" s="464">
        <f>SUMIFS(Income!$G:$G,Income!$H:$H, AV$2,Income!$F:$F, $AT$1, Income!$B:$B, IF($AU79&lt;&gt;"", TEXT($AU79, "MMMM"), ""), Income!$C:$C, YEAR($AU79))</f>
        <v>0</v>
      </c>
      <c r="AW79" s="464">
        <f>SUMIFS(Income!$G:$G,Income!$H:$H, AW$2,Income!$F:$F, $AT$1, Income!$B:$B, IF($AU79&lt;&gt;"", TEXT($AU79, "MMMM"), ""), Income!$C:$C, YEAR($AU79))</f>
        <v>0</v>
      </c>
      <c r="AX79" s="464">
        <f>SUMIFS(Income!$G:$G,Income!$H:$H, AX$2,Income!$F:$F, $AT$1, Income!$B:$B, IF($AU79&lt;&gt;"", TEXT($AU79, "MMMM"), ""), Income!$C:$C, YEAR($AU79))</f>
        <v>0</v>
      </c>
      <c r="AY79" s="464">
        <f>SUMIFS(Income!$G:$G,Income!$H:$H, AY$2,Income!$F:$F, $AT$1, Income!$B:$B, IF($AU79&lt;&gt;"", TEXT($AU79, "MMMM"), ""), Income!$C:$C, YEAR($AU79))</f>
        <v>0</v>
      </c>
      <c r="AZ79" s="464">
        <f>SUMIFS(Income!$G:$G,Income!$H:$H, AZ$2,Income!$F:$F, $AT$1, Income!$B:$B, IF($AU79&lt;&gt;"", TEXT($AU79, "MMMM"), ""), Income!$C:$C, YEAR($AU79))</f>
        <v>0</v>
      </c>
      <c r="BA79" s="468">
        <f>SUMIFS(Income!$G:$G,Income!$H:$H, BA$2,Income!$F:$F, $AT$1, Income!$B:$B, IF($AU79&lt;&gt;"", TEXT($AU79, "MMMM"), ""), Income!$C:$C, YEAR($AU79))</f>
        <v>0</v>
      </c>
      <c r="BB79" s="345"/>
      <c r="BC79" s="345"/>
      <c r="BD79" s="345"/>
      <c r="BE79" s="345"/>
    </row>
    <row r="80" ht="13.5" customHeight="1">
      <c r="A80" s="424">
        <f>'Membership Application List'!A309</f>
        <v>45492.86844</v>
      </c>
      <c r="B80" s="443" t="str">
        <f t="shared" si="6"/>
        <v>July</v>
      </c>
      <c r="C80" s="443">
        <f t="shared" si="7"/>
        <v>2024</v>
      </c>
      <c r="D80" s="426" t="str">
        <f>'Membership Application List'!E309</f>
        <v>Houston Tu</v>
      </c>
      <c r="E80" s="426">
        <f>IF('Membership Application List'!J309 = "Food/Litter Donation", 0, IF('Membership Application List'!J309 = "$15 Donation, Discord Verification", IF('Membership Application List'!N309 = TRUE, 15, 0)))</f>
        <v>15</v>
      </c>
      <c r="F80" s="426">
        <f>if('Membership Application List'!K309=TRUE, 5,0)</f>
        <v>5</v>
      </c>
      <c r="G80" s="426">
        <f t="shared" si="8"/>
        <v>10</v>
      </c>
      <c r="H80" s="427" t="str">
        <f>'Membership Application List'!L309</f>
        <v>Paypal</v>
      </c>
      <c r="I80" s="447" t="s">
        <v>781</v>
      </c>
      <c r="J80" s="463">
        <v>46174.0</v>
      </c>
      <c r="K80" s="464">
        <f t="shared" ref="K80:O80" si="38">SUMIFS($G:$G, $H:$H, K$2, $B:$B, IF($J80&lt;&gt;"", TEXT($J80, "MMMM"), ""), $C:$C, YEAR($J80))</f>
        <v>0</v>
      </c>
      <c r="L80" s="464">
        <f t="shared" si="38"/>
        <v>0</v>
      </c>
      <c r="M80" s="464">
        <f t="shared" si="38"/>
        <v>0</v>
      </c>
      <c r="N80" s="464">
        <f t="shared" si="38"/>
        <v>0</v>
      </c>
      <c r="O80" s="465">
        <f t="shared" si="38"/>
        <v>0</v>
      </c>
      <c r="P80" s="414"/>
      <c r="Q80" s="414"/>
      <c r="R80" s="414"/>
      <c r="S80" s="445"/>
      <c r="T80" s="445"/>
      <c r="U80" s="445"/>
      <c r="V80" s="447" t="s">
        <v>781</v>
      </c>
      <c r="W80" s="463">
        <v>46174.0</v>
      </c>
      <c r="X80" s="464">
        <f>SUMIFS(Income!$G:$G,Income!$H:$H, X$2,Income!$F:$F, $V$1, Income!$B:$B, IF($W80&lt;&gt;"", TEXT($W80, "MMMM"), ""), Income!$C:$C, YEAR($W80))</f>
        <v>0</v>
      </c>
      <c r="Y80" s="464">
        <f>SUMIFS(Income!$G:$G,Income!$H:$H, Y$2,Income!$F:$F, $V$1, Income!$B:$B, IF($W80&lt;&gt;"", TEXT($W80, "MMMM"), ""), Income!$C:$C, YEAR($W80))</f>
        <v>0</v>
      </c>
      <c r="Z80" s="464">
        <f>SUMIFS(Income!$G:$G,Income!$H:$H, Z$2,Income!$F:$F, $V$1, Income!$B:$B, IF($W80&lt;&gt;"", TEXT($W80, "MMMM"), ""), Income!$C:$C, YEAR($W80))</f>
        <v>0</v>
      </c>
      <c r="AA80" s="464">
        <f>SUMIFS(Income!$G:$G,Income!$H:$H, AA$2,Income!$F:$F, $V$1, Income!$B:$B, IF($W80&lt;&gt;"", TEXT($W80, "MMMM"), ""), Income!$C:$C, YEAR($W80))</f>
        <v>0</v>
      </c>
      <c r="AB80" s="464">
        <f>SUMIFS(Income!$G:$G,Income!$H:$H, AB$2,Income!$F:$F, $V$1, Income!$B:$B, IF($W80&lt;&gt;"", TEXT($W80, "MMMM"), ""), Income!$C:$C, YEAR($W80))</f>
        <v>0</v>
      </c>
      <c r="AC80" s="467">
        <f>SUMIFS(Income!$G:$G,Income!$H:$H, AC$2,Income!$F:$F, $V$1, Income!$B:$B, IF($W80&lt;&gt;"", TEXT($W80, "MMMM"), ""), Income!$C:$C, YEAR($W80))</f>
        <v>0</v>
      </c>
      <c r="AD80" s="447" t="s">
        <v>781</v>
      </c>
      <c r="AE80" s="463">
        <v>46174.0</v>
      </c>
      <c r="AF80" s="464">
        <f>SUMIFS(Income!$G:$G,Income!$H:$H, AF$2,Income!$F:$F, $AD$1, Income!$B:$B, IF($AE80&lt;&gt;"", TEXT($AE80, "MMMM"), ""), Income!$C:$C, YEAR($AE80))</f>
        <v>0</v>
      </c>
      <c r="AG80" s="464">
        <f>SUMIFS(Income!$G:$G,Income!$H:$H, AG$2,Income!$F:$F, $AD$1, Income!$B:$B, IF($AE80&lt;&gt;"", TEXT($AE80, "MMMM"), ""), Income!$C:$C, YEAR($AE80))</f>
        <v>0</v>
      </c>
      <c r="AH80" s="464">
        <f>SUMIFS(Income!$G:$G,Income!$H:$H, AH$2,Income!$F:$F, $AD$1, Income!$B:$B, IF($AE80&lt;&gt;"", TEXT($AE80, "MMMM"), ""), Income!$C:$C, YEAR($AE80))</f>
        <v>0</v>
      </c>
      <c r="AI80" s="464">
        <f>SUMIFS(Income!$G:$G,Income!$H:$H, AI$2,Income!$F:$F, $AD$1, Income!$B:$B, IF($AE80&lt;&gt;"", TEXT($AE80, "MMMM"), ""), Income!$C:$C, YEAR($AE80))</f>
        <v>0</v>
      </c>
      <c r="AJ80" s="464">
        <f>SUMIFS(Income!$G:$G,Income!$H:$H, AJ$2,Income!$F:$F, $AD$1, Income!$B:$B, IF($AE80&lt;&gt;"", TEXT($AE80, "MMMM"), ""), Income!$C:$C, YEAR($AE80))</f>
        <v>0</v>
      </c>
      <c r="AK80" s="467">
        <f>SUMIFS(Income!$G:$G,Income!$H:$H, AK$2,Income!$F:$F, $AD$1, Income!$B:$B, IF($AE80&lt;&gt;"", TEXT($AE80, "MMMM"), ""), Income!$C:$C, YEAR($AE80))</f>
        <v>0</v>
      </c>
      <c r="AL80" s="447" t="s">
        <v>781</v>
      </c>
      <c r="AM80" s="463">
        <v>46174.0</v>
      </c>
      <c r="AN80" s="464">
        <f>SUMIFS(Income!$G:$G,Income!$H:$H, AN$2,Income!$F:$F, $AL$1, Income!$B:$B, IF($AM80&lt;&gt;"", TEXT($AM80, "MMMM"), ""), Income!$C:$C, YEAR($AM80))+SUMIFS($T:$T, $U:$U,AN$2,$Q:$Q,IF($AM80&lt;&gt;"", TEXT($AM80, "MMMM"), ""),$R:$R,YEAR($AM80))</f>
        <v>0</v>
      </c>
      <c r="AO80" s="464">
        <f>SUMIFS(Income!$G:$G,Income!$H:$H, AO$2,Income!$F:$F, $AL$1, Income!$B:$B, IF($AM80&lt;&gt;"", TEXT($AM80, "MMMM"), ""), Income!$C:$C, YEAR($AM80))+SUMIFS($T:$T, $U:$U,AO$2,$Q:$Q,IF($AM80&lt;&gt;"", TEXT($AM80, "MMMM"), ""),$R:$R,YEAR($AM80))</f>
        <v>0</v>
      </c>
      <c r="AP80" s="464">
        <f>SUMIFS(Income!$G:$G,Income!$H:$H, AP$2,Income!$F:$F, $AL$1, Income!$B:$B, IF($AM80&lt;&gt;"", TEXT($AM80, "MMMM"), ""), Income!$C:$C, YEAR($AM80))+SUMIFS($T:$T, $U:$U,AP$2,$Q:$Q,IF($AM80&lt;&gt;"", TEXT($AM80, "MMMM"), ""),$R:$R,YEAR($AM80))</f>
        <v>0</v>
      </c>
      <c r="AQ80" s="464">
        <f>SUMIFS(Income!$G:$G,Income!$H:$H, AQ$2,Income!$F:$F, $AL$1, Income!$B:$B, IF($AM80&lt;&gt;"", TEXT($AM80, "MMMM"), ""), Income!$C:$C, YEAR($AM80))+SUMIFS($T:$T, $U:$U,AQ$2,$Q:$Q,IF($AM80&lt;&gt;"", TEXT($AM80, "MMMM"), ""),$R:$R,YEAR($AM80))</f>
        <v>0</v>
      </c>
      <c r="AR80" s="464">
        <f>SUMIFS(Income!$G:$G,Income!$H:$H, AR$2,Income!$F:$F, $AL$1, Income!$B:$B, IF($AM80&lt;&gt;"", TEXT($AM80, "MMMM"), ""), Income!$C:$C, YEAR($AM80))+SUMIFS($T:$T, $U:$U,AR$2,$Q:$Q,IF($AM80&lt;&gt;"", TEXT($AM80, "MMMM"), ""),$R:$R,YEAR($AM80))</f>
        <v>0</v>
      </c>
      <c r="AS80" s="467">
        <f>SUMIFS(Income!$G:$G,Income!$H:$H, AS$2,Income!$F:$F, $AL$1, Income!$B:$B, IF($AM80&lt;&gt;"", TEXT($AM80, "MMMM"), ""), Income!$C:$C, YEAR($AM80))+SUMIFS($T:$T, $U:$U,AS$2,$Q:$Q,IF($AM80&lt;&gt;"", TEXT($AM80, "MMMM"), ""),$R:$R,YEAR($AM80))</f>
        <v>0</v>
      </c>
      <c r="AT80" s="447" t="s">
        <v>781</v>
      </c>
      <c r="AU80" s="463">
        <v>46174.0</v>
      </c>
      <c r="AV80" s="464">
        <f>SUMIFS(Income!$G:$G,Income!$H:$H, AV$2,Income!$F:$F, $AT$1, Income!$B:$B, IF($AU80&lt;&gt;"", TEXT($AU80, "MMMM"), ""), Income!$C:$C, YEAR($AU80))</f>
        <v>0</v>
      </c>
      <c r="AW80" s="464">
        <f>SUMIFS(Income!$G:$G,Income!$H:$H, AW$2,Income!$F:$F, $AT$1, Income!$B:$B, IF($AU80&lt;&gt;"", TEXT($AU80, "MMMM"), ""), Income!$C:$C, YEAR($AU80))</f>
        <v>0</v>
      </c>
      <c r="AX80" s="464">
        <f>SUMIFS(Income!$G:$G,Income!$H:$H, AX$2,Income!$F:$F, $AT$1, Income!$B:$B, IF($AU80&lt;&gt;"", TEXT($AU80, "MMMM"), ""), Income!$C:$C, YEAR($AU80))</f>
        <v>0</v>
      </c>
      <c r="AY80" s="464">
        <f>SUMIFS(Income!$G:$G,Income!$H:$H, AY$2,Income!$F:$F, $AT$1, Income!$B:$B, IF($AU80&lt;&gt;"", TEXT($AU80, "MMMM"), ""), Income!$C:$C, YEAR($AU80))</f>
        <v>0</v>
      </c>
      <c r="AZ80" s="464">
        <f>SUMIFS(Income!$G:$G,Income!$H:$H, AZ$2,Income!$F:$F, $AT$1, Income!$B:$B, IF($AU80&lt;&gt;"", TEXT($AU80, "MMMM"), ""), Income!$C:$C, YEAR($AU80))</f>
        <v>0</v>
      </c>
      <c r="BA80" s="468">
        <f>SUMIFS(Income!$G:$G,Income!$H:$H, BA$2,Income!$F:$F, $AT$1, Income!$B:$B, IF($AU80&lt;&gt;"", TEXT($AU80, "MMMM"), ""), Income!$C:$C, YEAR($AU80))</f>
        <v>0</v>
      </c>
      <c r="BB80" s="345"/>
      <c r="BC80" s="345"/>
      <c r="BD80" s="345"/>
      <c r="BE80" s="345"/>
    </row>
    <row r="81" ht="13.5" customHeight="1">
      <c r="A81" s="436">
        <f>'Membership Application List'!A310</f>
        <v>45496.49091</v>
      </c>
      <c r="B81" s="437" t="str">
        <f t="shared" si="6"/>
        <v>July</v>
      </c>
      <c r="C81" s="437">
        <f t="shared" si="7"/>
        <v>2024</v>
      </c>
      <c r="D81" s="438" t="str">
        <f>'Membership Application List'!E310</f>
        <v>Sarah Wolf</v>
      </c>
      <c r="E81" s="438">
        <f>IF('Membership Application List'!J310 = "Food/Litter Donation", 0, IF('Membership Application List'!J310 = "$15 Donation, Discord Verification", IF('Membership Application List'!N310 = TRUE, 15, 0)))</f>
        <v>0</v>
      </c>
      <c r="F81" s="438">
        <f>if('Membership Application List'!K310=TRUE, 5,0)</f>
        <v>0</v>
      </c>
      <c r="G81" s="438">
        <f t="shared" si="8"/>
        <v>0</v>
      </c>
      <c r="H81" s="439" t="str">
        <f>'Membership Application List'!L310</f>
        <v/>
      </c>
      <c r="I81" s="428"/>
      <c r="J81" s="463">
        <v>46204.0</v>
      </c>
      <c r="K81" s="464">
        <f t="shared" ref="K81:O81" si="39">SUMIFS($G:$G, $H:$H, K$2, $B:$B, IF($J81&lt;&gt;"", TEXT($J81, "MMMM"), ""), $C:$C, YEAR($J81))</f>
        <v>0</v>
      </c>
      <c r="L81" s="464">
        <f t="shared" si="39"/>
        <v>0</v>
      </c>
      <c r="M81" s="464">
        <f t="shared" si="39"/>
        <v>0</v>
      </c>
      <c r="N81" s="464">
        <f t="shared" si="39"/>
        <v>0</v>
      </c>
      <c r="O81" s="465">
        <f t="shared" si="39"/>
        <v>0</v>
      </c>
      <c r="P81" s="414"/>
      <c r="Q81" s="414"/>
      <c r="R81" s="414"/>
      <c r="S81" s="445"/>
      <c r="T81" s="445"/>
      <c r="U81" s="445"/>
      <c r="V81" s="428"/>
      <c r="W81" s="463">
        <v>46204.0</v>
      </c>
      <c r="X81" s="464">
        <f>SUMIFS(Income!$G:$G,Income!$H:$H, X$2,Income!$F:$F, $V$1, Income!$B:$B, IF($W81&lt;&gt;"", TEXT($W81, "MMMM"), ""), Income!$C:$C, YEAR($W81))</f>
        <v>0</v>
      </c>
      <c r="Y81" s="464">
        <f>SUMIFS(Income!$G:$G,Income!$H:$H, Y$2,Income!$F:$F, $V$1, Income!$B:$B, IF($W81&lt;&gt;"", TEXT($W81, "MMMM"), ""), Income!$C:$C, YEAR($W81))</f>
        <v>0</v>
      </c>
      <c r="Z81" s="464">
        <f>SUMIFS(Income!$G:$G,Income!$H:$H, Z$2,Income!$F:$F, $V$1, Income!$B:$B, IF($W81&lt;&gt;"", TEXT($W81, "MMMM"), ""), Income!$C:$C, YEAR($W81))</f>
        <v>0</v>
      </c>
      <c r="AA81" s="464">
        <f>SUMIFS(Income!$G:$G,Income!$H:$H, AA$2,Income!$F:$F, $V$1, Income!$B:$B, IF($W81&lt;&gt;"", TEXT($W81, "MMMM"), ""), Income!$C:$C, YEAR($W81))</f>
        <v>0</v>
      </c>
      <c r="AB81" s="464">
        <f>SUMIFS(Income!$G:$G,Income!$H:$H, AB$2,Income!$F:$F, $V$1, Income!$B:$B, IF($W81&lt;&gt;"", TEXT($W81, "MMMM"), ""), Income!$C:$C, YEAR($W81))</f>
        <v>0</v>
      </c>
      <c r="AC81" s="467">
        <f>SUMIFS(Income!$G:$G,Income!$H:$H, AC$2,Income!$F:$F, $V$1, Income!$B:$B, IF($W81&lt;&gt;"", TEXT($W81, "MMMM"), ""), Income!$C:$C, YEAR($W81))</f>
        <v>0</v>
      </c>
      <c r="AD81" s="428"/>
      <c r="AE81" s="463">
        <v>46204.0</v>
      </c>
      <c r="AF81" s="464">
        <f>SUMIFS(Income!$G:$G,Income!$H:$H, AF$2,Income!$F:$F, $AD$1, Income!$B:$B, IF($AE81&lt;&gt;"", TEXT($AE81, "MMMM"), ""), Income!$C:$C, YEAR($AE81))</f>
        <v>0</v>
      </c>
      <c r="AG81" s="464">
        <f>SUMIFS(Income!$G:$G,Income!$H:$H, AG$2,Income!$F:$F, $AD$1, Income!$B:$B, IF($AE81&lt;&gt;"", TEXT($AE81, "MMMM"), ""), Income!$C:$C, YEAR($AE81))</f>
        <v>0</v>
      </c>
      <c r="AH81" s="464">
        <f>SUMIFS(Income!$G:$G,Income!$H:$H, AH$2,Income!$F:$F, $AD$1, Income!$B:$B, IF($AE81&lt;&gt;"", TEXT($AE81, "MMMM"), ""), Income!$C:$C, YEAR($AE81))</f>
        <v>0</v>
      </c>
      <c r="AI81" s="464">
        <f>SUMIFS(Income!$G:$G,Income!$H:$H, AI$2,Income!$F:$F, $AD$1, Income!$B:$B, IF($AE81&lt;&gt;"", TEXT($AE81, "MMMM"), ""), Income!$C:$C, YEAR($AE81))</f>
        <v>0</v>
      </c>
      <c r="AJ81" s="464">
        <f>SUMIFS(Income!$G:$G,Income!$H:$H, AJ$2,Income!$F:$F, $AD$1, Income!$B:$B, IF($AE81&lt;&gt;"", TEXT($AE81, "MMMM"), ""), Income!$C:$C, YEAR($AE81))</f>
        <v>0</v>
      </c>
      <c r="AK81" s="467">
        <f>SUMIFS(Income!$G:$G,Income!$H:$H, AK$2,Income!$F:$F, $AD$1, Income!$B:$B, IF($AE81&lt;&gt;"", TEXT($AE81, "MMMM"), ""), Income!$C:$C, YEAR($AE81))</f>
        <v>0</v>
      </c>
      <c r="AL81" s="428"/>
      <c r="AM81" s="463">
        <v>46204.0</v>
      </c>
      <c r="AN81" s="464">
        <f>SUMIFS(Income!$G:$G,Income!$H:$H, AN$2,Income!$F:$F, $AL$1, Income!$B:$B, IF($AM81&lt;&gt;"", TEXT($AM81, "MMMM"), ""), Income!$C:$C, YEAR($AM81))+SUMIFS($T:$T, $U:$U,AN$2,$Q:$Q,IF($AM81&lt;&gt;"", TEXT($AM81, "MMMM"), ""),$R:$R,YEAR($AM81))</f>
        <v>0</v>
      </c>
      <c r="AO81" s="464">
        <f>SUMIFS(Income!$G:$G,Income!$H:$H, AO$2,Income!$F:$F, $AL$1, Income!$B:$B, IF($AM81&lt;&gt;"", TEXT($AM81, "MMMM"), ""), Income!$C:$C, YEAR($AM81))+SUMIFS($T:$T, $U:$U,AO$2,$Q:$Q,IF($AM81&lt;&gt;"", TEXT($AM81, "MMMM"), ""),$R:$R,YEAR($AM81))</f>
        <v>0</v>
      </c>
      <c r="AP81" s="464">
        <f>SUMIFS(Income!$G:$G,Income!$H:$H, AP$2,Income!$F:$F, $AL$1, Income!$B:$B, IF($AM81&lt;&gt;"", TEXT($AM81, "MMMM"), ""), Income!$C:$C, YEAR($AM81))+SUMIFS($T:$T, $U:$U,AP$2,$Q:$Q,IF($AM81&lt;&gt;"", TEXT($AM81, "MMMM"), ""),$R:$R,YEAR($AM81))</f>
        <v>0</v>
      </c>
      <c r="AQ81" s="464">
        <f>SUMIFS(Income!$G:$G,Income!$H:$H, AQ$2,Income!$F:$F, $AL$1, Income!$B:$B, IF($AM81&lt;&gt;"", TEXT($AM81, "MMMM"), ""), Income!$C:$C, YEAR($AM81))+SUMIFS($T:$T, $U:$U,AQ$2,$Q:$Q,IF($AM81&lt;&gt;"", TEXT($AM81, "MMMM"), ""),$R:$R,YEAR($AM81))</f>
        <v>0</v>
      </c>
      <c r="AR81" s="464">
        <f>SUMIFS(Income!$G:$G,Income!$H:$H, AR$2,Income!$F:$F, $AL$1, Income!$B:$B, IF($AM81&lt;&gt;"", TEXT($AM81, "MMMM"), ""), Income!$C:$C, YEAR($AM81))+SUMIFS($T:$T, $U:$U,AR$2,$Q:$Q,IF($AM81&lt;&gt;"", TEXT($AM81, "MMMM"), ""),$R:$R,YEAR($AM81))</f>
        <v>0</v>
      </c>
      <c r="AS81" s="467">
        <f>SUMIFS(Income!$G:$G,Income!$H:$H, AS$2,Income!$F:$F, $AL$1, Income!$B:$B, IF($AM81&lt;&gt;"", TEXT($AM81, "MMMM"), ""), Income!$C:$C, YEAR($AM81))+SUMIFS($T:$T, $U:$U,AS$2,$Q:$Q,IF($AM81&lt;&gt;"", TEXT($AM81, "MMMM"), ""),$R:$R,YEAR($AM81))</f>
        <v>0</v>
      </c>
      <c r="AT81" s="428"/>
      <c r="AU81" s="463">
        <v>46204.0</v>
      </c>
      <c r="AV81" s="464">
        <f>SUMIFS(Income!$G:$G,Income!$H:$H, AV$2,Income!$F:$F, $AT$1, Income!$B:$B, IF($AU81&lt;&gt;"", TEXT($AU81, "MMMM"), ""), Income!$C:$C, YEAR($AU81))</f>
        <v>0</v>
      </c>
      <c r="AW81" s="464">
        <f>SUMIFS(Income!$G:$G,Income!$H:$H, AW$2,Income!$F:$F, $AT$1, Income!$B:$B, IF($AU81&lt;&gt;"", TEXT($AU81, "MMMM"), ""), Income!$C:$C, YEAR($AU81))</f>
        <v>0</v>
      </c>
      <c r="AX81" s="464">
        <f>SUMIFS(Income!$G:$G,Income!$H:$H, AX$2,Income!$F:$F, $AT$1, Income!$B:$B, IF($AU81&lt;&gt;"", TEXT($AU81, "MMMM"), ""), Income!$C:$C, YEAR($AU81))</f>
        <v>0</v>
      </c>
      <c r="AY81" s="464">
        <f>SUMIFS(Income!$G:$G,Income!$H:$H, AY$2,Income!$F:$F, $AT$1, Income!$B:$B, IF($AU81&lt;&gt;"", TEXT($AU81, "MMMM"), ""), Income!$C:$C, YEAR($AU81))</f>
        <v>0</v>
      </c>
      <c r="AZ81" s="464">
        <f>SUMIFS(Income!$G:$G,Income!$H:$H, AZ$2,Income!$F:$F, $AT$1, Income!$B:$B, IF($AU81&lt;&gt;"", TEXT($AU81, "MMMM"), ""), Income!$C:$C, YEAR($AU81))</f>
        <v>0</v>
      </c>
      <c r="BA81" s="468">
        <f>SUMIFS(Income!$G:$G,Income!$H:$H, BA$2,Income!$F:$F, $AT$1, Income!$B:$B, IF($AU81&lt;&gt;"", TEXT($AU81, "MMMM"), ""), Income!$C:$C, YEAR($AU81))</f>
        <v>0</v>
      </c>
      <c r="BB81" s="345"/>
      <c r="BC81" s="345"/>
      <c r="BD81" s="345"/>
      <c r="BE81" s="345"/>
    </row>
    <row r="82" ht="13.5" customHeight="1">
      <c r="A82" s="424">
        <f>'Membership Application List'!A311</f>
        <v>45496.86411</v>
      </c>
      <c r="B82" s="443" t="str">
        <f t="shared" si="6"/>
        <v>July</v>
      </c>
      <c r="C82" s="443">
        <f t="shared" si="7"/>
        <v>2024</v>
      </c>
      <c r="D82" s="426" t="str">
        <f>'Membership Application List'!E311</f>
        <v>Mariah Deleon</v>
      </c>
      <c r="E82" s="426">
        <f>IF('Membership Application List'!J311 = "Food/Litter Donation", 0, IF('Membership Application List'!J311 = "$15 Donation, Discord Verification", IF('Membership Application List'!N311 = TRUE, 15, 0)))</f>
        <v>0</v>
      </c>
      <c r="F82" s="426">
        <f>if('Membership Application List'!K311=TRUE, 5,0)</f>
        <v>0</v>
      </c>
      <c r="G82" s="426">
        <f t="shared" si="8"/>
        <v>0</v>
      </c>
      <c r="H82" s="427" t="str">
        <f>'Membership Application List'!L311</f>
        <v>Cashapp</v>
      </c>
      <c r="I82" s="428"/>
      <c r="J82" s="463">
        <v>46235.0</v>
      </c>
      <c r="K82" s="464">
        <f t="shared" ref="K82:O82" si="40">SUMIFS($G:$G, $H:$H, K$2, $B:$B, IF($J82&lt;&gt;"", TEXT($J82, "MMMM"), ""), $C:$C, YEAR($J82))</f>
        <v>0</v>
      </c>
      <c r="L82" s="464">
        <f t="shared" si="40"/>
        <v>0</v>
      </c>
      <c r="M82" s="464">
        <f t="shared" si="40"/>
        <v>0</v>
      </c>
      <c r="N82" s="464">
        <f t="shared" si="40"/>
        <v>0</v>
      </c>
      <c r="O82" s="465">
        <f t="shared" si="40"/>
        <v>0</v>
      </c>
      <c r="P82" s="414"/>
      <c r="Q82" s="414"/>
      <c r="R82" s="414"/>
      <c r="S82" s="445"/>
      <c r="T82" s="445"/>
      <c r="U82" s="445"/>
      <c r="V82" s="428"/>
      <c r="W82" s="463">
        <v>46235.0</v>
      </c>
      <c r="X82" s="464">
        <f>SUMIFS(Income!$G:$G,Income!$H:$H, X$2,Income!$F:$F, $V$1, Income!$B:$B, IF($W82&lt;&gt;"", TEXT($W82, "MMMM"), ""), Income!$C:$C, YEAR($W82))</f>
        <v>0</v>
      </c>
      <c r="Y82" s="464">
        <f>SUMIFS(Income!$G:$G,Income!$H:$H, Y$2,Income!$F:$F, $V$1, Income!$B:$B, IF($W82&lt;&gt;"", TEXT($W82, "MMMM"), ""), Income!$C:$C, YEAR($W82))</f>
        <v>0</v>
      </c>
      <c r="Z82" s="464">
        <f>SUMIFS(Income!$G:$G,Income!$H:$H, Z$2,Income!$F:$F, $V$1, Income!$B:$B, IF($W82&lt;&gt;"", TEXT($W82, "MMMM"), ""), Income!$C:$C, YEAR($W82))</f>
        <v>0</v>
      </c>
      <c r="AA82" s="464">
        <f>SUMIFS(Income!$G:$G,Income!$H:$H, AA$2,Income!$F:$F, $V$1, Income!$B:$B, IF($W82&lt;&gt;"", TEXT($W82, "MMMM"), ""), Income!$C:$C, YEAR($W82))</f>
        <v>0</v>
      </c>
      <c r="AB82" s="464">
        <f>SUMIFS(Income!$G:$G,Income!$H:$H, AB$2,Income!$F:$F, $V$1, Income!$B:$B, IF($W82&lt;&gt;"", TEXT($W82, "MMMM"), ""), Income!$C:$C, YEAR($W82))</f>
        <v>0</v>
      </c>
      <c r="AC82" s="467">
        <f>SUMIFS(Income!$G:$G,Income!$H:$H, AC$2,Income!$F:$F, $V$1, Income!$B:$B, IF($W82&lt;&gt;"", TEXT($W82, "MMMM"), ""), Income!$C:$C, YEAR($W82))</f>
        <v>0</v>
      </c>
      <c r="AD82" s="428"/>
      <c r="AE82" s="463">
        <v>46235.0</v>
      </c>
      <c r="AF82" s="464">
        <f>SUMIFS(Income!$G:$G,Income!$H:$H, AF$2,Income!$F:$F, $AD$1, Income!$B:$B, IF($AE82&lt;&gt;"", TEXT($AE82, "MMMM"), ""), Income!$C:$C, YEAR($AE82))</f>
        <v>0</v>
      </c>
      <c r="AG82" s="464">
        <f>SUMIFS(Income!$G:$G,Income!$H:$H, AG$2,Income!$F:$F, $AD$1, Income!$B:$B, IF($AE82&lt;&gt;"", TEXT($AE82, "MMMM"), ""), Income!$C:$C, YEAR($AE82))</f>
        <v>0</v>
      </c>
      <c r="AH82" s="464">
        <f>SUMIFS(Income!$G:$G,Income!$H:$H, AH$2,Income!$F:$F, $AD$1, Income!$B:$B, IF($AE82&lt;&gt;"", TEXT($AE82, "MMMM"), ""), Income!$C:$C, YEAR($AE82))</f>
        <v>0</v>
      </c>
      <c r="AI82" s="464">
        <f>SUMIFS(Income!$G:$G,Income!$H:$H, AI$2,Income!$F:$F, $AD$1, Income!$B:$B, IF($AE82&lt;&gt;"", TEXT($AE82, "MMMM"), ""), Income!$C:$C, YEAR($AE82))</f>
        <v>0</v>
      </c>
      <c r="AJ82" s="464">
        <f>SUMIFS(Income!$G:$G,Income!$H:$H, AJ$2,Income!$F:$F, $AD$1, Income!$B:$B, IF($AE82&lt;&gt;"", TEXT($AE82, "MMMM"), ""), Income!$C:$C, YEAR($AE82))</f>
        <v>0</v>
      </c>
      <c r="AK82" s="467">
        <f>SUMIFS(Income!$G:$G,Income!$H:$H, AK$2,Income!$F:$F, $AD$1, Income!$B:$B, IF($AE82&lt;&gt;"", TEXT($AE82, "MMMM"), ""), Income!$C:$C, YEAR($AE82))</f>
        <v>0</v>
      </c>
      <c r="AL82" s="428"/>
      <c r="AM82" s="463">
        <v>46235.0</v>
      </c>
      <c r="AN82" s="464">
        <f>SUMIFS(Income!$G:$G,Income!$H:$H, AN$2,Income!$F:$F, $AL$1, Income!$B:$B, IF($AM82&lt;&gt;"", TEXT($AM82, "MMMM"), ""), Income!$C:$C, YEAR($AM82))+SUMIFS($T:$T, $U:$U,AN$2,$Q:$Q,IF($AM82&lt;&gt;"", TEXT($AM82, "MMMM"), ""),$R:$R,YEAR($AM82))</f>
        <v>0</v>
      </c>
      <c r="AO82" s="464">
        <f>SUMIFS(Income!$G:$G,Income!$H:$H, AO$2,Income!$F:$F, $AL$1, Income!$B:$B, IF($AM82&lt;&gt;"", TEXT($AM82, "MMMM"), ""), Income!$C:$C, YEAR($AM82))+SUMIFS($T:$T, $U:$U,AO$2,$Q:$Q,IF($AM82&lt;&gt;"", TEXT($AM82, "MMMM"), ""),$R:$R,YEAR($AM82))</f>
        <v>0</v>
      </c>
      <c r="AP82" s="464">
        <f>SUMIFS(Income!$G:$G,Income!$H:$H, AP$2,Income!$F:$F, $AL$1, Income!$B:$B, IF($AM82&lt;&gt;"", TEXT($AM82, "MMMM"), ""), Income!$C:$C, YEAR($AM82))+SUMIFS($T:$T, $U:$U,AP$2,$Q:$Q,IF($AM82&lt;&gt;"", TEXT($AM82, "MMMM"), ""),$R:$R,YEAR($AM82))</f>
        <v>0</v>
      </c>
      <c r="AQ82" s="464">
        <f>SUMIFS(Income!$G:$G,Income!$H:$H, AQ$2,Income!$F:$F, $AL$1, Income!$B:$B, IF($AM82&lt;&gt;"", TEXT($AM82, "MMMM"), ""), Income!$C:$C, YEAR($AM82))+SUMIFS($T:$T, $U:$U,AQ$2,$Q:$Q,IF($AM82&lt;&gt;"", TEXT($AM82, "MMMM"), ""),$R:$R,YEAR($AM82))</f>
        <v>0</v>
      </c>
      <c r="AR82" s="464">
        <f>SUMIFS(Income!$G:$G,Income!$H:$H, AR$2,Income!$F:$F, $AL$1, Income!$B:$B, IF($AM82&lt;&gt;"", TEXT($AM82, "MMMM"), ""), Income!$C:$C, YEAR($AM82))+SUMIFS($T:$T, $U:$U,AR$2,$Q:$Q,IF($AM82&lt;&gt;"", TEXT($AM82, "MMMM"), ""),$R:$R,YEAR($AM82))</f>
        <v>0</v>
      </c>
      <c r="AS82" s="467">
        <f>SUMIFS(Income!$G:$G,Income!$H:$H, AS$2,Income!$F:$F, $AL$1, Income!$B:$B, IF($AM82&lt;&gt;"", TEXT($AM82, "MMMM"), ""), Income!$C:$C, YEAR($AM82))+SUMIFS($T:$T, $U:$U,AS$2,$Q:$Q,IF($AM82&lt;&gt;"", TEXT($AM82, "MMMM"), ""),$R:$R,YEAR($AM82))</f>
        <v>0</v>
      </c>
      <c r="AT82" s="428"/>
      <c r="AU82" s="463">
        <v>46235.0</v>
      </c>
      <c r="AV82" s="464">
        <f>SUMIFS(Income!$G:$G,Income!$H:$H, AV$2,Income!$F:$F, $AT$1, Income!$B:$B, IF($AU82&lt;&gt;"", TEXT($AU82, "MMMM"), ""), Income!$C:$C, YEAR($AU82))</f>
        <v>0</v>
      </c>
      <c r="AW82" s="464">
        <f>SUMIFS(Income!$G:$G,Income!$H:$H, AW$2,Income!$F:$F, $AT$1, Income!$B:$B, IF($AU82&lt;&gt;"", TEXT($AU82, "MMMM"), ""), Income!$C:$C, YEAR($AU82))</f>
        <v>0</v>
      </c>
      <c r="AX82" s="464">
        <f>SUMIFS(Income!$G:$G,Income!$H:$H, AX$2,Income!$F:$F, $AT$1, Income!$B:$B, IF($AU82&lt;&gt;"", TEXT($AU82, "MMMM"), ""), Income!$C:$C, YEAR($AU82))</f>
        <v>0</v>
      </c>
      <c r="AY82" s="464">
        <f>SUMIFS(Income!$G:$G,Income!$H:$H, AY$2,Income!$F:$F, $AT$1, Income!$B:$B, IF($AU82&lt;&gt;"", TEXT($AU82, "MMMM"), ""), Income!$C:$C, YEAR($AU82))</f>
        <v>0</v>
      </c>
      <c r="AZ82" s="464">
        <f>SUMIFS(Income!$G:$G,Income!$H:$H, AZ$2,Income!$F:$F, $AT$1, Income!$B:$B, IF($AU82&lt;&gt;"", TEXT($AU82, "MMMM"), ""), Income!$C:$C, YEAR($AU82))</f>
        <v>0</v>
      </c>
      <c r="BA82" s="468">
        <f>SUMIFS(Income!$G:$G,Income!$H:$H, BA$2,Income!$F:$F, $AT$1, Income!$B:$B, IF($AU82&lt;&gt;"", TEXT($AU82, "MMMM"), ""), Income!$C:$C, YEAR($AU82))</f>
        <v>0</v>
      </c>
      <c r="BB82" s="345"/>
      <c r="BC82" s="345"/>
      <c r="BD82" s="345"/>
      <c r="BE82" s="345"/>
    </row>
    <row r="83" ht="13.5" customHeight="1">
      <c r="A83" s="436">
        <f>'Membership Application List'!A312</f>
        <v>45504.74584</v>
      </c>
      <c r="B83" s="437" t="str">
        <f t="shared" si="6"/>
        <v>July</v>
      </c>
      <c r="C83" s="437">
        <f t="shared" si="7"/>
        <v>2024</v>
      </c>
      <c r="D83" s="438" t="str">
        <f>'Membership Application List'!E312</f>
        <v>Cassandra Nelson</v>
      </c>
      <c r="E83" s="438">
        <f>IF('Membership Application List'!J312 = "Food/Litter Donation", 0, IF('Membership Application List'!J312 = "$15 Donation, Discord Verification", IF('Membership Application List'!N312 = TRUE, 15, 0)))</f>
        <v>15</v>
      </c>
      <c r="F83" s="438">
        <f>if('Membership Application List'!K312=TRUE, 5,0)</f>
        <v>0</v>
      </c>
      <c r="G83" s="438">
        <f t="shared" si="8"/>
        <v>15</v>
      </c>
      <c r="H83" s="439" t="str">
        <f>'Membership Application List'!L312</f>
        <v>Cashapp</v>
      </c>
      <c r="I83" s="428"/>
      <c r="J83" s="463">
        <v>46266.0</v>
      </c>
      <c r="K83" s="464">
        <f t="shared" ref="K83:O83" si="41">SUMIFS($G:$G, $H:$H, K$2, $B:$B, IF($J83&lt;&gt;"", TEXT($J83, "MMMM"), ""), $C:$C, YEAR($J83))</f>
        <v>0</v>
      </c>
      <c r="L83" s="464">
        <f t="shared" si="41"/>
        <v>0</v>
      </c>
      <c r="M83" s="464">
        <f t="shared" si="41"/>
        <v>0</v>
      </c>
      <c r="N83" s="464">
        <f t="shared" si="41"/>
        <v>0</v>
      </c>
      <c r="O83" s="465">
        <f t="shared" si="41"/>
        <v>0</v>
      </c>
      <c r="P83" s="414"/>
      <c r="Q83" s="414"/>
      <c r="R83" s="414"/>
      <c r="S83" s="445"/>
      <c r="T83" s="445"/>
      <c r="U83" s="445"/>
      <c r="V83" s="428"/>
      <c r="W83" s="463">
        <v>46266.0</v>
      </c>
      <c r="X83" s="464">
        <f>SUMIFS(Income!$G:$G,Income!$H:$H, X$2,Income!$F:$F, $V$1, Income!$B:$B, IF($W83&lt;&gt;"", TEXT($W83, "MMMM"), ""), Income!$C:$C, YEAR($W83))</f>
        <v>0</v>
      </c>
      <c r="Y83" s="464">
        <f>SUMIFS(Income!$G:$G,Income!$H:$H, Y$2,Income!$F:$F, $V$1, Income!$B:$B, IF($W83&lt;&gt;"", TEXT($W83, "MMMM"), ""), Income!$C:$C, YEAR($W83))</f>
        <v>0</v>
      </c>
      <c r="Z83" s="464">
        <f>SUMIFS(Income!$G:$G,Income!$H:$H, Z$2,Income!$F:$F, $V$1, Income!$B:$B, IF($W83&lt;&gt;"", TEXT($W83, "MMMM"), ""), Income!$C:$C, YEAR($W83))</f>
        <v>0</v>
      </c>
      <c r="AA83" s="464">
        <f>SUMIFS(Income!$G:$G,Income!$H:$H, AA$2,Income!$F:$F, $V$1, Income!$B:$B, IF($W83&lt;&gt;"", TEXT($W83, "MMMM"), ""), Income!$C:$C, YEAR($W83))</f>
        <v>0</v>
      </c>
      <c r="AB83" s="464">
        <f>SUMIFS(Income!$G:$G,Income!$H:$H, AB$2,Income!$F:$F, $V$1, Income!$B:$B, IF($W83&lt;&gt;"", TEXT($W83, "MMMM"), ""), Income!$C:$C, YEAR($W83))</f>
        <v>0</v>
      </c>
      <c r="AC83" s="467">
        <f>SUMIFS(Income!$G:$G,Income!$H:$H, AC$2,Income!$F:$F, $V$1, Income!$B:$B, IF($W83&lt;&gt;"", TEXT($W83, "MMMM"), ""), Income!$C:$C, YEAR($W83))</f>
        <v>0</v>
      </c>
      <c r="AD83" s="428"/>
      <c r="AE83" s="463">
        <v>46266.0</v>
      </c>
      <c r="AF83" s="464">
        <f>SUMIFS(Income!$G:$G,Income!$H:$H, AF$2,Income!$F:$F, $AD$1, Income!$B:$B, IF($AE83&lt;&gt;"", TEXT($AE83, "MMMM"), ""), Income!$C:$C, YEAR($AE83))</f>
        <v>0</v>
      </c>
      <c r="AG83" s="464">
        <f>SUMIFS(Income!$G:$G,Income!$H:$H, AG$2,Income!$F:$F, $AD$1, Income!$B:$B, IF($AE83&lt;&gt;"", TEXT($AE83, "MMMM"), ""), Income!$C:$C, YEAR($AE83))</f>
        <v>0</v>
      </c>
      <c r="AH83" s="464">
        <f>SUMIFS(Income!$G:$G,Income!$H:$H, AH$2,Income!$F:$F, $AD$1, Income!$B:$B, IF($AE83&lt;&gt;"", TEXT($AE83, "MMMM"), ""), Income!$C:$C, YEAR($AE83))</f>
        <v>0</v>
      </c>
      <c r="AI83" s="464">
        <f>SUMIFS(Income!$G:$G,Income!$H:$H, AI$2,Income!$F:$F, $AD$1, Income!$B:$B, IF($AE83&lt;&gt;"", TEXT($AE83, "MMMM"), ""), Income!$C:$C, YEAR($AE83))</f>
        <v>0</v>
      </c>
      <c r="AJ83" s="464">
        <f>SUMIFS(Income!$G:$G,Income!$H:$H, AJ$2,Income!$F:$F, $AD$1, Income!$B:$B, IF($AE83&lt;&gt;"", TEXT($AE83, "MMMM"), ""), Income!$C:$C, YEAR($AE83))</f>
        <v>0</v>
      </c>
      <c r="AK83" s="467">
        <f>SUMIFS(Income!$G:$G,Income!$H:$H, AK$2,Income!$F:$F, $AD$1, Income!$B:$B, IF($AE83&lt;&gt;"", TEXT($AE83, "MMMM"), ""), Income!$C:$C, YEAR($AE83))</f>
        <v>0</v>
      </c>
      <c r="AL83" s="428"/>
      <c r="AM83" s="463">
        <v>46266.0</v>
      </c>
      <c r="AN83" s="464">
        <f>SUMIFS(Income!$G:$G,Income!$H:$H, AN$2,Income!$F:$F, $AL$1, Income!$B:$B, IF($AM83&lt;&gt;"", TEXT($AM83, "MMMM"), ""), Income!$C:$C, YEAR($AM83))+SUMIFS($T:$T, $U:$U,AN$2,$Q:$Q,IF($AM83&lt;&gt;"", TEXT($AM83, "MMMM"), ""),$R:$R,YEAR($AM83))</f>
        <v>0</v>
      </c>
      <c r="AO83" s="464">
        <f>SUMIFS(Income!$G:$G,Income!$H:$H, AO$2,Income!$F:$F, $AL$1, Income!$B:$B, IF($AM83&lt;&gt;"", TEXT($AM83, "MMMM"), ""), Income!$C:$C, YEAR($AM83))+SUMIFS($T:$T, $U:$U,AO$2,$Q:$Q,IF($AM83&lt;&gt;"", TEXT($AM83, "MMMM"), ""),$R:$R,YEAR($AM83))</f>
        <v>0</v>
      </c>
      <c r="AP83" s="464">
        <f>SUMIFS(Income!$G:$G,Income!$H:$H, AP$2,Income!$F:$F, $AL$1, Income!$B:$B, IF($AM83&lt;&gt;"", TEXT($AM83, "MMMM"), ""), Income!$C:$C, YEAR($AM83))+SUMIFS($T:$T, $U:$U,AP$2,$Q:$Q,IF($AM83&lt;&gt;"", TEXT($AM83, "MMMM"), ""),$R:$R,YEAR($AM83))</f>
        <v>0</v>
      </c>
      <c r="AQ83" s="464">
        <f>SUMIFS(Income!$G:$G,Income!$H:$H, AQ$2,Income!$F:$F, $AL$1, Income!$B:$B, IF($AM83&lt;&gt;"", TEXT($AM83, "MMMM"), ""), Income!$C:$C, YEAR($AM83))+SUMIFS($T:$T, $U:$U,AQ$2,$Q:$Q,IF($AM83&lt;&gt;"", TEXT($AM83, "MMMM"), ""),$R:$R,YEAR($AM83))</f>
        <v>0</v>
      </c>
      <c r="AR83" s="464">
        <f>SUMIFS(Income!$G:$G,Income!$H:$H, AR$2,Income!$F:$F, $AL$1, Income!$B:$B, IF($AM83&lt;&gt;"", TEXT($AM83, "MMMM"), ""), Income!$C:$C, YEAR($AM83))+SUMIFS($T:$T, $U:$U,AR$2,$Q:$Q,IF($AM83&lt;&gt;"", TEXT($AM83, "MMMM"), ""),$R:$R,YEAR($AM83))</f>
        <v>0</v>
      </c>
      <c r="AS83" s="467">
        <f>SUMIFS(Income!$G:$G,Income!$H:$H, AS$2,Income!$F:$F, $AL$1, Income!$B:$B, IF($AM83&lt;&gt;"", TEXT($AM83, "MMMM"), ""), Income!$C:$C, YEAR($AM83))+SUMIFS($T:$T, $U:$U,AS$2,$Q:$Q,IF($AM83&lt;&gt;"", TEXT($AM83, "MMMM"), ""),$R:$R,YEAR($AM83))</f>
        <v>0</v>
      </c>
      <c r="AT83" s="428"/>
      <c r="AU83" s="463">
        <v>46266.0</v>
      </c>
      <c r="AV83" s="464">
        <f>SUMIFS(Income!$G:$G,Income!$H:$H, AV$2,Income!$F:$F, $AT$1, Income!$B:$B, IF($AU83&lt;&gt;"", TEXT($AU83, "MMMM"), ""), Income!$C:$C, YEAR($AU83))</f>
        <v>0</v>
      </c>
      <c r="AW83" s="464">
        <f>SUMIFS(Income!$G:$G,Income!$H:$H, AW$2,Income!$F:$F, $AT$1, Income!$B:$B, IF($AU83&lt;&gt;"", TEXT($AU83, "MMMM"), ""), Income!$C:$C, YEAR($AU83))</f>
        <v>0</v>
      </c>
      <c r="AX83" s="464">
        <f>SUMIFS(Income!$G:$G,Income!$H:$H, AX$2,Income!$F:$F, $AT$1, Income!$B:$B, IF($AU83&lt;&gt;"", TEXT($AU83, "MMMM"), ""), Income!$C:$C, YEAR($AU83))</f>
        <v>0</v>
      </c>
      <c r="AY83" s="464">
        <f>SUMIFS(Income!$G:$G,Income!$H:$H, AY$2,Income!$F:$F, $AT$1, Income!$B:$B, IF($AU83&lt;&gt;"", TEXT($AU83, "MMMM"), ""), Income!$C:$C, YEAR($AU83))</f>
        <v>0</v>
      </c>
      <c r="AZ83" s="464">
        <f>SUMIFS(Income!$G:$G,Income!$H:$H, AZ$2,Income!$F:$F, $AT$1, Income!$B:$B, IF($AU83&lt;&gt;"", TEXT($AU83, "MMMM"), ""), Income!$C:$C, YEAR($AU83))</f>
        <v>0</v>
      </c>
      <c r="BA83" s="468">
        <f>SUMIFS(Income!$G:$G,Income!$H:$H, BA$2,Income!$F:$F, $AT$1, Income!$B:$B, IF($AU83&lt;&gt;"", TEXT($AU83, "MMMM"), ""), Income!$C:$C, YEAR($AU83))</f>
        <v>0</v>
      </c>
      <c r="BB83" s="345"/>
      <c r="BC83" s="345"/>
      <c r="BD83" s="345"/>
      <c r="BE83" s="345"/>
    </row>
    <row r="84" ht="13.5" customHeight="1">
      <c r="A84" s="424">
        <f>'Membership Application List'!A313</f>
        <v>45509.49325</v>
      </c>
      <c r="B84" s="443" t="str">
        <f t="shared" si="6"/>
        <v>August</v>
      </c>
      <c r="C84" s="443">
        <f t="shared" si="7"/>
        <v>2024</v>
      </c>
      <c r="D84" s="426" t="str">
        <f>'Membership Application List'!E313</f>
        <v>Brigid Whitney </v>
      </c>
      <c r="E84" s="426">
        <f>IF('Membership Application List'!J313 = "Food/Litter Donation", 0, IF('Membership Application List'!J313 = "$15 Donation, Discord Verification", IF('Membership Application List'!N313 = TRUE, 15, 0)))</f>
        <v>0</v>
      </c>
      <c r="F84" s="426">
        <f>if('Membership Application List'!K313=TRUE, 5,0)</f>
        <v>0</v>
      </c>
      <c r="G84" s="426">
        <f t="shared" si="8"/>
        <v>0</v>
      </c>
      <c r="H84" s="427" t="str">
        <f>'Membership Application List'!L313</f>
        <v/>
      </c>
      <c r="I84" s="428"/>
      <c r="J84" s="463">
        <v>46296.0</v>
      </c>
      <c r="K84" s="464">
        <f t="shared" ref="K84:O84" si="42">SUMIFS($G:$G, $H:$H, K$2, $B:$B, IF($J84&lt;&gt;"", TEXT($J84, "MMMM"), ""), $C:$C, YEAR($J84))</f>
        <v>0</v>
      </c>
      <c r="L84" s="464">
        <f t="shared" si="42"/>
        <v>0</v>
      </c>
      <c r="M84" s="464">
        <f t="shared" si="42"/>
        <v>0</v>
      </c>
      <c r="N84" s="464">
        <f t="shared" si="42"/>
        <v>0</v>
      </c>
      <c r="O84" s="465">
        <f t="shared" si="42"/>
        <v>0</v>
      </c>
      <c r="P84" s="414"/>
      <c r="Q84" s="414"/>
      <c r="R84" s="414"/>
      <c r="S84" s="445"/>
      <c r="T84" s="445"/>
      <c r="U84" s="445"/>
      <c r="V84" s="428"/>
      <c r="W84" s="463">
        <v>46296.0</v>
      </c>
      <c r="X84" s="464">
        <f>SUMIFS(Income!$G:$G,Income!$H:$H, X$2,Income!$F:$F, $V$1, Income!$B:$B, IF($W84&lt;&gt;"", TEXT($W84, "MMMM"), ""), Income!$C:$C, YEAR($W84))</f>
        <v>0</v>
      </c>
      <c r="Y84" s="464">
        <f>SUMIFS(Income!$G:$G,Income!$H:$H, Y$2,Income!$F:$F, $V$1, Income!$B:$B, IF($W84&lt;&gt;"", TEXT($W84, "MMMM"), ""), Income!$C:$C, YEAR($W84))</f>
        <v>0</v>
      </c>
      <c r="Z84" s="464">
        <f>SUMIFS(Income!$G:$G,Income!$H:$H, Z$2,Income!$F:$F, $V$1, Income!$B:$B, IF($W84&lt;&gt;"", TEXT($W84, "MMMM"), ""), Income!$C:$C, YEAR($W84))</f>
        <v>0</v>
      </c>
      <c r="AA84" s="464">
        <f>SUMIFS(Income!$G:$G,Income!$H:$H, AA$2,Income!$F:$F, $V$1, Income!$B:$B, IF($W84&lt;&gt;"", TEXT($W84, "MMMM"), ""), Income!$C:$C, YEAR($W84))</f>
        <v>0</v>
      </c>
      <c r="AB84" s="464">
        <f>SUMIFS(Income!$G:$G,Income!$H:$H, AB$2,Income!$F:$F, $V$1, Income!$B:$B, IF($W84&lt;&gt;"", TEXT($W84, "MMMM"), ""), Income!$C:$C, YEAR($W84))</f>
        <v>0</v>
      </c>
      <c r="AC84" s="467">
        <f>SUMIFS(Income!$G:$G,Income!$H:$H, AC$2,Income!$F:$F, $V$1, Income!$B:$B, IF($W84&lt;&gt;"", TEXT($W84, "MMMM"), ""), Income!$C:$C, YEAR($W84))</f>
        <v>0</v>
      </c>
      <c r="AD84" s="428"/>
      <c r="AE84" s="463">
        <v>46296.0</v>
      </c>
      <c r="AF84" s="464">
        <f>SUMIFS(Income!$G:$G,Income!$H:$H, AF$2,Income!$F:$F, $AD$1, Income!$B:$B, IF($AE84&lt;&gt;"", TEXT($AE84, "MMMM"), ""), Income!$C:$C, YEAR($AE84))</f>
        <v>0</v>
      </c>
      <c r="AG84" s="464">
        <f>SUMIFS(Income!$G:$G,Income!$H:$H, AG$2,Income!$F:$F, $AD$1, Income!$B:$B, IF($AE84&lt;&gt;"", TEXT($AE84, "MMMM"), ""), Income!$C:$C, YEAR($AE84))</f>
        <v>0</v>
      </c>
      <c r="AH84" s="464">
        <f>SUMIFS(Income!$G:$G,Income!$H:$H, AH$2,Income!$F:$F, $AD$1, Income!$B:$B, IF($AE84&lt;&gt;"", TEXT($AE84, "MMMM"), ""), Income!$C:$C, YEAR($AE84))</f>
        <v>0</v>
      </c>
      <c r="AI84" s="464">
        <f>SUMIFS(Income!$G:$G,Income!$H:$H, AI$2,Income!$F:$F, $AD$1, Income!$B:$B, IF($AE84&lt;&gt;"", TEXT($AE84, "MMMM"), ""), Income!$C:$C, YEAR($AE84))</f>
        <v>0</v>
      </c>
      <c r="AJ84" s="464">
        <f>SUMIFS(Income!$G:$G,Income!$H:$H, AJ$2,Income!$F:$F, $AD$1, Income!$B:$B, IF($AE84&lt;&gt;"", TEXT($AE84, "MMMM"), ""), Income!$C:$C, YEAR($AE84))</f>
        <v>0</v>
      </c>
      <c r="AK84" s="467">
        <f>SUMIFS(Income!$G:$G,Income!$H:$H, AK$2,Income!$F:$F, $AD$1, Income!$B:$B, IF($AE84&lt;&gt;"", TEXT($AE84, "MMMM"), ""), Income!$C:$C, YEAR($AE84))</f>
        <v>0</v>
      </c>
      <c r="AL84" s="428"/>
      <c r="AM84" s="463">
        <v>46296.0</v>
      </c>
      <c r="AN84" s="464">
        <f>SUMIFS(Income!$G:$G,Income!$H:$H, AN$2,Income!$F:$F, $AL$1, Income!$B:$B, IF($AM84&lt;&gt;"", TEXT($AM84, "MMMM"), ""), Income!$C:$C, YEAR($AM84))+SUMIFS($T:$T, $U:$U,AN$2,$Q:$Q,IF($AM84&lt;&gt;"", TEXT($AM84, "MMMM"), ""),$R:$R,YEAR($AM84))</f>
        <v>0</v>
      </c>
      <c r="AO84" s="464">
        <f>SUMIFS(Income!$G:$G,Income!$H:$H, AO$2,Income!$F:$F, $AL$1, Income!$B:$B, IF($AM84&lt;&gt;"", TEXT($AM84, "MMMM"), ""), Income!$C:$C, YEAR($AM84))+SUMIFS($T:$T, $U:$U,AO$2,$Q:$Q,IF($AM84&lt;&gt;"", TEXT($AM84, "MMMM"), ""),$R:$R,YEAR($AM84))</f>
        <v>0</v>
      </c>
      <c r="AP84" s="464">
        <f>SUMIFS(Income!$G:$G,Income!$H:$H, AP$2,Income!$F:$F, $AL$1, Income!$B:$B, IF($AM84&lt;&gt;"", TEXT($AM84, "MMMM"), ""), Income!$C:$C, YEAR($AM84))+SUMIFS($T:$T, $U:$U,AP$2,$Q:$Q,IF($AM84&lt;&gt;"", TEXT($AM84, "MMMM"), ""),$R:$R,YEAR($AM84))</f>
        <v>0</v>
      </c>
      <c r="AQ84" s="464">
        <f>SUMIFS(Income!$G:$G,Income!$H:$H, AQ$2,Income!$F:$F, $AL$1, Income!$B:$B, IF($AM84&lt;&gt;"", TEXT($AM84, "MMMM"), ""), Income!$C:$C, YEAR($AM84))+SUMIFS($T:$T, $U:$U,AQ$2,$Q:$Q,IF($AM84&lt;&gt;"", TEXT($AM84, "MMMM"), ""),$R:$R,YEAR($AM84))</f>
        <v>0</v>
      </c>
      <c r="AR84" s="464">
        <f>SUMIFS(Income!$G:$G,Income!$H:$H, AR$2,Income!$F:$F, $AL$1, Income!$B:$B, IF($AM84&lt;&gt;"", TEXT($AM84, "MMMM"), ""), Income!$C:$C, YEAR($AM84))+SUMIFS($T:$T, $U:$U,AR$2,$Q:$Q,IF($AM84&lt;&gt;"", TEXT($AM84, "MMMM"), ""),$R:$R,YEAR($AM84))</f>
        <v>0</v>
      </c>
      <c r="AS84" s="467">
        <f>SUMIFS(Income!$G:$G,Income!$H:$H, AS$2,Income!$F:$F, $AL$1, Income!$B:$B, IF($AM84&lt;&gt;"", TEXT($AM84, "MMMM"), ""), Income!$C:$C, YEAR($AM84))+SUMIFS($T:$T, $U:$U,AS$2,$Q:$Q,IF($AM84&lt;&gt;"", TEXT($AM84, "MMMM"), ""),$R:$R,YEAR($AM84))</f>
        <v>0</v>
      </c>
      <c r="AT84" s="428"/>
      <c r="AU84" s="463">
        <v>46296.0</v>
      </c>
      <c r="AV84" s="464">
        <f>SUMIFS(Income!$G:$G,Income!$H:$H, AV$2,Income!$F:$F, $AT$1, Income!$B:$B, IF($AU84&lt;&gt;"", TEXT($AU84, "MMMM"), ""), Income!$C:$C, YEAR($AU84))</f>
        <v>0</v>
      </c>
      <c r="AW84" s="464">
        <f>SUMIFS(Income!$G:$G,Income!$H:$H, AW$2,Income!$F:$F, $AT$1, Income!$B:$B, IF($AU84&lt;&gt;"", TEXT($AU84, "MMMM"), ""), Income!$C:$C, YEAR($AU84))</f>
        <v>0</v>
      </c>
      <c r="AX84" s="464">
        <f>SUMIFS(Income!$G:$G,Income!$H:$H, AX$2,Income!$F:$F, $AT$1, Income!$B:$B, IF($AU84&lt;&gt;"", TEXT($AU84, "MMMM"), ""), Income!$C:$C, YEAR($AU84))</f>
        <v>0</v>
      </c>
      <c r="AY84" s="464">
        <f>SUMIFS(Income!$G:$G,Income!$H:$H, AY$2,Income!$F:$F, $AT$1, Income!$B:$B, IF($AU84&lt;&gt;"", TEXT($AU84, "MMMM"), ""), Income!$C:$C, YEAR($AU84))</f>
        <v>0</v>
      </c>
      <c r="AZ84" s="464">
        <f>SUMIFS(Income!$G:$G,Income!$H:$H, AZ$2,Income!$F:$F, $AT$1, Income!$B:$B, IF($AU84&lt;&gt;"", TEXT($AU84, "MMMM"), ""), Income!$C:$C, YEAR($AU84))</f>
        <v>0</v>
      </c>
      <c r="BA84" s="468">
        <f>SUMIFS(Income!$G:$G,Income!$H:$H, BA$2,Income!$F:$F, $AT$1, Income!$B:$B, IF($AU84&lt;&gt;"", TEXT($AU84, "MMMM"), ""), Income!$C:$C, YEAR($AU84))</f>
        <v>0</v>
      </c>
      <c r="BB84" s="345"/>
      <c r="BC84" s="345"/>
      <c r="BD84" s="345"/>
      <c r="BE84" s="345"/>
    </row>
    <row r="85" ht="13.5" customHeight="1">
      <c r="A85" s="436">
        <f>'Membership Application List'!A314</f>
        <v>45512.52096</v>
      </c>
      <c r="B85" s="437" t="str">
        <f t="shared" si="6"/>
        <v>August</v>
      </c>
      <c r="C85" s="437">
        <f t="shared" si="7"/>
        <v>2024</v>
      </c>
      <c r="D85" s="438" t="str">
        <f>'Membership Application List'!E314</f>
        <v>Jaxson Lloyd</v>
      </c>
      <c r="E85" s="438">
        <f>IF('Membership Application List'!J314 = "Food/Litter Donation", 0, IF('Membership Application List'!J314 = "$15 Donation, Discord Verification", IF('Membership Application List'!N314 = TRUE, 15, 0)))</f>
        <v>0</v>
      </c>
      <c r="F85" s="438">
        <f>if('Membership Application List'!K314=TRUE, 5,0)</f>
        <v>0</v>
      </c>
      <c r="G85" s="438">
        <f t="shared" si="8"/>
        <v>0</v>
      </c>
      <c r="H85" s="439" t="str">
        <f>'Membership Application List'!L314</f>
        <v/>
      </c>
      <c r="I85" s="428"/>
      <c r="J85" s="463">
        <v>46327.0</v>
      </c>
      <c r="K85" s="464">
        <f t="shared" ref="K85:O85" si="43">SUMIFS($G:$G, $H:$H, K$2, $B:$B, IF($J85&lt;&gt;"", TEXT($J85, "MMMM"), ""), $C:$C, YEAR($J85))</f>
        <v>0</v>
      </c>
      <c r="L85" s="464">
        <f t="shared" si="43"/>
        <v>0</v>
      </c>
      <c r="M85" s="464">
        <f t="shared" si="43"/>
        <v>0</v>
      </c>
      <c r="N85" s="464">
        <f t="shared" si="43"/>
        <v>0</v>
      </c>
      <c r="O85" s="465">
        <f t="shared" si="43"/>
        <v>0</v>
      </c>
      <c r="P85" s="414"/>
      <c r="Q85" s="414"/>
      <c r="R85" s="414"/>
      <c r="S85" s="445"/>
      <c r="T85" s="445"/>
      <c r="U85" s="445"/>
      <c r="V85" s="428"/>
      <c r="W85" s="463">
        <v>46327.0</v>
      </c>
      <c r="X85" s="464">
        <f>SUMIFS(Income!$G:$G,Income!$H:$H, X$2,Income!$F:$F, $V$1, Income!$B:$B, IF($W85&lt;&gt;"", TEXT($W85, "MMMM"), ""), Income!$C:$C, YEAR($W85))</f>
        <v>0</v>
      </c>
      <c r="Y85" s="464">
        <f>SUMIFS(Income!$G:$G,Income!$H:$H, Y$2,Income!$F:$F, $V$1, Income!$B:$B, IF($W85&lt;&gt;"", TEXT($W85, "MMMM"), ""), Income!$C:$C, YEAR($W85))</f>
        <v>0</v>
      </c>
      <c r="Z85" s="464">
        <f>SUMIFS(Income!$G:$G,Income!$H:$H, Z$2,Income!$F:$F, $V$1, Income!$B:$B, IF($W85&lt;&gt;"", TEXT($W85, "MMMM"), ""), Income!$C:$C, YEAR($W85))</f>
        <v>0</v>
      </c>
      <c r="AA85" s="464">
        <f>SUMIFS(Income!$G:$G,Income!$H:$H, AA$2,Income!$F:$F, $V$1, Income!$B:$B, IF($W85&lt;&gt;"", TEXT($W85, "MMMM"), ""), Income!$C:$C, YEAR($W85))</f>
        <v>0</v>
      </c>
      <c r="AB85" s="464">
        <f>SUMIFS(Income!$G:$G,Income!$H:$H, AB$2,Income!$F:$F, $V$1, Income!$B:$B, IF($W85&lt;&gt;"", TEXT($W85, "MMMM"), ""), Income!$C:$C, YEAR($W85))</f>
        <v>0</v>
      </c>
      <c r="AC85" s="467">
        <f>SUMIFS(Income!$G:$G,Income!$H:$H, AC$2,Income!$F:$F, $V$1, Income!$B:$B, IF($W85&lt;&gt;"", TEXT($W85, "MMMM"), ""), Income!$C:$C, YEAR($W85))</f>
        <v>0</v>
      </c>
      <c r="AD85" s="428"/>
      <c r="AE85" s="463">
        <v>46327.0</v>
      </c>
      <c r="AF85" s="464">
        <f>SUMIFS(Income!$G:$G,Income!$H:$H, AF$2,Income!$F:$F, $AD$1, Income!$B:$B, IF($AE85&lt;&gt;"", TEXT($AE85, "MMMM"), ""), Income!$C:$C, YEAR($AE85))</f>
        <v>0</v>
      </c>
      <c r="AG85" s="464">
        <f>SUMIFS(Income!$G:$G,Income!$H:$H, AG$2,Income!$F:$F, $AD$1, Income!$B:$B, IF($AE85&lt;&gt;"", TEXT($AE85, "MMMM"), ""), Income!$C:$C, YEAR($AE85))</f>
        <v>0</v>
      </c>
      <c r="AH85" s="464">
        <f>SUMIFS(Income!$G:$G,Income!$H:$H, AH$2,Income!$F:$F, $AD$1, Income!$B:$B, IF($AE85&lt;&gt;"", TEXT($AE85, "MMMM"), ""), Income!$C:$C, YEAR($AE85))</f>
        <v>0</v>
      </c>
      <c r="AI85" s="464">
        <f>SUMIFS(Income!$G:$G,Income!$H:$H, AI$2,Income!$F:$F, $AD$1, Income!$B:$B, IF($AE85&lt;&gt;"", TEXT($AE85, "MMMM"), ""), Income!$C:$C, YEAR($AE85))</f>
        <v>0</v>
      </c>
      <c r="AJ85" s="464">
        <f>SUMIFS(Income!$G:$G,Income!$H:$H, AJ$2,Income!$F:$F, $AD$1, Income!$B:$B, IF($AE85&lt;&gt;"", TEXT($AE85, "MMMM"), ""), Income!$C:$C, YEAR($AE85))</f>
        <v>0</v>
      </c>
      <c r="AK85" s="467">
        <f>SUMIFS(Income!$G:$G,Income!$H:$H, AK$2,Income!$F:$F, $AD$1, Income!$B:$B, IF($AE85&lt;&gt;"", TEXT($AE85, "MMMM"), ""), Income!$C:$C, YEAR($AE85))</f>
        <v>0</v>
      </c>
      <c r="AL85" s="428"/>
      <c r="AM85" s="463">
        <v>46327.0</v>
      </c>
      <c r="AN85" s="464">
        <f>SUMIFS(Income!$G:$G,Income!$H:$H, AN$2,Income!$F:$F, $AL$1, Income!$B:$B, IF($AM85&lt;&gt;"", TEXT($AM85, "MMMM"), ""), Income!$C:$C, YEAR($AM85))+SUMIFS($T:$T, $U:$U,AN$2,$Q:$Q,IF($AM85&lt;&gt;"", TEXT($AM85, "MMMM"), ""),$R:$R,YEAR($AM85))</f>
        <v>0</v>
      </c>
      <c r="AO85" s="464">
        <f>SUMIFS(Income!$G:$G,Income!$H:$H, AO$2,Income!$F:$F, $AL$1, Income!$B:$B, IF($AM85&lt;&gt;"", TEXT($AM85, "MMMM"), ""), Income!$C:$C, YEAR($AM85))+SUMIFS($T:$T, $U:$U,AO$2,$Q:$Q,IF($AM85&lt;&gt;"", TEXT($AM85, "MMMM"), ""),$R:$R,YEAR($AM85))</f>
        <v>0</v>
      </c>
      <c r="AP85" s="464">
        <f>SUMIFS(Income!$G:$G,Income!$H:$H, AP$2,Income!$F:$F, $AL$1, Income!$B:$B, IF($AM85&lt;&gt;"", TEXT($AM85, "MMMM"), ""), Income!$C:$C, YEAR($AM85))+SUMIFS($T:$T, $U:$U,AP$2,$Q:$Q,IF($AM85&lt;&gt;"", TEXT($AM85, "MMMM"), ""),$R:$R,YEAR($AM85))</f>
        <v>0</v>
      </c>
      <c r="AQ85" s="464">
        <f>SUMIFS(Income!$G:$G,Income!$H:$H, AQ$2,Income!$F:$F, $AL$1, Income!$B:$B, IF($AM85&lt;&gt;"", TEXT($AM85, "MMMM"), ""), Income!$C:$C, YEAR($AM85))+SUMIFS($T:$T, $U:$U,AQ$2,$Q:$Q,IF($AM85&lt;&gt;"", TEXT($AM85, "MMMM"), ""),$R:$R,YEAR($AM85))</f>
        <v>0</v>
      </c>
      <c r="AR85" s="464">
        <f>SUMIFS(Income!$G:$G,Income!$H:$H, AR$2,Income!$F:$F, $AL$1, Income!$B:$B, IF($AM85&lt;&gt;"", TEXT($AM85, "MMMM"), ""), Income!$C:$C, YEAR($AM85))+SUMIFS($T:$T, $U:$U,AR$2,$Q:$Q,IF($AM85&lt;&gt;"", TEXT($AM85, "MMMM"), ""),$R:$R,YEAR($AM85))</f>
        <v>0</v>
      </c>
      <c r="AS85" s="467">
        <f>SUMIFS(Income!$G:$G,Income!$H:$H, AS$2,Income!$F:$F, $AL$1, Income!$B:$B, IF($AM85&lt;&gt;"", TEXT($AM85, "MMMM"), ""), Income!$C:$C, YEAR($AM85))+SUMIFS($T:$T, $U:$U,AS$2,$Q:$Q,IF($AM85&lt;&gt;"", TEXT($AM85, "MMMM"), ""),$R:$R,YEAR($AM85))</f>
        <v>0</v>
      </c>
      <c r="AT85" s="428"/>
      <c r="AU85" s="463">
        <v>46327.0</v>
      </c>
      <c r="AV85" s="464">
        <f>SUMIFS(Income!$G:$G,Income!$H:$H, AV$2,Income!$F:$F, $AT$1, Income!$B:$B, IF($AU85&lt;&gt;"", TEXT($AU85, "MMMM"), ""), Income!$C:$C, YEAR($AU85))</f>
        <v>0</v>
      </c>
      <c r="AW85" s="464">
        <f>SUMIFS(Income!$G:$G,Income!$H:$H, AW$2,Income!$F:$F, $AT$1, Income!$B:$B, IF($AU85&lt;&gt;"", TEXT($AU85, "MMMM"), ""), Income!$C:$C, YEAR($AU85))</f>
        <v>0</v>
      </c>
      <c r="AX85" s="464">
        <f>SUMIFS(Income!$G:$G,Income!$H:$H, AX$2,Income!$F:$F, $AT$1, Income!$B:$B, IF($AU85&lt;&gt;"", TEXT($AU85, "MMMM"), ""), Income!$C:$C, YEAR($AU85))</f>
        <v>0</v>
      </c>
      <c r="AY85" s="464">
        <f>SUMIFS(Income!$G:$G,Income!$H:$H, AY$2,Income!$F:$F, $AT$1, Income!$B:$B, IF($AU85&lt;&gt;"", TEXT($AU85, "MMMM"), ""), Income!$C:$C, YEAR($AU85))</f>
        <v>0</v>
      </c>
      <c r="AZ85" s="464">
        <f>SUMIFS(Income!$G:$G,Income!$H:$H, AZ$2,Income!$F:$F, $AT$1, Income!$B:$B, IF($AU85&lt;&gt;"", TEXT($AU85, "MMMM"), ""), Income!$C:$C, YEAR($AU85))</f>
        <v>0</v>
      </c>
      <c r="BA85" s="468">
        <f>SUMIFS(Income!$G:$G,Income!$H:$H, BA$2,Income!$F:$F, $AT$1, Income!$B:$B, IF($AU85&lt;&gt;"", TEXT($AU85, "MMMM"), ""), Income!$C:$C, YEAR($AU85))</f>
        <v>0</v>
      </c>
      <c r="BB85" s="345"/>
      <c r="BC85" s="345"/>
      <c r="BD85" s="345"/>
      <c r="BE85" s="345"/>
    </row>
    <row r="86" ht="13.5" customHeight="1">
      <c r="A86" s="424">
        <f>'Membership Application List'!A315</f>
        <v>45513.44341</v>
      </c>
      <c r="B86" s="443" t="str">
        <f t="shared" si="6"/>
        <v>August</v>
      </c>
      <c r="C86" s="443">
        <f t="shared" si="7"/>
        <v>2024</v>
      </c>
      <c r="D86" s="426" t="str">
        <f>'Membership Application List'!E315</f>
        <v>Eduardo Barrera</v>
      </c>
      <c r="E86" s="426">
        <f>IF('Membership Application List'!J315 = "Food/Litter Donation", 0, IF('Membership Application List'!J315 = "$15 Donation, Discord Verification", IF('Membership Application List'!N315 = TRUE, 15, 0)))</f>
        <v>15</v>
      </c>
      <c r="F86" s="426">
        <f>if('Membership Application List'!K315=TRUE, 5,0)</f>
        <v>0</v>
      </c>
      <c r="G86" s="426">
        <f t="shared" si="8"/>
        <v>15</v>
      </c>
      <c r="H86" s="427" t="str">
        <f>'Membership Application List'!L315</f>
        <v>Paypal</v>
      </c>
      <c r="I86" s="428"/>
      <c r="J86" s="463">
        <v>46357.0</v>
      </c>
      <c r="K86" s="464">
        <f t="shared" ref="K86:O86" si="44">SUMIFS($G:$G, $H:$H, K$2, $B:$B, IF($J86&lt;&gt;"", TEXT($J86, "MMMM"), ""), $C:$C, YEAR($J86))</f>
        <v>0</v>
      </c>
      <c r="L86" s="464">
        <f t="shared" si="44"/>
        <v>0</v>
      </c>
      <c r="M86" s="464">
        <f t="shared" si="44"/>
        <v>0</v>
      </c>
      <c r="N86" s="464">
        <f t="shared" si="44"/>
        <v>0</v>
      </c>
      <c r="O86" s="465">
        <f t="shared" si="44"/>
        <v>0</v>
      </c>
      <c r="P86" s="414"/>
      <c r="Q86" s="414"/>
      <c r="R86" s="414"/>
      <c r="S86" s="445"/>
      <c r="T86" s="445"/>
      <c r="U86" s="445"/>
      <c r="V86" s="428"/>
      <c r="W86" s="463">
        <v>46357.0</v>
      </c>
      <c r="X86" s="464">
        <f>SUMIFS(Income!$G:$G,Income!$H:$H, X$2,Income!$F:$F, $V$1, Income!$B:$B, IF($W86&lt;&gt;"", TEXT($W86, "MMMM"), ""), Income!$C:$C, YEAR($W86))</f>
        <v>0</v>
      </c>
      <c r="Y86" s="464">
        <f>SUMIFS(Income!$G:$G,Income!$H:$H, Y$2,Income!$F:$F, $V$1, Income!$B:$B, IF($W86&lt;&gt;"", TEXT($W86, "MMMM"), ""), Income!$C:$C, YEAR($W86))</f>
        <v>0</v>
      </c>
      <c r="Z86" s="464">
        <f>SUMIFS(Income!$G:$G,Income!$H:$H, Z$2,Income!$F:$F, $V$1, Income!$B:$B, IF($W86&lt;&gt;"", TEXT($W86, "MMMM"), ""), Income!$C:$C, YEAR($W86))</f>
        <v>0</v>
      </c>
      <c r="AA86" s="464">
        <f>SUMIFS(Income!$G:$G,Income!$H:$H, AA$2,Income!$F:$F, $V$1, Income!$B:$B, IF($W86&lt;&gt;"", TEXT($W86, "MMMM"), ""), Income!$C:$C, YEAR($W86))</f>
        <v>0</v>
      </c>
      <c r="AB86" s="464">
        <f>SUMIFS(Income!$G:$G,Income!$H:$H, AB$2,Income!$F:$F, $V$1, Income!$B:$B, IF($W86&lt;&gt;"", TEXT($W86, "MMMM"), ""), Income!$C:$C, YEAR($W86))</f>
        <v>0</v>
      </c>
      <c r="AC86" s="467">
        <f>SUMIFS(Income!$G:$G,Income!$H:$H, AC$2,Income!$F:$F, $V$1, Income!$B:$B, IF($W86&lt;&gt;"", TEXT($W86, "MMMM"), ""), Income!$C:$C, YEAR($W86))</f>
        <v>0</v>
      </c>
      <c r="AD86" s="428"/>
      <c r="AE86" s="463">
        <v>46357.0</v>
      </c>
      <c r="AF86" s="464">
        <f>SUMIFS(Income!$G:$G,Income!$H:$H, AF$2,Income!$F:$F, $AD$1, Income!$B:$B, IF($AE86&lt;&gt;"", TEXT($AE86, "MMMM"), ""), Income!$C:$C, YEAR($AE86))</f>
        <v>0</v>
      </c>
      <c r="AG86" s="464">
        <f>SUMIFS(Income!$G:$G,Income!$H:$H, AG$2,Income!$F:$F, $AD$1, Income!$B:$B, IF($AE86&lt;&gt;"", TEXT($AE86, "MMMM"), ""), Income!$C:$C, YEAR($AE86))</f>
        <v>0</v>
      </c>
      <c r="AH86" s="464">
        <f>SUMIFS(Income!$G:$G,Income!$H:$H, AH$2,Income!$F:$F, $AD$1, Income!$B:$B, IF($AE86&lt;&gt;"", TEXT($AE86, "MMMM"), ""), Income!$C:$C, YEAR($AE86))</f>
        <v>0</v>
      </c>
      <c r="AI86" s="464">
        <f>SUMIFS(Income!$G:$G,Income!$H:$H, AI$2,Income!$F:$F, $AD$1, Income!$B:$B, IF($AE86&lt;&gt;"", TEXT($AE86, "MMMM"), ""), Income!$C:$C, YEAR($AE86))</f>
        <v>0</v>
      </c>
      <c r="AJ86" s="464">
        <f>SUMIFS(Income!$G:$G,Income!$H:$H, AJ$2,Income!$F:$F, $AD$1, Income!$B:$B, IF($AE86&lt;&gt;"", TEXT($AE86, "MMMM"), ""), Income!$C:$C, YEAR($AE86))</f>
        <v>0</v>
      </c>
      <c r="AK86" s="467">
        <f>SUMIFS(Income!$G:$G,Income!$H:$H, AK$2,Income!$F:$F, $AD$1, Income!$B:$B, IF($AE86&lt;&gt;"", TEXT($AE86, "MMMM"), ""), Income!$C:$C, YEAR($AE86))</f>
        <v>0</v>
      </c>
      <c r="AL86" s="428"/>
      <c r="AM86" s="463">
        <v>46357.0</v>
      </c>
      <c r="AN86" s="464">
        <f>SUMIFS(Income!$G:$G,Income!$H:$H, AN$2,Income!$F:$F, $AL$1, Income!$B:$B, IF($AM86&lt;&gt;"", TEXT($AM86, "MMMM"), ""), Income!$C:$C, YEAR($AM86))+SUMIFS($T:$T, $U:$U,AN$2,$Q:$Q,IF($AM86&lt;&gt;"", TEXT($AM86, "MMMM"), ""),$R:$R,YEAR($AM86))</f>
        <v>0</v>
      </c>
      <c r="AO86" s="464">
        <f>SUMIFS(Income!$G:$G,Income!$H:$H, AO$2,Income!$F:$F, $AL$1, Income!$B:$B, IF($AM86&lt;&gt;"", TEXT($AM86, "MMMM"), ""), Income!$C:$C, YEAR($AM86))+SUMIFS($T:$T, $U:$U,AO$2,$Q:$Q,IF($AM86&lt;&gt;"", TEXT($AM86, "MMMM"), ""),$R:$R,YEAR($AM86))</f>
        <v>0</v>
      </c>
      <c r="AP86" s="464">
        <f>SUMIFS(Income!$G:$G,Income!$H:$H, AP$2,Income!$F:$F, $AL$1, Income!$B:$B, IF($AM86&lt;&gt;"", TEXT($AM86, "MMMM"), ""), Income!$C:$C, YEAR($AM86))+SUMIFS($T:$T, $U:$U,AP$2,$Q:$Q,IF($AM86&lt;&gt;"", TEXT($AM86, "MMMM"), ""),$R:$R,YEAR($AM86))</f>
        <v>0</v>
      </c>
      <c r="AQ86" s="464">
        <f>SUMIFS(Income!$G:$G,Income!$H:$H, AQ$2,Income!$F:$F, $AL$1, Income!$B:$B, IF($AM86&lt;&gt;"", TEXT($AM86, "MMMM"), ""), Income!$C:$C, YEAR($AM86))+SUMIFS($T:$T, $U:$U,AQ$2,$Q:$Q,IF($AM86&lt;&gt;"", TEXT($AM86, "MMMM"), ""),$R:$R,YEAR($AM86))</f>
        <v>0</v>
      </c>
      <c r="AR86" s="464">
        <f>SUMIFS(Income!$G:$G,Income!$H:$H, AR$2,Income!$F:$F, $AL$1, Income!$B:$B, IF($AM86&lt;&gt;"", TEXT($AM86, "MMMM"), ""), Income!$C:$C, YEAR($AM86))+SUMIFS($T:$T, $U:$U,AR$2,$Q:$Q,IF($AM86&lt;&gt;"", TEXT($AM86, "MMMM"), ""),$R:$R,YEAR($AM86))</f>
        <v>0</v>
      </c>
      <c r="AS86" s="467">
        <f>SUMIFS(Income!$G:$G,Income!$H:$H, AS$2,Income!$F:$F, $AL$1, Income!$B:$B, IF($AM86&lt;&gt;"", TEXT($AM86, "MMMM"), ""), Income!$C:$C, YEAR($AM86))+SUMIFS($T:$T, $U:$U,AS$2,$Q:$Q,IF($AM86&lt;&gt;"", TEXT($AM86, "MMMM"), ""),$R:$R,YEAR($AM86))</f>
        <v>0</v>
      </c>
      <c r="AT86" s="428"/>
      <c r="AU86" s="463">
        <v>46357.0</v>
      </c>
      <c r="AV86" s="464">
        <f>SUMIFS(Income!$G:$G,Income!$H:$H, AV$2,Income!$F:$F, $AT$1, Income!$B:$B, IF($AU86&lt;&gt;"", TEXT($AU86, "MMMM"), ""), Income!$C:$C, YEAR($AU86))</f>
        <v>0</v>
      </c>
      <c r="AW86" s="464">
        <f>SUMIFS(Income!$G:$G,Income!$H:$H, AW$2,Income!$F:$F, $AT$1, Income!$B:$B, IF($AU86&lt;&gt;"", TEXT($AU86, "MMMM"), ""), Income!$C:$C, YEAR($AU86))</f>
        <v>0</v>
      </c>
      <c r="AX86" s="464">
        <f>SUMIFS(Income!$G:$G,Income!$H:$H, AX$2,Income!$F:$F, $AT$1, Income!$B:$B, IF($AU86&lt;&gt;"", TEXT($AU86, "MMMM"), ""), Income!$C:$C, YEAR($AU86))</f>
        <v>0</v>
      </c>
      <c r="AY86" s="464">
        <f>SUMIFS(Income!$G:$G,Income!$H:$H, AY$2,Income!$F:$F, $AT$1, Income!$B:$B, IF($AU86&lt;&gt;"", TEXT($AU86, "MMMM"), ""), Income!$C:$C, YEAR($AU86))</f>
        <v>0</v>
      </c>
      <c r="AZ86" s="464">
        <f>SUMIFS(Income!$G:$G,Income!$H:$H, AZ$2,Income!$F:$F, $AT$1, Income!$B:$B, IF($AU86&lt;&gt;"", TEXT($AU86, "MMMM"), ""), Income!$C:$C, YEAR($AU86))</f>
        <v>0</v>
      </c>
      <c r="BA86" s="468">
        <f>SUMIFS(Income!$G:$G,Income!$H:$H, BA$2,Income!$F:$F, $AT$1, Income!$B:$B, IF($AU86&lt;&gt;"", TEXT($AU86, "MMMM"), ""), Income!$C:$C, YEAR($AU86))</f>
        <v>0</v>
      </c>
      <c r="BB86" s="345"/>
      <c r="BC86" s="345"/>
      <c r="BD86" s="345"/>
      <c r="BE86" s="345"/>
    </row>
    <row r="87" ht="13.5" customHeight="1">
      <c r="A87" s="436">
        <f>'Membership Application List'!A316</f>
        <v>45513.45033</v>
      </c>
      <c r="B87" s="437" t="str">
        <f t="shared" si="6"/>
        <v>August</v>
      </c>
      <c r="C87" s="437">
        <f t="shared" si="7"/>
        <v>2024</v>
      </c>
      <c r="D87" s="438" t="str">
        <f>'Membership Application List'!E316</f>
        <v>Mariah Deleon</v>
      </c>
      <c r="E87" s="438">
        <f>IF('Membership Application List'!J316 = "Food/Litter Donation", 0, IF('Membership Application List'!J316 = "$15 Donation, Discord Verification", IF('Membership Application List'!N316 = TRUE, 15, 0)))</f>
        <v>15</v>
      </c>
      <c r="F87" s="438">
        <f>if('Membership Application List'!K316=TRUE, 5,0)</f>
        <v>0</v>
      </c>
      <c r="G87" s="438">
        <f t="shared" si="8"/>
        <v>15</v>
      </c>
      <c r="H87" s="439" t="str">
        <f>'Membership Application List'!L316</f>
        <v>Cashapp</v>
      </c>
      <c r="I87" s="407" t="s">
        <v>782</v>
      </c>
      <c r="J87" s="463">
        <v>46388.0</v>
      </c>
      <c r="K87" s="464">
        <f t="shared" ref="K87:O87" si="45">SUMIFS($G:$G, $H:$H, K$2, $B:$B, IF($J87&lt;&gt;"", TEXT($J87, "MMMM"), ""), $C:$C, YEAR($J87))</f>
        <v>0</v>
      </c>
      <c r="L87" s="464">
        <f t="shared" si="45"/>
        <v>0</v>
      </c>
      <c r="M87" s="464">
        <f t="shared" si="45"/>
        <v>0</v>
      </c>
      <c r="N87" s="464">
        <f t="shared" si="45"/>
        <v>0</v>
      </c>
      <c r="O87" s="465">
        <f t="shared" si="45"/>
        <v>0</v>
      </c>
      <c r="P87" s="414"/>
      <c r="Q87" s="414"/>
      <c r="R87" s="414"/>
      <c r="S87" s="445"/>
      <c r="T87" s="445"/>
      <c r="U87" s="445"/>
      <c r="V87" s="407" t="s">
        <v>782</v>
      </c>
      <c r="W87" s="463">
        <v>46388.0</v>
      </c>
      <c r="X87" s="464">
        <f>SUMIFS(Income!$G:$G,Income!$H:$H, X$2,Income!$F:$F, $V$1, Income!$B:$B, IF($W87&lt;&gt;"", TEXT($W87, "MMMM"), ""), Income!$C:$C, YEAR($W87))</f>
        <v>0</v>
      </c>
      <c r="Y87" s="464">
        <f>SUMIFS(Income!$G:$G,Income!$H:$H, Y$2,Income!$F:$F, $V$1, Income!$B:$B, IF($W87&lt;&gt;"", TEXT($W87, "MMMM"), ""), Income!$C:$C, YEAR($W87))</f>
        <v>0</v>
      </c>
      <c r="Z87" s="464">
        <f>SUMIFS(Income!$G:$G,Income!$H:$H, Z$2,Income!$F:$F, $V$1, Income!$B:$B, IF($W87&lt;&gt;"", TEXT($W87, "MMMM"), ""), Income!$C:$C, YEAR($W87))</f>
        <v>0</v>
      </c>
      <c r="AA87" s="464">
        <f>SUMIFS(Income!$G:$G,Income!$H:$H, AA$2,Income!$F:$F, $V$1, Income!$B:$B, IF($W87&lt;&gt;"", TEXT($W87, "MMMM"), ""), Income!$C:$C, YEAR($W87))</f>
        <v>0</v>
      </c>
      <c r="AB87" s="464">
        <f>SUMIFS(Income!$G:$G,Income!$H:$H, AB$2,Income!$F:$F, $V$1, Income!$B:$B, IF($W87&lt;&gt;"", TEXT($W87, "MMMM"), ""), Income!$C:$C, YEAR($W87))</f>
        <v>0</v>
      </c>
      <c r="AC87" s="467">
        <f>SUMIFS(Income!$G:$G,Income!$H:$H, AC$2,Income!$F:$F, $V$1, Income!$B:$B, IF($W87&lt;&gt;"", TEXT($W87, "MMMM"), ""), Income!$C:$C, YEAR($W87))</f>
        <v>0</v>
      </c>
      <c r="AD87" s="407" t="s">
        <v>782</v>
      </c>
      <c r="AE87" s="463">
        <v>46388.0</v>
      </c>
      <c r="AF87" s="464">
        <f>SUMIFS(Income!$G:$G,Income!$H:$H, AF$2,Income!$F:$F, $AD$1, Income!$B:$B, IF($AE87&lt;&gt;"", TEXT($AE87, "MMMM"), ""), Income!$C:$C, YEAR($AE87))</f>
        <v>0</v>
      </c>
      <c r="AG87" s="464">
        <f>SUMIFS(Income!$G:$G,Income!$H:$H, AG$2,Income!$F:$F, $AD$1, Income!$B:$B, IF($AE87&lt;&gt;"", TEXT($AE87, "MMMM"), ""), Income!$C:$C, YEAR($AE87))</f>
        <v>0</v>
      </c>
      <c r="AH87" s="464">
        <f>SUMIFS(Income!$G:$G,Income!$H:$H, AH$2,Income!$F:$F, $AD$1, Income!$B:$B, IF($AE87&lt;&gt;"", TEXT($AE87, "MMMM"), ""), Income!$C:$C, YEAR($AE87))</f>
        <v>0</v>
      </c>
      <c r="AI87" s="464">
        <f>SUMIFS(Income!$G:$G,Income!$H:$H, AI$2,Income!$F:$F, $AD$1, Income!$B:$B, IF($AE87&lt;&gt;"", TEXT($AE87, "MMMM"), ""), Income!$C:$C, YEAR($AE87))</f>
        <v>0</v>
      </c>
      <c r="AJ87" s="464">
        <f>SUMIFS(Income!$G:$G,Income!$H:$H, AJ$2,Income!$F:$F, $AD$1, Income!$B:$B, IF($AE87&lt;&gt;"", TEXT($AE87, "MMMM"), ""), Income!$C:$C, YEAR($AE87))</f>
        <v>0</v>
      </c>
      <c r="AK87" s="467">
        <f>SUMIFS(Income!$G:$G,Income!$H:$H, AK$2,Income!$F:$F, $AD$1, Income!$B:$B, IF($AE87&lt;&gt;"", TEXT($AE87, "MMMM"), ""), Income!$C:$C, YEAR($AE87))</f>
        <v>0</v>
      </c>
      <c r="AL87" s="407" t="s">
        <v>782</v>
      </c>
      <c r="AM87" s="463">
        <v>46388.0</v>
      </c>
      <c r="AN87" s="464">
        <f>SUMIFS(Income!$G:$G,Income!$H:$H, AN$2,Income!$F:$F, $AL$1, Income!$B:$B, IF($AM87&lt;&gt;"", TEXT($AM87, "MMMM"), ""), Income!$C:$C, YEAR($AM87))+SUMIFS($T:$T, $U:$U,AN$2,$Q:$Q,IF($AM87&lt;&gt;"", TEXT($AM87, "MMMM"), ""),$R:$R,YEAR($AM87))</f>
        <v>0</v>
      </c>
      <c r="AO87" s="464">
        <f>SUMIFS(Income!$G:$G,Income!$H:$H, AO$2,Income!$F:$F, $AL$1, Income!$B:$B, IF($AM87&lt;&gt;"", TEXT($AM87, "MMMM"), ""), Income!$C:$C, YEAR($AM87))+SUMIFS($T:$T, $U:$U,AO$2,$Q:$Q,IF($AM87&lt;&gt;"", TEXT($AM87, "MMMM"), ""),$R:$R,YEAR($AM87))</f>
        <v>0</v>
      </c>
      <c r="AP87" s="464">
        <f>SUMIFS(Income!$G:$G,Income!$H:$H, AP$2,Income!$F:$F, $AL$1, Income!$B:$B, IF($AM87&lt;&gt;"", TEXT($AM87, "MMMM"), ""), Income!$C:$C, YEAR($AM87))+SUMIFS($T:$T, $U:$U,AP$2,$Q:$Q,IF($AM87&lt;&gt;"", TEXT($AM87, "MMMM"), ""),$R:$R,YEAR($AM87))</f>
        <v>0</v>
      </c>
      <c r="AQ87" s="464">
        <f>SUMIFS(Income!$G:$G,Income!$H:$H, AQ$2,Income!$F:$F, $AL$1, Income!$B:$B, IF($AM87&lt;&gt;"", TEXT($AM87, "MMMM"), ""), Income!$C:$C, YEAR($AM87))+SUMIFS($T:$T, $U:$U,AQ$2,$Q:$Q,IF($AM87&lt;&gt;"", TEXT($AM87, "MMMM"), ""),$R:$R,YEAR($AM87))</f>
        <v>0</v>
      </c>
      <c r="AR87" s="464">
        <f>SUMIFS(Income!$G:$G,Income!$H:$H, AR$2,Income!$F:$F, $AL$1, Income!$B:$B, IF($AM87&lt;&gt;"", TEXT($AM87, "MMMM"), ""), Income!$C:$C, YEAR($AM87))+SUMIFS($T:$T, $U:$U,AR$2,$Q:$Q,IF($AM87&lt;&gt;"", TEXT($AM87, "MMMM"), ""),$R:$R,YEAR($AM87))</f>
        <v>0</v>
      </c>
      <c r="AS87" s="467">
        <f>SUMIFS(Income!$G:$G,Income!$H:$H, AS$2,Income!$F:$F, $AL$1, Income!$B:$B, IF($AM87&lt;&gt;"", TEXT($AM87, "MMMM"), ""), Income!$C:$C, YEAR($AM87))+SUMIFS($T:$T, $U:$U,AS$2,$Q:$Q,IF($AM87&lt;&gt;"", TEXT($AM87, "MMMM"), ""),$R:$R,YEAR($AM87))</f>
        <v>0</v>
      </c>
      <c r="AT87" s="407" t="s">
        <v>782</v>
      </c>
      <c r="AU87" s="463">
        <v>46388.0</v>
      </c>
      <c r="AV87" s="464">
        <f>SUMIFS(Income!$G:$G,Income!$H:$H, AV$2,Income!$F:$F, $AT$1, Income!$B:$B, IF($AU87&lt;&gt;"", TEXT($AU87, "MMMM"), ""), Income!$C:$C, YEAR($AU87))</f>
        <v>0</v>
      </c>
      <c r="AW87" s="464">
        <f>SUMIFS(Income!$G:$G,Income!$H:$H, AW$2,Income!$F:$F, $AT$1, Income!$B:$B, IF($AU87&lt;&gt;"", TEXT($AU87, "MMMM"), ""), Income!$C:$C, YEAR($AU87))</f>
        <v>0</v>
      </c>
      <c r="AX87" s="464">
        <f>SUMIFS(Income!$G:$G,Income!$H:$H, AX$2,Income!$F:$F, $AT$1, Income!$B:$B, IF($AU87&lt;&gt;"", TEXT($AU87, "MMMM"), ""), Income!$C:$C, YEAR($AU87))</f>
        <v>0</v>
      </c>
      <c r="AY87" s="464">
        <f>SUMIFS(Income!$G:$G,Income!$H:$H, AY$2,Income!$F:$F, $AT$1, Income!$B:$B, IF($AU87&lt;&gt;"", TEXT($AU87, "MMMM"), ""), Income!$C:$C, YEAR($AU87))</f>
        <v>0</v>
      </c>
      <c r="AZ87" s="464">
        <f>SUMIFS(Income!$G:$G,Income!$H:$H, AZ$2,Income!$F:$F, $AT$1, Income!$B:$B, IF($AU87&lt;&gt;"", TEXT($AU87, "MMMM"), ""), Income!$C:$C, YEAR($AU87))</f>
        <v>0</v>
      </c>
      <c r="BA87" s="468">
        <f>SUMIFS(Income!$G:$G,Income!$H:$H, BA$2,Income!$F:$F, $AT$1, Income!$B:$B, IF($AU87&lt;&gt;"", TEXT($AU87, "MMMM"), ""), Income!$C:$C, YEAR($AU87))</f>
        <v>0</v>
      </c>
      <c r="BB87" s="345"/>
      <c r="BC87" s="345"/>
      <c r="BD87" s="345"/>
      <c r="BE87" s="345"/>
    </row>
    <row r="88" ht="13.5" customHeight="1">
      <c r="A88" s="424">
        <f>'Membership Application List'!A317</f>
        <v>45513.54323</v>
      </c>
      <c r="B88" s="443" t="str">
        <f t="shared" si="6"/>
        <v>August</v>
      </c>
      <c r="C88" s="443">
        <f t="shared" si="7"/>
        <v>2024</v>
      </c>
      <c r="D88" s="426" t="str">
        <f>'Membership Application List'!E317</f>
        <v>Nick Hatcher</v>
      </c>
      <c r="E88" s="426">
        <f>IF('Membership Application List'!J317 = "Food/Litter Donation", 0, IF('Membership Application List'!J317 = "$15 Donation, Discord Verification", IF('Membership Application List'!N317 = TRUE, 15, 0)))</f>
        <v>15</v>
      </c>
      <c r="F88" s="426">
        <f>if('Membership Application List'!K317=TRUE, 5,0)</f>
        <v>0</v>
      </c>
      <c r="G88" s="426">
        <f t="shared" si="8"/>
        <v>15</v>
      </c>
      <c r="H88" s="427" t="str">
        <f>'Membership Application List'!L317</f>
        <v>Venmo</v>
      </c>
      <c r="I88" s="428"/>
      <c r="J88" s="463">
        <v>46419.0</v>
      </c>
      <c r="K88" s="464">
        <f t="shared" ref="K88:O88" si="46">SUMIFS($G:$G, $H:$H, K$2, $B:$B, IF($J88&lt;&gt;"", TEXT($J88, "MMMM"), ""), $C:$C, YEAR($J88))</f>
        <v>0</v>
      </c>
      <c r="L88" s="464">
        <f t="shared" si="46"/>
        <v>0</v>
      </c>
      <c r="M88" s="464">
        <f t="shared" si="46"/>
        <v>0</v>
      </c>
      <c r="N88" s="464">
        <f t="shared" si="46"/>
        <v>0</v>
      </c>
      <c r="O88" s="465">
        <f t="shared" si="46"/>
        <v>0</v>
      </c>
      <c r="P88" s="414"/>
      <c r="Q88" s="414"/>
      <c r="R88" s="414"/>
      <c r="S88" s="445"/>
      <c r="T88" s="445"/>
      <c r="U88" s="445"/>
      <c r="V88" s="428"/>
      <c r="W88" s="463">
        <v>46419.0</v>
      </c>
      <c r="X88" s="464">
        <f>SUMIFS(Income!$G:$G,Income!$H:$H, X$2,Income!$F:$F, $V$1, Income!$B:$B, IF($W88&lt;&gt;"", TEXT($W88, "MMMM"), ""), Income!$C:$C, YEAR($W88))</f>
        <v>0</v>
      </c>
      <c r="Y88" s="464">
        <f>SUMIFS(Income!$G:$G,Income!$H:$H, Y$2,Income!$F:$F, $V$1, Income!$B:$B, IF($W88&lt;&gt;"", TEXT($W88, "MMMM"), ""), Income!$C:$C, YEAR($W88))</f>
        <v>0</v>
      </c>
      <c r="Z88" s="464">
        <f>SUMIFS(Income!$G:$G,Income!$H:$H, Z$2,Income!$F:$F, $V$1, Income!$B:$B, IF($W88&lt;&gt;"", TEXT($W88, "MMMM"), ""), Income!$C:$C, YEAR($W88))</f>
        <v>0</v>
      </c>
      <c r="AA88" s="464">
        <f>SUMIFS(Income!$G:$G,Income!$H:$H, AA$2,Income!$F:$F, $V$1, Income!$B:$B, IF($W88&lt;&gt;"", TEXT($W88, "MMMM"), ""), Income!$C:$C, YEAR($W88))</f>
        <v>0</v>
      </c>
      <c r="AB88" s="464">
        <f>SUMIFS(Income!$G:$G,Income!$H:$H, AB$2,Income!$F:$F, $V$1, Income!$B:$B, IF($W88&lt;&gt;"", TEXT($W88, "MMMM"), ""), Income!$C:$C, YEAR($W88))</f>
        <v>0</v>
      </c>
      <c r="AC88" s="467">
        <f>SUMIFS(Income!$G:$G,Income!$H:$H, AC$2,Income!$F:$F, $V$1, Income!$B:$B, IF($W88&lt;&gt;"", TEXT($W88, "MMMM"), ""), Income!$C:$C, YEAR($W88))</f>
        <v>0</v>
      </c>
      <c r="AD88" s="428"/>
      <c r="AE88" s="463">
        <v>46419.0</v>
      </c>
      <c r="AF88" s="464">
        <f>SUMIFS(Income!$G:$G,Income!$H:$H, AF$2,Income!$F:$F, $AD$1, Income!$B:$B, IF($AE88&lt;&gt;"", TEXT($AE88, "MMMM"), ""), Income!$C:$C, YEAR($AE88))</f>
        <v>0</v>
      </c>
      <c r="AG88" s="464">
        <f>SUMIFS(Income!$G:$G,Income!$H:$H, AG$2,Income!$F:$F, $AD$1, Income!$B:$B, IF($AE88&lt;&gt;"", TEXT($AE88, "MMMM"), ""), Income!$C:$C, YEAR($AE88))</f>
        <v>0</v>
      </c>
      <c r="AH88" s="464">
        <f>SUMIFS(Income!$G:$G,Income!$H:$H, AH$2,Income!$F:$F, $AD$1, Income!$B:$B, IF($AE88&lt;&gt;"", TEXT($AE88, "MMMM"), ""), Income!$C:$C, YEAR($AE88))</f>
        <v>0</v>
      </c>
      <c r="AI88" s="464">
        <f>SUMIFS(Income!$G:$G,Income!$H:$H, AI$2,Income!$F:$F, $AD$1, Income!$B:$B, IF($AE88&lt;&gt;"", TEXT($AE88, "MMMM"), ""), Income!$C:$C, YEAR($AE88))</f>
        <v>0</v>
      </c>
      <c r="AJ88" s="464">
        <f>SUMIFS(Income!$G:$G,Income!$H:$H, AJ$2,Income!$F:$F, $AD$1, Income!$B:$B, IF($AE88&lt;&gt;"", TEXT($AE88, "MMMM"), ""), Income!$C:$C, YEAR($AE88))</f>
        <v>0</v>
      </c>
      <c r="AK88" s="467">
        <f>SUMIFS(Income!$G:$G,Income!$H:$H, AK$2,Income!$F:$F, $AD$1, Income!$B:$B, IF($AE88&lt;&gt;"", TEXT($AE88, "MMMM"), ""), Income!$C:$C, YEAR($AE88))</f>
        <v>0</v>
      </c>
      <c r="AL88" s="428"/>
      <c r="AM88" s="463">
        <v>46419.0</v>
      </c>
      <c r="AN88" s="464">
        <f>SUMIFS(Income!$G:$G,Income!$H:$H, AN$2,Income!$F:$F, $AL$1, Income!$B:$B, IF($AM88&lt;&gt;"", TEXT($AM88, "MMMM"), ""), Income!$C:$C, YEAR($AM88))+SUMIFS($T:$T, $U:$U,AN$2,$Q:$Q,IF($AM88&lt;&gt;"", TEXT($AM88, "MMMM"), ""),$R:$R,YEAR($AM88))</f>
        <v>0</v>
      </c>
      <c r="AO88" s="464">
        <f>SUMIFS(Income!$G:$G,Income!$H:$H, AO$2,Income!$F:$F, $AL$1, Income!$B:$B, IF($AM88&lt;&gt;"", TEXT($AM88, "MMMM"), ""), Income!$C:$C, YEAR($AM88))+SUMIFS($T:$T, $U:$U,AO$2,$Q:$Q,IF($AM88&lt;&gt;"", TEXT($AM88, "MMMM"), ""),$R:$R,YEAR($AM88))</f>
        <v>0</v>
      </c>
      <c r="AP88" s="464">
        <f>SUMIFS(Income!$G:$G,Income!$H:$H, AP$2,Income!$F:$F, $AL$1, Income!$B:$B, IF($AM88&lt;&gt;"", TEXT($AM88, "MMMM"), ""), Income!$C:$C, YEAR($AM88))+SUMIFS($T:$T, $U:$U,AP$2,$Q:$Q,IF($AM88&lt;&gt;"", TEXT($AM88, "MMMM"), ""),$R:$R,YEAR($AM88))</f>
        <v>0</v>
      </c>
      <c r="AQ88" s="464">
        <f>SUMIFS(Income!$G:$G,Income!$H:$H, AQ$2,Income!$F:$F, $AL$1, Income!$B:$B, IF($AM88&lt;&gt;"", TEXT($AM88, "MMMM"), ""), Income!$C:$C, YEAR($AM88))+SUMIFS($T:$T, $U:$U,AQ$2,$Q:$Q,IF($AM88&lt;&gt;"", TEXT($AM88, "MMMM"), ""),$R:$R,YEAR($AM88))</f>
        <v>0</v>
      </c>
      <c r="AR88" s="464">
        <f>SUMIFS(Income!$G:$G,Income!$H:$H, AR$2,Income!$F:$F, $AL$1, Income!$B:$B, IF($AM88&lt;&gt;"", TEXT($AM88, "MMMM"), ""), Income!$C:$C, YEAR($AM88))+SUMIFS($T:$T, $U:$U,AR$2,$Q:$Q,IF($AM88&lt;&gt;"", TEXT($AM88, "MMMM"), ""),$R:$R,YEAR($AM88))</f>
        <v>0</v>
      </c>
      <c r="AS88" s="467">
        <f>SUMIFS(Income!$G:$G,Income!$H:$H, AS$2,Income!$F:$F, $AL$1, Income!$B:$B, IF($AM88&lt;&gt;"", TEXT($AM88, "MMMM"), ""), Income!$C:$C, YEAR($AM88))+SUMIFS($T:$T, $U:$U,AS$2,$Q:$Q,IF($AM88&lt;&gt;"", TEXT($AM88, "MMMM"), ""),$R:$R,YEAR($AM88))</f>
        <v>0</v>
      </c>
      <c r="AT88" s="428"/>
      <c r="AU88" s="463">
        <v>46419.0</v>
      </c>
      <c r="AV88" s="464">
        <f>SUMIFS(Income!$G:$G,Income!$H:$H, AV$2,Income!$F:$F, $AT$1, Income!$B:$B, IF($AU88&lt;&gt;"", TEXT($AU88, "MMMM"), ""), Income!$C:$C, YEAR($AU88))</f>
        <v>0</v>
      </c>
      <c r="AW88" s="464">
        <f>SUMIFS(Income!$G:$G,Income!$H:$H, AW$2,Income!$F:$F, $AT$1, Income!$B:$B, IF($AU88&lt;&gt;"", TEXT($AU88, "MMMM"), ""), Income!$C:$C, YEAR($AU88))</f>
        <v>0</v>
      </c>
      <c r="AX88" s="464">
        <f>SUMIFS(Income!$G:$G,Income!$H:$H, AX$2,Income!$F:$F, $AT$1, Income!$B:$B, IF($AU88&lt;&gt;"", TEXT($AU88, "MMMM"), ""), Income!$C:$C, YEAR($AU88))</f>
        <v>0</v>
      </c>
      <c r="AY88" s="464">
        <f>SUMIFS(Income!$G:$G,Income!$H:$H, AY$2,Income!$F:$F, $AT$1, Income!$B:$B, IF($AU88&lt;&gt;"", TEXT($AU88, "MMMM"), ""), Income!$C:$C, YEAR($AU88))</f>
        <v>0</v>
      </c>
      <c r="AZ88" s="464">
        <f>SUMIFS(Income!$G:$G,Income!$H:$H, AZ$2,Income!$F:$F, $AT$1, Income!$B:$B, IF($AU88&lt;&gt;"", TEXT($AU88, "MMMM"), ""), Income!$C:$C, YEAR($AU88))</f>
        <v>0</v>
      </c>
      <c r="BA88" s="468">
        <f>SUMIFS(Income!$G:$G,Income!$H:$H, BA$2,Income!$F:$F, $AT$1, Income!$B:$B, IF($AU88&lt;&gt;"", TEXT($AU88, "MMMM"), ""), Income!$C:$C, YEAR($AU88))</f>
        <v>0</v>
      </c>
      <c r="BB88" s="345"/>
      <c r="BC88" s="345"/>
      <c r="BD88" s="345"/>
      <c r="BE88" s="345"/>
    </row>
    <row r="89" ht="13.5" customHeight="1">
      <c r="A89" s="436">
        <f>'Membership Application List'!A318</f>
        <v>45514.10856</v>
      </c>
      <c r="B89" s="437" t="str">
        <f t="shared" si="6"/>
        <v>August</v>
      </c>
      <c r="C89" s="437">
        <f t="shared" si="7"/>
        <v>2024</v>
      </c>
      <c r="D89" s="438" t="str">
        <f>'Membership Application List'!E318</f>
        <v>Kyra Crawford</v>
      </c>
      <c r="E89" s="438">
        <f>IF('Membership Application List'!J318 = "Food/Litter Donation", 0, IF('Membership Application List'!J318 = "$15 Donation, Discord Verification", IF('Membership Application List'!N318 = TRUE, 15, 0)))</f>
        <v>15</v>
      </c>
      <c r="F89" s="438">
        <f>if('Membership Application List'!K318=TRUE, 5,0)</f>
        <v>0</v>
      </c>
      <c r="G89" s="438">
        <f t="shared" si="8"/>
        <v>15</v>
      </c>
      <c r="H89" s="439" t="str">
        <f>'Membership Application List'!L318</f>
        <v>Cashapp</v>
      </c>
      <c r="I89" s="428"/>
      <c r="J89" s="463">
        <v>46447.0</v>
      </c>
      <c r="K89" s="464">
        <f t="shared" ref="K89:O89" si="47">SUMIFS($G:$G, $H:$H, K$2, $B:$B, IF($J89&lt;&gt;"", TEXT($J89, "MMMM"), ""), $C:$C, YEAR($J89))</f>
        <v>0</v>
      </c>
      <c r="L89" s="464">
        <f t="shared" si="47"/>
        <v>0</v>
      </c>
      <c r="M89" s="464">
        <f t="shared" si="47"/>
        <v>0</v>
      </c>
      <c r="N89" s="464">
        <f t="shared" si="47"/>
        <v>0</v>
      </c>
      <c r="O89" s="465">
        <f t="shared" si="47"/>
        <v>0</v>
      </c>
      <c r="P89" s="414"/>
      <c r="Q89" s="414"/>
      <c r="R89" s="414"/>
      <c r="S89" s="445"/>
      <c r="T89" s="445"/>
      <c r="U89" s="445"/>
      <c r="V89" s="428"/>
      <c r="W89" s="463">
        <v>46447.0</v>
      </c>
      <c r="X89" s="464">
        <f>SUMIFS(Income!$G:$G,Income!$H:$H, X$2,Income!$F:$F, $V$1, Income!$B:$B, IF($W89&lt;&gt;"", TEXT($W89, "MMMM"), ""), Income!$C:$C, YEAR($W89))</f>
        <v>0</v>
      </c>
      <c r="Y89" s="464">
        <f>SUMIFS(Income!$G:$G,Income!$H:$H, Y$2,Income!$F:$F, $V$1, Income!$B:$B, IF($W89&lt;&gt;"", TEXT($W89, "MMMM"), ""), Income!$C:$C, YEAR($W89))</f>
        <v>0</v>
      </c>
      <c r="Z89" s="464">
        <f>SUMIFS(Income!$G:$G,Income!$H:$H, Z$2,Income!$F:$F, $V$1, Income!$B:$B, IF($W89&lt;&gt;"", TEXT($W89, "MMMM"), ""), Income!$C:$C, YEAR($W89))</f>
        <v>0</v>
      </c>
      <c r="AA89" s="464">
        <f>SUMIFS(Income!$G:$G,Income!$H:$H, AA$2,Income!$F:$F, $V$1, Income!$B:$B, IF($W89&lt;&gt;"", TEXT($W89, "MMMM"), ""), Income!$C:$C, YEAR($W89))</f>
        <v>0</v>
      </c>
      <c r="AB89" s="464">
        <f>SUMIFS(Income!$G:$G,Income!$H:$H, AB$2,Income!$F:$F, $V$1, Income!$B:$B, IF($W89&lt;&gt;"", TEXT($W89, "MMMM"), ""), Income!$C:$C, YEAR($W89))</f>
        <v>0</v>
      </c>
      <c r="AC89" s="467">
        <f>SUMIFS(Income!$G:$G,Income!$H:$H, AC$2,Income!$F:$F, $V$1, Income!$B:$B, IF($W89&lt;&gt;"", TEXT($W89, "MMMM"), ""), Income!$C:$C, YEAR($W89))</f>
        <v>0</v>
      </c>
      <c r="AD89" s="428"/>
      <c r="AE89" s="463">
        <v>46447.0</v>
      </c>
      <c r="AF89" s="464">
        <f>SUMIFS(Income!$G:$G,Income!$H:$H, AF$2,Income!$F:$F, $AD$1, Income!$B:$B, IF($AE89&lt;&gt;"", TEXT($AE89, "MMMM"), ""), Income!$C:$C, YEAR($AE89))</f>
        <v>0</v>
      </c>
      <c r="AG89" s="464">
        <f>SUMIFS(Income!$G:$G,Income!$H:$H, AG$2,Income!$F:$F, $AD$1, Income!$B:$B, IF($AE89&lt;&gt;"", TEXT($AE89, "MMMM"), ""), Income!$C:$C, YEAR($AE89))</f>
        <v>0</v>
      </c>
      <c r="AH89" s="464">
        <f>SUMIFS(Income!$G:$G,Income!$H:$H, AH$2,Income!$F:$F, $AD$1, Income!$B:$B, IF($AE89&lt;&gt;"", TEXT($AE89, "MMMM"), ""), Income!$C:$C, YEAR($AE89))</f>
        <v>0</v>
      </c>
      <c r="AI89" s="464">
        <f>SUMIFS(Income!$G:$G,Income!$H:$H, AI$2,Income!$F:$F, $AD$1, Income!$B:$B, IF($AE89&lt;&gt;"", TEXT($AE89, "MMMM"), ""), Income!$C:$C, YEAR($AE89))</f>
        <v>0</v>
      </c>
      <c r="AJ89" s="464">
        <f>SUMIFS(Income!$G:$G,Income!$H:$H, AJ$2,Income!$F:$F, $AD$1, Income!$B:$B, IF($AE89&lt;&gt;"", TEXT($AE89, "MMMM"), ""), Income!$C:$C, YEAR($AE89))</f>
        <v>0</v>
      </c>
      <c r="AK89" s="467">
        <f>SUMIFS(Income!$G:$G,Income!$H:$H, AK$2,Income!$F:$F, $AD$1, Income!$B:$B, IF($AE89&lt;&gt;"", TEXT($AE89, "MMMM"), ""), Income!$C:$C, YEAR($AE89))</f>
        <v>0</v>
      </c>
      <c r="AL89" s="428"/>
      <c r="AM89" s="463">
        <v>46447.0</v>
      </c>
      <c r="AN89" s="464">
        <f>SUMIFS(Income!$G:$G,Income!$H:$H, AN$2,Income!$F:$F, $AL$1, Income!$B:$B, IF($AM89&lt;&gt;"", TEXT($AM89, "MMMM"), ""), Income!$C:$C, YEAR($AM89))+SUMIFS($T:$T, $U:$U,AN$2,$Q:$Q,IF($AM89&lt;&gt;"", TEXT($AM89, "MMMM"), ""),$R:$R,YEAR($AM89))</f>
        <v>0</v>
      </c>
      <c r="AO89" s="464">
        <f>SUMIFS(Income!$G:$G,Income!$H:$H, AO$2,Income!$F:$F, $AL$1, Income!$B:$B, IF($AM89&lt;&gt;"", TEXT($AM89, "MMMM"), ""), Income!$C:$C, YEAR($AM89))+SUMIFS($T:$T, $U:$U,AO$2,$Q:$Q,IF($AM89&lt;&gt;"", TEXT($AM89, "MMMM"), ""),$R:$R,YEAR($AM89))</f>
        <v>0</v>
      </c>
      <c r="AP89" s="464">
        <f>SUMIFS(Income!$G:$G,Income!$H:$H, AP$2,Income!$F:$F, $AL$1, Income!$B:$B, IF($AM89&lt;&gt;"", TEXT($AM89, "MMMM"), ""), Income!$C:$C, YEAR($AM89))+SUMIFS($T:$T, $U:$U,AP$2,$Q:$Q,IF($AM89&lt;&gt;"", TEXT($AM89, "MMMM"), ""),$R:$R,YEAR($AM89))</f>
        <v>0</v>
      </c>
      <c r="AQ89" s="464">
        <f>SUMIFS(Income!$G:$G,Income!$H:$H, AQ$2,Income!$F:$F, $AL$1, Income!$B:$B, IF($AM89&lt;&gt;"", TEXT($AM89, "MMMM"), ""), Income!$C:$C, YEAR($AM89))+SUMIFS($T:$T, $U:$U,AQ$2,$Q:$Q,IF($AM89&lt;&gt;"", TEXT($AM89, "MMMM"), ""),$R:$R,YEAR($AM89))</f>
        <v>0</v>
      </c>
      <c r="AR89" s="464">
        <f>SUMIFS(Income!$G:$G,Income!$H:$H, AR$2,Income!$F:$F, $AL$1, Income!$B:$B, IF($AM89&lt;&gt;"", TEXT($AM89, "MMMM"), ""), Income!$C:$C, YEAR($AM89))+SUMIFS($T:$T, $U:$U,AR$2,$Q:$Q,IF($AM89&lt;&gt;"", TEXT($AM89, "MMMM"), ""),$R:$R,YEAR($AM89))</f>
        <v>0</v>
      </c>
      <c r="AS89" s="467">
        <f>SUMIFS(Income!$G:$G,Income!$H:$H, AS$2,Income!$F:$F, $AL$1, Income!$B:$B, IF($AM89&lt;&gt;"", TEXT($AM89, "MMMM"), ""), Income!$C:$C, YEAR($AM89))+SUMIFS($T:$T, $U:$U,AS$2,$Q:$Q,IF($AM89&lt;&gt;"", TEXT($AM89, "MMMM"), ""),$R:$R,YEAR($AM89))</f>
        <v>0</v>
      </c>
      <c r="AT89" s="428"/>
      <c r="AU89" s="463">
        <v>46447.0</v>
      </c>
      <c r="AV89" s="464">
        <f>SUMIFS(Income!$G:$G,Income!$H:$H, AV$2,Income!$F:$F, $AT$1, Income!$B:$B, IF($AU89&lt;&gt;"", TEXT($AU89, "MMMM"), ""), Income!$C:$C, YEAR($AU89))</f>
        <v>0</v>
      </c>
      <c r="AW89" s="464">
        <f>SUMIFS(Income!$G:$G,Income!$H:$H, AW$2,Income!$F:$F, $AT$1, Income!$B:$B, IF($AU89&lt;&gt;"", TEXT($AU89, "MMMM"), ""), Income!$C:$C, YEAR($AU89))</f>
        <v>0</v>
      </c>
      <c r="AX89" s="464">
        <f>SUMIFS(Income!$G:$G,Income!$H:$H, AX$2,Income!$F:$F, $AT$1, Income!$B:$B, IF($AU89&lt;&gt;"", TEXT($AU89, "MMMM"), ""), Income!$C:$C, YEAR($AU89))</f>
        <v>0</v>
      </c>
      <c r="AY89" s="464">
        <f>SUMIFS(Income!$G:$G,Income!$H:$H, AY$2,Income!$F:$F, $AT$1, Income!$B:$B, IF($AU89&lt;&gt;"", TEXT($AU89, "MMMM"), ""), Income!$C:$C, YEAR($AU89))</f>
        <v>0</v>
      </c>
      <c r="AZ89" s="464">
        <f>SUMIFS(Income!$G:$G,Income!$H:$H, AZ$2,Income!$F:$F, $AT$1, Income!$B:$B, IF($AU89&lt;&gt;"", TEXT($AU89, "MMMM"), ""), Income!$C:$C, YEAR($AU89))</f>
        <v>0</v>
      </c>
      <c r="BA89" s="468">
        <f>SUMIFS(Income!$G:$G,Income!$H:$H, BA$2,Income!$F:$F, $AT$1, Income!$B:$B, IF($AU89&lt;&gt;"", TEXT($AU89, "MMMM"), ""), Income!$C:$C, YEAR($AU89))</f>
        <v>0</v>
      </c>
      <c r="BB89" s="345"/>
      <c r="BC89" s="345"/>
      <c r="BD89" s="345"/>
      <c r="BE89" s="345"/>
    </row>
    <row r="90" ht="13.5" customHeight="1">
      <c r="A90" s="424">
        <f>'Membership Application List'!A319</f>
        <v>45516.67635</v>
      </c>
      <c r="B90" s="443" t="str">
        <f t="shared" si="6"/>
        <v>August</v>
      </c>
      <c r="C90" s="443">
        <f t="shared" si="7"/>
        <v>2024</v>
      </c>
      <c r="D90" s="426" t="str">
        <f>'Membership Application List'!E319</f>
        <v>Marco Paessler</v>
      </c>
      <c r="E90" s="426">
        <f>IF('Membership Application List'!J319 = "Food/Litter Donation", 0, IF('Membership Application List'!J319 = "$15 Donation, Discord Verification", IF('Membership Application List'!N319 = TRUE, 15, 0)))</f>
        <v>15</v>
      </c>
      <c r="F90" s="426">
        <f>if('Membership Application List'!K319=TRUE, 5,0)</f>
        <v>0</v>
      </c>
      <c r="G90" s="426">
        <f t="shared" si="8"/>
        <v>15</v>
      </c>
      <c r="H90" s="427" t="str">
        <f>'Membership Application List'!L319</f>
        <v>Venmo</v>
      </c>
      <c r="I90" s="428"/>
      <c r="J90" s="463">
        <v>46478.0</v>
      </c>
      <c r="K90" s="464">
        <f t="shared" ref="K90:O90" si="48">SUMIFS($G:$G, $H:$H, K$2, $B:$B, IF($J90&lt;&gt;"", TEXT($J90, "MMMM"), ""), $C:$C, YEAR($J90))</f>
        <v>0</v>
      </c>
      <c r="L90" s="464">
        <f t="shared" si="48"/>
        <v>0</v>
      </c>
      <c r="M90" s="464">
        <f t="shared" si="48"/>
        <v>0</v>
      </c>
      <c r="N90" s="464">
        <f t="shared" si="48"/>
        <v>0</v>
      </c>
      <c r="O90" s="465">
        <f t="shared" si="48"/>
        <v>0</v>
      </c>
      <c r="P90" s="414"/>
      <c r="Q90" s="414"/>
      <c r="R90" s="414"/>
      <c r="S90" s="445"/>
      <c r="T90" s="445"/>
      <c r="U90" s="445"/>
      <c r="V90" s="428"/>
      <c r="W90" s="463">
        <v>46478.0</v>
      </c>
      <c r="X90" s="464">
        <f>SUMIFS(Income!$G:$G,Income!$H:$H, X$2,Income!$F:$F, $V$1, Income!$B:$B, IF($W90&lt;&gt;"", TEXT($W90, "MMMM"), ""), Income!$C:$C, YEAR($W90))</f>
        <v>0</v>
      </c>
      <c r="Y90" s="464">
        <f>SUMIFS(Income!$G:$G,Income!$H:$H, Y$2,Income!$F:$F, $V$1, Income!$B:$B, IF($W90&lt;&gt;"", TEXT($W90, "MMMM"), ""), Income!$C:$C, YEAR($W90))</f>
        <v>0</v>
      </c>
      <c r="Z90" s="464">
        <f>SUMIFS(Income!$G:$G,Income!$H:$H, Z$2,Income!$F:$F, $V$1, Income!$B:$B, IF($W90&lt;&gt;"", TEXT($W90, "MMMM"), ""), Income!$C:$C, YEAR($W90))</f>
        <v>0</v>
      </c>
      <c r="AA90" s="464">
        <f>SUMIFS(Income!$G:$G,Income!$H:$H, AA$2,Income!$F:$F, $V$1, Income!$B:$B, IF($W90&lt;&gt;"", TEXT($W90, "MMMM"), ""), Income!$C:$C, YEAR($W90))</f>
        <v>0</v>
      </c>
      <c r="AB90" s="464">
        <f>SUMIFS(Income!$G:$G,Income!$H:$H, AB$2,Income!$F:$F, $V$1, Income!$B:$B, IF($W90&lt;&gt;"", TEXT($W90, "MMMM"), ""), Income!$C:$C, YEAR($W90))</f>
        <v>0</v>
      </c>
      <c r="AC90" s="467">
        <f>SUMIFS(Income!$G:$G,Income!$H:$H, AC$2,Income!$F:$F, $V$1, Income!$B:$B, IF($W90&lt;&gt;"", TEXT($W90, "MMMM"), ""), Income!$C:$C, YEAR($W90))</f>
        <v>0</v>
      </c>
      <c r="AD90" s="428"/>
      <c r="AE90" s="463">
        <v>46478.0</v>
      </c>
      <c r="AF90" s="464">
        <f>SUMIFS(Income!$G:$G,Income!$H:$H, AF$2,Income!$F:$F, $AD$1, Income!$B:$B, IF($AE90&lt;&gt;"", TEXT($AE90, "MMMM"), ""), Income!$C:$C, YEAR($AE90))</f>
        <v>0</v>
      </c>
      <c r="AG90" s="464">
        <f>SUMIFS(Income!$G:$G,Income!$H:$H, AG$2,Income!$F:$F, $AD$1, Income!$B:$B, IF($AE90&lt;&gt;"", TEXT($AE90, "MMMM"), ""), Income!$C:$C, YEAR($AE90))</f>
        <v>0</v>
      </c>
      <c r="AH90" s="464">
        <f>SUMIFS(Income!$G:$G,Income!$H:$H, AH$2,Income!$F:$F, $AD$1, Income!$B:$B, IF($AE90&lt;&gt;"", TEXT($AE90, "MMMM"), ""), Income!$C:$C, YEAR($AE90))</f>
        <v>0</v>
      </c>
      <c r="AI90" s="464">
        <f>SUMIFS(Income!$G:$G,Income!$H:$H, AI$2,Income!$F:$F, $AD$1, Income!$B:$B, IF($AE90&lt;&gt;"", TEXT($AE90, "MMMM"), ""), Income!$C:$C, YEAR($AE90))</f>
        <v>0</v>
      </c>
      <c r="AJ90" s="464">
        <f>SUMIFS(Income!$G:$G,Income!$H:$H, AJ$2,Income!$F:$F, $AD$1, Income!$B:$B, IF($AE90&lt;&gt;"", TEXT($AE90, "MMMM"), ""), Income!$C:$C, YEAR($AE90))</f>
        <v>0</v>
      </c>
      <c r="AK90" s="467">
        <f>SUMIFS(Income!$G:$G,Income!$H:$H, AK$2,Income!$F:$F, $AD$1, Income!$B:$B, IF($AE90&lt;&gt;"", TEXT($AE90, "MMMM"), ""), Income!$C:$C, YEAR($AE90))</f>
        <v>0</v>
      </c>
      <c r="AL90" s="428"/>
      <c r="AM90" s="463">
        <v>46478.0</v>
      </c>
      <c r="AN90" s="464">
        <f>SUMIFS(Income!$G:$G,Income!$H:$H, AN$2,Income!$F:$F, $AL$1, Income!$B:$B, IF($AM90&lt;&gt;"", TEXT($AM90, "MMMM"), ""), Income!$C:$C, YEAR($AM90))+SUMIFS($T:$T, $U:$U,AN$2,$Q:$Q,IF($AM90&lt;&gt;"", TEXT($AM90, "MMMM"), ""),$R:$R,YEAR($AM90))</f>
        <v>0</v>
      </c>
      <c r="AO90" s="464">
        <f>SUMIFS(Income!$G:$G,Income!$H:$H, AO$2,Income!$F:$F, $AL$1, Income!$B:$B, IF($AM90&lt;&gt;"", TEXT($AM90, "MMMM"), ""), Income!$C:$C, YEAR($AM90))+SUMIFS($T:$T, $U:$U,AO$2,$Q:$Q,IF($AM90&lt;&gt;"", TEXT($AM90, "MMMM"), ""),$R:$R,YEAR($AM90))</f>
        <v>0</v>
      </c>
      <c r="AP90" s="464">
        <f>SUMIFS(Income!$G:$G,Income!$H:$H, AP$2,Income!$F:$F, $AL$1, Income!$B:$B, IF($AM90&lt;&gt;"", TEXT($AM90, "MMMM"), ""), Income!$C:$C, YEAR($AM90))+SUMIFS($T:$T, $U:$U,AP$2,$Q:$Q,IF($AM90&lt;&gt;"", TEXT($AM90, "MMMM"), ""),$R:$R,YEAR($AM90))</f>
        <v>0</v>
      </c>
      <c r="AQ90" s="464">
        <f>SUMIFS(Income!$G:$G,Income!$H:$H, AQ$2,Income!$F:$F, $AL$1, Income!$B:$B, IF($AM90&lt;&gt;"", TEXT($AM90, "MMMM"), ""), Income!$C:$C, YEAR($AM90))+SUMIFS($T:$T, $U:$U,AQ$2,$Q:$Q,IF($AM90&lt;&gt;"", TEXT($AM90, "MMMM"), ""),$R:$R,YEAR($AM90))</f>
        <v>0</v>
      </c>
      <c r="AR90" s="464">
        <f>SUMIFS(Income!$G:$G,Income!$H:$H, AR$2,Income!$F:$F, $AL$1, Income!$B:$B, IF($AM90&lt;&gt;"", TEXT($AM90, "MMMM"), ""), Income!$C:$C, YEAR($AM90))+SUMIFS($T:$T, $U:$U,AR$2,$Q:$Q,IF($AM90&lt;&gt;"", TEXT($AM90, "MMMM"), ""),$R:$R,YEAR($AM90))</f>
        <v>0</v>
      </c>
      <c r="AS90" s="467">
        <f>SUMIFS(Income!$G:$G,Income!$H:$H, AS$2,Income!$F:$F, $AL$1, Income!$B:$B, IF($AM90&lt;&gt;"", TEXT($AM90, "MMMM"), ""), Income!$C:$C, YEAR($AM90))+SUMIFS($T:$T, $U:$U,AS$2,$Q:$Q,IF($AM90&lt;&gt;"", TEXT($AM90, "MMMM"), ""),$R:$R,YEAR($AM90))</f>
        <v>0</v>
      </c>
      <c r="AT90" s="428"/>
      <c r="AU90" s="463">
        <v>46478.0</v>
      </c>
      <c r="AV90" s="464">
        <f>SUMIFS(Income!$G:$G,Income!$H:$H, AV$2,Income!$F:$F, $AT$1, Income!$B:$B, IF($AU90&lt;&gt;"", TEXT($AU90, "MMMM"), ""), Income!$C:$C, YEAR($AU90))</f>
        <v>0</v>
      </c>
      <c r="AW90" s="464">
        <f>SUMIFS(Income!$G:$G,Income!$H:$H, AW$2,Income!$F:$F, $AT$1, Income!$B:$B, IF($AU90&lt;&gt;"", TEXT($AU90, "MMMM"), ""), Income!$C:$C, YEAR($AU90))</f>
        <v>0</v>
      </c>
      <c r="AX90" s="464">
        <f>SUMIFS(Income!$G:$G,Income!$H:$H, AX$2,Income!$F:$F, $AT$1, Income!$B:$B, IF($AU90&lt;&gt;"", TEXT($AU90, "MMMM"), ""), Income!$C:$C, YEAR($AU90))</f>
        <v>0</v>
      </c>
      <c r="AY90" s="464">
        <f>SUMIFS(Income!$G:$G,Income!$H:$H, AY$2,Income!$F:$F, $AT$1, Income!$B:$B, IF($AU90&lt;&gt;"", TEXT($AU90, "MMMM"), ""), Income!$C:$C, YEAR($AU90))</f>
        <v>0</v>
      </c>
      <c r="AZ90" s="464">
        <f>SUMIFS(Income!$G:$G,Income!$H:$H, AZ$2,Income!$F:$F, $AT$1, Income!$B:$B, IF($AU90&lt;&gt;"", TEXT($AU90, "MMMM"), ""), Income!$C:$C, YEAR($AU90))</f>
        <v>0</v>
      </c>
      <c r="BA90" s="468">
        <f>SUMIFS(Income!$G:$G,Income!$H:$H, BA$2,Income!$F:$F, $AT$1, Income!$B:$B, IF($AU90&lt;&gt;"", TEXT($AU90, "MMMM"), ""), Income!$C:$C, YEAR($AU90))</f>
        <v>0</v>
      </c>
      <c r="BB90" s="345"/>
      <c r="BC90" s="345"/>
      <c r="BD90" s="345"/>
      <c r="BE90" s="345"/>
    </row>
    <row r="91" ht="13.5" customHeight="1">
      <c r="A91" s="436">
        <f>'Membership Application List'!A320</f>
        <v>45520.41372</v>
      </c>
      <c r="B91" s="437" t="str">
        <f t="shared" si="6"/>
        <v>August</v>
      </c>
      <c r="C91" s="437">
        <f t="shared" si="7"/>
        <v>2024</v>
      </c>
      <c r="D91" s="438" t="str">
        <f>'Membership Application List'!E320</f>
        <v>Jacob Sandoval</v>
      </c>
      <c r="E91" s="438">
        <f>IF('Membership Application List'!J320 = "Food/Litter Donation", 0, IF('Membership Application List'!J320 = "$15 Donation, Discord Verification", IF('Membership Application List'!N320 = TRUE, 15, 0)))</f>
        <v>15</v>
      </c>
      <c r="F91" s="438">
        <f>if('Membership Application List'!K320=TRUE, 5,0)</f>
        <v>0</v>
      </c>
      <c r="G91" s="438">
        <f t="shared" si="8"/>
        <v>15</v>
      </c>
      <c r="H91" s="439" t="str">
        <f>'Membership Application List'!L320</f>
        <v>Cashapp</v>
      </c>
      <c r="I91" s="428"/>
      <c r="J91" s="463">
        <v>46508.0</v>
      </c>
      <c r="K91" s="464">
        <f t="shared" ref="K91:O91" si="49">SUMIFS($G:$G, $H:$H, K$2, $B:$B, IF($J91&lt;&gt;"", TEXT($J91, "MMMM"), ""), $C:$C, YEAR($J91))</f>
        <v>0</v>
      </c>
      <c r="L91" s="464">
        <f t="shared" si="49"/>
        <v>0</v>
      </c>
      <c r="M91" s="464">
        <f t="shared" si="49"/>
        <v>0</v>
      </c>
      <c r="N91" s="464">
        <f t="shared" si="49"/>
        <v>0</v>
      </c>
      <c r="O91" s="465">
        <f t="shared" si="49"/>
        <v>0</v>
      </c>
      <c r="P91" s="414"/>
      <c r="Q91" s="414"/>
      <c r="R91" s="414"/>
      <c r="S91" s="445"/>
      <c r="T91" s="445"/>
      <c r="U91" s="445"/>
      <c r="V91" s="428"/>
      <c r="W91" s="463">
        <v>46508.0</v>
      </c>
      <c r="X91" s="464">
        <f>SUMIFS(Income!$G:$G,Income!$H:$H, X$2,Income!$F:$F, $V$1, Income!$B:$B, IF($W91&lt;&gt;"", TEXT($W91, "MMMM"), ""), Income!$C:$C, YEAR($W91))</f>
        <v>0</v>
      </c>
      <c r="Y91" s="464">
        <f>SUMIFS(Income!$G:$G,Income!$H:$H, Y$2,Income!$F:$F, $V$1, Income!$B:$B, IF($W91&lt;&gt;"", TEXT($W91, "MMMM"), ""), Income!$C:$C, YEAR($W91))</f>
        <v>0</v>
      </c>
      <c r="Z91" s="464">
        <f>SUMIFS(Income!$G:$G,Income!$H:$H, Z$2,Income!$F:$F, $V$1, Income!$B:$B, IF($W91&lt;&gt;"", TEXT($W91, "MMMM"), ""), Income!$C:$C, YEAR($W91))</f>
        <v>0</v>
      </c>
      <c r="AA91" s="464">
        <f>SUMIFS(Income!$G:$G,Income!$H:$H, AA$2,Income!$F:$F, $V$1, Income!$B:$B, IF($W91&lt;&gt;"", TEXT($W91, "MMMM"), ""), Income!$C:$C, YEAR($W91))</f>
        <v>0</v>
      </c>
      <c r="AB91" s="464">
        <f>SUMIFS(Income!$G:$G,Income!$H:$H, AB$2,Income!$F:$F, $V$1, Income!$B:$B, IF($W91&lt;&gt;"", TEXT($W91, "MMMM"), ""), Income!$C:$C, YEAR($W91))</f>
        <v>0</v>
      </c>
      <c r="AC91" s="467">
        <f>SUMIFS(Income!$G:$G,Income!$H:$H, AC$2,Income!$F:$F, $V$1, Income!$B:$B, IF($W91&lt;&gt;"", TEXT($W91, "MMMM"), ""), Income!$C:$C, YEAR($W91))</f>
        <v>0</v>
      </c>
      <c r="AD91" s="428"/>
      <c r="AE91" s="463">
        <v>46508.0</v>
      </c>
      <c r="AF91" s="464">
        <f>SUMIFS(Income!$G:$G,Income!$H:$H, AF$2,Income!$F:$F, $AD$1, Income!$B:$B, IF($AE91&lt;&gt;"", TEXT($AE91, "MMMM"), ""), Income!$C:$C, YEAR($AE91))</f>
        <v>0</v>
      </c>
      <c r="AG91" s="464">
        <f>SUMIFS(Income!$G:$G,Income!$H:$H, AG$2,Income!$F:$F, $AD$1, Income!$B:$B, IF($AE91&lt;&gt;"", TEXT($AE91, "MMMM"), ""), Income!$C:$C, YEAR($AE91))</f>
        <v>0</v>
      </c>
      <c r="AH91" s="464">
        <f>SUMIFS(Income!$G:$G,Income!$H:$H, AH$2,Income!$F:$F, $AD$1, Income!$B:$B, IF($AE91&lt;&gt;"", TEXT($AE91, "MMMM"), ""), Income!$C:$C, YEAR($AE91))</f>
        <v>0</v>
      </c>
      <c r="AI91" s="464">
        <f>SUMIFS(Income!$G:$G,Income!$H:$H, AI$2,Income!$F:$F, $AD$1, Income!$B:$B, IF($AE91&lt;&gt;"", TEXT($AE91, "MMMM"), ""), Income!$C:$C, YEAR($AE91))</f>
        <v>0</v>
      </c>
      <c r="AJ91" s="464">
        <f>SUMIFS(Income!$G:$G,Income!$H:$H, AJ$2,Income!$F:$F, $AD$1, Income!$B:$B, IF($AE91&lt;&gt;"", TEXT($AE91, "MMMM"), ""), Income!$C:$C, YEAR($AE91))</f>
        <v>0</v>
      </c>
      <c r="AK91" s="467">
        <f>SUMIFS(Income!$G:$G,Income!$H:$H, AK$2,Income!$F:$F, $AD$1, Income!$B:$B, IF($AE91&lt;&gt;"", TEXT($AE91, "MMMM"), ""), Income!$C:$C, YEAR($AE91))</f>
        <v>0</v>
      </c>
      <c r="AL91" s="428"/>
      <c r="AM91" s="463">
        <v>46508.0</v>
      </c>
      <c r="AN91" s="464">
        <f>SUMIFS(Income!$G:$G,Income!$H:$H, AN$2,Income!$F:$F, $AL$1, Income!$B:$B, IF($AM91&lt;&gt;"", TEXT($AM91, "MMMM"), ""), Income!$C:$C, YEAR($AM91))+SUMIFS($T:$T, $U:$U,AN$2,$Q:$Q,IF($AM91&lt;&gt;"", TEXT($AM91, "MMMM"), ""),$R:$R,YEAR($AM91))</f>
        <v>0</v>
      </c>
      <c r="AO91" s="464">
        <f>SUMIFS(Income!$G:$G,Income!$H:$H, AO$2,Income!$F:$F, $AL$1, Income!$B:$B, IF($AM91&lt;&gt;"", TEXT($AM91, "MMMM"), ""), Income!$C:$C, YEAR($AM91))+SUMIFS($T:$T, $U:$U,AO$2,$Q:$Q,IF($AM91&lt;&gt;"", TEXT($AM91, "MMMM"), ""),$R:$R,YEAR($AM91))</f>
        <v>0</v>
      </c>
      <c r="AP91" s="464">
        <f>SUMIFS(Income!$G:$G,Income!$H:$H, AP$2,Income!$F:$F, $AL$1, Income!$B:$B, IF($AM91&lt;&gt;"", TEXT($AM91, "MMMM"), ""), Income!$C:$C, YEAR($AM91))+SUMIFS($T:$T, $U:$U,AP$2,$Q:$Q,IF($AM91&lt;&gt;"", TEXT($AM91, "MMMM"), ""),$R:$R,YEAR($AM91))</f>
        <v>0</v>
      </c>
      <c r="AQ91" s="464">
        <f>SUMIFS(Income!$G:$G,Income!$H:$H, AQ$2,Income!$F:$F, $AL$1, Income!$B:$B, IF($AM91&lt;&gt;"", TEXT($AM91, "MMMM"), ""), Income!$C:$C, YEAR($AM91))+SUMIFS($T:$T, $U:$U,AQ$2,$Q:$Q,IF($AM91&lt;&gt;"", TEXT($AM91, "MMMM"), ""),$R:$R,YEAR($AM91))</f>
        <v>0</v>
      </c>
      <c r="AR91" s="464">
        <f>SUMIFS(Income!$G:$G,Income!$H:$H, AR$2,Income!$F:$F, $AL$1, Income!$B:$B, IF($AM91&lt;&gt;"", TEXT($AM91, "MMMM"), ""), Income!$C:$C, YEAR($AM91))+SUMIFS($T:$T, $U:$U,AR$2,$Q:$Q,IF($AM91&lt;&gt;"", TEXT($AM91, "MMMM"), ""),$R:$R,YEAR($AM91))</f>
        <v>0</v>
      </c>
      <c r="AS91" s="467">
        <f>SUMIFS(Income!$G:$G,Income!$H:$H, AS$2,Income!$F:$F, $AL$1, Income!$B:$B, IF($AM91&lt;&gt;"", TEXT($AM91, "MMMM"), ""), Income!$C:$C, YEAR($AM91))+SUMIFS($T:$T, $U:$U,AS$2,$Q:$Q,IF($AM91&lt;&gt;"", TEXT($AM91, "MMMM"), ""),$R:$R,YEAR($AM91))</f>
        <v>0</v>
      </c>
      <c r="AT91" s="428"/>
      <c r="AU91" s="463">
        <v>46508.0</v>
      </c>
      <c r="AV91" s="464">
        <f>SUMIFS(Income!$G:$G,Income!$H:$H, AV$2,Income!$F:$F, $AT$1, Income!$B:$B, IF($AU91&lt;&gt;"", TEXT($AU91, "MMMM"), ""), Income!$C:$C, YEAR($AU91))</f>
        <v>0</v>
      </c>
      <c r="AW91" s="464">
        <f>SUMIFS(Income!$G:$G,Income!$H:$H, AW$2,Income!$F:$F, $AT$1, Income!$B:$B, IF($AU91&lt;&gt;"", TEXT($AU91, "MMMM"), ""), Income!$C:$C, YEAR($AU91))</f>
        <v>0</v>
      </c>
      <c r="AX91" s="464">
        <f>SUMIFS(Income!$G:$G,Income!$H:$H, AX$2,Income!$F:$F, $AT$1, Income!$B:$B, IF($AU91&lt;&gt;"", TEXT($AU91, "MMMM"), ""), Income!$C:$C, YEAR($AU91))</f>
        <v>0</v>
      </c>
      <c r="AY91" s="464">
        <f>SUMIFS(Income!$G:$G,Income!$H:$H, AY$2,Income!$F:$F, $AT$1, Income!$B:$B, IF($AU91&lt;&gt;"", TEXT($AU91, "MMMM"), ""), Income!$C:$C, YEAR($AU91))</f>
        <v>0</v>
      </c>
      <c r="AZ91" s="464">
        <f>SUMIFS(Income!$G:$G,Income!$H:$H, AZ$2,Income!$F:$F, $AT$1, Income!$B:$B, IF($AU91&lt;&gt;"", TEXT($AU91, "MMMM"), ""), Income!$C:$C, YEAR($AU91))</f>
        <v>0</v>
      </c>
      <c r="BA91" s="468">
        <f>SUMIFS(Income!$G:$G,Income!$H:$H, BA$2,Income!$F:$F, $AT$1, Income!$B:$B, IF($AU91&lt;&gt;"", TEXT($AU91, "MMMM"), ""), Income!$C:$C, YEAR($AU91))</f>
        <v>0</v>
      </c>
      <c r="BB91" s="345"/>
      <c r="BC91" s="345"/>
      <c r="BD91" s="345"/>
      <c r="BE91" s="345"/>
    </row>
    <row r="92" ht="13.5" customHeight="1">
      <c r="A92" s="424">
        <f>'Membership Application List'!A321</f>
        <v>45521.89266</v>
      </c>
      <c r="B92" s="443" t="str">
        <f t="shared" si="6"/>
        <v>August</v>
      </c>
      <c r="C92" s="443">
        <f t="shared" si="7"/>
        <v>2024</v>
      </c>
      <c r="D92" s="426" t="str">
        <f>'Membership Application List'!E321</f>
        <v>Nicholas Ho</v>
      </c>
      <c r="E92" s="426">
        <f>IF('Membership Application List'!J321 = "Food/Litter Donation", 0, IF('Membership Application List'!J321 = "$15 Donation, Discord Verification", IF('Membership Application List'!N321 = TRUE, 15, 0)))</f>
        <v>15</v>
      </c>
      <c r="F92" s="426">
        <f>if('Membership Application List'!K321=TRUE, 5,0)</f>
        <v>0</v>
      </c>
      <c r="G92" s="426">
        <f t="shared" si="8"/>
        <v>15</v>
      </c>
      <c r="H92" s="427" t="str">
        <f>'Membership Application List'!L321</f>
        <v>Paypal</v>
      </c>
      <c r="I92" s="447" t="s">
        <v>783</v>
      </c>
      <c r="J92" s="463">
        <v>46539.0</v>
      </c>
      <c r="K92" s="464">
        <f t="shared" ref="K92:O92" si="50">SUMIFS($G:$G, $H:$H, K$2, $B:$B, IF($J92&lt;&gt;"", TEXT($J92, "MMMM"), ""), $C:$C, YEAR($J92))</f>
        <v>0</v>
      </c>
      <c r="L92" s="464">
        <f t="shared" si="50"/>
        <v>0</v>
      </c>
      <c r="M92" s="464">
        <f t="shared" si="50"/>
        <v>0</v>
      </c>
      <c r="N92" s="464">
        <f t="shared" si="50"/>
        <v>0</v>
      </c>
      <c r="O92" s="465">
        <f t="shared" si="50"/>
        <v>0</v>
      </c>
      <c r="P92" s="414"/>
      <c r="Q92" s="414"/>
      <c r="R92" s="414"/>
      <c r="S92" s="445"/>
      <c r="T92" s="445"/>
      <c r="U92" s="445"/>
      <c r="V92" s="447" t="s">
        <v>783</v>
      </c>
      <c r="W92" s="463">
        <v>46539.0</v>
      </c>
      <c r="X92" s="464">
        <f>SUMIFS(Income!$G:$G,Income!$H:$H, X$2,Income!$F:$F, $V$1, Income!$B:$B, IF($W92&lt;&gt;"", TEXT($W92, "MMMM"), ""), Income!$C:$C, YEAR($W92))</f>
        <v>0</v>
      </c>
      <c r="Y92" s="464">
        <f>SUMIFS(Income!$G:$G,Income!$H:$H, Y$2,Income!$F:$F, $V$1, Income!$B:$B, IF($W92&lt;&gt;"", TEXT($W92, "MMMM"), ""), Income!$C:$C, YEAR($W92))</f>
        <v>0</v>
      </c>
      <c r="Z92" s="464">
        <f>SUMIFS(Income!$G:$G,Income!$H:$H, Z$2,Income!$F:$F, $V$1, Income!$B:$B, IF($W92&lt;&gt;"", TEXT($W92, "MMMM"), ""), Income!$C:$C, YEAR($W92))</f>
        <v>0</v>
      </c>
      <c r="AA92" s="464">
        <f>SUMIFS(Income!$G:$G,Income!$H:$H, AA$2,Income!$F:$F, $V$1, Income!$B:$B, IF($W92&lt;&gt;"", TEXT($W92, "MMMM"), ""), Income!$C:$C, YEAR($W92))</f>
        <v>0</v>
      </c>
      <c r="AB92" s="464">
        <f>SUMIFS(Income!$G:$G,Income!$H:$H, AB$2,Income!$F:$F, $V$1, Income!$B:$B, IF($W92&lt;&gt;"", TEXT($W92, "MMMM"), ""), Income!$C:$C, YEAR($W92))</f>
        <v>0</v>
      </c>
      <c r="AC92" s="467">
        <f>SUMIFS(Income!$G:$G,Income!$H:$H, AC$2,Income!$F:$F, $V$1, Income!$B:$B, IF($W92&lt;&gt;"", TEXT($W92, "MMMM"), ""), Income!$C:$C, YEAR($W92))</f>
        <v>0</v>
      </c>
      <c r="AD92" s="447" t="s">
        <v>783</v>
      </c>
      <c r="AE92" s="463">
        <v>46539.0</v>
      </c>
      <c r="AF92" s="464">
        <f>SUMIFS(Income!$G:$G,Income!$H:$H, AF$2,Income!$F:$F, $AD$1, Income!$B:$B, IF($AE92&lt;&gt;"", TEXT($AE92, "MMMM"), ""), Income!$C:$C, YEAR($AE92))</f>
        <v>0</v>
      </c>
      <c r="AG92" s="464">
        <f>SUMIFS(Income!$G:$G,Income!$H:$H, AG$2,Income!$F:$F, $AD$1, Income!$B:$B, IF($AE92&lt;&gt;"", TEXT($AE92, "MMMM"), ""), Income!$C:$C, YEAR($AE92))</f>
        <v>0</v>
      </c>
      <c r="AH92" s="464">
        <f>SUMIFS(Income!$G:$G,Income!$H:$H, AH$2,Income!$F:$F, $AD$1, Income!$B:$B, IF($AE92&lt;&gt;"", TEXT($AE92, "MMMM"), ""), Income!$C:$C, YEAR($AE92))</f>
        <v>0</v>
      </c>
      <c r="AI92" s="464">
        <f>SUMIFS(Income!$G:$G,Income!$H:$H, AI$2,Income!$F:$F, $AD$1, Income!$B:$B, IF($AE92&lt;&gt;"", TEXT($AE92, "MMMM"), ""), Income!$C:$C, YEAR($AE92))</f>
        <v>0</v>
      </c>
      <c r="AJ92" s="464">
        <f>SUMIFS(Income!$G:$G,Income!$H:$H, AJ$2,Income!$F:$F, $AD$1, Income!$B:$B, IF($AE92&lt;&gt;"", TEXT($AE92, "MMMM"), ""), Income!$C:$C, YEAR($AE92))</f>
        <v>0</v>
      </c>
      <c r="AK92" s="467">
        <f>SUMIFS(Income!$G:$G,Income!$H:$H, AK$2,Income!$F:$F, $AD$1, Income!$B:$B, IF($AE92&lt;&gt;"", TEXT($AE92, "MMMM"), ""), Income!$C:$C, YEAR($AE92))</f>
        <v>0</v>
      </c>
      <c r="AL92" s="447" t="s">
        <v>783</v>
      </c>
      <c r="AM92" s="463">
        <v>46539.0</v>
      </c>
      <c r="AN92" s="464">
        <f>SUMIFS(Income!$G:$G,Income!$H:$H, AN$2,Income!$F:$F, $AL$1, Income!$B:$B, IF($AM92&lt;&gt;"", TEXT($AM92, "MMMM"), ""), Income!$C:$C, YEAR($AM92))+SUMIFS($T:$T, $U:$U,AN$2,$Q:$Q,IF($AM92&lt;&gt;"", TEXT($AM92, "MMMM"), ""),$R:$R,YEAR($AM92))</f>
        <v>0</v>
      </c>
      <c r="AO92" s="464">
        <f>SUMIFS(Income!$G:$G,Income!$H:$H, AO$2,Income!$F:$F, $AL$1, Income!$B:$B, IF($AM92&lt;&gt;"", TEXT($AM92, "MMMM"), ""), Income!$C:$C, YEAR($AM92))+SUMIFS($T:$T, $U:$U,AO$2,$Q:$Q,IF($AM92&lt;&gt;"", TEXT($AM92, "MMMM"), ""),$R:$R,YEAR($AM92))</f>
        <v>0</v>
      </c>
      <c r="AP92" s="464">
        <f>SUMIFS(Income!$G:$G,Income!$H:$H, AP$2,Income!$F:$F, $AL$1, Income!$B:$B, IF($AM92&lt;&gt;"", TEXT($AM92, "MMMM"), ""), Income!$C:$C, YEAR($AM92))+SUMIFS($T:$T, $U:$U,AP$2,$Q:$Q,IF($AM92&lt;&gt;"", TEXT($AM92, "MMMM"), ""),$R:$R,YEAR($AM92))</f>
        <v>0</v>
      </c>
      <c r="AQ92" s="464">
        <f>SUMIFS(Income!$G:$G,Income!$H:$H, AQ$2,Income!$F:$F, $AL$1, Income!$B:$B, IF($AM92&lt;&gt;"", TEXT($AM92, "MMMM"), ""), Income!$C:$C, YEAR($AM92))+SUMIFS($T:$T, $U:$U,AQ$2,$Q:$Q,IF($AM92&lt;&gt;"", TEXT($AM92, "MMMM"), ""),$R:$R,YEAR($AM92))</f>
        <v>0</v>
      </c>
      <c r="AR92" s="464">
        <f>SUMIFS(Income!$G:$G,Income!$H:$H, AR$2,Income!$F:$F, $AL$1, Income!$B:$B, IF($AM92&lt;&gt;"", TEXT($AM92, "MMMM"), ""), Income!$C:$C, YEAR($AM92))+SUMIFS($T:$T, $U:$U,AR$2,$Q:$Q,IF($AM92&lt;&gt;"", TEXT($AM92, "MMMM"), ""),$R:$R,YEAR($AM92))</f>
        <v>0</v>
      </c>
      <c r="AS92" s="467">
        <f>SUMIFS(Income!$G:$G,Income!$H:$H, AS$2,Income!$F:$F, $AL$1, Income!$B:$B, IF($AM92&lt;&gt;"", TEXT($AM92, "MMMM"), ""), Income!$C:$C, YEAR($AM92))+SUMIFS($T:$T, $U:$U,AS$2,$Q:$Q,IF($AM92&lt;&gt;"", TEXT($AM92, "MMMM"), ""),$R:$R,YEAR($AM92))</f>
        <v>0</v>
      </c>
      <c r="AT92" s="447" t="s">
        <v>783</v>
      </c>
      <c r="AU92" s="463">
        <v>46539.0</v>
      </c>
      <c r="AV92" s="464">
        <f>SUMIFS(Income!$G:$G,Income!$H:$H, AV$2,Income!$F:$F, $AT$1, Income!$B:$B, IF($AU92&lt;&gt;"", TEXT($AU92, "MMMM"), ""), Income!$C:$C, YEAR($AU92))</f>
        <v>0</v>
      </c>
      <c r="AW92" s="464">
        <f>SUMIFS(Income!$G:$G,Income!$H:$H, AW$2,Income!$F:$F, $AT$1, Income!$B:$B, IF($AU92&lt;&gt;"", TEXT($AU92, "MMMM"), ""), Income!$C:$C, YEAR($AU92))</f>
        <v>0</v>
      </c>
      <c r="AX92" s="464">
        <f>SUMIFS(Income!$G:$G,Income!$H:$H, AX$2,Income!$F:$F, $AT$1, Income!$B:$B, IF($AU92&lt;&gt;"", TEXT($AU92, "MMMM"), ""), Income!$C:$C, YEAR($AU92))</f>
        <v>0</v>
      </c>
      <c r="AY92" s="464">
        <f>SUMIFS(Income!$G:$G,Income!$H:$H, AY$2,Income!$F:$F, $AT$1, Income!$B:$B, IF($AU92&lt;&gt;"", TEXT($AU92, "MMMM"), ""), Income!$C:$C, YEAR($AU92))</f>
        <v>0</v>
      </c>
      <c r="AZ92" s="464">
        <f>SUMIFS(Income!$G:$G,Income!$H:$H, AZ$2,Income!$F:$F, $AT$1, Income!$B:$B, IF($AU92&lt;&gt;"", TEXT($AU92, "MMMM"), ""), Income!$C:$C, YEAR($AU92))</f>
        <v>0</v>
      </c>
      <c r="BA92" s="468">
        <f>SUMIFS(Income!$G:$G,Income!$H:$H, BA$2,Income!$F:$F, $AT$1, Income!$B:$B, IF($AU92&lt;&gt;"", TEXT($AU92, "MMMM"), ""), Income!$C:$C, YEAR($AU92))</f>
        <v>0</v>
      </c>
      <c r="BB92" s="345"/>
      <c r="BC92" s="345"/>
      <c r="BD92" s="345"/>
      <c r="BE92" s="345"/>
    </row>
    <row r="93" ht="13.5" customHeight="1">
      <c r="A93" s="436">
        <f>'Membership Application List'!A322</f>
        <v>45522.47786</v>
      </c>
      <c r="B93" s="437" t="str">
        <f t="shared" si="6"/>
        <v>August</v>
      </c>
      <c r="C93" s="437">
        <f t="shared" si="7"/>
        <v>2024</v>
      </c>
      <c r="D93" s="438" t="str">
        <f>'Membership Application List'!E322</f>
        <v>Ammar Mahmood</v>
      </c>
      <c r="E93" s="438">
        <f>IF('Membership Application List'!J322 = "Food/Litter Donation", 0, IF('Membership Application List'!J322 = "$15 Donation, Discord Verification", IF('Membership Application List'!N322 = TRUE, 15, 0)))</f>
        <v>15</v>
      </c>
      <c r="F93" s="438">
        <f>if('Membership Application List'!K322=TRUE, 5,0)</f>
        <v>0</v>
      </c>
      <c r="G93" s="438">
        <f t="shared" si="8"/>
        <v>15</v>
      </c>
      <c r="H93" s="439" t="str">
        <f>'Membership Application List'!L322</f>
        <v>Venmo</v>
      </c>
      <c r="I93" s="428"/>
      <c r="J93" s="463">
        <v>46569.0</v>
      </c>
      <c r="K93" s="464">
        <f t="shared" ref="K93:O93" si="51">SUMIFS($G:$G, $H:$H, K$2, $B:$B, IF($J93&lt;&gt;"", TEXT($J93, "MMMM"), ""), $C:$C, YEAR($J93))</f>
        <v>0</v>
      </c>
      <c r="L93" s="464">
        <f t="shared" si="51"/>
        <v>0</v>
      </c>
      <c r="M93" s="464">
        <f t="shared" si="51"/>
        <v>0</v>
      </c>
      <c r="N93" s="464">
        <f t="shared" si="51"/>
        <v>0</v>
      </c>
      <c r="O93" s="465">
        <f t="shared" si="51"/>
        <v>0</v>
      </c>
      <c r="P93" s="414"/>
      <c r="Q93" s="414"/>
      <c r="R93" s="414"/>
      <c r="S93" s="445"/>
      <c r="T93" s="445"/>
      <c r="U93" s="445"/>
      <c r="V93" s="428"/>
      <c r="W93" s="463">
        <v>46569.0</v>
      </c>
      <c r="X93" s="464">
        <f>SUMIFS(Income!$G:$G,Income!$H:$H, X$2,Income!$F:$F, $V$1, Income!$B:$B, IF($W93&lt;&gt;"", TEXT($W93, "MMMM"), ""), Income!$C:$C, YEAR($W93))</f>
        <v>0</v>
      </c>
      <c r="Y93" s="464">
        <f>SUMIFS(Income!$G:$G,Income!$H:$H, Y$2,Income!$F:$F, $V$1, Income!$B:$B, IF($W93&lt;&gt;"", TEXT($W93, "MMMM"), ""), Income!$C:$C, YEAR($W93))</f>
        <v>0</v>
      </c>
      <c r="Z93" s="464">
        <f>SUMIFS(Income!$G:$G,Income!$H:$H, Z$2,Income!$F:$F, $V$1, Income!$B:$B, IF($W93&lt;&gt;"", TEXT($W93, "MMMM"), ""), Income!$C:$C, YEAR($W93))</f>
        <v>0</v>
      </c>
      <c r="AA93" s="464">
        <f>SUMIFS(Income!$G:$G,Income!$H:$H, AA$2,Income!$F:$F, $V$1, Income!$B:$B, IF($W93&lt;&gt;"", TEXT($W93, "MMMM"), ""), Income!$C:$C, YEAR($W93))</f>
        <v>0</v>
      </c>
      <c r="AB93" s="464">
        <f>SUMIFS(Income!$G:$G,Income!$H:$H, AB$2,Income!$F:$F, $V$1, Income!$B:$B, IF($W93&lt;&gt;"", TEXT($W93, "MMMM"), ""), Income!$C:$C, YEAR($W93))</f>
        <v>0</v>
      </c>
      <c r="AC93" s="467">
        <f>SUMIFS(Income!$G:$G,Income!$H:$H, AC$2,Income!$F:$F, $V$1, Income!$B:$B, IF($W93&lt;&gt;"", TEXT($W93, "MMMM"), ""), Income!$C:$C, YEAR($W93))</f>
        <v>0</v>
      </c>
      <c r="AD93" s="428"/>
      <c r="AE93" s="463">
        <v>46569.0</v>
      </c>
      <c r="AF93" s="464">
        <f>SUMIFS(Income!$G:$G,Income!$H:$H, AF$2,Income!$F:$F, $AD$1, Income!$B:$B, IF($AE93&lt;&gt;"", TEXT($AE93, "MMMM"), ""), Income!$C:$C, YEAR($AE93))</f>
        <v>0</v>
      </c>
      <c r="AG93" s="464">
        <f>SUMIFS(Income!$G:$G,Income!$H:$H, AG$2,Income!$F:$F, $AD$1, Income!$B:$B, IF($AE93&lt;&gt;"", TEXT($AE93, "MMMM"), ""), Income!$C:$C, YEAR($AE93))</f>
        <v>0</v>
      </c>
      <c r="AH93" s="464">
        <f>SUMIFS(Income!$G:$G,Income!$H:$H, AH$2,Income!$F:$F, $AD$1, Income!$B:$B, IF($AE93&lt;&gt;"", TEXT($AE93, "MMMM"), ""), Income!$C:$C, YEAR($AE93))</f>
        <v>0</v>
      </c>
      <c r="AI93" s="464">
        <f>SUMIFS(Income!$G:$G,Income!$H:$H, AI$2,Income!$F:$F, $AD$1, Income!$B:$B, IF($AE93&lt;&gt;"", TEXT($AE93, "MMMM"), ""), Income!$C:$C, YEAR($AE93))</f>
        <v>0</v>
      </c>
      <c r="AJ93" s="464">
        <f>SUMIFS(Income!$G:$G,Income!$H:$H, AJ$2,Income!$F:$F, $AD$1, Income!$B:$B, IF($AE93&lt;&gt;"", TEXT($AE93, "MMMM"), ""), Income!$C:$C, YEAR($AE93))</f>
        <v>0</v>
      </c>
      <c r="AK93" s="467">
        <f>SUMIFS(Income!$G:$G,Income!$H:$H, AK$2,Income!$F:$F, $AD$1, Income!$B:$B, IF($AE93&lt;&gt;"", TEXT($AE93, "MMMM"), ""), Income!$C:$C, YEAR($AE93))</f>
        <v>0</v>
      </c>
      <c r="AL93" s="428"/>
      <c r="AM93" s="463">
        <v>46569.0</v>
      </c>
      <c r="AN93" s="464">
        <f>SUMIFS(Income!$G:$G,Income!$H:$H, AN$2,Income!$F:$F, $AL$1, Income!$B:$B, IF($AM93&lt;&gt;"", TEXT($AM93, "MMMM"), ""), Income!$C:$C, YEAR($AM93))+SUMIFS($T:$T, $U:$U,AN$2,$Q:$Q,IF($AM93&lt;&gt;"", TEXT($AM93, "MMMM"), ""),$R:$R,YEAR($AM93))</f>
        <v>0</v>
      </c>
      <c r="AO93" s="464">
        <f>SUMIFS(Income!$G:$G,Income!$H:$H, AO$2,Income!$F:$F, $AL$1, Income!$B:$B, IF($AM93&lt;&gt;"", TEXT($AM93, "MMMM"), ""), Income!$C:$C, YEAR($AM93))+SUMIFS($T:$T, $U:$U,AO$2,$Q:$Q,IF($AM93&lt;&gt;"", TEXT($AM93, "MMMM"), ""),$R:$R,YEAR($AM93))</f>
        <v>0</v>
      </c>
      <c r="AP93" s="464">
        <f>SUMIFS(Income!$G:$G,Income!$H:$H, AP$2,Income!$F:$F, $AL$1, Income!$B:$B, IF($AM93&lt;&gt;"", TEXT($AM93, "MMMM"), ""), Income!$C:$C, YEAR($AM93))+SUMIFS($T:$T, $U:$U,AP$2,$Q:$Q,IF($AM93&lt;&gt;"", TEXT($AM93, "MMMM"), ""),$R:$R,YEAR($AM93))</f>
        <v>0</v>
      </c>
      <c r="AQ93" s="464">
        <f>SUMIFS(Income!$G:$G,Income!$H:$H, AQ$2,Income!$F:$F, $AL$1, Income!$B:$B, IF($AM93&lt;&gt;"", TEXT($AM93, "MMMM"), ""), Income!$C:$C, YEAR($AM93))+SUMIFS($T:$T, $U:$U,AQ$2,$Q:$Q,IF($AM93&lt;&gt;"", TEXT($AM93, "MMMM"), ""),$R:$R,YEAR($AM93))</f>
        <v>0</v>
      </c>
      <c r="AR93" s="464">
        <f>SUMIFS(Income!$G:$G,Income!$H:$H, AR$2,Income!$F:$F, $AL$1, Income!$B:$B, IF($AM93&lt;&gt;"", TEXT($AM93, "MMMM"), ""), Income!$C:$C, YEAR($AM93))+SUMIFS($T:$T, $U:$U,AR$2,$Q:$Q,IF($AM93&lt;&gt;"", TEXT($AM93, "MMMM"), ""),$R:$R,YEAR($AM93))</f>
        <v>0</v>
      </c>
      <c r="AS93" s="467">
        <f>SUMIFS(Income!$G:$G,Income!$H:$H, AS$2,Income!$F:$F, $AL$1, Income!$B:$B, IF($AM93&lt;&gt;"", TEXT($AM93, "MMMM"), ""), Income!$C:$C, YEAR($AM93))+SUMIFS($T:$T, $U:$U,AS$2,$Q:$Q,IF($AM93&lt;&gt;"", TEXT($AM93, "MMMM"), ""),$R:$R,YEAR($AM93))</f>
        <v>0</v>
      </c>
      <c r="AT93" s="428"/>
      <c r="AU93" s="463">
        <v>46569.0</v>
      </c>
      <c r="AV93" s="464">
        <f>SUMIFS(Income!$G:$G,Income!$H:$H, AV$2,Income!$F:$F, $AT$1, Income!$B:$B, IF($AU93&lt;&gt;"", TEXT($AU93, "MMMM"), ""), Income!$C:$C, YEAR($AU93))</f>
        <v>0</v>
      </c>
      <c r="AW93" s="464">
        <f>SUMIFS(Income!$G:$G,Income!$H:$H, AW$2,Income!$F:$F, $AT$1, Income!$B:$B, IF($AU93&lt;&gt;"", TEXT($AU93, "MMMM"), ""), Income!$C:$C, YEAR($AU93))</f>
        <v>0</v>
      </c>
      <c r="AX93" s="464">
        <f>SUMIFS(Income!$G:$G,Income!$H:$H, AX$2,Income!$F:$F, $AT$1, Income!$B:$B, IF($AU93&lt;&gt;"", TEXT($AU93, "MMMM"), ""), Income!$C:$C, YEAR($AU93))</f>
        <v>0</v>
      </c>
      <c r="AY93" s="464">
        <f>SUMIFS(Income!$G:$G,Income!$H:$H, AY$2,Income!$F:$F, $AT$1, Income!$B:$B, IF($AU93&lt;&gt;"", TEXT($AU93, "MMMM"), ""), Income!$C:$C, YEAR($AU93))</f>
        <v>0</v>
      </c>
      <c r="AZ93" s="464">
        <f>SUMIFS(Income!$G:$G,Income!$H:$H, AZ$2,Income!$F:$F, $AT$1, Income!$B:$B, IF($AU93&lt;&gt;"", TEXT($AU93, "MMMM"), ""), Income!$C:$C, YEAR($AU93))</f>
        <v>0</v>
      </c>
      <c r="BA93" s="468">
        <f>SUMIFS(Income!$G:$G,Income!$H:$H, BA$2,Income!$F:$F, $AT$1, Income!$B:$B, IF($AU93&lt;&gt;"", TEXT($AU93, "MMMM"), ""), Income!$C:$C, YEAR($AU93))</f>
        <v>0</v>
      </c>
      <c r="BB93" s="345"/>
      <c r="BC93" s="345"/>
      <c r="BD93" s="345"/>
      <c r="BE93" s="345"/>
    </row>
    <row r="94" ht="13.5" customHeight="1">
      <c r="A94" s="424">
        <f>'Membership Application List'!A323</f>
        <v>45522.51132</v>
      </c>
      <c r="B94" s="443" t="str">
        <f t="shared" si="6"/>
        <v>August</v>
      </c>
      <c r="C94" s="443">
        <f t="shared" si="7"/>
        <v>2024</v>
      </c>
      <c r="D94" s="426" t="str">
        <f>'Membership Application List'!E323</f>
        <v>Valerie Martinez</v>
      </c>
      <c r="E94" s="426">
        <f>IF('Membership Application List'!J323 = "Food/Litter Donation", 0, IF('Membership Application List'!J323 = "$15 Donation, Discord Verification", IF('Membership Application List'!N323 = TRUE, 15, 0)))</f>
        <v>0</v>
      </c>
      <c r="F94" s="426">
        <f>if('Membership Application List'!K323=TRUE, 5,0)</f>
        <v>0</v>
      </c>
      <c r="G94" s="426">
        <f t="shared" si="8"/>
        <v>0</v>
      </c>
      <c r="H94" s="427" t="str">
        <f>'Membership Application List'!L323</f>
        <v>Cashapp</v>
      </c>
      <c r="I94" s="428"/>
      <c r="J94" s="463">
        <v>46600.0</v>
      </c>
      <c r="K94" s="464">
        <f t="shared" ref="K94:O94" si="52">SUMIFS($G:$G, $H:$H, K$2, $B:$B, IF($J94&lt;&gt;"", TEXT($J94, "MMMM"), ""), $C:$C, YEAR($J94))</f>
        <v>0</v>
      </c>
      <c r="L94" s="464">
        <f t="shared" si="52"/>
        <v>0</v>
      </c>
      <c r="M94" s="464">
        <f t="shared" si="52"/>
        <v>0</v>
      </c>
      <c r="N94" s="464">
        <f t="shared" si="52"/>
        <v>0</v>
      </c>
      <c r="O94" s="465">
        <f t="shared" si="52"/>
        <v>0</v>
      </c>
      <c r="P94" s="414"/>
      <c r="Q94" s="414"/>
      <c r="R94" s="414"/>
      <c r="S94" s="445"/>
      <c r="T94" s="445"/>
      <c r="U94" s="445"/>
      <c r="V94" s="428"/>
      <c r="W94" s="463">
        <v>46600.0</v>
      </c>
      <c r="X94" s="464">
        <f>SUMIFS(Income!$G:$G,Income!$H:$H, X$2,Income!$F:$F, $V$1, Income!$B:$B, IF($W94&lt;&gt;"", TEXT($W94, "MMMM"), ""), Income!$C:$C, YEAR($W94))</f>
        <v>0</v>
      </c>
      <c r="Y94" s="464">
        <f>SUMIFS(Income!$G:$G,Income!$H:$H, Y$2,Income!$F:$F, $V$1, Income!$B:$B, IF($W94&lt;&gt;"", TEXT($W94, "MMMM"), ""), Income!$C:$C, YEAR($W94))</f>
        <v>0</v>
      </c>
      <c r="Z94" s="464">
        <f>SUMIFS(Income!$G:$G,Income!$H:$H, Z$2,Income!$F:$F, $V$1, Income!$B:$B, IF($W94&lt;&gt;"", TEXT($W94, "MMMM"), ""), Income!$C:$C, YEAR($W94))</f>
        <v>0</v>
      </c>
      <c r="AA94" s="464">
        <f>SUMIFS(Income!$G:$G,Income!$H:$H, AA$2,Income!$F:$F, $V$1, Income!$B:$B, IF($W94&lt;&gt;"", TEXT($W94, "MMMM"), ""), Income!$C:$C, YEAR($W94))</f>
        <v>0</v>
      </c>
      <c r="AB94" s="464">
        <f>SUMIFS(Income!$G:$G,Income!$H:$H, AB$2,Income!$F:$F, $V$1, Income!$B:$B, IF($W94&lt;&gt;"", TEXT($W94, "MMMM"), ""), Income!$C:$C, YEAR($W94))</f>
        <v>0</v>
      </c>
      <c r="AC94" s="467">
        <f>SUMIFS(Income!$G:$G,Income!$H:$H, AC$2,Income!$F:$F, $V$1, Income!$B:$B, IF($W94&lt;&gt;"", TEXT($W94, "MMMM"), ""), Income!$C:$C, YEAR($W94))</f>
        <v>0</v>
      </c>
      <c r="AD94" s="428"/>
      <c r="AE94" s="463">
        <v>46600.0</v>
      </c>
      <c r="AF94" s="464">
        <f>SUMIFS(Income!$G:$G,Income!$H:$H, AF$2,Income!$F:$F, $AD$1, Income!$B:$B, IF($AE94&lt;&gt;"", TEXT($AE94, "MMMM"), ""), Income!$C:$C, YEAR($AE94))</f>
        <v>0</v>
      </c>
      <c r="AG94" s="464">
        <f>SUMIFS(Income!$G:$G,Income!$H:$H, AG$2,Income!$F:$F, $AD$1, Income!$B:$B, IF($AE94&lt;&gt;"", TEXT($AE94, "MMMM"), ""), Income!$C:$C, YEAR($AE94))</f>
        <v>0</v>
      </c>
      <c r="AH94" s="464">
        <f>SUMIFS(Income!$G:$G,Income!$H:$H, AH$2,Income!$F:$F, $AD$1, Income!$B:$B, IF($AE94&lt;&gt;"", TEXT($AE94, "MMMM"), ""), Income!$C:$C, YEAR($AE94))</f>
        <v>0</v>
      </c>
      <c r="AI94" s="464">
        <f>SUMIFS(Income!$G:$G,Income!$H:$H, AI$2,Income!$F:$F, $AD$1, Income!$B:$B, IF($AE94&lt;&gt;"", TEXT($AE94, "MMMM"), ""), Income!$C:$C, YEAR($AE94))</f>
        <v>0</v>
      </c>
      <c r="AJ94" s="464">
        <f>SUMIFS(Income!$G:$G,Income!$H:$H, AJ$2,Income!$F:$F, $AD$1, Income!$B:$B, IF($AE94&lt;&gt;"", TEXT($AE94, "MMMM"), ""), Income!$C:$C, YEAR($AE94))</f>
        <v>0</v>
      </c>
      <c r="AK94" s="467">
        <f>SUMIFS(Income!$G:$G,Income!$H:$H, AK$2,Income!$F:$F, $AD$1, Income!$B:$B, IF($AE94&lt;&gt;"", TEXT($AE94, "MMMM"), ""), Income!$C:$C, YEAR($AE94))</f>
        <v>0</v>
      </c>
      <c r="AL94" s="428"/>
      <c r="AM94" s="463">
        <v>46600.0</v>
      </c>
      <c r="AN94" s="464">
        <f>SUMIFS(Income!$G:$G,Income!$H:$H, AN$2,Income!$F:$F, $AL$1, Income!$B:$B, IF($AM94&lt;&gt;"", TEXT($AM94, "MMMM"), ""), Income!$C:$C, YEAR($AM94))+SUMIFS($T:$T, $U:$U,AN$2,$Q:$Q,IF($AM94&lt;&gt;"", TEXT($AM94, "MMMM"), ""),$R:$R,YEAR($AM94))</f>
        <v>0</v>
      </c>
      <c r="AO94" s="464">
        <f>SUMIFS(Income!$G:$G,Income!$H:$H, AO$2,Income!$F:$F, $AL$1, Income!$B:$B, IF($AM94&lt;&gt;"", TEXT($AM94, "MMMM"), ""), Income!$C:$C, YEAR($AM94))+SUMIFS($T:$T, $U:$U,AO$2,$Q:$Q,IF($AM94&lt;&gt;"", TEXT($AM94, "MMMM"), ""),$R:$R,YEAR($AM94))</f>
        <v>0</v>
      </c>
      <c r="AP94" s="464">
        <f>SUMIFS(Income!$G:$G,Income!$H:$H, AP$2,Income!$F:$F, $AL$1, Income!$B:$B, IF($AM94&lt;&gt;"", TEXT($AM94, "MMMM"), ""), Income!$C:$C, YEAR($AM94))+SUMIFS($T:$T, $U:$U,AP$2,$Q:$Q,IF($AM94&lt;&gt;"", TEXT($AM94, "MMMM"), ""),$R:$R,YEAR($AM94))</f>
        <v>0</v>
      </c>
      <c r="AQ94" s="464">
        <f>SUMIFS(Income!$G:$G,Income!$H:$H, AQ$2,Income!$F:$F, $AL$1, Income!$B:$B, IF($AM94&lt;&gt;"", TEXT($AM94, "MMMM"), ""), Income!$C:$C, YEAR($AM94))+SUMIFS($T:$T, $U:$U,AQ$2,$Q:$Q,IF($AM94&lt;&gt;"", TEXT($AM94, "MMMM"), ""),$R:$R,YEAR($AM94))</f>
        <v>0</v>
      </c>
      <c r="AR94" s="464">
        <f>SUMIFS(Income!$G:$G,Income!$H:$H, AR$2,Income!$F:$F, $AL$1, Income!$B:$B, IF($AM94&lt;&gt;"", TEXT($AM94, "MMMM"), ""), Income!$C:$C, YEAR($AM94))+SUMIFS($T:$T, $U:$U,AR$2,$Q:$Q,IF($AM94&lt;&gt;"", TEXT($AM94, "MMMM"), ""),$R:$R,YEAR($AM94))</f>
        <v>0</v>
      </c>
      <c r="AS94" s="467">
        <f>SUMIFS(Income!$G:$G,Income!$H:$H, AS$2,Income!$F:$F, $AL$1, Income!$B:$B, IF($AM94&lt;&gt;"", TEXT($AM94, "MMMM"), ""), Income!$C:$C, YEAR($AM94))+SUMIFS($T:$T, $U:$U,AS$2,$Q:$Q,IF($AM94&lt;&gt;"", TEXT($AM94, "MMMM"), ""),$R:$R,YEAR($AM94))</f>
        <v>0</v>
      </c>
      <c r="AT94" s="428"/>
      <c r="AU94" s="463">
        <v>46600.0</v>
      </c>
      <c r="AV94" s="464">
        <f>SUMIFS(Income!$G:$G,Income!$H:$H, AV$2,Income!$F:$F, $AT$1, Income!$B:$B, IF($AU94&lt;&gt;"", TEXT($AU94, "MMMM"), ""), Income!$C:$C, YEAR($AU94))</f>
        <v>0</v>
      </c>
      <c r="AW94" s="464">
        <f>SUMIFS(Income!$G:$G,Income!$H:$H, AW$2,Income!$F:$F, $AT$1, Income!$B:$B, IF($AU94&lt;&gt;"", TEXT($AU94, "MMMM"), ""), Income!$C:$C, YEAR($AU94))</f>
        <v>0</v>
      </c>
      <c r="AX94" s="464">
        <f>SUMIFS(Income!$G:$G,Income!$H:$H, AX$2,Income!$F:$F, $AT$1, Income!$B:$B, IF($AU94&lt;&gt;"", TEXT($AU94, "MMMM"), ""), Income!$C:$C, YEAR($AU94))</f>
        <v>0</v>
      </c>
      <c r="AY94" s="464">
        <f>SUMIFS(Income!$G:$G,Income!$H:$H, AY$2,Income!$F:$F, $AT$1, Income!$B:$B, IF($AU94&lt;&gt;"", TEXT($AU94, "MMMM"), ""), Income!$C:$C, YEAR($AU94))</f>
        <v>0</v>
      </c>
      <c r="AZ94" s="464">
        <f>SUMIFS(Income!$G:$G,Income!$H:$H, AZ$2,Income!$F:$F, $AT$1, Income!$B:$B, IF($AU94&lt;&gt;"", TEXT($AU94, "MMMM"), ""), Income!$C:$C, YEAR($AU94))</f>
        <v>0</v>
      </c>
      <c r="BA94" s="468">
        <f>SUMIFS(Income!$G:$G,Income!$H:$H, BA$2,Income!$F:$F, $AT$1, Income!$B:$B, IF($AU94&lt;&gt;"", TEXT($AU94, "MMMM"), ""), Income!$C:$C, YEAR($AU94))</f>
        <v>0</v>
      </c>
      <c r="BB94" s="345"/>
      <c r="BC94" s="345"/>
      <c r="BD94" s="345"/>
      <c r="BE94" s="345"/>
    </row>
    <row r="95" ht="13.5" customHeight="1">
      <c r="A95" s="436">
        <f>'Membership Application List'!A324</f>
        <v>45522.51146</v>
      </c>
      <c r="B95" s="437" t="str">
        <f t="shared" si="6"/>
        <v>August</v>
      </c>
      <c r="C95" s="437">
        <f t="shared" si="7"/>
        <v>2024</v>
      </c>
      <c r="D95" s="438" t="str">
        <f>'Membership Application List'!E324</f>
        <v>Jane Wang</v>
      </c>
      <c r="E95" s="438">
        <f>IF('Membership Application List'!J324 = "Food/Litter Donation", 0, IF('Membership Application List'!J324 = "$15 Donation, Discord Verification", IF('Membership Application List'!N324 = TRUE, 15, 0)))</f>
        <v>15</v>
      </c>
      <c r="F95" s="438">
        <f>if('Membership Application List'!K324=TRUE, 5,0)</f>
        <v>0</v>
      </c>
      <c r="G95" s="438">
        <f t="shared" si="8"/>
        <v>15</v>
      </c>
      <c r="H95" s="439" t="str">
        <f>'Membership Application List'!L324</f>
        <v>Venmo</v>
      </c>
      <c r="I95" s="428"/>
      <c r="J95" s="463">
        <v>46631.0</v>
      </c>
      <c r="K95" s="464">
        <f t="shared" ref="K95:O95" si="53">SUMIFS($G:$G, $H:$H, K$2, $B:$B, IF($J95&lt;&gt;"", TEXT($J95, "MMMM"), ""), $C:$C, YEAR($J95))</f>
        <v>0</v>
      </c>
      <c r="L95" s="464">
        <f t="shared" si="53"/>
        <v>0</v>
      </c>
      <c r="M95" s="464">
        <f t="shared" si="53"/>
        <v>0</v>
      </c>
      <c r="N95" s="464">
        <f t="shared" si="53"/>
        <v>0</v>
      </c>
      <c r="O95" s="465">
        <f t="shared" si="53"/>
        <v>0</v>
      </c>
      <c r="P95" s="414"/>
      <c r="Q95" s="414"/>
      <c r="R95" s="414"/>
      <c r="S95" s="445"/>
      <c r="T95" s="445"/>
      <c r="U95" s="445"/>
      <c r="V95" s="428"/>
      <c r="W95" s="463">
        <v>46631.0</v>
      </c>
      <c r="X95" s="464">
        <f>SUMIFS(Income!$G:$G,Income!$H:$H, X$2,Income!$F:$F, $V$1, Income!$B:$B, IF($W95&lt;&gt;"", TEXT($W95, "MMMM"), ""), Income!$C:$C, YEAR($W95))</f>
        <v>0</v>
      </c>
      <c r="Y95" s="464">
        <f>SUMIFS(Income!$G:$G,Income!$H:$H, Y$2,Income!$F:$F, $V$1, Income!$B:$B, IF($W95&lt;&gt;"", TEXT($W95, "MMMM"), ""), Income!$C:$C, YEAR($W95))</f>
        <v>0</v>
      </c>
      <c r="Z95" s="464">
        <f>SUMIFS(Income!$G:$G,Income!$H:$H, Z$2,Income!$F:$F, $V$1, Income!$B:$B, IF($W95&lt;&gt;"", TEXT($W95, "MMMM"), ""), Income!$C:$C, YEAR($W95))</f>
        <v>0</v>
      </c>
      <c r="AA95" s="464">
        <f>SUMIFS(Income!$G:$G,Income!$H:$H, AA$2,Income!$F:$F, $V$1, Income!$B:$B, IF($W95&lt;&gt;"", TEXT($W95, "MMMM"), ""), Income!$C:$C, YEAR($W95))</f>
        <v>0</v>
      </c>
      <c r="AB95" s="464">
        <f>SUMIFS(Income!$G:$G,Income!$H:$H, AB$2,Income!$F:$F, $V$1, Income!$B:$B, IF($W95&lt;&gt;"", TEXT($W95, "MMMM"), ""), Income!$C:$C, YEAR($W95))</f>
        <v>0</v>
      </c>
      <c r="AC95" s="467">
        <f>SUMIFS(Income!$G:$G,Income!$H:$H, AC$2,Income!$F:$F, $V$1, Income!$B:$B, IF($W95&lt;&gt;"", TEXT($W95, "MMMM"), ""), Income!$C:$C, YEAR($W95))</f>
        <v>0</v>
      </c>
      <c r="AD95" s="428"/>
      <c r="AE95" s="463">
        <v>46631.0</v>
      </c>
      <c r="AF95" s="464">
        <f>SUMIFS(Income!$G:$G,Income!$H:$H, AF$2,Income!$F:$F, $AD$1, Income!$B:$B, IF($AE95&lt;&gt;"", TEXT($AE95, "MMMM"), ""), Income!$C:$C, YEAR($AE95))</f>
        <v>0</v>
      </c>
      <c r="AG95" s="464">
        <f>SUMIFS(Income!$G:$G,Income!$H:$H, AG$2,Income!$F:$F, $AD$1, Income!$B:$B, IF($AE95&lt;&gt;"", TEXT($AE95, "MMMM"), ""), Income!$C:$C, YEAR($AE95))</f>
        <v>0</v>
      </c>
      <c r="AH95" s="464">
        <f>SUMIFS(Income!$G:$G,Income!$H:$H, AH$2,Income!$F:$F, $AD$1, Income!$B:$B, IF($AE95&lt;&gt;"", TEXT($AE95, "MMMM"), ""), Income!$C:$C, YEAR($AE95))</f>
        <v>0</v>
      </c>
      <c r="AI95" s="464">
        <f>SUMIFS(Income!$G:$G,Income!$H:$H, AI$2,Income!$F:$F, $AD$1, Income!$B:$B, IF($AE95&lt;&gt;"", TEXT($AE95, "MMMM"), ""), Income!$C:$C, YEAR($AE95))</f>
        <v>0</v>
      </c>
      <c r="AJ95" s="464">
        <f>SUMIFS(Income!$G:$G,Income!$H:$H, AJ$2,Income!$F:$F, $AD$1, Income!$B:$B, IF($AE95&lt;&gt;"", TEXT($AE95, "MMMM"), ""), Income!$C:$C, YEAR($AE95))</f>
        <v>0</v>
      </c>
      <c r="AK95" s="467">
        <f>SUMIFS(Income!$G:$G,Income!$H:$H, AK$2,Income!$F:$F, $AD$1, Income!$B:$B, IF($AE95&lt;&gt;"", TEXT($AE95, "MMMM"), ""), Income!$C:$C, YEAR($AE95))</f>
        <v>0</v>
      </c>
      <c r="AL95" s="428"/>
      <c r="AM95" s="463">
        <v>46631.0</v>
      </c>
      <c r="AN95" s="464">
        <f>SUMIFS(Income!$G:$G,Income!$H:$H, AN$2,Income!$F:$F, $AL$1, Income!$B:$B, IF($AM95&lt;&gt;"", TEXT($AM95, "MMMM"), ""), Income!$C:$C, YEAR($AM95))+SUMIFS($T:$T, $U:$U,AN$2,$Q:$Q,IF($AM95&lt;&gt;"", TEXT($AM95, "MMMM"), ""),$R:$R,YEAR($AM95))</f>
        <v>0</v>
      </c>
      <c r="AO95" s="464">
        <f>SUMIFS(Income!$G:$G,Income!$H:$H, AO$2,Income!$F:$F, $AL$1, Income!$B:$B, IF($AM95&lt;&gt;"", TEXT($AM95, "MMMM"), ""), Income!$C:$C, YEAR($AM95))+SUMIFS($T:$T, $U:$U,AO$2,$Q:$Q,IF($AM95&lt;&gt;"", TEXT($AM95, "MMMM"), ""),$R:$R,YEAR($AM95))</f>
        <v>0</v>
      </c>
      <c r="AP95" s="464">
        <f>SUMIFS(Income!$G:$G,Income!$H:$H, AP$2,Income!$F:$F, $AL$1, Income!$B:$B, IF($AM95&lt;&gt;"", TEXT($AM95, "MMMM"), ""), Income!$C:$C, YEAR($AM95))+SUMIFS($T:$T, $U:$U,AP$2,$Q:$Q,IF($AM95&lt;&gt;"", TEXT($AM95, "MMMM"), ""),$R:$R,YEAR($AM95))</f>
        <v>0</v>
      </c>
      <c r="AQ95" s="464">
        <f>SUMIFS(Income!$G:$G,Income!$H:$H, AQ$2,Income!$F:$F, $AL$1, Income!$B:$B, IF($AM95&lt;&gt;"", TEXT($AM95, "MMMM"), ""), Income!$C:$C, YEAR($AM95))+SUMIFS($T:$T, $U:$U,AQ$2,$Q:$Q,IF($AM95&lt;&gt;"", TEXT($AM95, "MMMM"), ""),$R:$R,YEAR($AM95))</f>
        <v>0</v>
      </c>
      <c r="AR95" s="464">
        <f>SUMIFS(Income!$G:$G,Income!$H:$H, AR$2,Income!$F:$F, $AL$1, Income!$B:$B, IF($AM95&lt;&gt;"", TEXT($AM95, "MMMM"), ""), Income!$C:$C, YEAR($AM95))+SUMIFS($T:$T, $U:$U,AR$2,$Q:$Q,IF($AM95&lt;&gt;"", TEXT($AM95, "MMMM"), ""),$R:$R,YEAR($AM95))</f>
        <v>0</v>
      </c>
      <c r="AS95" s="467">
        <f>SUMIFS(Income!$G:$G,Income!$H:$H, AS$2,Income!$F:$F, $AL$1, Income!$B:$B, IF($AM95&lt;&gt;"", TEXT($AM95, "MMMM"), ""), Income!$C:$C, YEAR($AM95))+SUMIFS($T:$T, $U:$U,AS$2,$Q:$Q,IF($AM95&lt;&gt;"", TEXT($AM95, "MMMM"), ""),$R:$R,YEAR($AM95))</f>
        <v>0</v>
      </c>
      <c r="AT95" s="428"/>
      <c r="AU95" s="463">
        <v>46631.0</v>
      </c>
      <c r="AV95" s="464">
        <f>SUMIFS(Income!$G:$G,Income!$H:$H, AV$2,Income!$F:$F, $AT$1, Income!$B:$B, IF($AU95&lt;&gt;"", TEXT($AU95, "MMMM"), ""), Income!$C:$C, YEAR($AU95))</f>
        <v>0</v>
      </c>
      <c r="AW95" s="464">
        <f>SUMIFS(Income!$G:$G,Income!$H:$H, AW$2,Income!$F:$F, $AT$1, Income!$B:$B, IF($AU95&lt;&gt;"", TEXT($AU95, "MMMM"), ""), Income!$C:$C, YEAR($AU95))</f>
        <v>0</v>
      </c>
      <c r="AX95" s="464">
        <f>SUMIFS(Income!$G:$G,Income!$H:$H, AX$2,Income!$F:$F, $AT$1, Income!$B:$B, IF($AU95&lt;&gt;"", TEXT($AU95, "MMMM"), ""), Income!$C:$C, YEAR($AU95))</f>
        <v>0</v>
      </c>
      <c r="AY95" s="464">
        <f>SUMIFS(Income!$G:$G,Income!$H:$H, AY$2,Income!$F:$F, $AT$1, Income!$B:$B, IF($AU95&lt;&gt;"", TEXT($AU95, "MMMM"), ""), Income!$C:$C, YEAR($AU95))</f>
        <v>0</v>
      </c>
      <c r="AZ95" s="464">
        <f>SUMIFS(Income!$G:$G,Income!$H:$H, AZ$2,Income!$F:$F, $AT$1, Income!$B:$B, IF($AU95&lt;&gt;"", TEXT($AU95, "MMMM"), ""), Income!$C:$C, YEAR($AU95))</f>
        <v>0</v>
      </c>
      <c r="BA95" s="468">
        <f>SUMIFS(Income!$G:$G,Income!$H:$H, BA$2,Income!$F:$F, $AT$1, Income!$B:$B, IF($AU95&lt;&gt;"", TEXT($AU95, "MMMM"), ""), Income!$C:$C, YEAR($AU95))</f>
        <v>0</v>
      </c>
      <c r="BB95" s="345"/>
      <c r="BC95" s="345"/>
      <c r="BD95" s="345"/>
      <c r="BE95" s="345"/>
    </row>
    <row r="96" ht="13.5" customHeight="1">
      <c r="A96" s="424">
        <f>'Membership Application List'!A325</f>
        <v>45522.56543</v>
      </c>
      <c r="B96" s="443" t="str">
        <f t="shared" si="6"/>
        <v>August</v>
      </c>
      <c r="C96" s="443">
        <f t="shared" si="7"/>
        <v>2024</v>
      </c>
      <c r="D96" s="426" t="str">
        <f>'Membership Application List'!E325</f>
        <v>Daniel Sanchez</v>
      </c>
      <c r="E96" s="426">
        <f>IF('Membership Application List'!J325 = "Food/Litter Donation", 0, IF('Membership Application List'!J325 = "$15 Donation, Discord Verification", IF('Membership Application List'!N325 = TRUE, 15, 0)))</f>
        <v>15</v>
      </c>
      <c r="F96" s="426">
        <f>if('Membership Application List'!K325=TRUE, 5,0)</f>
        <v>0</v>
      </c>
      <c r="G96" s="426">
        <f t="shared" si="8"/>
        <v>15</v>
      </c>
      <c r="H96" s="427" t="str">
        <f>'Membership Application List'!L325</f>
        <v>Paypal</v>
      </c>
      <c r="I96" s="428"/>
      <c r="J96" s="463">
        <v>46661.0</v>
      </c>
      <c r="K96" s="464">
        <f t="shared" ref="K96:O96" si="54">SUMIFS($G:$G, $H:$H, K$2, $B:$B, IF($J96&lt;&gt;"", TEXT($J96, "MMMM"), ""), $C:$C, YEAR($J96))</f>
        <v>0</v>
      </c>
      <c r="L96" s="464">
        <f t="shared" si="54"/>
        <v>0</v>
      </c>
      <c r="M96" s="464">
        <f t="shared" si="54"/>
        <v>0</v>
      </c>
      <c r="N96" s="464">
        <f t="shared" si="54"/>
        <v>0</v>
      </c>
      <c r="O96" s="465">
        <f t="shared" si="54"/>
        <v>0</v>
      </c>
      <c r="P96" s="414"/>
      <c r="Q96" s="414"/>
      <c r="R96" s="414"/>
      <c r="S96" s="445"/>
      <c r="T96" s="445"/>
      <c r="U96" s="445"/>
      <c r="V96" s="428"/>
      <c r="W96" s="463">
        <v>46661.0</v>
      </c>
      <c r="X96" s="464">
        <f>SUMIFS(Income!$G:$G,Income!$H:$H, X$2,Income!$F:$F, $V$1, Income!$B:$B, IF($W96&lt;&gt;"", TEXT($W96, "MMMM"), ""), Income!$C:$C, YEAR($W96))</f>
        <v>0</v>
      </c>
      <c r="Y96" s="464">
        <f>SUMIFS(Income!$G:$G,Income!$H:$H, Y$2,Income!$F:$F, $V$1, Income!$B:$B, IF($W96&lt;&gt;"", TEXT($W96, "MMMM"), ""), Income!$C:$C, YEAR($W96))</f>
        <v>0</v>
      </c>
      <c r="Z96" s="464">
        <f>SUMIFS(Income!$G:$G,Income!$H:$H, Z$2,Income!$F:$F, $V$1, Income!$B:$B, IF($W96&lt;&gt;"", TEXT($W96, "MMMM"), ""), Income!$C:$C, YEAR($W96))</f>
        <v>0</v>
      </c>
      <c r="AA96" s="464">
        <f>SUMIFS(Income!$G:$G,Income!$H:$H, AA$2,Income!$F:$F, $V$1, Income!$B:$B, IF($W96&lt;&gt;"", TEXT($W96, "MMMM"), ""), Income!$C:$C, YEAR($W96))</f>
        <v>0</v>
      </c>
      <c r="AB96" s="464">
        <f>SUMIFS(Income!$G:$G,Income!$H:$H, AB$2,Income!$F:$F, $V$1, Income!$B:$B, IF($W96&lt;&gt;"", TEXT($W96, "MMMM"), ""), Income!$C:$C, YEAR($W96))</f>
        <v>0</v>
      </c>
      <c r="AC96" s="467">
        <f>SUMIFS(Income!$G:$G,Income!$H:$H, AC$2,Income!$F:$F, $V$1, Income!$B:$B, IF($W96&lt;&gt;"", TEXT($W96, "MMMM"), ""), Income!$C:$C, YEAR($W96))</f>
        <v>0</v>
      </c>
      <c r="AD96" s="428"/>
      <c r="AE96" s="463">
        <v>46661.0</v>
      </c>
      <c r="AF96" s="464">
        <f>SUMIFS(Income!$G:$G,Income!$H:$H, AF$2,Income!$F:$F, $AD$1, Income!$B:$B, IF($AE96&lt;&gt;"", TEXT($AE96, "MMMM"), ""), Income!$C:$C, YEAR($AE96))</f>
        <v>0</v>
      </c>
      <c r="AG96" s="464">
        <f>SUMIFS(Income!$G:$G,Income!$H:$H, AG$2,Income!$F:$F, $AD$1, Income!$B:$B, IF($AE96&lt;&gt;"", TEXT($AE96, "MMMM"), ""), Income!$C:$C, YEAR($AE96))</f>
        <v>0</v>
      </c>
      <c r="AH96" s="464">
        <f>SUMIFS(Income!$G:$G,Income!$H:$H, AH$2,Income!$F:$F, $AD$1, Income!$B:$B, IF($AE96&lt;&gt;"", TEXT($AE96, "MMMM"), ""), Income!$C:$C, YEAR($AE96))</f>
        <v>0</v>
      </c>
      <c r="AI96" s="464">
        <f>SUMIFS(Income!$G:$G,Income!$H:$H, AI$2,Income!$F:$F, $AD$1, Income!$B:$B, IF($AE96&lt;&gt;"", TEXT($AE96, "MMMM"), ""), Income!$C:$C, YEAR($AE96))</f>
        <v>0</v>
      </c>
      <c r="AJ96" s="464">
        <f>SUMIFS(Income!$G:$G,Income!$H:$H, AJ$2,Income!$F:$F, $AD$1, Income!$B:$B, IF($AE96&lt;&gt;"", TEXT($AE96, "MMMM"), ""), Income!$C:$C, YEAR($AE96))</f>
        <v>0</v>
      </c>
      <c r="AK96" s="467">
        <f>SUMIFS(Income!$G:$G,Income!$H:$H, AK$2,Income!$F:$F, $AD$1, Income!$B:$B, IF($AE96&lt;&gt;"", TEXT($AE96, "MMMM"), ""), Income!$C:$C, YEAR($AE96))</f>
        <v>0</v>
      </c>
      <c r="AL96" s="428"/>
      <c r="AM96" s="463">
        <v>46661.0</v>
      </c>
      <c r="AN96" s="464">
        <f>SUMIFS(Income!$G:$G,Income!$H:$H, AN$2,Income!$F:$F, $AL$1, Income!$B:$B, IF($AM96&lt;&gt;"", TEXT($AM96, "MMMM"), ""), Income!$C:$C, YEAR($AM96))+SUMIFS($T:$T, $U:$U,AN$2,$Q:$Q,IF($AM96&lt;&gt;"", TEXT($AM96, "MMMM"), ""),$R:$R,YEAR($AM96))</f>
        <v>0</v>
      </c>
      <c r="AO96" s="464">
        <f>SUMIFS(Income!$G:$G,Income!$H:$H, AO$2,Income!$F:$F, $AL$1, Income!$B:$B, IF($AM96&lt;&gt;"", TEXT($AM96, "MMMM"), ""), Income!$C:$C, YEAR($AM96))+SUMIFS($T:$T, $U:$U,AO$2,$Q:$Q,IF($AM96&lt;&gt;"", TEXT($AM96, "MMMM"), ""),$R:$R,YEAR($AM96))</f>
        <v>0</v>
      </c>
      <c r="AP96" s="464">
        <f>SUMIFS(Income!$G:$G,Income!$H:$H, AP$2,Income!$F:$F, $AL$1, Income!$B:$B, IF($AM96&lt;&gt;"", TEXT($AM96, "MMMM"), ""), Income!$C:$C, YEAR($AM96))+SUMIFS($T:$T, $U:$U,AP$2,$Q:$Q,IF($AM96&lt;&gt;"", TEXT($AM96, "MMMM"), ""),$R:$R,YEAR($AM96))</f>
        <v>0</v>
      </c>
      <c r="AQ96" s="464">
        <f>SUMIFS(Income!$G:$G,Income!$H:$H, AQ$2,Income!$F:$F, $AL$1, Income!$B:$B, IF($AM96&lt;&gt;"", TEXT($AM96, "MMMM"), ""), Income!$C:$C, YEAR($AM96))+SUMIFS($T:$T, $U:$U,AQ$2,$Q:$Q,IF($AM96&lt;&gt;"", TEXT($AM96, "MMMM"), ""),$R:$R,YEAR($AM96))</f>
        <v>0</v>
      </c>
      <c r="AR96" s="464">
        <f>SUMIFS(Income!$G:$G,Income!$H:$H, AR$2,Income!$F:$F, $AL$1, Income!$B:$B, IF($AM96&lt;&gt;"", TEXT($AM96, "MMMM"), ""), Income!$C:$C, YEAR($AM96))+SUMIFS($T:$T, $U:$U,AR$2,$Q:$Q,IF($AM96&lt;&gt;"", TEXT($AM96, "MMMM"), ""),$R:$R,YEAR($AM96))</f>
        <v>0</v>
      </c>
      <c r="AS96" s="467">
        <f>SUMIFS(Income!$G:$G,Income!$H:$H, AS$2,Income!$F:$F, $AL$1, Income!$B:$B, IF($AM96&lt;&gt;"", TEXT($AM96, "MMMM"), ""), Income!$C:$C, YEAR($AM96))+SUMIFS($T:$T, $U:$U,AS$2,$Q:$Q,IF($AM96&lt;&gt;"", TEXT($AM96, "MMMM"), ""),$R:$R,YEAR($AM96))</f>
        <v>0</v>
      </c>
      <c r="AT96" s="428"/>
      <c r="AU96" s="463">
        <v>46661.0</v>
      </c>
      <c r="AV96" s="464">
        <f>SUMIFS(Income!$G:$G,Income!$H:$H, AV$2,Income!$F:$F, $AT$1, Income!$B:$B, IF($AU96&lt;&gt;"", TEXT($AU96, "MMMM"), ""), Income!$C:$C, YEAR($AU96))</f>
        <v>0</v>
      </c>
      <c r="AW96" s="464">
        <f>SUMIFS(Income!$G:$G,Income!$H:$H, AW$2,Income!$F:$F, $AT$1, Income!$B:$B, IF($AU96&lt;&gt;"", TEXT($AU96, "MMMM"), ""), Income!$C:$C, YEAR($AU96))</f>
        <v>0</v>
      </c>
      <c r="AX96" s="464">
        <f>SUMIFS(Income!$G:$G,Income!$H:$H, AX$2,Income!$F:$F, $AT$1, Income!$B:$B, IF($AU96&lt;&gt;"", TEXT($AU96, "MMMM"), ""), Income!$C:$C, YEAR($AU96))</f>
        <v>0</v>
      </c>
      <c r="AY96" s="464">
        <f>SUMIFS(Income!$G:$G,Income!$H:$H, AY$2,Income!$F:$F, $AT$1, Income!$B:$B, IF($AU96&lt;&gt;"", TEXT($AU96, "MMMM"), ""), Income!$C:$C, YEAR($AU96))</f>
        <v>0</v>
      </c>
      <c r="AZ96" s="464">
        <f>SUMIFS(Income!$G:$G,Income!$H:$H, AZ$2,Income!$F:$F, $AT$1, Income!$B:$B, IF($AU96&lt;&gt;"", TEXT($AU96, "MMMM"), ""), Income!$C:$C, YEAR($AU96))</f>
        <v>0</v>
      </c>
      <c r="BA96" s="468">
        <f>SUMIFS(Income!$G:$G,Income!$H:$H, BA$2,Income!$F:$F, $AT$1, Income!$B:$B, IF($AU96&lt;&gt;"", TEXT($AU96, "MMMM"), ""), Income!$C:$C, YEAR($AU96))</f>
        <v>0</v>
      </c>
      <c r="BB96" s="345"/>
      <c r="BC96" s="345"/>
      <c r="BD96" s="345"/>
      <c r="BE96" s="345"/>
    </row>
    <row r="97" ht="13.5" customHeight="1">
      <c r="A97" s="436">
        <f>'Membership Application List'!A326</f>
        <v>45523.34648</v>
      </c>
      <c r="B97" s="437" t="str">
        <f t="shared" si="6"/>
        <v>August</v>
      </c>
      <c r="C97" s="437">
        <f t="shared" si="7"/>
        <v>2024</v>
      </c>
      <c r="D97" s="438" t="str">
        <f>'Membership Application List'!E326</f>
        <v>Daisy Lopez</v>
      </c>
      <c r="E97" s="438">
        <f>IF('Membership Application List'!J326 = "Food/Litter Donation", 0, IF('Membership Application List'!J326 = "$15 Donation, Discord Verification", IF('Membership Application List'!N326 = TRUE, 15, 0)))</f>
        <v>15</v>
      </c>
      <c r="F97" s="438">
        <f>if('Membership Application List'!K326=TRUE, 5,0)</f>
        <v>0</v>
      </c>
      <c r="G97" s="438">
        <f t="shared" si="8"/>
        <v>15</v>
      </c>
      <c r="H97" s="439" t="str">
        <f>'Membership Application List'!L326</f>
        <v>Cashapp</v>
      </c>
      <c r="I97" s="428"/>
      <c r="J97" s="463">
        <v>46692.0</v>
      </c>
      <c r="K97" s="464">
        <f t="shared" ref="K97:O97" si="55">SUMIFS($G:$G, $H:$H, K$2, $B:$B, IF($J97&lt;&gt;"", TEXT($J97, "MMMM"), ""), $C:$C, YEAR($J97))</f>
        <v>0</v>
      </c>
      <c r="L97" s="464">
        <f t="shared" si="55"/>
        <v>0</v>
      </c>
      <c r="M97" s="464">
        <f t="shared" si="55"/>
        <v>0</v>
      </c>
      <c r="N97" s="464">
        <f t="shared" si="55"/>
        <v>0</v>
      </c>
      <c r="O97" s="465">
        <f t="shared" si="55"/>
        <v>0</v>
      </c>
      <c r="P97" s="414"/>
      <c r="Q97" s="414"/>
      <c r="R97" s="414"/>
      <c r="S97" s="445"/>
      <c r="T97" s="445"/>
      <c r="U97" s="445"/>
      <c r="V97" s="428"/>
      <c r="W97" s="463">
        <v>46692.0</v>
      </c>
      <c r="X97" s="464">
        <f>SUMIFS(Income!$G:$G,Income!$H:$H, X$2,Income!$F:$F, $V$1, Income!$B:$B, IF($W97&lt;&gt;"", TEXT($W97, "MMMM"), ""), Income!$C:$C, YEAR($W97))</f>
        <v>0</v>
      </c>
      <c r="Y97" s="464">
        <f>SUMIFS(Income!$G:$G,Income!$H:$H, Y$2,Income!$F:$F, $V$1, Income!$B:$B, IF($W97&lt;&gt;"", TEXT($W97, "MMMM"), ""), Income!$C:$C, YEAR($W97))</f>
        <v>0</v>
      </c>
      <c r="Z97" s="464">
        <f>SUMIFS(Income!$G:$G,Income!$H:$H, Z$2,Income!$F:$F, $V$1, Income!$B:$B, IF($W97&lt;&gt;"", TEXT($W97, "MMMM"), ""), Income!$C:$C, YEAR($W97))</f>
        <v>0</v>
      </c>
      <c r="AA97" s="464">
        <f>SUMIFS(Income!$G:$G,Income!$H:$H, AA$2,Income!$F:$F, $V$1, Income!$B:$B, IF($W97&lt;&gt;"", TEXT($W97, "MMMM"), ""), Income!$C:$C, YEAR($W97))</f>
        <v>0</v>
      </c>
      <c r="AB97" s="464">
        <f>SUMIFS(Income!$G:$G,Income!$H:$H, AB$2,Income!$F:$F, $V$1, Income!$B:$B, IF($W97&lt;&gt;"", TEXT($W97, "MMMM"), ""), Income!$C:$C, YEAR($W97))</f>
        <v>0</v>
      </c>
      <c r="AC97" s="467">
        <f>SUMIFS(Income!$G:$G,Income!$H:$H, AC$2,Income!$F:$F, $V$1, Income!$B:$B, IF($W97&lt;&gt;"", TEXT($W97, "MMMM"), ""), Income!$C:$C, YEAR($W97))</f>
        <v>0</v>
      </c>
      <c r="AD97" s="428"/>
      <c r="AE97" s="463">
        <v>46692.0</v>
      </c>
      <c r="AF97" s="464">
        <f>SUMIFS(Income!$G:$G,Income!$H:$H, AF$2,Income!$F:$F, $AD$1, Income!$B:$B, IF($AE97&lt;&gt;"", TEXT($AE97, "MMMM"), ""), Income!$C:$C, YEAR($AE97))</f>
        <v>0</v>
      </c>
      <c r="AG97" s="464">
        <f>SUMIFS(Income!$G:$G,Income!$H:$H, AG$2,Income!$F:$F, $AD$1, Income!$B:$B, IF($AE97&lt;&gt;"", TEXT($AE97, "MMMM"), ""), Income!$C:$C, YEAR($AE97))</f>
        <v>0</v>
      </c>
      <c r="AH97" s="464">
        <f>SUMIFS(Income!$G:$G,Income!$H:$H, AH$2,Income!$F:$F, $AD$1, Income!$B:$B, IF($AE97&lt;&gt;"", TEXT($AE97, "MMMM"), ""), Income!$C:$C, YEAR($AE97))</f>
        <v>0</v>
      </c>
      <c r="AI97" s="464">
        <f>SUMIFS(Income!$G:$G,Income!$H:$H, AI$2,Income!$F:$F, $AD$1, Income!$B:$B, IF($AE97&lt;&gt;"", TEXT($AE97, "MMMM"), ""), Income!$C:$C, YEAR($AE97))</f>
        <v>0</v>
      </c>
      <c r="AJ97" s="464">
        <f>SUMIFS(Income!$G:$G,Income!$H:$H, AJ$2,Income!$F:$F, $AD$1, Income!$B:$B, IF($AE97&lt;&gt;"", TEXT($AE97, "MMMM"), ""), Income!$C:$C, YEAR($AE97))</f>
        <v>0</v>
      </c>
      <c r="AK97" s="467">
        <f>SUMIFS(Income!$G:$G,Income!$H:$H, AK$2,Income!$F:$F, $AD$1, Income!$B:$B, IF($AE97&lt;&gt;"", TEXT($AE97, "MMMM"), ""), Income!$C:$C, YEAR($AE97))</f>
        <v>0</v>
      </c>
      <c r="AL97" s="428"/>
      <c r="AM97" s="463">
        <v>46692.0</v>
      </c>
      <c r="AN97" s="464">
        <f>SUMIFS(Income!$G:$G,Income!$H:$H, AN$2,Income!$F:$F, $AL$1, Income!$B:$B, IF($AM97&lt;&gt;"", TEXT($AM97, "MMMM"), ""), Income!$C:$C, YEAR($AM97))+SUMIFS($T:$T, $U:$U,AN$2,$Q:$Q,IF($AM97&lt;&gt;"", TEXT($AM97, "MMMM"), ""),$R:$R,YEAR($AM97))</f>
        <v>0</v>
      </c>
      <c r="AO97" s="464">
        <f>SUMIFS(Income!$G:$G,Income!$H:$H, AO$2,Income!$F:$F, $AL$1, Income!$B:$B, IF($AM97&lt;&gt;"", TEXT($AM97, "MMMM"), ""), Income!$C:$C, YEAR($AM97))+SUMIFS($T:$T, $U:$U,AO$2,$Q:$Q,IF($AM97&lt;&gt;"", TEXT($AM97, "MMMM"), ""),$R:$R,YEAR($AM97))</f>
        <v>0</v>
      </c>
      <c r="AP97" s="464">
        <f>SUMIFS(Income!$G:$G,Income!$H:$H, AP$2,Income!$F:$F, $AL$1, Income!$B:$B, IF($AM97&lt;&gt;"", TEXT($AM97, "MMMM"), ""), Income!$C:$C, YEAR($AM97))+SUMIFS($T:$T, $U:$U,AP$2,$Q:$Q,IF($AM97&lt;&gt;"", TEXT($AM97, "MMMM"), ""),$R:$R,YEAR($AM97))</f>
        <v>0</v>
      </c>
      <c r="AQ97" s="464">
        <f>SUMIFS(Income!$G:$G,Income!$H:$H, AQ$2,Income!$F:$F, $AL$1, Income!$B:$B, IF($AM97&lt;&gt;"", TEXT($AM97, "MMMM"), ""), Income!$C:$C, YEAR($AM97))+SUMIFS($T:$T, $U:$U,AQ$2,$Q:$Q,IF($AM97&lt;&gt;"", TEXT($AM97, "MMMM"), ""),$R:$R,YEAR($AM97))</f>
        <v>0</v>
      </c>
      <c r="AR97" s="464">
        <f>SUMIFS(Income!$G:$G,Income!$H:$H, AR$2,Income!$F:$F, $AL$1, Income!$B:$B, IF($AM97&lt;&gt;"", TEXT($AM97, "MMMM"), ""), Income!$C:$C, YEAR($AM97))+SUMIFS($T:$T, $U:$U,AR$2,$Q:$Q,IF($AM97&lt;&gt;"", TEXT($AM97, "MMMM"), ""),$R:$R,YEAR($AM97))</f>
        <v>0</v>
      </c>
      <c r="AS97" s="467">
        <f>SUMIFS(Income!$G:$G,Income!$H:$H, AS$2,Income!$F:$F, $AL$1, Income!$B:$B, IF($AM97&lt;&gt;"", TEXT($AM97, "MMMM"), ""), Income!$C:$C, YEAR($AM97))+SUMIFS($T:$T, $U:$U,AS$2,$Q:$Q,IF($AM97&lt;&gt;"", TEXT($AM97, "MMMM"), ""),$R:$R,YEAR($AM97))</f>
        <v>0</v>
      </c>
      <c r="AT97" s="428"/>
      <c r="AU97" s="463">
        <v>46692.0</v>
      </c>
      <c r="AV97" s="464">
        <f>SUMIFS(Income!$G:$G,Income!$H:$H, AV$2,Income!$F:$F, $AT$1, Income!$B:$B, IF($AU97&lt;&gt;"", TEXT($AU97, "MMMM"), ""), Income!$C:$C, YEAR($AU97))</f>
        <v>0</v>
      </c>
      <c r="AW97" s="464">
        <f>SUMIFS(Income!$G:$G,Income!$H:$H, AW$2,Income!$F:$F, $AT$1, Income!$B:$B, IF($AU97&lt;&gt;"", TEXT($AU97, "MMMM"), ""), Income!$C:$C, YEAR($AU97))</f>
        <v>0</v>
      </c>
      <c r="AX97" s="464">
        <f>SUMIFS(Income!$G:$G,Income!$H:$H, AX$2,Income!$F:$F, $AT$1, Income!$B:$B, IF($AU97&lt;&gt;"", TEXT($AU97, "MMMM"), ""), Income!$C:$C, YEAR($AU97))</f>
        <v>0</v>
      </c>
      <c r="AY97" s="464">
        <f>SUMIFS(Income!$G:$G,Income!$H:$H, AY$2,Income!$F:$F, $AT$1, Income!$B:$B, IF($AU97&lt;&gt;"", TEXT($AU97, "MMMM"), ""), Income!$C:$C, YEAR($AU97))</f>
        <v>0</v>
      </c>
      <c r="AZ97" s="464">
        <f>SUMIFS(Income!$G:$G,Income!$H:$H, AZ$2,Income!$F:$F, $AT$1, Income!$B:$B, IF($AU97&lt;&gt;"", TEXT($AU97, "MMMM"), ""), Income!$C:$C, YEAR($AU97))</f>
        <v>0</v>
      </c>
      <c r="BA97" s="468">
        <f>SUMIFS(Income!$G:$G,Income!$H:$H, BA$2,Income!$F:$F, $AT$1, Income!$B:$B, IF($AU97&lt;&gt;"", TEXT($AU97, "MMMM"), ""), Income!$C:$C, YEAR($AU97))</f>
        <v>0</v>
      </c>
      <c r="BB97" s="345"/>
      <c r="BC97" s="345"/>
      <c r="BD97" s="345"/>
      <c r="BE97" s="345"/>
    </row>
    <row r="98" ht="13.5" customHeight="1">
      <c r="A98" s="424">
        <f>'Membership Application List'!A327</f>
        <v>45523.38749</v>
      </c>
      <c r="B98" s="443" t="str">
        <f t="shared" si="6"/>
        <v>August</v>
      </c>
      <c r="C98" s="443">
        <f t="shared" si="7"/>
        <v>2024</v>
      </c>
      <c r="D98" s="426" t="str">
        <f>'Membership Application List'!E327</f>
        <v>Celeste Smith</v>
      </c>
      <c r="E98" s="426">
        <f>IF('Membership Application List'!J327 = "Food/Litter Donation", 0, IF('Membership Application List'!J327 = "$15 Donation, Discord Verification", IF('Membership Application List'!N327 = TRUE, 15, 0)))</f>
        <v>15</v>
      </c>
      <c r="F98" s="426">
        <f>if('Membership Application List'!K327=TRUE, 5,0)</f>
        <v>0</v>
      </c>
      <c r="G98" s="426">
        <f t="shared" si="8"/>
        <v>15</v>
      </c>
      <c r="H98" s="427" t="str">
        <f>'Membership Application List'!L327</f>
        <v>Cashapp</v>
      </c>
      <c r="I98" s="428"/>
      <c r="J98" s="463">
        <v>46722.0</v>
      </c>
      <c r="K98" s="464">
        <f t="shared" ref="K98:O98" si="56">SUMIFS($G:$G, $H:$H, K$2, $B:$B, IF($J98&lt;&gt;"", TEXT($J98, "MMMM"), ""), $C:$C, YEAR($J98))</f>
        <v>0</v>
      </c>
      <c r="L98" s="464">
        <f t="shared" si="56"/>
        <v>0</v>
      </c>
      <c r="M98" s="464">
        <f t="shared" si="56"/>
        <v>0</v>
      </c>
      <c r="N98" s="464">
        <f t="shared" si="56"/>
        <v>0</v>
      </c>
      <c r="O98" s="465">
        <f t="shared" si="56"/>
        <v>0</v>
      </c>
      <c r="P98" s="414"/>
      <c r="Q98" s="414"/>
      <c r="R98" s="414"/>
      <c r="S98" s="445"/>
      <c r="T98" s="445"/>
      <c r="U98" s="445"/>
      <c r="V98" s="428"/>
      <c r="W98" s="463">
        <v>46722.0</v>
      </c>
      <c r="X98" s="464">
        <f>SUMIFS(Income!$G:$G,Income!$H:$H, X$2,Income!$F:$F, $V$1, Income!$B:$B, IF($W98&lt;&gt;"", TEXT($W98, "MMMM"), ""), Income!$C:$C, YEAR($W98))</f>
        <v>0</v>
      </c>
      <c r="Y98" s="464">
        <f>SUMIFS(Income!$G:$G,Income!$H:$H, Y$2,Income!$F:$F, $V$1, Income!$B:$B, IF($W98&lt;&gt;"", TEXT($W98, "MMMM"), ""), Income!$C:$C, YEAR($W98))</f>
        <v>0</v>
      </c>
      <c r="Z98" s="464">
        <f>SUMIFS(Income!$G:$G,Income!$H:$H, Z$2,Income!$F:$F, $V$1, Income!$B:$B, IF($W98&lt;&gt;"", TEXT($W98, "MMMM"), ""), Income!$C:$C, YEAR($W98))</f>
        <v>0</v>
      </c>
      <c r="AA98" s="464">
        <f>SUMIFS(Income!$G:$G,Income!$H:$H, AA$2,Income!$F:$F, $V$1, Income!$B:$B, IF($W98&lt;&gt;"", TEXT($W98, "MMMM"), ""), Income!$C:$C, YEAR($W98))</f>
        <v>0</v>
      </c>
      <c r="AB98" s="464">
        <f>SUMIFS(Income!$G:$G,Income!$H:$H, AB$2,Income!$F:$F, $V$1, Income!$B:$B, IF($W98&lt;&gt;"", TEXT($W98, "MMMM"), ""), Income!$C:$C, YEAR($W98))</f>
        <v>0</v>
      </c>
      <c r="AC98" s="467">
        <f>SUMIFS(Income!$G:$G,Income!$H:$H, AC$2,Income!$F:$F, $V$1, Income!$B:$B, IF($W98&lt;&gt;"", TEXT($W98, "MMMM"), ""), Income!$C:$C, YEAR($W98))</f>
        <v>0</v>
      </c>
      <c r="AD98" s="428"/>
      <c r="AE98" s="463">
        <v>46722.0</v>
      </c>
      <c r="AF98" s="464">
        <f>SUMIFS(Income!$G:$G,Income!$H:$H, AF$2,Income!$F:$F, $AD$1, Income!$B:$B, IF($AE98&lt;&gt;"", TEXT($AE98, "MMMM"), ""), Income!$C:$C, YEAR($AE98))</f>
        <v>0</v>
      </c>
      <c r="AG98" s="464">
        <f>SUMIFS(Income!$G:$G,Income!$H:$H, AG$2,Income!$F:$F, $AD$1, Income!$B:$B, IF($AE98&lt;&gt;"", TEXT($AE98, "MMMM"), ""), Income!$C:$C, YEAR($AE98))</f>
        <v>0</v>
      </c>
      <c r="AH98" s="464">
        <f>SUMIFS(Income!$G:$G,Income!$H:$H, AH$2,Income!$F:$F, $AD$1, Income!$B:$B, IF($AE98&lt;&gt;"", TEXT($AE98, "MMMM"), ""), Income!$C:$C, YEAR($AE98))</f>
        <v>0</v>
      </c>
      <c r="AI98" s="464">
        <f>SUMIFS(Income!$G:$G,Income!$H:$H, AI$2,Income!$F:$F, $AD$1, Income!$B:$B, IF($AE98&lt;&gt;"", TEXT($AE98, "MMMM"), ""), Income!$C:$C, YEAR($AE98))</f>
        <v>0</v>
      </c>
      <c r="AJ98" s="464">
        <f>SUMIFS(Income!$G:$G,Income!$H:$H, AJ$2,Income!$F:$F, $AD$1, Income!$B:$B, IF($AE98&lt;&gt;"", TEXT($AE98, "MMMM"), ""), Income!$C:$C, YEAR($AE98))</f>
        <v>0</v>
      </c>
      <c r="AK98" s="467">
        <f>SUMIFS(Income!$G:$G,Income!$H:$H, AK$2,Income!$F:$F, $AD$1, Income!$B:$B, IF($AE98&lt;&gt;"", TEXT($AE98, "MMMM"), ""), Income!$C:$C, YEAR($AE98))</f>
        <v>0</v>
      </c>
      <c r="AL98" s="428"/>
      <c r="AM98" s="463">
        <v>46722.0</v>
      </c>
      <c r="AN98" s="464">
        <f>SUMIFS(Income!$G:$G,Income!$H:$H, AN$2,Income!$F:$F, $AL$1, Income!$B:$B, IF($AM98&lt;&gt;"", TEXT($AM98, "MMMM"), ""), Income!$C:$C, YEAR($AM98))+SUMIFS($T:$T, $U:$U,AN$2,$Q:$Q,IF($AM98&lt;&gt;"", TEXT($AM98, "MMMM"), ""),$R:$R,YEAR($AM98))</f>
        <v>0</v>
      </c>
      <c r="AO98" s="464">
        <f>SUMIFS(Income!$G:$G,Income!$H:$H, AO$2,Income!$F:$F, $AL$1, Income!$B:$B, IF($AM98&lt;&gt;"", TEXT($AM98, "MMMM"), ""), Income!$C:$C, YEAR($AM98))+SUMIFS($T:$T, $U:$U,AO$2,$Q:$Q,IF($AM98&lt;&gt;"", TEXT($AM98, "MMMM"), ""),$R:$R,YEAR($AM98))</f>
        <v>0</v>
      </c>
      <c r="AP98" s="464">
        <f>SUMIFS(Income!$G:$G,Income!$H:$H, AP$2,Income!$F:$F, $AL$1, Income!$B:$B, IF($AM98&lt;&gt;"", TEXT($AM98, "MMMM"), ""), Income!$C:$C, YEAR($AM98))+SUMIFS($T:$T, $U:$U,AP$2,$Q:$Q,IF($AM98&lt;&gt;"", TEXT($AM98, "MMMM"), ""),$R:$R,YEAR($AM98))</f>
        <v>0</v>
      </c>
      <c r="AQ98" s="464">
        <f>SUMIFS(Income!$G:$G,Income!$H:$H, AQ$2,Income!$F:$F, $AL$1, Income!$B:$B, IF($AM98&lt;&gt;"", TEXT($AM98, "MMMM"), ""), Income!$C:$C, YEAR($AM98))+SUMIFS($T:$T, $U:$U,AQ$2,$Q:$Q,IF($AM98&lt;&gt;"", TEXT($AM98, "MMMM"), ""),$R:$R,YEAR($AM98))</f>
        <v>0</v>
      </c>
      <c r="AR98" s="464">
        <f>SUMIFS(Income!$G:$G,Income!$H:$H, AR$2,Income!$F:$F, $AL$1, Income!$B:$B, IF($AM98&lt;&gt;"", TEXT($AM98, "MMMM"), ""), Income!$C:$C, YEAR($AM98))+SUMIFS($T:$T, $U:$U,AR$2,$Q:$Q,IF($AM98&lt;&gt;"", TEXT($AM98, "MMMM"), ""),$R:$R,YEAR($AM98))</f>
        <v>0</v>
      </c>
      <c r="AS98" s="467">
        <f>SUMIFS(Income!$G:$G,Income!$H:$H, AS$2,Income!$F:$F, $AL$1, Income!$B:$B, IF($AM98&lt;&gt;"", TEXT($AM98, "MMMM"), ""), Income!$C:$C, YEAR($AM98))+SUMIFS($T:$T, $U:$U,AS$2,$Q:$Q,IF($AM98&lt;&gt;"", TEXT($AM98, "MMMM"), ""),$R:$R,YEAR($AM98))</f>
        <v>0</v>
      </c>
      <c r="AT98" s="428"/>
      <c r="AU98" s="463">
        <v>46722.0</v>
      </c>
      <c r="AV98" s="464">
        <f>SUMIFS(Income!$G:$G,Income!$H:$H, AV$2,Income!$F:$F, $AT$1, Income!$B:$B, IF($AU98&lt;&gt;"", TEXT($AU98, "MMMM"), ""), Income!$C:$C, YEAR($AU98))</f>
        <v>0</v>
      </c>
      <c r="AW98" s="464">
        <f>SUMIFS(Income!$G:$G,Income!$H:$H, AW$2,Income!$F:$F, $AT$1, Income!$B:$B, IF($AU98&lt;&gt;"", TEXT($AU98, "MMMM"), ""), Income!$C:$C, YEAR($AU98))</f>
        <v>0</v>
      </c>
      <c r="AX98" s="464">
        <f>SUMIFS(Income!$G:$G,Income!$H:$H, AX$2,Income!$F:$F, $AT$1, Income!$B:$B, IF($AU98&lt;&gt;"", TEXT($AU98, "MMMM"), ""), Income!$C:$C, YEAR($AU98))</f>
        <v>0</v>
      </c>
      <c r="AY98" s="464">
        <f>SUMIFS(Income!$G:$G,Income!$H:$H, AY$2,Income!$F:$F, $AT$1, Income!$B:$B, IF($AU98&lt;&gt;"", TEXT($AU98, "MMMM"), ""), Income!$C:$C, YEAR($AU98))</f>
        <v>0</v>
      </c>
      <c r="AZ98" s="464">
        <f>SUMIFS(Income!$G:$G,Income!$H:$H, AZ$2,Income!$F:$F, $AT$1, Income!$B:$B, IF($AU98&lt;&gt;"", TEXT($AU98, "MMMM"), ""), Income!$C:$C, YEAR($AU98))</f>
        <v>0</v>
      </c>
      <c r="BA98" s="468">
        <f>SUMIFS(Income!$G:$G,Income!$H:$H, BA$2,Income!$F:$F, $AT$1, Income!$B:$B, IF($AU98&lt;&gt;"", TEXT($AU98, "MMMM"), ""), Income!$C:$C, YEAR($AU98))</f>
        <v>0</v>
      </c>
      <c r="BB98" s="345"/>
      <c r="BC98" s="345"/>
      <c r="BD98" s="345"/>
      <c r="BE98" s="345"/>
    </row>
    <row r="99" ht="13.5" customHeight="1">
      <c r="A99" s="436">
        <f>'Membership Application List'!A328</f>
        <v>45523.43413</v>
      </c>
      <c r="B99" s="437" t="str">
        <f t="shared" si="6"/>
        <v>August</v>
      </c>
      <c r="C99" s="437">
        <f t="shared" si="7"/>
        <v>2024</v>
      </c>
      <c r="D99" s="438" t="str">
        <f>'Membership Application List'!E328</f>
        <v>Alisha Gulahmed Khan</v>
      </c>
      <c r="E99" s="438">
        <f>IF('Membership Application List'!J328 = "Food/Litter Donation", 0, IF('Membership Application List'!J328 = "$15 Donation, Discord Verification", IF('Membership Application List'!N328 = TRUE, 15, 0)))</f>
        <v>0</v>
      </c>
      <c r="F99" s="438">
        <f>if('Membership Application List'!K328=TRUE, 5,0)</f>
        <v>0</v>
      </c>
      <c r="G99" s="438">
        <f t="shared" si="8"/>
        <v>0</v>
      </c>
      <c r="H99" s="439" t="str">
        <f>'Membership Application List'!L328</f>
        <v/>
      </c>
      <c r="I99" s="407" t="s">
        <v>784</v>
      </c>
      <c r="J99" s="463">
        <v>46753.0</v>
      </c>
      <c r="K99" s="464">
        <f t="shared" ref="K99:O99" si="57">SUMIFS($G:$G, $H:$H, K$2, $B:$B, IF($J99&lt;&gt;"", TEXT($J99, "MMMM"), ""), $C:$C, YEAR($J99))</f>
        <v>0</v>
      </c>
      <c r="L99" s="464">
        <f t="shared" si="57"/>
        <v>0</v>
      </c>
      <c r="M99" s="464">
        <f t="shared" si="57"/>
        <v>0</v>
      </c>
      <c r="N99" s="464">
        <f t="shared" si="57"/>
        <v>0</v>
      </c>
      <c r="O99" s="465">
        <f t="shared" si="57"/>
        <v>0</v>
      </c>
      <c r="P99" s="414"/>
      <c r="Q99" s="414"/>
      <c r="R99" s="414"/>
      <c r="S99" s="445"/>
      <c r="T99" s="445"/>
      <c r="U99" s="445"/>
      <c r="V99" s="407" t="s">
        <v>784</v>
      </c>
      <c r="W99" s="463">
        <v>46753.0</v>
      </c>
      <c r="X99" s="464">
        <f>SUMIFS(Income!$G:$G,Income!$H:$H, X$2,Income!$F:$F, $V$1, Income!$B:$B, IF($W99&lt;&gt;"", TEXT($W99, "MMMM"), ""), Income!$C:$C, YEAR($W99))</f>
        <v>0</v>
      </c>
      <c r="Y99" s="464">
        <f>SUMIFS(Income!$G:$G,Income!$H:$H, Y$2,Income!$F:$F, $V$1, Income!$B:$B, IF($W99&lt;&gt;"", TEXT($W99, "MMMM"), ""), Income!$C:$C, YEAR($W99))</f>
        <v>0</v>
      </c>
      <c r="Z99" s="464">
        <f>SUMIFS(Income!$G:$G,Income!$H:$H, Z$2,Income!$F:$F, $V$1, Income!$B:$B, IF($W99&lt;&gt;"", TEXT($W99, "MMMM"), ""), Income!$C:$C, YEAR($W99))</f>
        <v>0</v>
      </c>
      <c r="AA99" s="464">
        <f>SUMIFS(Income!$G:$G,Income!$H:$H, AA$2,Income!$F:$F, $V$1, Income!$B:$B, IF($W99&lt;&gt;"", TEXT($W99, "MMMM"), ""), Income!$C:$C, YEAR($W99))</f>
        <v>0</v>
      </c>
      <c r="AB99" s="464">
        <f>SUMIFS(Income!$G:$G,Income!$H:$H, AB$2,Income!$F:$F, $V$1, Income!$B:$B, IF($W99&lt;&gt;"", TEXT($W99, "MMMM"), ""), Income!$C:$C, YEAR($W99))</f>
        <v>0</v>
      </c>
      <c r="AC99" s="467">
        <f>SUMIFS(Income!$G:$G,Income!$H:$H, AC$2,Income!$F:$F, $V$1, Income!$B:$B, IF($W99&lt;&gt;"", TEXT($W99, "MMMM"), ""), Income!$C:$C, YEAR($W99))</f>
        <v>0</v>
      </c>
      <c r="AD99" s="407" t="s">
        <v>784</v>
      </c>
      <c r="AE99" s="463">
        <v>46753.0</v>
      </c>
      <c r="AF99" s="464">
        <f>SUMIFS(Income!$G:$G,Income!$H:$H, AF$2,Income!$F:$F, $AD$1, Income!$B:$B, IF($AE99&lt;&gt;"", TEXT($AE99, "MMMM"), ""), Income!$C:$C, YEAR($AE99))</f>
        <v>0</v>
      </c>
      <c r="AG99" s="464">
        <f>SUMIFS(Income!$G:$G,Income!$H:$H, AG$2,Income!$F:$F, $AD$1, Income!$B:$B, IF($AE99&lt;&gt;"", TEXT($AE99, "MMMM"), ""), Income!$C:$C, YEAR($AE99))</f>
        <v>0</v>
      </c>
      <c r="AH99" s="464">
        <f>SUMIFS(Income!$G:$G,Income!$H:$H, AH$2,Income!$F:$F, $AD$1, Income!$B:$B, IF($AE99&lt;&gt;"", TEXT($AE99, "MMMM"), ""), Income!$C:$C, YEAR($AE99))</f>
        <v>0</v>
      </c>
      <c r="AI99" s="464">
        <f>SUMIFS(Income!$G:$G,Income!$H:$H, AI$2,Income!$F:$F, $AD$1, Income!$B:$B, IF($AE99&lt;&gt;"", TEXT($AE99, "MMMM"), ""), Income!$C:$C, YEAR($AE99))</f>
        <v>0</v>
      </c>
      <c r="AJ99" s="464">
        <f>SUMIFS(Income!$G:$G,Income!$H:$H, AJ$2,Income!$F:$F, $AD$1, Income!$B:$B, IF($AE99&lt;&gt;"", TEXT($AE99, "MMMM"), ""), Income!$C:$C, YEAR($AE99))</f>
        <v>0</v>
      </c>
      <c r="AK99" s="467">
        <f>SUMIFS(Income!$G:$G,Income!$H:$H, AK$2,Income!$F:$F, $AD$1, Income!$B:$B, IF($AE99&lt;&gt;"", TEXT($AE99, "MMMM"), ""), Income!$C:$C, YEAR($AE99))</f>
        <v>0</v>
      </c>
      <c r="AL99" s="407" t="s">
        <v>784</v>
      </c>
      <c r="AM99" s="463">
        <v>46753.0</v>
      </c>
      <c r="AN99" s="464">
        <f>SUMIFS(Income!$G:$G,Income!$H:$H, AN$2,Income!$F:$F, $AL$1, Income!$B:$B, IF($AM99&lt;&gt;"", TEXT($AM99, "MMMM"), ""), Income!$C:$C, YEAR($AM99))+SUMIFS($T:$T, $U:$U,AN$2,$Q:$Q,IF($AM99&lt;&gt;"", TEXT($AM99, "MMMM"), ""),$R:$R,YEAR($AM99))</f>
        <v>0</v>
      </c>
      <c r="AO99" s="464">
        <f>SUMIFS(Income!$G:$G,Income!$H:$H, AO$2,Income!$F:$F, $AL$1, Income!$B:$B, IF($AM99&lt;&gt;"", TEXT($AM99, "MMMM"), ""), Income!$C:$C, YEAR($AM99))+SUMIFS($T:$T, $U:$U,AO$2,$Q:$Q,IF($AM99&lt;&gt;"", TEXT($AM99, "MMMM"), ""),$R:$R,YEAR($AM99))</f>
        <v>0</v>
      </c>
      <c r="AP99" s="464">
        <f>SUMIFS(Income!$G:$G,Income!$H:$H, AP$2,Income!$F:$F, $AL$1, Income!$B:$B, IF($AM99&lt;&gt;"", TEXT($AM99, "MMMM"), ""), Income!$C:$C, YEAR($AM99))+SUMIFS($T:$T, $U:$U,AP$2,$Q:$Q,IF($AM99&lt;&gt;"", TEXT($AM99, "MMMM"), ""),$R:$R,YEAR($AM99))</f>
        <v>0</v>
      </c>
      <c r="AQ99" s="464">
        <f>SUMIFS(Income!$G:$G,Income!$H:$H, AQ$2,Income!$F:$F, $AL$1, Income!$B:$B, IF($AM99&lt;&gt;"", TEXT($AM99, "MMMM"), ""), Income!$C:$C, YEAR($AM99))+SUMIFS($T:$T, $U:$U,AQ$2,$Q:$Q,IF($AM99&lt;&gt;"", TEXT($AM99, "MMMM"), ""),$R:$R,YEAR($AM99))</f>
        <v>0</v>
      </c>
      <c r="AR99" s="464">
        <f>SUMIFS(Income!$G:$G,Income!$H:$H, AR$2,Income!$F:$F, $AL$1, Income!$B:$B, IF($AM99&lt;&gt;"", TEXT($AM99, "MMMM"), ""), Income!$C:$C, YEAR($AM99))+SUMIFS($T:$T, $U:$U,AR$2,$Q:$Q,IF($AM99&lt;&gt;"", TEXT($AM99, "MMMM"), ""),$R:$R,YEAR($AM99))</f>
        <v>0</v>
      </c>
      <c r="AS99" s="467">
        <f>SUMIFS(Income!$G:$G,Income!$H:$H, AS$2,Income!$F:$F, $AL$1, Income!$B:$B, IF($AM99&lt;&gt;"", TEXT($AM99, "MMMM"), ""), Income!$C:$C, YEAR($AM99))+SUMIFS($T:$T, $U:$U,AS$2,$Q:$Q,IF($AM99&lt;&gt;"", TEXT($AM99, "MMMM"), ""),$R:$R,YEAR($AM99))</f>
        <v>0</v>
      </c>
      <c r="AT99" s="407" t="s">
        <v>784</v>
      </c>
      <c r="AU99" s="463">
        <v>46753.0</v>
      </c>
      <c r="AV99" s="464">
        <f>SUMIFS(Income!$G:$G,Income!$H:$H, AV$2,Income!$F:$F, $AT$1, Income!$B:$B, IF($AU99&lt;&gt;"", TEXT($AU99, "MMMM"), ""), Income!$C:$C, YEAR($AU99))</f>
        <v>0</v>
      </c>
      <c r="AW99" s="464">
        <f>SUMIFS(Income!$G:$G,Income!$H:$H, AW$2,Income!$F:$F, $AT$1, Income!$B:$B, IF($AU99&lt;&gt;"", TEXT($AU99, "MMMM"), ""), Income!$C:$C, YEAR($AU99))</f>
        <v>0</v>
      </c>
      <c r="AX99" s="464">
        <f>SUMIFS(Income!$G:$G,Income!$H:$H, AX$2,Income!$F:$F, $AT$1, Income!$B:$B, IF($AU99&lt;&gt;"", TEXT($AU99, "MMMM"), ""), Income!$C:$C, YEAR($AU99))</f>
        <v>0</v>
      </c>
      <c r="AY99" s="464">
        <f>SUMIFS(Income!$G:$G,Income!$H:$H, AY$2,Income!$F:$F, $AT$1, Income!$B:$B, IF($AU99&lt;&gt;"", TEXT($AU99, "MMMM"), ""), Income!$C:$C, YEAR($AU99))</f>
        <v>0</v>
      </c>
      <c r="AZ99" s="464">
        <f>SUMIFS(Income!$G:$G,Income!$H:$H, AZ$2,Income!$F:$F, $AT$1, Income!$B:$B, IF($AU99&lt;&gt;"", TEXT($AU99, "MMMM"), ""), Income!$C:$C, YEAR($AU99))</f>
        <v>0</v>
      </c>
      <c r="BA99" s="468">
        <f>SUMIFS(Income!$G:$G,Income!$H:$H, BA$2,Income!$F:$F, $AT$1, Income!$B:$B, IF($AU99&lt;&gt;"", TEXT($AU99, "MMMM"), ""), Income!$C:$C, YEAR($AU99))</f>
        <v>0</v>
      </c>
      <c r="BB99" s="345"/>
      <c r="BC99" s="345"/>
      <c r="BD99" s="345"/>
      <c r="BE99" s="345"/>
    </row>
    <row r="100" ht="13.5" customHeight="1">
      <c r="A100" s="424">
        <f>'Membership Application List'!A329</f>
        <v>45523.50793</v>
      </c>
      <c r="B100" s="443" t="str">
        <f t="shared" si="6"/>
        <v>August</v>
      </c>
      <c r="C100" s="443">
        <f t="shared" si="7"/>
        <v>2024</v>
      </c>
      <c r="D100" s="426" t="str">
        <f>'Membership Application List'!E329</f>
        <v>Daniel Brown</v>
      </c>
      <c r="E100" s="426">
        <f>IF('Membership Application List'!J329 = "Food/Litter Donation", 0, IF('Membership Application List'!J329 = "$15 Donation, Discord Verification", IF('Membership Application List'!N329 = TRUE, 15, 0)))</f>
        <v>15</v>
      </c>
      <c r="F100" s="426">
        <f>if('Membership Application List'!K329=TRUE, 5,0)</f>
        <v>0</v>
      </c>
      <c r="G100" s="426">
        <f t="shared" si="8"/>
        <v>15</v>
      </c>
      <c r="H100" s="427" t="str">
        <f>'Membership Application List'!L329</f>
        <v>Cash</v>
      </c>
      <c r="I100" s="428"/>
      <c r="J100" s="463">
        <v>46784.0</v>
      </c>
      <c r="K100" s="464">
        <f t="shared" ref="K100:O100" si="58">SUMIFS($G:$G, $H:$H, K$2, $B:$B, IF($J100&lt;&gt;"", TEXT($J100, "MMMM"), ""), $C:$C, YEAR($J100))</f>
        <v>0</v>
      </c>
      <c r="L100" s="464">
        <f t="shared" si="58"/>
        <v>0</v>
      </c>
      <c r="M100" s="464">
        <f t="shared" si="58"/>
        <v>0</v>
      </c>
      <c r="N100" s="464">
        <f t="shared" si="58"/>
        <v>0</v>
      </c>
      <c r="O100" s="465">
        <f t="shared" si="58"/>
        <v>0</v>
      </c>
      <c r="P100" s="414"/>
      <c r="Q100" s="414"/>
      <c r="R100" s="414"/>
      <c r="S100" s="445"/>
      <c r="T100" s="445"/>
      <c r="U100" s="445"/>
      <c r="V100" s="428"/>
      <c r="W100" s="463">
        <v>46784.0</v>
      </c>
      <c r="X100" s="464">
        <f>SUMIFS(Income!$G:$G,Income!$H:$H, X$2,Income!$F:$F, $V$1, Income!$B:$B, IF($W100&lt;&gt;"", TEXT($W100, "MMMM"), ""), Income!$C:$C, YEAR($W100))</f>
        <v>0</v>
      </c>
      <c r="Y100" s="464">
        <f>SUMIFS(Income!$G:$G,Income!$H:$H, Y$2,Income!$F:$F, $V$1, Income!$B:$B, IF($W100&lt;&gt;"", TEXT($W100, "MMMM"), ""), Income!$C:$C, YEAR($W100))</f>
        <v>0</v>
      </c>
      <c r="Z100" s="464">
        <f>SUMIFS(Income!$G:$G,Income!$H:$H, Z$2,Income!$F:$F, $V$1, Income!$B:$B, IF($W100&lt;&gt;"", TEXT($W100, "MMMM"), ""), Income!$C:$C, YEAR($W100))</f>
        <v>0</v>
      </c>
      <c r="AA100" s="464">
        <f>SUMIFS(Income!$G:$G,Income!$H:$H, AA$2,Income!$F:$F, $V$1, Income!$B:$B, IF($W100&lt;&gt;"", TEXT($W100, "MMMM"), ""), Income!$C:$C, YEAR($W100))</f>
        <v>0</v>
      </c>
      <c r="AB100" s="464">
        <f>SUMIFS(Income!$G:$G,Income!$H:$H, AB$2,Income!$F:$F, $V$1, Income!$B:$B, IF($W100&lt;&gt;"", TEXT($W100, "MMMM"), ""), Income!$C:$C, YEAR($W100))</f>
        <v>0</v>
      </c>
      <c r="AC100" s="467">
        <f>SUMIFS(Income!$G:$G,Income!$H:$H, AC$2,Income!$F:$F, $V$1, Income!$B:$B, IF($W100&lt;&gt;"", TEXT($W100, "MMMM"), ""), Income!$C:$C, YEAR($W100))</f>
        <v>0</v>
      </c>
      <c r="AD100" s="428"/>
      <c r="AE100" s="463">
        <v>46784.0</v>
      </c>
      <c r="AF100" s="464">
        <f>SUMIFS(Income!$G:$G,Income!$H:$H, AF$2,Income!$F:$F, $AD$1, Income!$B:$B, IF($AE100&lt;&gt;"", TEXT($AE100, "MMMM"), ""), Income!$C:$C, YEAR($AE100))</f>
        <v>0</v>
      </c>
      <c r="AG100" s="464">
        <f>SUMIFS(Income!$G:$G,Income!$H:$H, AG$2,Income!$F:$F, $AD$1, Income!$B:$B, IF($AE100&lt;&gt;"", TEXT($AE100, "MMMM"), ""), Income!$C:$C, YEAR($AE100))</f>
        <v>0</v>
      </c>
      <c r="AH100" s="464">
        <f>SUMIFS(Income!$G:$G,Income!$H:$H, AH$2,Income!$F:$F, $AD$1, Income!$B:$B, IF($AE100&lt;&gt;"", TEXT($AE100, "MMMM"), ""), Income!$C:$C, YEAR($AE100))</f>
        <v>0</v>
      </c>
      <c r="AI100" s="464">
        <f>SUMIFS(Income!$G:$G,Income!$H:$H, AI$2,Income!$F:$F, $AD$1, Income!$B:$B, IF($AE100&lt;&gt;"", TEXT($AE100, "MMMM"), ""), Income!$C:$C, YEAR($AE100))</f>
        <v>0</v>
      </c>
      <c r="AJ100" s="464">
        <f>SUMIFS(Income!$G:$G,Income!$H:$H, AJ$2,Income!$F:$F, $AD$1, Income!$B:$B, IF($AE100&lt;&gt;"", TEXT($AE100, "MMMM"), ""), Income!$C:$C, YEAR($AE100))</f>
        <v>0</v>
      </c>
      <c r="AK100" s="467">
        <f>SUMIFS(Income!$G:$G,Income!$H:$H, AK$2,Income!$F:$F, $AD$1, Income!$B:$B, IF($AE100&lt;&gt;"", TEXT($AE100, "MMMM"), ""), Income!$C:$C, YEAR($AE100))</f>
        <v>0</v>
      </c>
      <c r="AL100" s="428"/>
      <c r="AM100" s="463">
        <v>46784.0</v>
      </c>
      <c r="AN100" s="464">
        <f>SUMIFS(Income!$G:$G,Income!$H:$H, AN$2,Income!$F:$F, $AL$1, Income!$B:$B, IF($AM100&lt;&gt;"", TEXT($AM100, "MMMM"), ""), Income!$C:$C, YEAR($AM100))+SUMIFS($T:$T, $U:$U,AN$2,$Q:$Q,IF($AM100&lt;&gt;"", TEXT($AM100, "MMMM"), ""),$R:$R,YEAR($AM100))</f>
        <v>0</v>
      </c>
      <c r="AO100" s="464">
        <f>SUMIFS(Income!$G:$G,Income!$H:$H, AO$2,Income!$F:$F, $AL$1, Income!$B:$B, IF($AM100&lt;&gt;"", TEXT($AM100, "MMMM"), ""), Income!$C:$C, YEAR($AM100))+SUMIFS($T:$T, $U:$U,AO$2,$Q:$Q,IF($AM100&lt;&gt;"", TEXT($AM100, "MMMM"), ""),$R:$R,YEAR($AM100))</f>
        <v>0</v>
      </c>
      <c r="AP100" s="464">
        <f>SUMIFS(Income!$G:$G,Income!$H:$H, AP$2,Income!$F:$F, $AL$1, Income!$B:$B, IF($AM100&lt;&gt;"", TEXT($AM100, "MMMM"), ""), Income!$C:$C, YEAR($AM100))+SUMIFS($T:$T, $U:$U,AP$2,$Q:$Q,IF($AM100&lt;&gt;"", TEXT($AM100, "MMMM"), ""),$R:$R,YEAR($AM100))</f>
        <v>0</v>
      </c>
      <c r="AQ100" s="464">
        <f>SUMIFS(Income!$G:$G,Income!$H:$H, AQ$2,Income!$F:$F, $AL$1, Income!$B:$B, IF($AM100&lt;&gt;"", TEXT($AM100, "MMMM"), ""), Income!$C:$C, YEAR($AM100))+SUMIFS($T:$T, $U:$U,AQ$2,$Q:$Q,IF($AM100&lt;&gt;"", TEXT($AM100, "MMMM"), ""),$R:$R,YEAR($AM100))</f>
        <v>0</v>
      </c>
      <c r="AR100" s="464">
        <f>SUMIFS(Income!$G:$G,Income!$H:$H, AR$2,Income!$F:$F, $AL$1, Income!$B:$B, IF($AM100&lt;&gt;"", TEXT($AM100, "MMMM"), ""), Income!$C:$C, YEAR($AM100))+SUMIFS($T:$T, $U:$U,AR$2,$Q:$Q,IF($AM100&lt;&gt;"", TEXT($AM100, "MMMM"), ""),$R:$R,YEAR($AM100))</f>
        <v>0</v>
      </c>
      <c r="AS100" s="467">
        <f>SUMIFS(Income!$G:$G,Income!$H:$H, AS$2,Income!$F:$F, $AL$1, Income!$B:$B, IF($AM100&lt;&gt;"", TEXT($AM100, "MMMM"), ""), Income!$C:$C, YEAR($AM100))+SUMIFS($T:$T, $U:$U,AS$2,$Q:$Q,IF($AM100&lt;&gt;"", TEXT($AM100, "MMMM"), ""),$R:$R,YEAR($AM100))</f>
        <v>0</v>
      </c>
      <c r="AT100" s="428"/>
      <c r="AU100" s="463">
        <v>46784.0</v>
      </c>
      <c r="AV100" s="464">
        <f>SUMIFS(Income!$G:$G,Income!$H:$H, AV$2,Income!$F:$F, $AT$1, Income!$B:$B, IF($AU100&lt;&gt;"", TEXT($AU100, "MMMM"), ""), Income!$C:$C, YEAR($AU100))</f>
        <v>0</v>
      </c>
      <c r="AW100" s="464">
        <f>SUMIFS(Income!$G:$G,Income!$H:$H, AW$2,Income!$F:$F, $AT$1, Income!$B:$B, IF($AU100&lt;&gt;"", TEXT($AU100, "MMMM"), ""), Income!$C:$C, YEAR($AU100))</f>
        <v>0</v>
      </c>
      <c r="AX100" s="464">
        <f>SUMIFS(Income!$G:$G,Income!$H:$H, AX$2,Income!$F:$F, $AT$1, Income!$B:$B, IF($AU100&lt;&gt;"", TEXT($AU100, "MMMM"), ""), Income!$C:$C, YEAR($AU100))</f>
        <v>0</v>
      </c>
      <c r="AY100" s="464">
        <f>SUMIFS(Income!$G:$G,Income!$H:$H, AY$2,Income!$F:$F, $AT$1, Income!$B:$B, IF($AU100&lt;&gt;"", TEXT($AU100, "MMMM"), ""), Income!$C:$C, YEAR($AU100))</f>
        <v>0</v>
      </c>
      <c r="AZ100" s="464">
        <f>SUMIFS(Income!$G:$G,Income!$H:$H, AZ$2,Income!$F:$F, $AT$1, Income!$B:$B, IF($AU100&lt;&gt;"", TEXT($AU100, "MMMM"), ""), Income!$C:$C, YEAR($AU100))</f>
        <v>0</v>
      </c>
      <c r="BA100" s="468">
        <f>SUMIFS(Income!$G:$G,Income!$H:$H, BA$2,Income!$F:$F, $AT$1, Income!$B:$B, IF($AU100&lt;&gt;"", TEXT($AU100, "MMMM"), ""), Income!$C:$C, YEAR($AU100))</f>
        <v>0</v>
      </c>
      <c r="BB100" s="345"/>
      <c r="BC100" s="345"/>
      <c r="BD100" s="345"/>
      <c r="BE100" s="345"/>
    </row>
    <row r="101" ht="13.5" customHeight="1">
      <c r="A101" s="436">
        <f>'Membership Application List'!A330</f>
        <v>45523.94699</v>
      </c>
      <c r="B101" s="437" t="str">
        <f t="shared" si="6"/>
        <v>August</v>
      </c>
      <c r="C101" s="437">
        <f t="shared" si="7"/>
        <v>2024</v>
      </c>
      <c r="D101" s="438" t="str">
        <f>'Membership Application List'!E330</f>
        <v>Abby Montalvo </v>
      </c>
      <c r="E101" s="438">
        <f>IF('Membership Application List'!J330 = "Food/Litter Donation", 0, IF('Membership Application List'!J330 = "$15 Donation, Discord Verification", IF('Membership Application List'!N330 = TRUE, 15, 0)))</f>
        <v>15</v>
      </c>
      <c r="F101" s="438">
        <f>if('Membership Application List'!K330=TRUE, 5,0)</f>
        <v>0</v>
      </c>
      <c r="G101" s="438">
        <f t="shared" si="8"/>
        <v>15</v>
      </c>
      <c r="H101" s="439" t="str">
        <f>'Membership Application List'!L330</f>
        <v>Cashapp</v>
      </c>
      <c r="I101" s="428"/>
      <c r="J101" s="463">
        <v>46813.0</v>
      </c>
      <c r="K101" s="464">
        <f t="shared" ref="K101:O101" si="59">SUMIFS($G:$G, $H:$H, K$2, $B:$B, IF($J101&lt;&gt;"", TEXT($J101, "MMMM"), ""), $C:$C, YEAR($J101))</f>
        <v>0</v>
      </c>
      <c r="L101" s="464">
        <f t="shared" si="59"/>
        <v>0</v>
      </c>
      <c r="M101" s="464">
        <f t="shared" si="59"/>
        <v>0</v>
      </c>
      <c r="N101" s="464">
        <f t="shared" si="59"/>
        <v>0</v>
      </c>
      <c r="O101" s="465">
        <f t="shared" si="59"/>
        <v>0</v>
      </c>
      <c r="P101" s="414"/>
      <c r="Q101" s="414"/>
      <c r="R101" s="414"/>
      <c r="S101" s="445"/>
      <c r="T101" s="445"/>
      <c r="U101" s="445"/>
      <c r="V101" s="428"/>
      <c r="W101" s="463">
        <v>46813.0</v>
      </c>
      <c r="X101" s="464">
        <f>SUMIFS(Income!$G:$G,Income!$H:$H, X$2,Income!$F:$F, $V$1, Income!$B:$B, IF($W101&lt;&gt;"", TEXT($W101, "MMMM"), ""), Income!$C:$C, YEAR($W101))</f>
        <v>0</v>
      </c>
      <c r="Y101" s="464">
        <f>SUMIFS(Income!$G:$G,Income!$H:$H, Y$2,Income!$F:$F, $V$1, Income!$B:$B, IF($W101&lt;&gt;"", TEXT($W101, "MMMM"), ""), Income!$C:$C, YEAR($W101))</f>
        <v>0</v>
      </c>
      <c r="Z101" s="464">
        <f>SUMIFS(Income!$G:$G,Income!$H:$H, Z$2,Income!$F:$F, $V$1, Income!$B:$B, IF($W101&lt;&gt;"", TEXT($W101, "MMMM"), ""), Income!$C:$C, YEAR($W101))</f>
        <v>0</v>
      </c>
      <c r="AA101" s="464">
        <f>SUMIFS(Income!$G:$G,Income!$H:$H, AA$2,Income!$F:$F, $V$1, Income!$B:$B, IF($W101&lt;&gt;"", TEXT($W101, "MMMM"), ""), Income!$C:$C, YEAR($W101))</f>
        <v>0</v>
      </c>
      <c r="AB101" s="464">
        <f>SUMIFS(Income!$G:$G,Income!$H:$H, AB$2,Income!$F:$F, $V$1, Income!$B:$B, IF($W101&lt;&gt;"", TEXT($W101, "MMMM"), ""), Income!$C:$C, YEAR($W101))</f>
        <v>0</v>
      </c>
      <c r="AC101" s="467">
        <f>SUMIFS(Income!$G:$G,Income!$H:$H, AC$2,Income!$F:$F, $V$1, Income!$B:$B, IF($W101&lt;&gt;"", TEXT($W101, "MMMM"), ""), Income!$C:$C, YEAR($W101))</f>
        <v>0</v>
      </c>
      <c r="AD101" s="428"/>
      <c r="AE101" s="463">
        <v>46813.0</v>
      </c>
      <c r="AF101" s="464">
        <f>SUMIFS(Income!$G:$G,Income!$H:$H, AF$2,Income!$F:$F, $AD$1, Income!$B:$B, IF($AE101&lt;&gt;"", TEXT($AE101, "MMMM"), ""), Income!$C:$C, YEAR($AE101))</f>
        <v>0</v>
      </c>
      <c r="AG101" s="464">
        <f>SUMIFS(Income!$G:$G,Income!$H:$H, AG$2,Income!$F:$F, $AD$1, Income!$B:$B, IF($AE101&lt;&gt;"", TEXT($AE101, "MMMM"), ""), Income!$C:$C, YEAR($AE101))</f>
        <v>0</v>
      </c>
      <c r="AH101" s="464">
        <f>SUMIFS(Income!$G:$G,Income!$H:$H, AH$2,Income!$F:$F, $AD$1, Income!$B:$B, IF($AE101&lt;&gt;"", TEXT($AE101, "MMMM"), ""), Income!$C:$C, YEAR($AE101))</f>
        <v>0</v>
      </c>
      <c r="AI101" s="464">
        <f>SUMIFS(Income!$G:$G,Income!$H:$H, AI$2,Income!$F:$F, $AD$1, Income!$B:$B, IF($AE101&lt;&gt;"", TEXT($AE101, "MMMM"), ""), Income!$C:$C, YEAR($AE101))</f>
        <v>0</v>
      </c>
      <c r="AJ101" s="464">
        <f>SUMIFS(Income!$G:$G,Income!$H:$H, AJ$2,Income!$F:$F, $AD$1, Income!$B:$B, IF($AE101&lt;&gt;"", TEXT($AE101, "MMMM"), ""), Income!$C:$C, YEAR($AE101))</f>
        <v>0</v>
      </c>
      <c r="AK101" s="467">
        <f>SUMIFS(Income!$G:$G,Income!$H:$H, AK$2,Income!$F:$F, $AD$1, Income!$B:$B, IF($AE101&lt;&gt;"", TEXT($AE101, "MMMM"), ""), Income!$C:$C, YEAR($AE101))</f>
        <v>0</v>
      </c>
      <c r="AL101" s="428"/>
      <c r="AM101" s="463">
        <v>46813.0</v>
      </c>
      <c r="AN101" s="464">
        <f>SUMIFS(Income!$G:$G,Income!$H:$H, AN$2,Income!$F:$F, $AL$1, Income!$B:$B, IF($AM101&lt;&gt;"", TEXT($AM101, "MMMM"), ""), Income!$C:$C, YEAR($AM101))+SUMIFS($T:$T, $U:$U,AN$2,$Q:$Q,IF($AM101&lt;&gt;"", TEXT($AM101, "MMMM"), ""),$R:$R,YEAR($AM101))</f>
        <v>0</v>
      </c>
      <c r="AO101" s="464">
        <f>SUMIFS(Income!$G:$G,Income!$H:$H, AO$2,Income!$F:$F, $AL$1, Income!$B:$B, IF($AM101&lt;&gt;"", TEXT($AM101, "MMMM"), ""), Income!$C:$C, YEAR($AM101))+SUMIFS($T:$T, $U:$U,AO$2,$Q:$Q,IF($AM101&lt;&gt;"", TEXT($AM101, "MMMM"), ""),$R:$R,YEAR($AM101))</f>
        <v>0</v>
      </c>
      <c r="AP101" s="464">
        <f>SUMIFS(Income!$G:$G,Income!$H:$H, AP$2,Income!$F:$F, $AL$1, Income!$B:$B, IF($AM101&lt;&gt;"", TEXT($AM101, "MMMM"), ""), Income!$C:$C, YEAR($AM101))+SUMIFS($T:$T, $U:$U,AP$2,$Q:$Q,IF($AM101&lt;&gt;"", TEXT($AM101, "MMMM"), ""),$R:$R,YEAR($AM101))</f>
        <v>0</v>
      </c>
      <c r="AQ101" s="464">
        <f>SUMIFS(Income!$G:$G,Income!$H:$H, AQ$2,Income!$F:$F, $AL$1, Income!$B:$B, IF($AM101&lt;&gt;"", TEXT($AM101, "MMMM"), ""), Income!$C:$C, YEAR($AM101))+SUMIFS($T:$T, $U:$U,AQ$2,$Q:$Q,IF($AM101&lt;&gt;"", TEXT($AM101, "MMMM"), ""),$R:$R,YEAR($AM101))</f>
        <v>0</v>
      </c>
      <c r="AR101" s="464">
        <f>SUMIFS(Income!$G:$G,Income!$H:$H, AR$2,Income!$F:$F, $AL$1, Income!$B:$B, IF($AM101&lt;&gt;"", TEXT($AM101, "MMMM"), ""), Income!$C:$C, YEAR($AM101))+SUMIFS($T:$T, $U:$U,AR$2,$Q:$Q,IF($AM101&lt;&gt;"", TEXT($AM101, "MMMM"), ""),$R:$R,YEAR($AM101))</f>
        <v>0</v>
      </c>
      <c r="AS101" s="467">
        <f>SUMIFS(Income!$G:$G,Income!$H:$H, AS$2,Income!$F:$F, $AL$1, Income!$B:$B, IF($AM101&lt;&gt;"", TEXT($AM101, "MMMM"), ""), Income!$C:$C, YEAR($AM101))+SUMIFS($T:$T, $U:$U,AS$2,$Q:$Q,IF($AM101&lt;&gt;"", TEXT($AM101, "MMMM"), ""),$R:$R,YEAR($AM101))</f>
        <v>0</v>
      </c>
      <c r="AT101" s="428"/>
      <c r="AU101" s="463">
        <v>46813.0</v>
      </c>
      <c r="AV101" s="464">
        <f>SUMIFS(Income!$G:$G,Income!$H:$H, AV$2,Income!$F:$F, $AT$1, Income!$B:$B, IF($AU101&lt;&gt;"", TEXT($AU101, "MMMM"), ""), Income!$C:$C, YEAR($AU101))</f>
        <v>0</v>
      </c>
      <c r="AW101" s="464">
        <f>SUMIFS(Income!$G:$G,Income!$H:$H, AW$2,Income!$F:$F, $AT$1, Income!$B:$B, IF($AU101&lt;&gt;"", TEXT($AU101, "MMMM"), ""), Income!$C:$C, YEAR($AU101))</f>
        <v>0</v>
      </c>
      <c r="AX101" s="464">
        <f>SUMIFS(Income!$G:$G,Income!$H:$H, AX$2,Income!$F:$F, $AT$1, Income!$B:$B, IF($AU101&lt;&gt;"", TEXT($AU101, "MMMM"), ""), Income!$C:$C, YEAR($AU101))</f>
        <v>0</v>
      </c>
      <c r="AY101" s="464">
        <f>SUMIFS(Income!$G:$G,Income!$H:$H, AY$2,Income!$F:$F, $AT$1, Income!$B:$B, IF($AU101&lt;&gt;"", TEXT($AU101, "MMMM"), ""), Income!$C:$C, YEAR($AU101))</f>
        <v>0</v>
      </c>
      <c r="AZ101" s="464">
        <f>SUMIFS(Income!$G:$G,Income!$H:$H, AZ$2,Income!$F:$F, $AT$1, Income!$B:$B, IF($AU101&lt;&gt;"", TEXT($AU101, "MMMM"), ""), Income!$C:$C, YEAR($AU101))</f>
        <v>0</v>
      </c>
      <c r="BA101" s="468">
        <f>SUMIFS(Income!$G:$G,Income!$H:$H, BA$2,Income!$F:$F, $AT$1, Income!$B:$B, IF($AU101&lt;&gt;"", TEXT($AU101, "MMMM"), ""), Income!$C:$C, YEAR($AU101))</f>
        <v>0</v>
      </c>
      <c r="BB101" s="345"/>
      <c r="BC101" s="345"/>
      <c r="BD101" s="345"/>
      <c r="BE101" s="345"/>
    </row>
    <row r="102" ht="13.5" customHeight="1">
      <c r="A102" s="424">
        <f>'Membership Application List'!A331</f>
        <v>45524.36562</v>
      </c>
      <c r="B102" s="443" t="str">
        <f t="shared" si="6"/>
        <v>August</v>
      </c>
      <c r="C102" s="443">
        <f t="shared" si="7"/>
        <v>2024</v>
      </c>
      <c r="D102" s="426" t="str">
        <f>'Membership Application List'!E331</f>
        <v>Diana Phim</v>
      </c>
      <c r="E102" s="426">
        <f>IF('Membership Application List'!J331 = "Food/Litter Donation", 0, IF('Membership Application List'!J331 = "$15 Donation, Discord Verification", IF('Membership Application List'!N331 = TRUE, 15, 0)))</f>
        <v>15</v>
      </c>
      <c r="F102" s="426">
        <f>if('Membership Application List'!K331=TRUE, 5,0)</f>
        <v>0</v>
      </c>
      <c r="G102" s="426">
        <f t="shared" si="8"/>
        <v>15</v>
      </c>
      <c r="H102" s="427" t="str">
        <f>'Membership Application List'!L331</f>
        <v>Paypal</v>
      </c>
      <c r="I102" s="428"/>
      <c r="J102" s="463">
        <v>46844.0</v>
      </c>
      <c r="K102" s="464">
        <f t="shared" ref="K102:O102" si="60">SUMIFS($G:$G, $H:$H, K$2, $B:$B, IF($J102&lt;&gt;"", TEXT($J102, "MMMM"), ""), $C:$C, YEAR($J102))</f>
        <v>0</v>
      </c>
      <c r="L102" s="464">
        <f t="shared" si="60"/>
        <v>0</v>
      </c>
      <c r="M102" s="464">
        <f t="shared" si="60"/>
        <v>0</v>
      </c>
      <c r="N102" s="464">
        <f t="shared" si="60"/>
        <v>0</v>
      </c>
      <c r="O102" s="465">
        <f t="shared" si="60"/>
        <v>0</v>
      </c>
      <c r="P102" s="414"/>
      <c r="Q102" s="414"/>
      <c r="R102" s="414"/>
      <c r="S102" s="445"/>
      <c r="T102" s="445"/>
      <c r="U102" s="445"/>
      <c r="V102" s="428"/>
      <c r="W102" s="463">
        <v>46844.0</v>
      </c>
      <c r="X102" s="464">
        <f>SUMIFS(Income!$G:$G,Income!$H:$H, X$2,Income!$F:$F, $V$1, Income!$B:$B, IF($W102&lt;&gt;"", TEXT($W102, "MMMM"), ""), Income!$C:$C, YEAR($W102))</f>
        <v>0</v>
      </c>
      <c r="Y102" s="464">
        <f>SUMIFS(Income!$G:$G,Income!$H:$H, Y$2,Income!$F:$F, $V$1, Income!$B:$B, IF($W102&lt;&gt;"", TEXT($W102, "MMMM"), ""), Income!$C:$C, YEAR($W102))</f>
        <v>0</v>
      </c>
      <c r="Z102" s="464">
        <f>SUMIFS(Income!$G:$G,Income!$H:$H, Z$2,Income!$F:$F, $V$1, Income!$B:$B, IF($W102&lt;&gt;"", TEXT($W102, "MMMM"), ""), Income!$C:$C, YEAR($W102))</f>
        <v>0</v>
      </c>
      <c r="AA102" s="464">
        <f>SUMIFS(Income!$G:$G,Income!$H:$H, AA$2,Income!$F:$F, $V$1, Income!$B:$B, IF($W102&lt;&gt;"", TEXT($W102, "MMMM"), ""), Income!$C:$C, YEAR($W102))</f>
        <v>0</v>
      </c>
      <c r="AB102" s="464">
        <f>SUMIFS(Income!$G:$G,Income!$H:$H, AB$2,Income!$F:$F, $V$1, Income!$B:$B, IF($W102&lt;&gt;"", TEXT($W102, "MMMM"), ""), Income!$C:$C, YEAR($W102))</f>
        <v>0</v>
      </c>
      <c r="AC102" s="467">
        <f>SUMIFS(Income!$G:$G,Income!$H:$H, AC$2,Income!$F:$F, $V$1, Income!$B:$B, IF($W102&lt;&gt;"", TEXT($W102, "MMMM"), ""), Income!$C:$C, YEAR($W102))</f>
        <v>0</v>
      </c>
      <c r="AD102" s="428"/>
      <c r="AE102" s="463">
        <v>46844.0</v>
      </c>
      <c r="AF102" s="464">
        <f>SUMIFS(Income!$G:$G,Income!$H:$H, AF$2,Income!$F:$F, $AD$1, Income!$B:$B, IF($AE102&lt;&gt;"", TEXT($AE102, "MMMM"), ""), Income!$C:$C, YEAR($AE102))</f>
        <v>0</v>
      </c>
      <c r="AG102" s="464">
        <f>SUMIFS(Income!$G:$G,Income!$H:$H, AG$2,Income!$F:$F, $AD$1, Income!$B:$B, IF($AE102&lt;&gt;"", TEXT($AE102, "MMMM"), ""), Income!$C:$C, YEAR($AE102))</f>
        <v>0</v>
      </c>
      <c r="AH102" s="464">
        <f>SUMIFS(Income!$G:$G,Income!$H:$H, AH$2,Income!$F:$F, $AD$1, Income!$B:$B, IF($AE102&lt;&gt;"", TEXT($AE102, "MMMM"), ""), Income!$C:$C, YEAR($AE102))</f>
        <v>0</v>
      </c>
      <c r="AI102" s="464">
        <f>SUMIFS(Income!$G:$G,Income!$H:$H, AI$2,Income!$F:$F, $AD$1, Income!$B:$B, IF($AE102&lt;&gt;"", TEXT($AE102, "MMMM"), ""), Income!$C:$C, YEAR($AE102))</f>
        <v>0</v>
      </c>
      <c r="AJ102" s="464">
        <f>SUMIFS(Income!$G:$G,Income!$H:$H, AJ$2,Income!$F:$F, $AD$1, Income!$B:$B, IF($AE102&lt;&gt;"", TEXT($AE102, "MMMM"), ""), Income!$C:$C, YEAR($AE102))</f>
        <v>0</v>
      </c>
      <c r="AK102" s="467">
        <f>SUMIFS(Income!$G:$G,Income!$H:$H, AK$2,Income!$F:$F, $AD$1, Income!$B:$B, IF($AE102&lt;&gt;"", TEXT($AE102, "MMMM"), ""), Income!$C:$C, YEAR($AE102))</f>
        <v>0</v>
      </c>
      <c r="AL102" s="428"/>
      <c r="AM102" s="463">
        <v>46844.0</v>
      </c>
      <c r="AN102" s="464">
        <f>SUMIFS(Income!$G:$G,Income!$H:$H, AN$2,Income!$F:$F, $AL$1, Income!$B:$B, IF($AM102&lt;&gt;"", TEXT($AM102, "MMMM"), ""), Income!$C:$C, YEAR($AM102))+SUMIFS($T:$T, $U:$U,AN$2,$Q:$Q,IF($AM102&lt;&gt;"", TEXT($AM102, "MMMM"), ""),$R:$R,YEAR($AM102))</f>
        <v>0</v>
      </c>
      <c r="AO102" s="464">
        <f>SUMIFS(Income!$G:$G,Income!$H:$H, AO$2,Income!$F:$F, $AL$1, Income!$B:$B, IF($AM102&lt;&gt;"", TEXT($AM102, "MMMM"), ""), Income!$C:$C, YEAR($AM102))+SUMIFS($T:$T, $U:$U,AO$2,$Q:$Q,IF($AM102&lt;&gt;"", TEXT($AM102, "MMMM"), ""),$R:$R,YEAR($AM102))</f>
        <v>0</v>
      </c>
      <c r="AP102" s="464">
        <f>SUMIFS(Income!$G:$G,Income!$H:$H, AP$2,Income!$F:$F, $AL$1, Income!$B:$B, IF($AM102&lt;&gt;"", TEXT($AM102, "MMMM"), ""), Income!$C:$C, YEAR($AM102))+SUMIFS($T:$T, $U:$U,AP$2,$Q:$Q,IF($AM102&lt;&gt;"", TEXT($AM102, "MMMM"), ""),$R:$R,YEAR($AM102))</f>
        <v>0</v>
      </c>
      <c r="AQ102" s="464">
        <f>SUMIFS(Income!$G:$G,Income!$H:$H, AQ$2,Income!$F:$F, $AL$1, Income!$B:$B, IF($AM102&lt;&gt;"", TEXT($AM102, "MMMM"), ""), Income!$C:$C, YEAR($AM102))+SUMIFS($T:$T, $U:$U,AQ$2,$Q:$Q,IF($AM102&lt;&gt;"", TEXT($AM102, "MMMM"), ""),$R:$R,YEAR($AM102))</f>
        <v>0</v>
      </c>
      <c r="AR102" s="464">
        <f>SUMIFS(Income!$G:$G,Income!$H:$H, AR$2,Income!$F:$F, $AL$1, Income!$B:$B, IF($AM102&lt;&gt;"", TEXT($AM102, "MMMM"), ""), Income!$C:$C, YEAR($AM102))+SUMIFS($T:$T, $U:$U,AR$2,$Q:$Q,IF($AM102&lt;&gt;"", TEXT($AM102, "MMMM"), ""),$R:$R,YEAR($AM102))</f>
        <v>0</v>
      </c>
      <c r="AS102" s="467">
        <f>SUMIFS(Income!$G:$G,Income!$H:$H, AS$2,Income!$F:$F, $AL$1, Income!$B:$B, IF($AM102&lt;&gt;"", TEXT($AM102, "MMMM"), ""), Income!$C:$C, YEAR($AM102))+SUMIFS($T:$T, $U:$U,AS$2,$Q:$Q,IF($AM102&lt;&gt;"", TEXT($AM102, "MMMM"), ""),$R:$R,YEAR($AM102))</f>
        <v>0</v>
      </c>
      <c r="AT102" s="428"/>
      <c r="AU102" s="463">
        <v>46844.0</v>
      </c>
      <c r="AV102" s="464">
        <f>SUMIFS(Income!$G:$G,Income!$H:$H, AV$2,Income!$F:$F, $AT$1, Income!$B:$B, IF($AU102&lt;&gt;"", TEXT($AU102, "MMMM"), ""), Income!$C:$C, YEAR($AU102))</f>
        <v>0</v>
      </c>
      <c r="AW102" s="464">
        <f>SUMIFS(Income!$G:$G,Income!$H:$H, AW$2,Income!$F:$F, $AT$1, Income!$B:$B, IF($AU102&lt;&gt;"", TEXT($AU102, "MMMM"), ""), Income!$C:$C, YEAR($AU102))</f>
        <v>0</v>
      </c>
      <c r="AX102" s="464">
        <f>SUMIFS(Income!$G:$G,Income!$H:$H, AX$2,Income!$F:$F, $AT$1, Income!$B:$B, IF($AU102&lt;&gt;"", TEXT($AU102, "MMMM"), ""), Income!$C:$C, YEAR($AU102))</f>
        <v>0</v>
      </c>
      <c r="AY102" s="464">
        <f>SUMIFS(Income!$G:$G,Income!$H:$H, AY$2,Income!$F:$F, $AT$1, Income!$B:$B, IF($AU102&lt;&gt;"", TEXT($AU102, "MMMM"), ""), Income!$C:$C, YEAR($AU102))</f>
        <v>0</v>
      </c>
      <c r="AZ102" s="464">
        <f>SUMIFS(Income!$G:$G,Income!$H:$H, AZ$2,Income!$F:$F, $AT$1, Income!$B:$B, IF($AU102&lt;&gt;"", TEXT($AU102, "MMMM"), ""), Income!$C:$C, YEAR($AU102))</f>
        <v>0</v>
      </c>
      <c r="BA102" s="468">
        <f>SUMIFS(Income!$G:$G,Income!$H:$H, BA$2,Income!$F:$F, $AT$1, Income!$B:$B, IF($AU102&lt;&gt;"", TEXT($AU102, "MMMM"), ""), Income!$C:$C, YEAR($AU102))</f>
        <v>0</v>
      </c>
      <c r="BB102" s="345"/>
      <c r="BC102" s="345"/>
      <c r="BD102" s="345"/>
      <c r="BE102" s="345"/>
    </row>
    <row r="103" ht="13.5" customHeight="1">
      <c r="A103" s="436">
        <f>'Membership Application List'!A332</f>
        <v>45524.37078</v>
      </c>
      <c r="B103" s="437" t="str">
        <f t="shared" si="6"/>
        <v>August</v>
      </c>
      <c r="C103" s="437">
        <f t="shared" si="7"/>
        <v>2024</v>
      </c>
      <c r="D103" s="438" t="str">
        <f>'Membership Application List'!E332</f>
        <v>McKayla Mellen</v>
      </c>
      <c r="E103" s="438">
        <f>IF('Membership Application List'!J332 = "Food/Litter Donation", 0, IF('Membership Application List'!J332 = "$15 Donation, Discord Verification", IF('Membership Application List'!N332 = TRUE, 15, 0)))</f>
        <v>15</v>
      </c>
      <c r="F103" s="438">
        <f>if('Membership Application List'!K332=TRUE, 5,0)</f>
        <v>0</v>
      </c>
      <c r="G103" s="438">
        <f t="shared" si="8"/>
        <v>15</v>
      </c>
      <c r="H103" s="439" t="str">
        <f>'Membership Application List'!L332</f>
        <v>Venmo</v>
      </c>
      <c r="I103" s="428"/>
      <c r="J103" s="463">
        <v>46874.0</v>
      </c>
      <c r="K103" s="464">
        <f t="shared" ref="K103:O103" si="61">SUMIFS($G:$G, $H:$H, K$2, $B:$B, IF($J103&lt;&gt;"", TEXT($J103, "MMMM"), ""), $C:$C, YEAR($J103))</f>
        <v>0</v>
      </c>
      <c r="L103" s="464">
        <f t="shared" si="61"/>
        <v>0</v>
      </c>
      <c r="M103" s="464">
        <f t="shared" si="61"/>
        <v>0</v>
      </c>
      <c r="N103" s="464">
        <f t="shared" si="61"/>
        <v>0</v>
      </c>
      <c r="O103" s="465">
        <f t="shared" si="61"/>
        <v>0</v>
      </c>
      <c r="P103" s="414"/>
      <c r="Q103" s="414"/>
      <c r="R103" s="414"/>
      <c r="V103" s="428"/>
      <c r="W103" s="463">
        <v>46874.0</v>
      </c>
      <c r="X103" s="464">
        <f>SUMIFS(Income!$G:$G,Income!$H:$H, X$2,Income!$F:$F, $V$1, Income!$B:$B, IF($W103&lt;&gt;"", TEXT($W103, "MMMM"), ""), Income!$C:$C, YEAR($W103))</f>
        <v>0</v>
      </c>
      <c r="Y103" s="464">
        <f>SUMIFS(Income!$G:$G,Income!$H:$H, Y$2,Income!$F:$F, $V$1, Income!$B:$B, IF($W103&lt;&gt;"", TEXT($W103, "MMMM"), ""), Income!$C:$C, YEAR($W103))</f>
        <v>0</v>
      </c>
      <c r="Z103" s="464">
        <f>SUMIFS(Income!$G:$G,Income!$H:$H, Z$2,Income!$F:$F, $V$1, Income!$B:$B, IF($W103&lt;&gt;"", TEXT($W103, "MMMM"), ""), Income!$C:$C, YEAR($W103))</f>
        <v>0</v>
      </c>
      <c r="AA103" s="464">
        <f>SUMIFS(Income!$G:$G,Income!$H:$H, AA$2,Income!$F:$F, $V$1, Income!$B:$B, IF($W103&lt;&gt;"", TEXT($W103, "MMMM"), ""), Income!$C:$C, YEAR($W103))</f>
        <v>0</v>
      </c>
      <c r="AB103" s="464">
        <f>SUMIFS(Income!$G:$G,Income!$H:$H, AB$2,Income!$F:$F, $V$1, Income!$B:$B, IF($W103&lt;&gt;"", TEXT($W103, "MMMM"), ""), Income!$C:$C, YEAR($W103))</f>
        <v>0</v>
      </c>
      <c r="AC103" s="467">
        <f>SUMIFS(Income!$G:$G,Income!$H:$H, AC$2,Income!$F:$F, $V$1, Income!$B:$B, IF($W103&lt;&gt;"", TEXT($W103, "MMMM"), ""), Income!$C:$C, YEAR($W103))</f>
        <v>0</v>
      </c>
      <c r="AD103" s="428"/>
      <c r="AE103" s="463">
        <v>46874.0</v>
      </c>
      <c r="AF103" s="464">
        <f>SUMIFS(Income!$G:$G,Income!$H:$H, AF$2,Income!$F:$F, $AD$1, Income!$B:$B, IF($AE103&lt;&gt;"", TEXT($AE103, "MMMM"), ""), Income!$C:$C, YEAR($AE103))</f>
        <v>0</v>
      </c>
      <c r="AG103" s="464">
        <f>SUMIFS(Income!$G:$G,Income!$H:$H, AG$2,Income!$F:$F, $AD$1, Income!$B:$B, IF($AE103&lt;&gt;"", TEXT($AE103, "MMMM"), ""), Income!$C:$C, YEAR($AE103))</f>
        <v>0</v>
      </c>
      <c r="AH103" s="464">
        <f>SUMIFS(Income!$G:$G,Income!$H:$H, AH$2,Income!$F:$F, $AD$1, Income!$B:$B, IF($AE103&lt;&gt;"", TEXT($AE103, "MMMM"), ""), Income!$C:$C, YEAR($AE103))</f>
        <v>0</v>
      </c>
      <c r="AI103" s="464">
        <f>SUMIFS(Income!$G:$G,Income!$H:$H, AI$2,Income!$F:$F, $AD$1, Income!$B:$B, IF($AE103&lt;&gt;"", TEXT($AE103, "MMMM"), ""), Income!$C:$C, YEAR($AE103))</f>
        <v>0</v>
      </c>
      <c r="AJ103" s="464">
        <f>SUMIFS(Income!$G:$G,Income!$H:$H, AJ$2,Income!$F:$F, $AD$1, Income!$B:$B, IF($AE103&lt;&gt;"", TEXT($AE103, "MMMM"), ""), Income!$C:$C, YEAR($AE103))</f>
        <v>0</v>
      </c>
      <c r="AK103" s="467">
        <f>SUMIFS(Income!$G:$G,Income!$H:$H, AK$2,Income!$F:$F, $AD$1, Income!$B:$B, IF($AE103&lt;&gt;"", TEXT($AE103, "MMMM"), ""), Income!$C:$C, YEAR($AE103))</f>
        <v>0</v>
      </c>
      <c r="AL103" s="428"/>
      <c r="AM103" s="463">
        <v>46874.0</v>
      </c>
      <c r="AN103" s="464">
        <f>SUMIFS(Income!$G:$G,Income!$H:$H, AN$2,Income!$F:$F, $AL$1, Income!$B:$B, IF($AM103&lt;&gt;"", TEXT($AM103, "MMMM"), ""), Income!$C:$C, YEAR($AM103))+SUMIFS($T:$T, $U:$U,AN$2,$Q:$Q,IF($AM103&lt;&gt;"", TEXT($AM103, "MMMM"), ""),$R:$R,YEAR($AM103))</f>
        <v>0</v>
      </c>
      <c r="AO103" s="464">
        <f>SUMIFS(Income!$G:$G,Income!$H:$H, AO$2,Income!$F:$F, $AL$1, Income!$B:$B, IF($AM103&lt;&gt;"", TEXT($AM103, "MMMM"), ""), Income!$C:$C, YEAR($AM103))+SUMIFS($T:$T, $U:$U,AO$2,$Q:$Q,IF($AM103&lt;&gt;"", TEXT($AM103, "MMMM"), ""),$R:$R,YEAR($AM103))</f>
        <v>0</v>
      </c>
      <c r="AP103" s="464">
        <f>SUMIFS(Income!$G:$G,Income!$H:$H, AP$2,Income!$F:$F, $AL$1, Income!$B:$B, IF($AM103&lt;&gt;"", TEXT($AM103, "MMMM"), ""), Income!$C:$C, YEAR($AM103))+SUMIFS($T:$T, $U:$U,AP$2,$Q:$Q,IF($AM103&lt;&gt;"", TEXT($AM103, "MMMM"), ""),$R:$R,YEAR($AM103))</f>
        <v>0</v>
      </c>
      <c r="AQ103" s="464">
        <f>SUMIFS(Income!$G:$G,Income!$H:$H, AQ$2,Income!$F:$F, $AL$1, Income!$B:$B, IF($AM103&lt;&gt;"", TEXT($AM103, "MMMM"), ""), Income!$C:$C, YEAR($AM103))+SUMIFS($T:$T, $U:$U,AQ$2,$Q:$Q,IF($AM103&lt;&gt;"", TEXT($AM103, "MMMM"), ""),$R:$R,YEAR($AM103))</f>
        <v>0</v>
      </c>
      <c r="AR103" s="464">
        <f>SUMIFS(Income!$G:$G,Income!$H:$H, AR$2,Income!$F:$F, $AL$1, Income!$B:$B, IF($AM103&lt;&gt;"", TEXT($AM103, "MMMM"), ""), Income!$C:$C, YEAR($AM103))+SUMIFS($T:$T, $U:$U,AR$2,$Q:$Q,IF($AM103&lt;&gt;"", TEXT($AM103, "MMMM"), ""),$R:$R,YEAR($AM103))</f>
        <v>0</v>
      </c>
      <c r="AS103" s="467">
        <f>SUMIFS(Income!$G:$G,Income!$H:$H, AS$2,Income!$F:$F, $AL$1, Income!$B:$B, IF($AM103&lt;&gt;"", TEXT($AM103, "MMMM"), ""), Income!$C:$C, YEAR($AM103))+SUMIFS($T:$T, $U:$U,AS$2,$Q:$Q,IF($AM103&lt;&gt;"", TEXT($AM103, "MMMM"), ""),$R:$R,YEAR($AM103))</f>
        <v>0</v>
      </c>
      <c r="AT103" s="428"/>
      <c r="AU103" s="463">
        <v>46874.0</v>
      </c>
      <c r="AV103" s="464">
        <f>SUMIFS(Income!$G:$G,Income!$H:$H, AV$2,Income!$F:$F, $AT$1, Income!$B:$B, IF($AU103&lt;&gt;"", TEXT($AU103, "MMMM"), ""), Income!$C:$C, YEAR($AU103))</f>
        <v>0</v>
      </c>
      <c r="AW103" s="464">
        <f>SUMIFS(Income!$G:$G,Income!$H:$H, AW$2,Income!$F:$F, $AT$1, Income!$B:$B, IF($AU103&lt;&gt;"", TEXT($AU103, "MMMM"), ""), Income!$C:$C, YEAR($AU103))</f>
        <v>0</v>
      </c>
      <c r="AX103" s="464">
        <f>SUMIFS(Income!$G:$G,Income!$H:$H, AX$2,Income!$F:$F, $AT$1, Income!$B:$B, IF($AU103&lt;&gt;"", TEXT($AU103, "MMMM"), ""), Income!$C:$C, YEAR($AU103))</f>
        <v>0</v>
      </c>
      <c r="AY103" s="464">
        <f>SUMIFS(Income!$G:$G,Income!$H:$H, AY$2,Income!$F:$F, $AT$1, Income!$B:$B, IF($AU103&lt;&gt;"", TEXT($AU103, "MMMM"), ""), Income!$C:$C, YEAR($AU103))</f>
        <v>0</v>
      </c>
      <c r="AZ103" s="464">
        <f>SUMIFS(Income!$G:$G,Income!$H:$H, AZ$2,Income!$F:$F, $AT$1, Income!$B:$B, IF($AU103&lt;&gt;"", TEXT($AU103, "MMMM"), ""), Income!$C:$C, YEAR($AU103))</f>
        <v>0</v>
      </c>
      <c r="BA103" s="468">
        <f>SUMIFS(Income!$G:$G,Income!$H:$H, BA$2,Income!$F:$F, $AT$1, Income!$B:$B, IF($AU103&lt;&gt;"", TEXT($AU103, "MMMM"), ""), Income!$C:$C, YEAR($AU103))</f>
        <v>0</v>
      </c>
      <c r="BB103" s="345"/>
      <c r="BC103" s="345"/>
      <c r="BD103" s="345"/>
      <c r="BE103" s="345"/>
    </row>
    <row r="104" ht="13.5" customHeight="1">
      <c r="A104" s="424">
        <f>'Membership Application List'!A333</f>
        <v>45524.42151</v>
      </c>
      <c r="B104" s="443" t="str">
        <f t="shared" si="6"/>
        <v>August</v>
      </c>
      <c r="C104" s="443">
        <f t="shared" si="7"/>
        <v>2024</v>
      </c>
      <c r="D104" s="426" t="str">
        <f>'Membership Application List'!E333</f>
        <v>Rosalia Zamarripa </v>
      </c>
      <c r="E104" s="426">
        <f>IF('Membership Application List'!J333 = "Food/Litter Donation", 0, IF('Membership Application List'!J333 = "$15 Donation, Discord Verification", IF('Membership Application List'!N333 = TRUE, 15, 0)))</f>
        <v>15</v>
      </c>
      <c r="F104" s="426">
        <f>if('Membership Application List'!K333=TRUE, 5,0)</f>
        <v>0</v>
      </c>
      <c r="G104" s="426">
        <f t="shared" si="8"/>
        <v>15</v>
      </c>
      <c r="H104" s="427" t="str">
        <f>'Membership Application List'!L333</f>
        <v>Cashapp</v>
      </c>
      <c r="I104" s="447" t="s">
        <v>785</v>
      </c>
      <c r="J104" s="463">
        <v>46905.0</v>
      </c>
      <c r="K104" s="464">
        <f t="shared" ref="K104:O104" si="62">SUMIFS($G:$G, $H:$H, K$2, $B:$B, IF($J104&lt;&gt;"", TEXT($J104, "MMMM"), ""), $C:$C, YEAR($J104))</f>
        <v>0</v>
      </c>
      <c r="L104" s="464">
        <f t="shared" si="62"/>
        <v>0</v>
      </c>
      <c r="M104" s="464">
        <f t="shared" si="62"/>
        <v>0</v>
      </c>
      <c r="N104" s="464">
        <f t="shared" si="62"/>
        <v>0</v>
      </c>
      <c r="O104" s="465">
        <f t="shared" si="62"/>
        <v>0</v>
      </c>
      <c r="P104" s="414"/>
      <c r="Q104" s="414"/>
      <c r="R104" s="414"/>
      <c r="V104" s="447" t="s">
        <v>785</v>
      </c>
      <c r="W104" s="463">
        <v>46905.0</v>
      </c>
      <c r="X104" s="464">
        <f>SUMIFS(Income!$G:$G,Income!$H:$H, X$2,Income!$F:$F, $V$1, Income!$B:$B, IF($W104&lt;&gt;"", TEXT($W104, "MMMM"), ""), Income!$C:$C, YEAR($W104))</f>
        <v>0</v>
      </c>
      <c r="Y104" s="464">
        <f>SUMIFS(Income!$G:$G,Income!$H:$H, Y$2,Income!$F:$F, $V$1, Income!$B:$B, IF($W104&lt;&gt;"", TEXT($W104, "MMMM"), ""), Income!$C:$C, YEAR($W104))</f>
        <v>0</v>
      </c>
      <c r="Z104" s="464">
        <f>SUMIFS(Income!$G:$G,Income!$H:$H, Z$2,Income!$F:$F, $V$1, Income!$B:$B, IF($W104&lt;&gt;"", TEXT($W104, "MMMM"), ""), Income!$C:$C, YEAR($W104))</f>
        <v>0</v>
      </c>
      <c r="AA104" s="464">
        <f>SUMIFS(Income!$G:$G,Income!$H:$H, AA$2,Income!$F:$F, $V$1, Income!$B:$B, IF($W104&lt;&gt;"", TEXT($W104, "MMMM"), ""), Income!$C:$C, YEAR($W104))</f>
        <v>0</v>
      </c>
      <c r="AB104" s="464">
        <f>SUMIFS(Income!$G:$G,Income!$H:$H, AB$2,Income!$F:$F, $V$1, Income!$B:$B, IF($W104&lt;&gt;"", TEXT($W104, "MMMM"), ""), Income!$C:$C, YEAR($W104))</f>
        <v>0</v>
      </c>
      <c r="AC104" s="467">
        <f>SUMIFS(Income!$G:$G,Income!$H:$H, AC$2,Income!$F:$F, $V$1, Income!$B:$B, IF($W104&lt;&gt;"", TEXT($W104, "MMMM"), ""), Income!$C:$C, YEAR($W104))</f>
        <v>0</v>
      </c>
      <c r="AD104" s="447" t="s">
        <v>785</v>
      </c>
      <c r="AE104" s="463">
        <v>46905.0</v>
      </c>
      <c r="AF104" s="464">
        <f>SUMIFS(Income!$G:$G,Income!$H:$H, AF$2,Income!$F:$F, $AD$1, Income!$B:$B, IF($AE104&lt;&gt;"", TEXT($AE104, "MMMM"), ""), Income!$C:$C, YEAR($AE104))</f>
        <v>0</v>
      </c>
      <c r="AG104" s="464">
        <f>SUMIFS(Income!$G:$G,Income!$H:$H, AG$2,Income!$F:$F, $AD$1, Income!$B:$B, IF($AE104&lt;&gt;"", TEXT($AE104, "MMMM"), ""), Income!$C:$C, YEAR($AE104))</f>
        <v>0</v>
      </c>
      <c r="AH104" s="464">
        <f>SUMIFS(Income!$G:$G,Income!$H:$H, AH$2,Income!$F:$F, $AD$1, Income!$B:$B, IF($AE104&lt;&gt;"", TEXT($AE104, "MMMM"), ""), Income!$C:$C, YEAR($AE104))</f>
        <v>0</v>
      </c>
      <c r="AI104" s="464">
        <f>SUMIFS(Income!$G:$G,Income!$H:$H, AI$2,Income!$F:$F, $AD$1, Income!$B:$B, IF($AE104&lt;&gt;"", TEXT($AE104, "MMMM"), ""), Income!$C:$C, YEAR($AE104))</f>
        <v>0</v>
      </c>
      <c r="AJ104" s="464">
        <f>SUMIFS(Income!$G:$G,Income!$H:$H, AJ$2,Income!$F:$F, $AD$1, Income!$B:$B, IF($AE104&lt;&gt;"", TEXT($AE104, "MMMM"), ""), Income!$C:$C, YEAR($AE104))</f>
        <v>0</v>
      </c>
      <c r="AK104" s="467">
        <f>SUMIFS(Income!$G:$G,Income!$H:$H, AK$2,Income!$F:$F, $AD$1, Income!$B:$B, IF($AE104&lt;&gt;"", TEXT($AE104, "MMMM"), ""), Income!$C:$C, YEAR($AE104))</f>
        <v>0</v>
      </c>
      <c r="AL104" s="447" t="s">
        <v>785</v>
      </c>
      <c r="AM104" s="463">
        <v>46905.0</v>
      </c>
      <c r="AN104" s="464">
        <f>SUMIFS(Income!$G:$G,Income!$H:$H, AN$2,Income!$F:$F, $AL$1, Income!$B:$B, IF($AM104&lt;&gt;"", TEXT($AM104, "MMMM"), ""), Income!$C:$C, YEAR($AM104))+SUMIFS($T:$T, $U:$U,AN$2,$Q:$Q,IF($AM104&lt;&gt;"", TEXT($AM104, "MMMM"), ""),$R:$R,YEAR($AM104))</f>
        <v>0</v>
      </c>
      <c r="AO104" s="464">
        <f>SUMIFS(Income!$G:$G,Income!$H:$H, AO$2,Income!$F:$F, $AL$1, Income!$B:$B, IF($AM104&lt;&gt;"", TEXT($AM104, "MMMM"), ""), Income!$C:$C, YEAR($AM104))+SUMIFS($T:$T, $U:$U,AO$2,$Q:$Q,IF($AM104&lt;&gt;"", TEXT($AM104, "MMMM"), ""),$R:$R,YEAR($AM104))</f>
        <v>0</v>
      </c>
      <c r="AP104" s="464">
        <f>SUMIFS(Income!$G:$G,Income!$H:$H, AP$2,Income!$F:$F, $AL$1, Income!$B:$B, IF($AM104&lt;&gt;"", TEXT($AM104, "MMMM"), ""), Income!$C:$C, YEAR($AM104))+SUMIFS($T:$T, $U:$U,AP$2,$Q:$Q,IF($AM104&lt;&gt;"", TEXT($AM104, "MMMM"), ""),$R:$R,YEAR($AM104))</f>
        <v>0</v>
      </c>
      <c r="AQ104" s="464">
        <f>SUMIFS(Income!$G:$G,Income!$H:$H, AQ$2,Income!$F:$F, $AL$1, Income!$B:$B, IF($AM104&lt;&gt;"", TEXT($AM104, "MMMM"), ""), Income!$C:$C, YEAR($AM104))+SUMIFS($T:$T, $U:$U,AQ$2,$Q:$Q,IF($AM104&lt;&gt;"", TEXT($AM104, "MMMM"), ""),$R:$R,YEAR($AM104))</f>
        <v>0</v>
      </c>
      <c r="AR104" s="464">
        <f>SUMIFS(Income!$G:$G,Income!$H:$H, AR$2,Income!$F:$F, $AL$1, Income!$B:$B, IF($AM104&lt;&gt;"", TEXT($AM104, "MMMM"), ""), Income!$C:$C, YEAR($AM104))+SUMIFS($T:$T, $U:$U,AR$2,$Q:$Q,IF($AM104&lt;&gt;"", TEXT($AM104, "MMMM"), ""),$R:$R,YEAR($AM104))</f>
        <v>0</v>
      </c>
      <c r="AS104" s="467">
        <f>SUMIFS(Income!$G:$G,Income!$H:$H, AS$2,Income!$F:$F, $AL$1, Income!$B:$B, IF($AM104&lt;&gt;"", TEXT($AM104, "MMMM"), ""), Income!$C:$C, YEAR($AM104))+SUMIFS($T:$T, $U:$U,AS$2,$Q:$Q,IF($AM104&lt;&gt;"", TEXT($AM104, "MMMM"), ""),$R:$R,YEAR($AM104))</f>
        <v>0</v>
      </c>
      <c r="AT104" s="447" t="s">
        <v>785</v>
      </c>
      <c r="AU104" s="463">
        <v>46905.0</v>
      </c>
      <c r="AV104" s="464">
        <f>SUMIFS(Income!$G:$G,Income!$H:$H, AV$2,Income!$F:$F, $AT$1, Income!$B:$B, IF($AU104&lt;&gt;"", TEXT($AU104, "MMMM"), ""), Income!$C:$C, YEAR($AU104))</f>
        <v>0</v>
      </c>
      <c r="AW104" s="464">
        <f>SUMIFS(Income!$G:$G,Income!$H:$H, AW$2,Income!$F:$F, $AT$1, Income!$B:$B, IF($AU104&lt;&gt;"", TEXT($AU104, "MMMM"), ""), Income!$C:$C, YEAR($AU104))</f>
        <v>0</v>
      </c>
      <c r="AX104" s="464">
        <f>SUMIFS(Income!$G:$G,Income!$H:$H, AX$2,Income!$F:$F, $AT$1, Income!$B:$B, IF($AU104&lt;&gt;"", TEXT($AU104, "MMMM"), ""), Income!$C:$C, YEAR($AU104))</f>
        <v>0</v>
      </c>
      <c r="AY104" s="464">
        <f>SUMIFS(Income!$G:$G,Income!$H:$H, AY$2,Income!$F:$F, $AT$1, Income!$B:$B, IF($AU104&lt;&gt;"", TEXT($AU104, "MMMM"), ""), Income!$C:$C, YEAR($AU104))</f>
        <v>0</v>
      </c>
      <c r="AZ104" s="464">
        <f>SUMIFS(Income!$G:$G,Income!$H:$H, AZ$2,Income!$F:$F, $AT$1, Income!$B:$B, IF($AU104&lt;&gt;"", TEXT($AU104, "MMMM"), ""), Income!$C:$C, YEAR($AU104))</f>
        <v>0</v>
      </c>
      <c r="BA104" s="468">
        <f>SUMIFS(Income!$G:$G,Income!$H:$H, BA$2,Income!$F:$F, $AT$1, Income!$B:$B, IF($AU104&lt;&gt;"", TEXT($AU104, "MMMM"), ""), Income!$C:$C, YEAR($AU104))</f>
        <v>0</v>
      </c>
      <c r="BB104" s="345"/>
      <c r="BC104" s="345"/>
      <c r="BD104" s="345"/>
      <c r="BE104" s="345"/>
    </row>
    <row r="105" ht="13.5" customHeight="1">
      <c r="A105" s="436">
        <f>'Membership Application List'!A334</f>
        <v>45524.57612</v>
      </c>
      <c r="B105" s="437" t="str">
        <f t="shared" si="6"/>
        <v>August</v>
      </c>
      <c r="C105" s="437">
        <f t="shared" si="7"/>
        <v>2024</v>
      </c>
      <c r="D105" s="438" t="str">
        <f>'Membership Application List'!E334</f>
        <v>Alaya Bolinski</v>
      </c>
      <c r="E105" s="438">
        <f>IF('Membership Application List'!J334 = "Food/Litter Donation", 0, IF('Membership Application List'!J334 = "$15 Donation, Discord Verification", IF('Membership Application List'!N334 = TRUE, 15, 0)))</f>
        <v>0</v>
      </c>
      <c r="F105" s="438">
        <f>if('Membership Application List'!K334=TRUE, 5,0)</f>
        <v>0</v>
      </c>
      <c r="G105" s="438">
        <f t="shared" si="8"/>
        <v>0</v>
      </c>
      <c r="H105" s="439" t="str">
        <f>'Membership Application List'!L334</f>
        <v>Cashapp</v>
      </c>
      <c r="I105" s="428"/>
      <c r="J105" s="463">
        <v>46935.0</v>
      </c>
      <c r="K105" s="464">
        <f t="shared" ref="K105:O105" si="63">SUMIFS($G:$G, $H:$H, K$2, $B:$B, IF($J105&lt;&gt;"", TEXT($J105, "MMMM"), ""), $C:$C, YEAR($J105))</f>
        <v>0</v>
      </c>
      <c r="L105" s="464">
        <f t="shared" si="63"/>
        <v>0</v>
      </c>
      <c r="M105" s="464">
        <f t="shared" si="63"/>
        <v>0</v>
      </c>
      <c r="N105" s="464">
        <f t="shared" si="63"/>
        <v>0</v>
      </c>
      <c r="O105" s="465">
        <f t="shared" si="63"/>
        <v>0</v>
      </c>
      <c r="P105" s="414"/>
      <c r="Q105" s="414"/>
      <c r="R105" s="414"/>
      <c r="V105" s="428"/>
      <c r="W105" s="463">
        <v>46935.0</v>
      </c>
      <c r="X105" s="464">
        <f>SUMIFS(Income!$G:$G,Income!$H:$H, X$2,Income!$F:$F, $V$1, Income!$B:$B, IF($W105&lt;&gt;"", TEXT($W105, "MMMM"), ""), Income!$C:$C, YEAR($W105))</f>
        <v>0</v>
      </c>
      <c r="Y105" s="464">
        <f>SUMIFS(Income!$G:$G,Income!$H:$H, Y$2,Income!$F:$F, $V$1, Income!$B:$B, IF($W105&lt;&gt;"", TEXT($W105, "MMMM"), ""), Income!$C:$C, YEAR($W105))</f>
        <v>0</v>
      </c>
      <c r="Z105" s="464">
        <f>SUMIFS(Income!$G:$G,Income!$H:$H, Z$2,Income!$F:$F, $V$1, Income!$B:$B, IF($W105&lt;&gt;"", TEXT($W105, "MMMM"), ""), Income!$C:$C, YEAR($W105))</f>
        <v>0</v>
      </c>
      <c r="AA105" s="464">
        <f>SUMIFS(Income!$G:$G,Income!$H:$H, AA$2,Income!$F:$F, $V$1, Income!$B:$B, IF($W105&lt;&gt;"", TEXT($W105, "MMMM"), ""), Income!$C:$C, YEAR($W105))</f>
        <v>0</v>
      </c>
      <c r="AB105" s="464">
        <f>SUMIFS(Income!$G:$G,Income!$H:$H, AB$2,Income!$F:$F, $V$1, Income!$B:$B, IF($W105&lt;&gt;"", TEXT($W105, "MMMM"), ""), Income!$C:$C, YEAR($W105))</f>
        <v>0</v>
      </c>
      <c r="AC105" s="467">
        <f>SUMIFS(Income!$G:$G,Income!$H:$H, AC$2,Income!$F:$F, $V$1, Income!$B:$B, IF($W105&lt;&gt;"", TEXT($W105, "MMMM"), ""), Income!$C:$C, YEAR($W105))</f>
        <v>0</v>
      </c>
      <c r="AD105" s="428"/>
      <c r="AE105" s="463">
        <v>46935.0</v>
      </c>
      <c r="AF105" s="464">
        <f>SUMIFS(Income!$G:$G,Income!$H:$H, AF$2,Income!$F:$F, $AD$1, Income!$B:$B, IF($AE105&lt;&gt;"", TEXT($AE105, "MMMM"), ""), Income!$C:$C, YEAR($AE105))</f>
        <v>0</v>
      </c>
      <c r="AG105" s="464">
        <f>SUMIFS(Income!$G:$G,Income!$H:$H, AG$2,Income!$F:$F, $AD$1, Income!$B:$B, IF($AE105&lt;&gt;"", TEXT($AE105, "MMMM"), ""), Income!$C:$C, YEAR($AE105))</f>
        <v>0</v>
      </c>
      <c r="AH105" s="464">
        <f>SUMIFS(Income!$G:$G,Income!$H:$H, AH$2,Income!$F:$F, $AD$1, Income!$B:$B, IF($AE105&lt;&gt;"", TEXT($AE105, "MMMM"), ""), Income!$C:$C, YEAR($AE105))</f>
        <v>0</v>
      </c>
      <c r="AI105" s="464">
        <f>SUMIFS(Income!$G:$G,Income!$H:$H, AI$2,Income!$F:$F, $AD$1, Income!$B:$B, IF($AE105&lt;&gt;"", TEXT($AE105, "MMMM"), ""), Income!$C:$C, YEAR($AE105))</f>
        <v>0</v>
      </c>
      <c r="AJ105" s="464">
        <f>SUMIFS(Income!$G:$G,Income!$H:$H, AJ$2,Income!$F:$F, $AD$1, Income!$B:$B, IF($AE105&lt;&gt;"", TEXT($AE105, "MMMM"), ""), Income!$C:$C, YEAR($AE105))</f>
        <v>0</v>
      </c>
      <c r="AK105" s="467">
        <f>SUMIFS(Income!$G:$G,Income!$H:$H, AK$2,Income!$F:$F, $AD$1, Income!$B:$B, IF($AE105&lt;&gt;"", TEXT($AE105, "MMMM"), ""), Income!$C:$C, YEAR($AE105))</f>
        <v>0</v>
      </c>
      <c r="AL105" s="428"/>
      <c r="AM105" s="463">
        <v>46935.0</v>
      </c>
      <c r="AN105" s="464">
        <f>SUMIFS(Income!$G:$G,Income!$H:$H, AN$2,Income!$F:$F, $AL$1, Income!$B:$B, IF($AM105&lt;&gt;"", TEXT($AM105, "MMMM"), ""), Income!$C:$C, YEAR($AM105))+SUMIFS($T:$T, $U:$U,AN$2,$Q:$Q,IF($AM105&lt;&gt;"", TEXT($AM105, "MMMM"), ""),$R:$R,YEAR($AM105))</f>
        <v>0</v>
      </c>
      <c r="AO105" s="464">
        <f>SUMIFS(Income!$G:$G,Income!$H:$H, AO$2,Income!$F:$F, $AL$1, Income!$B:$B, IF($AM105&lt;&gt;"", TEXT($AM105, "MMMM"), ""), Income!$C:$C, YEAR($AM105))+SUMIFS($T:$T, $U:$U,AO$2,$Q:$Q,IF($AM105&lt;&gt;"", TEXT($AM105, "MMMM"), ""),$R:$R,YEAR($AM105))</f>
        <v>0</v>
      </c>
      <c r="AP105" s="464">
        <f>SUMIFS(Income!$G:$G,Income!$H:$H, AP$2,Income!$F:$F, $AL$1, Income!$B:$B, IF($AM105&lt;&gt;"", TEXT($AM105, "MMMM"), ""), Income!$C:$C, YEAR($AM105))+SUMIFS($T:$T, $U:$U,AP$2,$Q:$Q,IF($AM105&lt;&gt;"", TEXT($AM105, "MMMM"), ""),$R:$R,YEAR($AM105))</f>
        <v>0</v>
      </c>
      <c r="AQ105" s="464">
        <f>SUMIFS(Income!$G:$G,Income!$H:$H, AQ$2,Income!$F:$F, $AL$1, Income!$B:$B, IF($AM105&lt;&gt;"", TEXT($AM105, "MMMM"), ""), Income!$C:$C, YEAR($AM105))+SUMIFS($T:$T, $U:$U,AQ$2,$Q:$Q,IF($AM105&lt;&gt;"", TEXT($AM105, "MMMM"), ""),$R:$R,YEAR($AM105))</f>
        <v>0</v>
      </c>
      <c r="AR105" s="464">
        <f>SUMIFS(Income!$G:$G,Income!$H:$H, AR$2,Income!$F:$F, $AL$1, Income!$B:$B, IF($AM105&lt;&gt;"", TEXT($AM105, "MMMM"), ""), Income!$C:$C, YEAR($AM105))+SUMIFS($T:$T, $U:$U,AR$2,$Q:$Q,IF($AM105&lt;&gt;"", TEXT($AM105, "MMMM"), ""),$R:$R,YEAR($AM105))</f>
        <v>0</v>
      </c>
      <c r="AS105" s="467">
        <f>SUMIFS(Income!$G:$G,Income!$H:$H, AS$2,Income!$F:$F, $AL$1, Income!$B:$B, IF($AM105&lt;&gt;"", TEXT($AM105, "MMMM"), ""), Income!$C:$C, YEAR($AM105))+SUMIFS($T:$T, $U:$U,AS$2,$Q:$Q,IF($AM105&lt;&gt;"", TEXT($AM105, "MMMM"), ""),$R:$R,YEAR($AM105))</f>
        <v>0</v>
      </c>
      <c r="AT105" s="428"/>
      <c r="AU105" s="463">
        <v>46935.0</v>
      </c>
      <c r="AV105" s="464">
        <f>SUMIFS(Income!$G:$G,Income!$H:$H, AV$2,Income!$F:$F, $AT$1, Income!$B:$B, IF($AU105&lt;&gt;"", TEXT($AU105, "MMMM"), ""), Income!$C:$C, YEAR($AU105))</f>
        <v>0</v>
      </c>
      <c r="AW105" s="464">
        <f>SUMIFS(Income!$G:$G,Income!$H:$H, AW$2,Income!$F:$F, $AT$1, Income!$B:$B, IF($AU105&lt;&gt;"", TEXT($AU105, "MMMM"), ""), Income!$C:$C, YEAR($AU105))</f>
        <v>0</v>
      </c>
      <c r="AX105" s="464">
        <f>SUMIFS(Income!$G:$G,Income!$H:$H, AX$2,Income!$F:$F, $AT$1, Income!$B:$B, IF($AU105&lt;&gt;"", TEXT($AU105, "MMMM"), ""), Income!$C:$C, YEAR($AU105))</f>
        <v>0</v>
      </c>
      <c r="AY105" s="464">
        <f>SUMIFS(Income!$G:$G,Income!$H:$H, AY$2,Income!$F:$F, $AT$1, Income!$B:$B, IF($AU105&lt;&gt;"", TEXT($AU105, "MMMM"), ""), Income!$C:$C, YEAR($AU105))</f>
        <v>0</v>
      </c>
      <c r="AZ105" s="464">
        <f>SUMIFS(Income!$G:$G,Income!$H:$H, AZ$2,Income!$F:$F, $AT$1, Income!$B:$B, IF($AU105&lt;&gt;"", TEXT($AU105, "MMMM"), ""), Income!$C:$C, YEAR($AU105))</f>
        <v>0</v>
      </c>
      <c r="BA105" s="468">
        <f>SUMIFS(Income!$G:$G,Income!$H:$H, BA$2,Income!$F:$F, $AT$1, Income!$B:$B, IF($AU105&lt;&gt;"", TEXT($AU105, "MMMM"), ""), Income!$C:$C, YEAR($AU105))</f>
        <v>0</v>
      </c>
      <c r="BB105" s="345"/>
      <c r="BC105" s="345"/>
      <c r="BD105" s="345"/>
      <c r="BE105" s="345"/>
    </row>
    <row r="106" ht="13.5" customHeight="1">
      <c r="A106" s="424">
        <f>'Membership Application List'!A335</f>
        <v>45525.03035</v>
      </c>
      <c r="B106" s="443" t="str">
        <f t="shared" si="6"/>
        <v>August</v>
      </c>
      <c r="C106" s="443">
        <f t="shared" si="7"/>
        <v>2024</v>
      </c>
      <c r="D106" s="426" t="str">
        <f>'Membership Application List'!E335</f>
        <v>Belinda Douglas</v>
      </c>
      <c r="E106" s="426">
        <f>IF('Membership Application List'!J335 = "Food/Litter Donation", 0, IF('Membership Application List'!J335 = "$15 Donation, Discord Verification", IF('Membership Application List'!N335 = TRUE, 15, 0)))</f>
        <v>0</v>
      </c>
      <c r="F106" s="426">
        <f>if('Membership Application List'!K335=TRUE, 5,0)</f>
        <v>0</v>
      </c>
      <c r="G106" s="426">
        <f t="shared" si="8"/>
        <v>0</v>
      </c>
      <c r="H106" s="427" t="str">
        <f>'Membership Application List'!L335</f>
        <v>Cashapp</v>
      </c>
      <c r="I106" s="428"/>
      <c r="J106" s="463">
        <v>46966.0</v>
      </c>
      <c r="K106" s="464">
        <f t="shared" ref="K106:O106" si="64">SUMIFS($G:$G, $H:$H, K$2, $B:$B, IF($J106&lt;&gt;"", TEXT($J106, "MMMM"), ""), $C:$C, YEAR($J106))</f>
        <v>0</v>
      </c>
      <c r="L106" s="464">
        <f t="shared" si="64"/>
        <v>0</v>
      </c>
      <c r="M106" s="464">
        <f t="shared" si="64"/>
        <v>0</v>
      </c>
      <c r="N106" s="464">
        <f t="shared" si="64"/>
        <v>0</v>
      </c>
      <c r="O106" s="465">
        <f t="shared" si="64"/>
        <v>0</v>
      </c>
      <c r="P106" s="414"/>
      <c r="Q106" s="414"/>
      <c r="R106" s="414"/>
      <c r="V106" s="428"/>
      <c r="W106" s="463">
        <v>46966.0</v>
      </c>
      <c r="X106" s="464">
        <f>SUMIFS(Income!$G:$G,Income!$H:$H, X$2,Income!$F:$F, $V$1, Income!$B:$B, IF($W106&lt;&gt;"", TEXT($W106, "MMMM"), ""), Income!$C:$C, YEAR($W106))</f>
        <v>0</v>
      </c>
      <c r="Y106" s="464">
        <f>SUMIFS(Income!$G:$G,Income!$H:$H, Y$2,Income!$F:$F, $V$1, Income!$B:$B, IF($W106&lt;&gt;"", TEXT($W106, "MMMM"), ""), Income!$C:$C, YEAR($W106))</f>
        <v>0</v>
      </c>
      <c r="Z106" s="464">
        <f>SUMIFS(Income!$G:$G,Income!$H:$H, Z$2,Income!$F:$F, $V$1, Income!$B:$B, IF($W106&lt;&gt;"", TEXT($W106, "MMMM"), ""), Income!$C:$C, YEAR($W106))</f>
        <v>0</v>
      </c>
      <c r="AA106" s="464">
        <f>SUMIFS(Income!$G:$G,Income!$H:$H, AA$2,Income!$F:$F, $V$1, Income!$B:$B, IF($W106&lt;&gt;"", TEXT($W106, "MMMM"), ""), Income!$C:$C, YEAR($W106))</f>
        <v>0</v>
      </c>
      <c r="AB106" s="464">
        <f>SUMIFS(Income!$G:$G,Income!$H:$H, AB$2,Income!$F:$F, $V$1, Income!$B:$B, IF($W106&lt;&gt;"", TEXT($W106, "MMMM"), ""), Income!$C:$C, YEAR($W106))</f>
        <v>0</v>
      </c>
      <c r="AC106" s="467">
        <f>SUMIFS(Income!$G:$G,Income!$H:$H, AC$2,Income!$F:$F, $V$1, Income!$B:$B, IF($W106&lt;&gt;"", TEXT($W106, "MMMM"), ""), Income!$C:$C, YEAR($W106))</f>
        <v>0</v>
      </c>
      <c r="AD106" s="428"/>
      <c r="AE106" s="463">
        <v>46966.0</v>
      </c>
      <c r="AF106" s="464">
        <f>SUMIFS(Income!$G:$G,Income!$H:$H, AF$2,Income!$F:$F, $AD$1, Income!$B:$B, IF($AE106&lt;&gt;"", TEXT($AE106, "MMMM"), ""), Income!$C:$C, YEAR($AE106))</f>
        <v>0</v>
      </c>
      <c r="AG106" s="464">
        <f>SUMIFS(Income!$G:$G,Income!$H:$H, AG$2,Income!$F:$F, $AD$1, Income!$B:$B, IF($AE106&lt;&gt;"", TEXT($AE106, "MMMM"), ""), Income!$C:$C, YEAR($AE106))</f>
        <v>0</v>
      </c>
      <c r="AH106" s="464">
        <f>SUMIFS(Income!$G:$G,Income!$H:$H, AH$2,Income!$F:$F, $AD$1, Income!$B:$B, IF($AE106&lt;&gt;"", TEXT($AE106, "MMMM"), ""), Income!$C:$C, YEAR($AE106))</f>
        <v>0</v>
      </c>
      <c r="AI106" s="464">
        <f>SUMIFS(Income!$G:$G,Income!$H:$H, AI$2,Income!$F:$F, $AD$1, Income!$B:$B, IF($AE106&lt;&gt;"", TEXT($AE106, "MMMM"), ""), Income!$C:$C, YEAR($AE106))</f>
        <v>0</v>
      </c>
      <c r="AJ106" s="464">
        <f>SUMIFS(Income!$G:$G,Income!$H:$H, AJ$2,Income!$F:$F, $AD$1, Income!$B:$B, IF($AE106&lt;&gt;"", TEXT($AE106, "MMMM"), ""), Income!$C:$C, YEAR($AE106))</f>
        <v>0</v>
      </c>
      <c r="AK106" s="467">
        <f>SUMIFS(Income!$G:$G,Income!$H:$H, AK$2,Income!$F:$F, $AD$1, Income!$B:$B, IF($AE106&lt;&gt;"", TEXT($AE106, "MMMM"), ""), Income!$C:$C, YEAR($AE106))</f>
        <v>0</v>
      </c>
      <c r="AL106" s="428"/>
      <c r="AM106" s="463">
        <v>46966.0</v>
      </c>
      <c r="AN106" s="464">
        <f>SUMIFS(Income!$G:$G,Income!$H:$H, AN$2,Income!$F:$F, $AL$1, Income!$B:$B, IF($AM106&lt;&gt;"", TEXT($AM106, "MMMM"), ""), Income!$C:$C, YEAR($AM106))+SUMIFS($T:$T, $U:$U,AN$2,$Q:$Q,IF($AM106&lt;&gt;"", TEXT($AM106, "MMMM"), ""),$R:$R,YEAR($AM106))</f>
        <v>0</v>
      </c>
      <c r="AO106" s="464">
        <f>SUMIFS(Income!$G:$G,Income!$H:$H, AO$2,Income!$F:$F, $AL$1, Income!$B:$B, IF($AM106&lt;&gt;"", TEXT($AM106, "MMMM"), ""), Income!$C:$C, YEAR($AM106))+SUMIFS($T:$T, $U:$U,AO$2,$Q:$Q,IF($AM106&lt;&gt;"", TEXT($AM106, "MMMM"), ""),$R:$R,YEAR($AM106))</f>
        <v>0</v>
      </c>
      <c r="AP106" s="464">
        <f>SUMIFS(Income!$G:$G,Income!$H:$H, AP$2,Income!$F:$F, $AL$1, Income!$B:$B, IF($AM106&lt;&gt;"", TEXT($AM106, "MMMM"), ""), Income!$C:$C, YEAR($AM106))+SUMIFS($T:$T, $U:$U,AP$2,$Q:$Q,IF($AM106&lt;&gt;"", TEXT($AM106, "MMMM"), ""),$R:$R,YEAR($AM106))</f>
        <v>0</v>
      </c>
      <c r="AQ106" s="464">
        <f>SUMIFS(Income!$G:$G,Income!$H:$H, AQ$2,Income!$F:$F, $AL$1, Income!$B:$B, IF($AM106&lt;&gt;"", TEXT($AM106, "MMMM"), ""), Income!$C:$C, YEAR($AM106))+SUMIFS($T:$T, $U:$U,AQ$2,$Q:$Q,IF($AM106&lt;&gt;"", TEXT($AM106, "MMMM"), ""),$R:$R,YEAR($AM106))</f>
        <v>0</v>
      </c>
      <c r="AR106" s="464">
        <f>SUMIFS(Income!$G:$G,Income!$H:$H, AR$2,Income!$F:$F, $AL$1, Income!$B:$B, IF($AM106&lt;&gt;"", TEXT($AM106, "MMMM"), ""), Income!$C:$C, YEAR($AM106))+SUMIFS($T:$T, $U:$U,AR$2,$Q:$Q,IF($AM106&lt;&gt;"", TEXT($AM106, "MMMM"), ""),$R:$R,YEAR($AM106))</f>
        <v>0</v>
      </c>
      <c r="AS106" s="467">
        <f>SUMIFS(Income!$G:$G,Income!$H:$H, AS$2,Income!$F:$F, $AL$1, Income!$B:$B, IF($AM106&lt;&gt;"", TEXT($AM106, "MMMM"), ""), Income!$C:$C, YEAR($AM106))+SUMIFS($T:$T, $U:$U,AS$2,$Q:$Q,IF($AM106&lt;&gt;"", TEXT($AM106, "MMMM"), ""),$R:$R,YEAR($AM106))</f>
        <v>0</v>
      </c>
      <c r="AT106" s="428"/>
      <c r="AU106" s="463">
        <v>46966.0</v>
      </c>
      <c r="AV106" s="464">
        <f>SUMIFS(Income!$G:$G,Income!$H:$H, AV$2,Income!$F:$F, $AT$1, Income!$B:$B, IF($AU106&lt;&gt;"", TEXT($AU106, "MMMM"), ""), Income!$C:$C, YEAR($AU106))</f>
        <v>0</v>
      </c>
      <c r="AW106" s="464">
        <f>SUMIFS(Income!$G:$G,Income!$H:$H, AW$2,Income!$F:$F, $AT$1, Income!$B:$B, IF($AU106&lt;&gt;"", TEXT($AU106, "MMMM"), ""), Income!$C:$C, YEAR($AU106))</f>
        <v>0</v>
      </c>
      <c r="AX106" s="464">
        <f>SUMIFS(Income!$G:$G,Income!$H:$H, AX$2,Income!$F:$F, $AT$1, Income!$B:$B, IF($AU106&lt;&gt;"", TEXT($AU106, "MMMM"), ""), Income!$C:$C, YEAR($AU106))</f>
        <v>0</v>
      </c>
      <c r="AY106" s="464">
        <f>SUMIFS(Income!$G:$G,Income!$H:$H, AY$2,Income!$F:$F, $AT$1, Income!$B:$B, IF($AU106&lt;&gt;"", TEXT($AU106, "MMMM"), ""), Income!$C:$C, YEAR($AU106))</f>
        <v>0</v>
      </c>
      <c r="AZ106" s="464">
        <f>SUMIFS(Income!$G:$G,Income!$H:$H, AZ$2,Income!$F:$F, $AT$1, Income!$B:$B, IF($AU106&lt;&gt;"", TEXT($AU106, "MMMM"), ""), Income!$C:$C, YEAR($AU106))</f>
        <v>0</v>
      </c>
      <c r="BA106" s="468">
        <f>SUMIFS(Income!$G:$G,Income!$H:$H, BA$2,Income!$F:$F, $AT$1, Income!$B:$B, IF($AU106&lt;&gt;"", TEXT($AU106, "MMMM"), ""), Income!$C:$C, YEAR($AU106))</f>
        <v>0</v>
      </c>
      <c r="BB106" s="345"/>
      <c r="BC106" s="345"/>
      <c r="BD106" s="345"/>
      <c r="BE106" s="345"/>
    </row>
    <row r="107" ht="13.5" customHeight="1">
      <c r="A107" s="436">
        <f>'Membership Application List'!A336</f>
        <v>45525.27961</v>
      </c>
      <c r="B107" s="437" t="str">
        <f t="shared" si="6"/>
        <v>August</v>
      </c>
      <c r="C107" s="437">
        <f t="shared" si="7"/>
        <v>2024</v>
      </c>
      <c r="D107" s="438" t="str">
        <f>'Membership Application List'!E336</f>
        <v>Isabel Silva</v>
      </c>
      <c r="E107" s="438">
        <f>IF('Membership Application List'!J336 = "Food/Litter Donation", 0, IF('Membership Application List'!J336 = "$15 Donation, Discord Verification", IF('Membership Application List'!N336 = TRUE, 15, 0)))</f>
        <v>15</v>
      </c>
      <c r="F107" s="438">
        <f>if('Membership Application List'!K336=TRUE, 5,0)</f>
        <v>0</v>
      </c>
      <c r="G107" s="438">
        <f t="shared" si="8"/>
        <v>15</v>
      </c>
      <c r="H107" s="439" t="str">
        <f>'Membership Application List'!L336</f>
        <v>Cashapp</v>
      </c>
      <c r="I107" s="428"/>
      <c r="J107" s="463">
        <v>46997.0</v>
      </c>
      <c r="K107" s="464">
        <f t="shared" ref="K107:O107" si="65">SUMIFS($G:$G, $H:$H, K$2, $B:$B, IF($J107&lt;&gt;"", TEXT($J107, "MMMM"), ""), $C:$C, YEAR($J107))</f>
        <v>0</v>
      </c>
      <c r="L107" s="464">
        <f t="shared" si="65"/>
        <v>0</v>
      </c>
      <c r="M107" s="464">
        <f t="shared" si="65"/>
        <v>0</v>
      </c>
      <c r="N107" s="464">
        <f t="shared" si="65"/>
        <v>0</v>
      </c>
      <c r="O107" s="465">
        <f t="shared" si="65"/>
        <v>0</v>
      </c>
      <c r="P107" s="414"/>
      <c r="Q107" s="414"/>
      <c r="R107" s="414"/>
      <c r="V107" s="428"/>
      <c r="W107" s="463">
        <v>46997.0</v>
      </c>
      <c r="X107" s="464">
        <f>SUMIFS(Income!$G:$G,Income!$H:$H, X$2,Income!$F:$F, $V$1, Income!$B:$B, IF($W107&lt;&gt;"", TEXT($W107, "MMMM"), ""), Income!$C:$C, YEAR($W107))</f>
        <v>0</v>
      </c>
      <c r="Y107" s="464">
        <f>SUMIFS(Income!$G:$G,Income!$H:$H, Y$2,Income!$F:$F, $V$1, Income!$B:$B, IF($W107&lt;&gt;"", TEXT($W107, "MMMM"), ""), Income!$C:$C, YEAR($W107))</f>
        <v>0</v>
      </c>
      <c r="Z107" s="464">
        <f>SUMIFS(Income!$G:$G,Income!$H:$H, Z$2,Income!$F:$F, $V$1, Income!$B:$B, IF($W107&lt;&gt;"", TEXT($W107, "MMMM"), ""), Income!$C:$C, YEAR($W107))</f>
        <v>0</v>
      </c>
      <c r="AA107" s="464">
        <f>SUMIFS(Income!$G:$G,Income!$H:$H, AA$2,Income!$F:$F, $V$1, Income!$B:$B, IF($W107&lt;&gt;"", TEXT($W107, "MMMM"), ""), Income!$C:$C, YEAR($W107))</f>
        <v>0</v>
      </c>
      <c r="AB107" s="464">
        <f>SUMIFS(Income!$G:$G,Income!$H:$H, AB$2,Income!$F:$F, $V$1, Income!$B:$B, IF($W107&lt;&gt;"", TEXT($W107, "MMMM"), ""), Income!$C:$C, YEAR($W107))</f>
        <v>0</v>
      </c>
      <c r="AC107" s="467">
        <f>SUMIFS(Income!$G:$G,Income!$H:$H, AC$2,Income!$F:$F, $V$1, Income!$B:$B, IF($W107&lt;&gt;"", TEXT($W107, "MMMM"), ""), Income!$C:$C, YEAR($W107))</f>
        <v>0</v>
      </c>
      <c r="AD107" s="428"/>
      <c r="AE107" s="463">
        <v>46997.0</v>
      </c>
      <c r="AF107" s="464">
        <f>SUMIFS(Income!$G:$G,Income!$H:$H, AF$2,Income!$F:$F, $AD$1, Income!$B:$B, IF($AE107&lt;&gt;"", TEXT($AE107, "MMMM"), ""), Income!$C:$C, YEAR($AE107))</f>
        <v>0</v>
      </c>
      <c r="AG107" s="464">
        <f>SUMIFS(Income!$G:$G,Income!$H:$H, AG$2,Income!$F:$F, $AD$1, Income!$B:$B, IF($AE107&lt;&gt;"", TEXT($AE107, "MMMM"), ""), Income!$C:$C, YEAR($AE107))</f>
        <v>0</v>
      </c>
      <c r="AH107" s="464">
        <f>SUMIFS(Income!$G:$G,Income!$H:$H, AH$2,Income!$F:$F, $AD$1, Income!$B:$B, IF($AE107&lt;&gt;"", TEXT($AE107, "MMMM"), ""), Income!$C:$C, YEAR($AE107))</f>
        <v>0</v>
      </c>
      <c r="AI107" s="464">
        <f>SUMIFS(Income!$G:$G,Income!$H:$H, AI$2,Income!$F:$F, $AD$1, Income!$B:$B, IF($AE107&lt;&gt;"", TEXT($AE107, "MMMM"), ""), Income!$C:$C, YEAR($AE107))</f>
        <v>0</v>
      </c>
      <c r="AJ107" s="464">
        <f>SUMIFS(Income!$G:$G,Income!$H:$H, AJ$2,Income!$F:$F, $AD$1, Income!$B:$B, IF($AE107&lt;&gt;"", TEXT($AE107, "MMMM"), ""), Income!$C:$C, YEAR($AE107))</f>
        <v>0</v>
      </c>
      <c r="AK107" s="467">
        <f>SUMIFS(Income!$G:$G,Income!$H:$H, AK$2,Income!$F:$F, $AD$1, Income!$B:$B, IF($AE107&lt;&gt;"", TEXT($AE107, "MMMM"), ""), Income!$C:$C, YEAR($AE107))</f>
        <v>0</v>
      </c>
      <c r="AL107" s="428"/>
      <c r="AM107" s="463">
        <v>46997.0</v>
      </c>
      <c r="AN107" s="464">
        <f>SUMIFS(Income!$G:$G,Income!$H:$H, AN$2,Income!$F:$F, $AL$1, Income!$B:$B, IF($AM107&lt;&gt;"", TEXT($AM107, "MMMM"), ""), Income!$C:$C, YEAR($AM107))+SUMIFS($T:$T, $U:$U,AN$2,$Q:$Q,IF($AM107&lt;&gt;"", TEXT($AM107, "MMMM"), ""),$R:$R,YEAR($AM107))</f>
        <v>0</v>
      </c>
      <c r="AO107" s="464">
        <f>SUMIFS(Income!$G:$G,Income!$H:$H, AO$2,Income!$F:$F, $AL$1, Income!$B:$B, IF($AM107&lt;&gt;"", TEXT($AM107, "MMMM"), ""), Income!$C:$C, YEAR($AM107))+SUMIFS($T:$T, $U:$U,AO$2,$Q:$Q,IF($AM107&lt;&gt;"", TEXT($AM107, "MMMM"), ""),$R:$R,YEAR($AM107))</f>
        <v>0</v>
      </c>
      <c r="AP107" s="464">
        <f>SUMIFS(Income!$G:$G,Income!$H:$H, AP$2,Income!$F:$F, $AL$1, Income!$B:$B, IF($AM107&lt;&gt;"", TEXT($AM107, "MMMM"), ""), Income!$C:$C, YEAR($AM107))+SUMIFS($T:$T, $U:$U,AP$2,$Q:$Q,IF($AM107&lt;&gt;"", TEXT($AM107, "MMMM"), ""),$R:$R,YEAR($AM107))</f>
        <v>0</v>
      </c>
      <c r="AQ107" s="464">
        <f>SUMIFS(Income!$G:$G,Income!$H:$H, AQ$2,Income!$F:$F, $AL$1, Income!$B:$B, IF($AM107&lt;&gt;"", TEXT($AM107, "MMMM"), ""), Income!$C:$C, YEAR($AM107))+SUMIFS($T:$T, $U:$U,AQ$2,$Q:$Q,IF($AM107&lt;&gt;"", TEXT($AM107, "MMMM"), ""),$R:$R,YEAR($AM107))</f>
        <v>0</v>
      </c>
      <c r="AR107" s="464">
        <f>SUMIFS(Income!$G:$G,Income!$H:$H, AR$2,Income!$F:$F, $AL$1, Income!$B:$B, IF($AM107&lt;&gt;"", TEXT($AM107, "MMMM"), ""), Income!$C:$C, YEAR($AM107))+SUMIFS($T:$T, $U:$U,AR$2,$Q:$Q,IF($AM107&lt;&gt;"", TEXT($AM107, "MMMM"), ""),$R:$R,YEAR($AM107))</f>
        <v>0</v>
      </c>
      <c r="AS107" s="467">
        <f>SUMIFS(Income!$G:$G,Income!$H:$H, AS$2,Income!$F:$F, $AL$1, Income!$B:$B, IF($AM107&lt;&gt;"", TEXT($AM107, "MMMM"), ""), Income!$C:$C, YEAR($AM107))+SUMIFS($T:$T, $U:$U,AS$2,$Q:$Q,IF($AM107&lt;&gt;"", TEXT($AM107, "MMMM"), ""),$R:$R,YEAR($AM107))</f>
        <v>0</v>
      </c>
      <c r="AT107" s="428"/>
      <c r="AU107" s="463">
        <v>46997.0</v>
      </c>
      <c r="AV107" s="464">
        <f>SUMIFS(Income!$G:$G,Income!$H:$H, AV$2,Income!$F:$F, $AT$1, Income!$B:$B, IF($AU107&lt;&gt;"", TEXT($AU107, "MMMM"), ""), Income!$C:$C, YEAR($AU107))</f>
        <v>0</v>
      </c>
      <c r="AW107" s="464">
        <f>SUMIFS(Income!$G:$G,Income!$H:$H, AW$2,Income!$F:$F, $AT$1, Income!$B:$B, IF($AU107&lt;&gt;"", TEXT($AU107, "MMMM"), ""), Income!$C:$C, YEAR($AU107))</f>
        <v>0</v>
      </c>
      <c r="AX107" s="464">
        <f>SUMIFS(Income!$G:$G,Income!$H:$H, AX$2,Income!$F:$F, $AT$1, Income!$B:$B, IF($AU107&lt;&gt;"", TEXT($AU107, "MMMM"), ""), Income!$C:$C, YEAR($AU107))</f>
        <v>0</v>
      </c>
      <c r="AY107" s="464">
        <f>SUMIFS(Income!$G:$G,Income!$H:$H, AY$2,Income!$F:$F, $AT$1, Income!$B:$B, IF($AU107&lt;&gt;"", TEXT($AU107, "MMMM"), ""), Income!$C:$C, YEAR($AU107))</f>
        <v>0</v>
      </c>
      <c r="AZ107" s="464">
        <f>SUMIFS(Income!$G:$G,Income!$H:$H, AZ$2,Income!$F:$F, $AT$1, Income!$B:$B, IF($AU107&lt;&gt;"", TEXT($AU107, "MMMM"), ""), Income!$C:$C, YEAR($AU107))</f>
        <v>0</v>
      </c>
      <c r="BA107" s="468">
        <f>SUMIFS(Income!$G:$G,Income!$H:$H, BA$2,Income!$F:$F, $AT$1, Income!$B:$B, IF($AU107&lt;&gt;"", TEXT($AU107, "MMMM"), ""), Income!$C:$C, YEAR($AU107))</f>
        <v>0</v>
      </c>
      <c r="BB107" s="345"/>
      <c r="BC107" s="345"/>
      <c r="BD107" s="345"/>
      <c r="BE107" s="345"/>
    </row>
    <row r="108" ht="13.5" customHeight="1">
      <c r="A108" s="424">
        <f>'Membership Application List'!A337</f>
        <v>45525.2955</v>
      </c>
      <c r="B108" s="443" t="str">
        <f t="shared" si="6"/>
        <v>August</v>
      </c>
      <c r="C108" s="443">
        <f t="shared" si="7"/>
        <v>2024</v>
      </c>
      <c r="D108" s="426" t="str">
        <f>'Membership Application List'!E337</f>
        <v>Danyelle Schofield</v>
      </c>
      <c r="E108" s="426">
        <f>IF('Membership Application List'!J337 = "Food/Litter Donation", 0, IF('Membership Application List'!J337 = "$15 Donation, Discord Verification", IF('Membership Application List'!N337 = TRUE, 15, 0)))</f>
        <v>15</v>
      </c>
      <c r="F108" s="426">
        <f>if('Membership Application List'!K337=TRUE, 5,0)</f>
        <v>0</v>
      </c>
      <c r="G108" s="426">
        <f t="shared" si="8"/>
        <v>15</v>
      </c>
      <c r="H108" s="427" t="str">
        <f>'Membership Application List'!L337</f>
        <v/>
      </c>
      <c r="I108" s="428"/>
      <c r="J108" s="463">
        <v>47027.0</v>
      </c>
      <c r="K108" s="464">
        <f t="shared" ref="K108:O108" si="66">SUMIFS($G:$G, $H:$H, K$2, $B:$B, IF($J108&lt;&gt;"", TEXT($J108, "MMMM"), ""), $C:$C, YEAR($J108))</f>
        <v>0</v>
      </c>
      <c r="L108" s="464">
        <f t="shared" si="66"/>
        <v>0</v>
      </c>
      <c r="M108" s="464">
        <f t="shared" si="66"/>
        <v>0</v>
      </c>
      <c r="N108" s="464">
        <f t="shared" si="66"/>
        <v>0</v>
      </c>
      <c r="O108" s="465">
        <f t="shared" si="66"/>
        <v>0</v>
      </c>
      <c r="P108" s="414"/>
      <c r="Q108" s="414"/>
      <c r="R108" s="414"/>
      <c r="V108" s="428"/>
      <c r="W108" s="463">
        <v>47027.0</v>
      </c>
      <c r="X108" s="464">
        <f>SUMIFS(Income!$G:$G,Income!$H:$H, X$2,Income!$F:$F, $V$1, Income!$B:$B, IF($W108&lt;&gt;"", TEXT($W108, "MMMM"), ""), Income!$C:$C, YEAR($W108))</f>
        <v>0</v>
      </c>
      <c r="Y108" s="464">
        <f>SUMIFS(Income!$G:$G,Income!$H:$H, Y$2,Income!$F:$F, $V$1, Income!$B:$B, IF($W108&lt;&gt;"", TEXT($W108, "MMMM"), ""), Income!$C:$C, YEAR($W108))</f>
        <v>0</v>
      </c>
      <c r="Z108" s="464">
        <f>SUMIFS(Income!$G:$G,Income!$H:$H, Z$2,Income!$F:$F, $V$1, Income!$B:$B, IF($W108&lt;&gt;"", TEXT($W108, "MMMM"), ""), Income!$C:$C, YEAR($W108))</f>
        <v>0</v>
      </c>
      <c r="AA108" s="464">
        <f>SUMIFS(Income!$G:$G,Income!$H:$H, AA$2,Income!$F:$F, $V$1, Income!$B:$B, IF($W108&lt;&gt;"", TEXT($W108, "MMMM"), ""), Income!$C:$C, YEAR($W108))</f>
        <v>0</v>
      </c>
      <c r="AB108" s="464">
        <f>SUMIFS(Income!$G:$G,Income!$H:$H, AB$2,Income!$F:$F, $V$1, Income!$B:$B, IF($W108&lt;&gt;"", TEXT($W108, "MMMM"), ""), Income!$C:$C, YEAR($W108))</f>
        <v>0</v>
      </c>
      <c r="AC108" s="467">
        <f>SUMIFS(Income!$G:$G,Income!$H:$H, AC$2,Income!$F:$F, $V$1, Income!$B:$B, IF($W108&lt;&gt;"", TEXT($W108, "MMMM"), ""), Income!$C:$C, YEAR($W108))</f>
        <v>0</v>
      </c>
      <c r="AD108" s="428"/>
      <c r="AE108" s="463">
        <v>47027.0</v>
      </c>
      <c r="AF108" s="464">
        <f>SUMIFS(Income!$G:$G,Income!$H:$H, AF$2,Income!$F:$F, $AD$1, Income!$B:$B, IF($AE108&lt;&gt;"", TEXT($AE108, "MMMM"), ""), Income!$C:$C, YEAR($AE108))</f>
        <v>0</v>
      </c>
      <c r="AG108" s="464">
        <f>SUMIFS(Income!$G:$G,Income!$H:$H, AG$2,Income!$F:$F, $AD$1, Income!$B:$B, IF($AE108&lt;&gt;"", TEXT($AE108, "MMMM"), ""), Income!$C:$C, YEAR($AE108))</f>
        <v>0</v>
      </c>
      <c r="AH108" s="464">
        <f>SUMIFS(Income!$G:$G,Income!$H:$H, AH$2,Income!$F:$F, $AD$1, Income!$B:$B, IF($AE108&lt;&gt;"", TEXT($AE108, "MMMM"), ""), Income!$C:$C, YEAR($AE108))</f>
        <v>0</v>
      </c>
      <c r="AI108" s="464">
        <f>SUMIFS(Income!$G:$G,Income!$H:$H, AI$2,Income!$F:$F, $AD$1, Income!$B:$B, IF($AE108&lt;&gt;"", TEXT($AE108, "MMMM"), ""), Income!$C:$C, YEAR($AE108))</f>
        <v>0</v>
      </c>
      <c r="AJ108" s="464">
        <f>SUMIFS(Income!$G:$G,Income!$H:$H, AJ$2,Income!$F:$F, $AD$1, Income!$B:$B, IF($AE108&lt;&gt;"", TEXT($AE108, "MMMM"), ""), Income!$C:$C, YEAR($AE108))</f>
        <v>0</v>
      </c>
      <c r="AK108" s="467">
        <f>SUMIFS(Income!$G:$G,Income!$H:$H, AK$2,Income!$F:$F, $AD$1, Income!$B:$B, IF($AE108&lt;&gt;"", TEXT($AE108, "MMMM"), ""), Income!$C:$C, YEAR($AE108))</f>
        <v>0</v>
      </c>
      <c r="AL108" s="428"/>
      <c r="AM108" s="463">
        <v>47027.0</v>
      </c>
      <c r="AN108" s="464">
        <f>SUMIFS(Income!$G:$G,Income!$H:$H, AN$2,Income!$F:$F, $AL$1, Income!$B:$B, IF($AM108&lt;&gt;"", TEXT($AM108, "MMMM"), ""), Income!$C:$C, YEAR($AM108))+SUMIFS($T:$T, $U:$U,AN$2,$Q:$Q,IF($AM108&lt;&gt;"", TEXT($AM108, "MMMM"), ""),$R:$R,YEAR($AM108))</f>
        <v>0</v>
      </c>
      <c r="AO108" s="464">
        <f>SUMIFS(Income!$G:$G,Income!$H:$H, AO$2,Income!$F:$F, $AL$1, Income!$B:$B, IF($AM108&lt;&gt;"", TEXT($AM108, "MMMM"), ""), Income!$C:$C, YEAR($AM108))+SUMIFS($T:$T, $U:$U,AO$2,$Q:$Q,IF($AM108&lt;&gt;"", TEXT($AM108, "MMMM"), ""),$R:$R,YEAR($AM108))</f>
        <v>0</v>
      </c>
      <c r="AP108" s="464">
        <f>SUMIFS(Income!$G:$G,Income!$H:$H, AP$2,Income!$F:$F, $AL$1, Income!$B:$B, IF($AM108&lt;&gt;"", TEXT($AM108, "MMMM"), ""), Income!$C:$C, YEAR($AM108))+SUMIFS($T:$T, $U:$U,AP$2,$Q:$Q,IF($AM108&lt;&gt;"", TEXT($AM108, "MMMM"), ""),$R:$R,YEAR($AM108))</f>
        <v>0</v>
      </c>
      <c r="AQ108" s="464">
        <f>SUMIFS(Income!$G:$G,Income!$H:$H, AQ$2,Income!$F:$F, $AL$1, Income!$B:$B, IF($AM108&lt;&gt;"", TEXT($AM108, "MMMM"), ""), Income!$C:$C, YEAR($AM108))+SUMIFS($T:$T, $U:$U,AQ$2,$Q:$Q,IF($AM108&lt;&gt;"", TEXT($AM108, "MMMM"), ""),$R:$R,YEAR($AM108))</f>
        <v>0</v>
      </c>
      <c r="AR108" s="464">
        <f>SUMIFS(Income!$G:$G,Income!$H:$H, AR$2,Income!$F:$F, $AL$1, Income!$B:$B, IF($AM108&lt;&gt;"", TEXT($AM108, "MMMM"), ""), Income!$C:$C, YEAR($AM108))+SUMIFS($T:$T, $U:$U,AR$2,$Q:$Q,IF($AM108&lt;&gt;"", TEXT($AM108, "MMMM"), ""),$R:$R,YEAR($AM108))</f>
        <v>0</v>
      </c>
      <c r="AS108" s="467">
        <f>SUMIFS(Income!$G:$G,Income!$H:$H, AS$2,Income!$F:$F, $AL$1, Income!$B:$B, IF($AM108&lt;&gt;"", TEXT($AM108, "MMMM"), ""), Income!$C:$C, YEAR($AM108))+SUMIFS($T:$T, $U:$U,AS$2,$Q:$Q,IF($AM108&lt;&gt;"", TEXT($AM108, "MMMM"), ""),$R:$R,YEAR($AM108))</f>
        <v>0</v>
      </c>
      <c r="AT108" s="428"/>
      <c r="AU108" s="463">
        <v>47027.0</v>
      </c>
      <c r="AV108" s="464">
        <f>SUMIFS(Income!$G:$G,Income!$H:$H, AV$2,Income!$F:$F, $AT$1, Income!$B:$B, IF($AU108&lt;&gt;"", TEXT($AU108, "MMMM"), ""), Income!$C:$C, YEAR($AU108))</f>
        <v>0</v>
      </c>
      <c r="AW108" s="464">
        <f>SUMIFS(Income!$G:$G,Income!$H:$H, AW$2,Income!$F:$F, $AT$1, Income!$B:$B, IF($AU108&lt;&gt;"", TEXT($AU108, "MMMM"), ""), Income!$C:$C, YEAR($AU108))</f>
        <v>0</v>
      </c>
      <c r="AX108" s="464">
        <f>SUMIFS(Income!$G:$G,Income!$H:$H, AX$2,Income!$F:$F, $AT$1, Income!$B:$B, IF($AU108&lt;&gt;"", TEXT($AU108, "MMMM"), ""), Income!$C:$C, YEAR($AU108))</f>
        <v>0</v>
      </c>
      <c r="AY108" s="464">
        <f>SUMIFS(Income!$G:$G,Income!$H:$H, AY$2,Income!$F:$F, $AT$1, Income!$B:$B, IF($AU108&lt;&gt;"", TEXT($AU108, "MMMM"), ""), Income!$C:$C, YEAR($AU108))</f>
        <v>0</v>
      </c>
      <c r="AZ108" s="464">
        <f>SUMIFS(Income!$G:$G,Income!$H:$H, AZ$2,Income!$F:$F, $AT$1, Income!$B:$B, IF($AU108&lt;&gt;"", TEXT($AU108, "MMMM"), ""), Income!$C:$C, YEAR($AU108))</f>
        <v>0</v>
      </c>
      <c r="BA108" s="468">
        <f>SUMIFS(Income!$G:$G,Income!$H:$H, BA$2,Income!$F:$F, $AT$1, Income!$B:$B, IF($AU108&lt;&gt;"", TEXT($AU108, "MMMM"), ""), Income!$C:$C, YEAR($AU108))</f>
        <v>0</v>
      </c>
      <c r="BB108" s="345"/>
      <c r="BC108" s="345"/>
      <c r="BD108" s="345"/>
      <c r="BE108" s="345"/>
    </row>
    <row r="109" ht="13.5" customHeight="1">
      <c r="A109" s="436">
        <f>'Membership Application List'!A338</f>
        <v>45525.39668</v>
      </c>
      <c r="B109" s="437" t="str">
        <f t="shared" si="6"/>
        <v>August</v>
      </c>
      <c r="C109" s="437">
        <f t="shared" si="7"/>
        <v>2024</v>
      </c>
      <c r="D109" s="438" t="str">
        <f>'Membership Application List'!E338</f>
        <v>Kendall Hendrix</v>
      </c>
      <c r="E109" s="438">
        <f>IF('Membership Application List'!J338 = "Food/Litter Donation", 0, IF('Membership Application List'!J338 = "$15 Donation, Discord Verification", IF('Membership Application List'!N338 = TRUE, 15, 0)))</f>
        <v>15</v>
      </c>
      <c r="F109" s="438">
        <f>if('Membership Application List'!K338=TRUE, 5,0)</f>
        <v>0</v>
      </c>
      <c r="G109" s="438">
        <f t="shared" si="8"/>
        <v>15</v>
      </c>
      <c r="H109" s="439" t="str">
        <f>'Membership Application List'!L338</f>
        <v>Venmo</v>
      </c>
      <c r="I109" s="428"/>
      <c r="J109" s="463">
        <v>47058.0</v>
      </c>
      <c r="K109" s="464">
        <f t="shared" ref="K109:O109" si="67">SUMIFS($G:$G, $H:$H, K$2, $B:$B, IF($J109&lt;&gt;"", TEXT($J109, "MMMM"), ""), $C:$C, YEAR($J109))</f>
        <v>0</v>
      </c>
      <c r="L109" s="464">
        <f t="shared" si="67"/>
        <v>0</v>
      </c>
      <c r="M109" s="464">
        <f t="shared" si="67"/>
        <v>0</v>
      </c>
      <c r="N109" s="464">
        <f t="shared" si="67"/>
        <v>0</v>
      </c>
      <c r="O109" s="465">
        <f t="shared" si="67"/>
        <v>0</v>
      </c>
      <c r="P109" s="414"/>
      <c r="Q109" s="414"/>
      <c r="R109" s="414"/>
      <c r="V109" s="428"/>
      <c r="W109" s="463">
        <v>47058.0</v>
      </c>
      <c r="X109" s="464">
        <f>SUMIFS(Income!$G:$G,Income!$H:$H, X$2,Income!$F:$F, $V$1, Income!$B:$B, IF($W109&lt;&gt;"", TEXT($W109, "MMMM"), ""), Income!$C:$C, YEAR($W109))</f>
        <v>0</v>
      </c>
      <c r="Y109" s="464">
        <f>SUMIFS(Income!$G:$G,Income!$H:$H, Y$2,Income!$F:$F, $V$1, Income!$B:$B, IF($W109&lt;&gt;"", TEXT($W109, "MMMM"), ""), Income!$C:$C, YEAR($W109))</f>
        <v>0</v>
      </c>
      <c r="Z109" s="464">
        <f>SUMIFS(Income!$G:$G,Income!$H:$H, Z$2,Income!$F:$F, $V$1, Income!$B:$B, IF($W109&lt;&gt;"", TEXT($W109, "MMMM"), ""), Income!$C:$C, YEAR($W109))</f>
        <v>0</v>
      </c>
      <c r="AA109" s="464">
        <f>SUMIFS(Income!$G:$G,Income!$H:$H, AA$2,Income!$F:$F, $V$1, Income!$B:$B, IF($W109&lt;&gt;"", TEXT($W109, "MMMM"), ""), Income!$C:$C, YEAR($W109))</f>
        <v>0</v>
      </c>
      <c r="AB109" s="464">
        <f>SUMIFS(Income!$G:$G,Income!$H:$H, AB$2,Income!$F:$F, $V$1, Income!$B:$B, IF($W109&lt;&gt;"", TEXT($W109, "MMMM"), ""), Income!$C:$C, YEAR($W109))</f>
        <v>0</v>
      </c>
      <c r="AC109" s="467">
        <f>SUMIFS(Income!$G:$G,Income!$H:$H, AC$2,Income!$F:$F, $V$1, Income!$B:$B, IF($W109&lt;&gt;"", TEXT($W109, "MMMM"), ""), Income!$C:$C, YEAR($W109))</f>
        <v>0</v>
      </c>
      <c r="AD109" s="428"/>
      <c r="AE109" s="463">
        <v>47058.0</v>
      </c>
      <c r="AF109" s="464">
        <f>SUMIFS(Income!$G:$G,Income!$H:$H, AF$2,Income!$F:$F, $AD$1, Income!$B:$B, IF($AE109&lt;&gt;"", TEXT($AE109, "MMMM"), ""), Income!$C:$C, YEAR($AE109))</f>
        <v>0</v>
      </c>
      <c r="AG109" s="464">
        <f>SUMIFS(Income!$G:$G,Income!$H:$H, AG$2,Income!$F:$F, $AD$1, Income!$B:$B, IF($AE109&lt;&gt;"", TEXT($AE109, "MMMM"), ""), Income!$C:$C, YEAR($AE109))</f>
        <v>0</v>
      </c>
      <c r="AH109" s="464">
        <f>SUMIFS(Income!$G:$G,Income!$H:$H, AH$2,Income!$F:$F, $AD$1, Income!$B:$B, IF($AE109&lt;&gt;"", TEXT($AE109, "MMMM"), ""), Income!$C:$C, YEAR($AE109))</f>
        <v>0</v>
      </c>
      <c r="AI109" s="464">
        <f>SUMIFS(Income!$G:$G,Income!$H:$H, AI$2,Income!$F:$F, $AD$1, Income!$B:$B, IF($AE109&lt;&gt;"", TEXT($AE109, "MMMM"), ""), Income!$C:$C, YEAR($AE109))</f>
        <v>0</v>
      </c>
      <c r="AJ109" s="464">
        <f>SUMIFS(Income!$G:$G,Income!$H:$H, AJ$2,Income!$F:$F, $AD$1, Income!$B:$B, IF($AE109&lt;&gt;"", TEXT($AE109, "MMMM"), ""), Income!$C:$C, YEAR($AE109))</f>
        <v>0</v>
      </c>
      <c r="AK109" s="467">
        <f>SUMIFS(Income!$G:$G,Income!$H:$H, AK$2,Income!$F:$F, $AD$1, Income!$B:$B, IF($AE109&lt;&gt;"", TEXT($AE109, "MMMM"), ""), Income!$C:$C, YEAR($AE109))</f>
        <v>0</v>
      </c>
      <c r="AL109" s="428"/>
      <c r="AM109" s="463">
        <v>47058.0</v>
      </c>
      <c r="AN109" s="464">
        <f>SUMIFS(Income!$G:$G,Income!$H:$H, AN$2,Income!$F:$F, $AL$1, Income!$B:$B, IF($AM109&lt;&gt;"", TEXT($AM109, "MMMM"), ""), Income!$C:$C, YEAR($AM109))+SUMIFS($T:$T, $U:$U,AN$2,$Q:$Q,IF($AM109&lt;&gt;"", TEXT($AM109, "MMMM"), ""),$R:$R,YEAR($AM109))</f>
        <v>0</v>
      </c>
      <c r="AO109" s="464">
        <f>SUMIFS(Income!$G:$G,Income!$H:$H, AO$2,Income!$F:$F, $AL$1, Income!$B:$B, IF($AM109&lt;&gt;"", TEXT($AM109, "MMMM"), ""), Income!$C:$C, YEAR($AM109))+SUMIFS($T:$T, $U:$U,AO$2,$Q:$Q,IF($AM109&lt;&gt;"", TEXT($AM109, "MMMM"), ""),$R:$R,YEAR($AM109))</f>
        <v>0</v>
      </c>
      <c r="AP109" s="464">
        <f>SUMIFS(Income!$G:$G,Income!$H:$H, AP$2,Income!$F:$F, $AL$1, Income!$B:$B, IF($AM109&lt;&gt;"", TEXT($AM109, "MMMM"), ""), Income!$C:$C, YEAR($AM109))+SUMIFS($T:$T, $U:$U,AP$2,$Q:$Q,IF($AM109&lt;&gt;"", TEXT($AM109, "MMMM"), ""),$R:$R,YEAR($AM109))</f>
        <v>0</v>
      </c>
      <c r="AQ109" s="464">
        <f>SUMIFS(Income!$G:$G,Income!$H:$H, AQ$2,Income!$F:$F, $AL$1, Income!$B:$B, IF($AM109&lt;&gt;"", TEXT($AM109, "MMMM"), ""), Income!$C:$C, YEAR($AM109))+SUMIFS($T:$T, $U:$U,AQ$2,$Q:$Q,IF($AM109&lt;&gt;"", TEXT($AM109, "MMMM"), ""),$R:$R,YEAR($AM109))</f>
        <v>0</v>
      </c>
      <c r="AR109" s="464">
        <f>SUMIFS(Income!$G:$G,Income!$H:$H, AR$2,Income!$F:$F, $AL$1, Income!$B:$B, IF($AM109&lt;&gt;"", TEXT($AM109, "MMMM"), ""), Income!$C:$C, YEAR($AM109))+SUMIFS($T:$T, $U:$U,AR$2,$Q:$Q,IF($AM109&lt;&gt;"", TEXT($AM109, "MMMM"), ""),$R:$R,YEAR($AM109))</f>
        <v>0</v>
      </c>
      <c r="AS109" s="467">
        <f>SUMIFS(Income!$G:$G,Income!$H:$H, AS$2,Income!$F:$F, $AL$1, Income!$B:$B, IF($AM109&lt;&gt;"", TEXT($AM109, "MMMM"), ""), Income!$C:$C, YEAR($AM109))+SUMIFS($T:$T, $U:$U,AS$2,$Q:$Q,IF($AM109&lt;&gt;"", TEXT($AM109, "MMMM"), ""),$R:$R,YEAR($AM109))</f>
        <v>0</v>
      </c>
      <c r="AT109" s="428"/>
      <c r="AU109" s="463">
        <v>47058.0</v>
      </c>
      <c r="AV109" s="464">
        <f>SUMIFS(Income!$G:$G,Income!$H:$H, AV$2,Income!$F:$F, $AT$1, Income!$B:$B, IF($AU109&lt;&gt;"", TEXT($AU109, "MMMM"), ""), Income!$C:$C, YEAR($AU109))</f>
        <v>0</v>
      </c>
      <c r="AW109" s="464">
        <f>SUMIFS(Income!$G:$G,Income!$H:$H, AW$2,Income!$F:$F, $AT$1, Income!$B:$B, IF($AU109&lt;&gt;"", TEXT($AU109, "MMMM"), ""), Income!$C:$C, YEAR($AU109))</f>
        <v>0</v>
      </c>
      <c r="AX109" s="464">
        <f>SUMIFS(Income!$G:$G,Income!$H:$H, AX$2,Income!$F:$F, $AT$1, Income!$B:$B, IF($AU109&lt;&gt;"", TEXT($AU109, "MMMM"), ""), Income!$C:$C, YEAR($AU109))</f>
        <v>0</v>
      </c>
      <c r="AY109" s="464">
        <f>SUMIFS(Income!$G:$G,Income!$H:$H, AY$2,Income!$F:$F, $AT$1, Income!$B:$B, IF($AU109&lt;&gt;"", TEXT($AU109, "MMMM"), ""), Income!$C:$C, YEAR($AU109))</f>
        <v>0</v>
      </c>
      <c r="AZ109" s="464">
        <f>SUMIFS(Income!$G:$G,Income!$H:$H, AZ$2,Income!$F:$F, $AT$1, Income!$B:$B, IF($AU109&lt;&gt;"", TEXT($AU109, "MMMM"), ""), Income!$C:$C, YEAR($AU109))</f>
        <v>0</v>
      </c>
      <c r="BA109" s="468">
        <f>SUMIFS(Income!$G:$G,Income!$H:$H, BA$2,Income!$F:$F, $AT$1, Income!$B:$B, IF($AU109&lt;&gt;"", TEXT($AU109, "MMMM"), ""), Income!$C:$C, YEAR($AU109))</f>
        <v>0</v>
      </c>
      <c r="BB109" s="345"/>
      <c r="BC109" s="345"/>
      <c r="BD109" s="345"/>
      <c r="BE109" s="345"/>
    </row>
    <row r="110" ht="13.5" customHeight="1">
      <c r="A110" s="424">
        <f>'Membership Application List'!A339</f>
        <v>45525.50116</v>
      </c>
      <c r="B110" s="443" t="str">
        <f t="shared" si="6"/>
        <v>August</v>
      </c>
      <c r="C110" s="443">
        <f t="shared" si="7"/>
        <v>2024</v>
      </c>
      <c r="D110" s="426" t="str">
        <f>'Membership Application List'!E339</f>
        <v>Hannah Odell</v>
      </c>
      <c r="E110" s="426">
        <f>IF('Membership Application List'!J339 = "Food/Litter Donation", 0, IF('Membership Application List'!J339 = "$15 Donation, Discord Verification", IF('Membership Application List'!N339 = TRUE, 15, 0)))</f>
        <v>0</v>
      </c>
      <c r="F110" s="426">
        <f>if('Membership Application List'!K339=TRUE, 5,0)</f>
        <v>0</v>
      </c>
      <c r="G110" s="426">
        <f t="shared" si="8"/>
        <v>0</v>
      </c>
      <c r="H110" s="427" t="str">
        <f>'Membership Application List'!L339</f>
        <v/>
      </c>
      <c r="I110" s="428"/>
      <c r="J110" s="463">
        <v>47088.0</v>
      </c>
      <c r="K110" s="464">
        <f t="shared" ref="K110:O110" si="68">SUMIFS($G:$G, $H:$H, K$2, $B:$B, IF($J110&lt;&gt;"", TEXT($J110, "MMMM"), ""), $C:$C, YEAR($J110))</f>
        <v>0</v>
      </c>
      <c r="L110" s="464">
        <f t="shared" si="68"/>
        <v>0</v>
      </c>
      <c r="M110" s="464">
        <f t="shared" si="68"/>
        <v>0</v>
      </c>
      <c r="N110" s="464">
        <f t="shared" si="68"/>
        <v>0</v>
      </c>
      <c r="O110" s="465">
        <f t="shared" si="68"/>
        <v>0</v>
      </c>
      <c r="P110" s="414"/>
      <c r="Q110" s="414"/>
      <c r="R110" s="414"/>
      <c r="V110" s="428"/>
      <c r="W110" s="463">
        <v>47088.0</v>
      </c>
      <c r="X110" s="464">
        <f>SUMIFS(Income!$G:$G,Income!$H:$H, X$2,Income!$F:$F, $V$1, Income!$B:$B, IF($W110&lt;&gt;"", TEXT($W110, "MMMM"), ""), Income!$C:$C, YEAR($W110))</f>
        <v>0</v>
      </c>
      <c r="Y110" s="464">
        <f>SUMIFS(Income!$G:$G,Income!$H:$H, Y$2,Income!$F:$F, $V$1, Income!$B:$B, IF($W110&lt;&gt;"", TEXT($W110, "MMMM"), ""), Income!$C:$C, YEAR($W110))</f>
        <v>0</v>
      </c>
      <c r="Z110" s="464">
        <f>SUMIFS(Income!$G:$G,Income!$H:$H, Z$2,Income!$F:$F, $V$1, Income!$B:$B, IF($W110&lt;&gt;"", TEXT($W110, "MMMM"), ""), Income!$C:$C, YEAR($W110))</f>
        <v>0</v>
      </c>
      <c r="AA110" s="464">
        <f>SUMIFS(Income!$G:$G,Income!$H:$H, AA$2,Income!$F:$F, $V$1, Income!$B:$B, IF($W110&lt;&gt;"", TEXT($W110, "MMMM"), ""), Income!$C:$C, YEAR($W110))</f>
        <v>0</v>
      </c>
      <c r="AB110" s="464">
        <f>SUMIFS(Income!$G:$G,Income!$H:$H, AB$2,Income!$F:$F, $V$1, Income!$B:$B, IF($W110&lt;&gt;"", TEXT($W110, "MMMM"), ""), Income!$C:$C, YEAR($W110))</f>
        <v>0</v>
      </c>
      <c r="AC110" s="467">
        <f>SUMIFS(Income!$G:$G,Income!$H:$H, AC$2,Income!$F:$F, $V$1, Income!$B:$B, IF($W110&lt;&gt;"", TEXT($W110, "MMMM"), ""), Income!$C:$C, YEAR($W110))</f>
        <v>0</v>
      </c>
      <c r="AD110" s="428"/>
      <c r="AE110" s="463">
        <v>47088.0</v>
      </c>
      <c r="AF110" s="464">
        <f>SUMIFS(Income!$G:$G,Income!$H:$H, AF$2,Income!$F:$F, $AD$1, Income!$B:$B, IF($AE110&lt;&gt;"", TEXT($AE110, "MMMM"), ""), Income!$C:$C, YEAR($AE110))</f>
        <v>0</v>
      </c>
      <c r="AG110" s="464">
        <f>SUMIFS(Income!$G:$G,Income!$H:$H, AG$2,Income!$F:$F, $AD$1, Income!$B:$B, IF($AE110&lt;&gt;"", TEXT($AE110, "MMMM"), ""), Income!$C:$C, YEAR($AE110))</f>
        <v>0</v>
      </c>
      <c r="AH110" s="464">
        <f>SUMIFS(Income!$G:$G,Income!$H:$H, AH$2,Income!$F:$F, $AD$1, Income!$B:$B, IF($AE110&lt;&gt;"", TEXT($AE110, "MMMM"), ""), Income!$C:$C, YEAR($AE110))</f>
        <v>0</v>
      </c>
      <c r="AI110" s="464">
        <f>SUMIFS(Income!$G:$G,Income!$H:$H, AI$2,Income!$F:$F, $AD$1, Income!$B:$B, IF($AE110&lt;&gt;"", TEXT($AE110, "MMMM"), ""), Income!$C:$C, YEAR($AE110))</f>
        <v>0</v>
      </c>
      <c r="AJ110" s="464">
        <f>SUMIFS(Income!$G:$G,Income!$H:$H, AJ$2,Income!$F:$F, $AD$1, Income!$B:$B, IF($AE110&lt;&gt;"", TEXT($AE110, "MMMM"), ""), Income!$C:$C, YEAR($AE110))</f>
        <v>0</v>
      </c>
      <c r="AK110" s="467">
        <f>SUMIFS(Income!$G:$G,Income!$H:$H, AK$2,Income!$F:$F, $AD$1, Income!$B:$B, IF($AE110&lt;&gt;"", TEXT($AE110, "MMMM"), ""), Income!$C:$C, YEAR($AE110))</f>
        <v>0</v>
      </c>
      <c r="AL110" s="428"/>
      <c r="AM110" s="463">
        <v>47088.0</v>
      </c>
      <c r="AN110" s="464">
        <f>SUMIFS(Income!$G:$G,Income!$H:$H, AN$2,Income!$F:$F, $AL$1, Income!$B:$B, IF($AM110&lt;&gt;"", TEXT($AM110, "MMMM"), ""), Income!$C:$C, YEAR($AM110))+SUMIFS($T:$T, $U:$U,AN$2,$Q:$Q,IF($AM110&lt;&gt;"", TEXT($AM110, "MMMM"), ""),$R:$R,YEAR($AM110))</f>
        <v>0</v>
      </c>
      <c r="AO110" s="464">
        <f>SUMIFS(Income!$G:$G,Income!$H:$H, AO$2,Income!$F:$F, $AL$1, Income!$B:$B, IF($AM110&lt;&gt;"", TEXT($AM110, "MMMM"), ""), Income!$C:$C, YEAR($AM110))+SUMIFS($T:$T, $U:$U,AO$2,$Q:$Q,IF($AM110&lt;&gt;"", TEXT($AM110, "MMMM"), ""),$R:$R,YEAR($AM110))</f>
        <v>0</v>
      </c>
      <c r="AP110" s="464">
        <f>SUMIFS(Income!$G:$G,Income!$H:$H, AP$2,Income!$F:$F, $AL$1, Income!$B:$B, IF($AM110&lt;&gt;"", TEXT($AM110, "MMMM"), ""), Income!$C:$C, YEAR($AM110))+SUMIFS($T:$T, $U:$U,AP$2,$Q:$Q,IF($AM110&lt;&gt;"", TEXT($AM110, "MMMM"), ""),$R:$R,YEAR($AM110))</f>
        <v>0</v>
      </c>
      <c r="AQ110" s="464">
        <f>SUMIFS(Income!$G:$G,Income!$H:$H, AQ$2,Income!$F:$F, $AL$1, Income!$B:$B, IF($AM110&lt;&gt;"", TEXT($AM110, "MMMM"), ""), Income!$C:$C, YEAR($AM110))+SUMIFS($T:$T, $U:$U,AQ$2,$Q:$Q,IF($AM110&lt;&gt;"", TEXT($AM110, "MMMM"), ""),$R:$R,YEAR($AM110))</f>
        <v>0</v>
      </c>
      <c r="AR110" s="464">
        <f>SUMIFS(Income!$G:$G,Income!$H:$H, AR$2,Income!$F:$F, $AL$1, Income!$B:$B, IF($AM110&lt;&gt;"", TEXT($AM110, "MMMM"), ""), Income!$C:$C, YEAR($AM110))+SUMIFS($T:$T, $U:$U,AR$2,$Q:$Q,IF($AM110&lt;&gt;"", TEXT($AM110, "MMMM"), ""),$R:$R,YEAR($AM110))</f>
        <v>0</v>
      </c>
      <c r="AS110" s="467">
        <f>SUMIFS(Income!$G:$G,Income!$H:$H, AS$2,Income!$F:$F, $AL$1, Income!$B:$B, IF($AM110&lt;&gt;"", TEXT($AM110, "MMMM"), ""), Income!$C:$C, YEAR($AM110))+SUMIFS($T:$T, $U:$U,AS$2,$Q:$Q,IF($AM110&lt;&gt;"", TEXT($AM110, "MMMM"), ""),$R:$R,YEAR($AM110))</f>
        <v>0</v>
      </c>
      <c r="AT110" s="428"/>
      <c r="AU110" s="463">
        <v>47088.0</v>
      </c>
      <c r="AV110" s="464">
        <f>SUMIFS(Income!$G:$G,Income!$H:$H, AV$2,Income!$F:$F, $AT$1, Income!$B:$B, IF($AU110&lt;&gt;"", TEXT($AU110, "MMMM"), ""), Income!$C:$C, YEAR($AU110))</f>
        <v>0</v>
      </c>
      <c r="AW110" s="464">
        <f>SUMIFS(Income!$G:$G,Income!$H:$H, AW$2,Income!$F:$F, $AT$1, Income!$B:$B, IF($AU110&lt;&gt;"", TEXT($AU110, "MMMM"), ""), Income!$C:$C, YEAR($AU110))</f>
        <v>0</v>
      </c>
      <c r="AX110" s="464">
        <f>SUMIFS(Income!$G:$G,Income!$H:$H, AX$2,Income!$F:$F, $AT$1, Income!$B:$B, IF($AU110&lt;&gt;"", TEXT($AU110, "MMMM"), ""), Income!$C:$C, YEAR($AU110))</f>
        <v>0</v>
      </c>
      <c r="AY110" s="464">
        <f>SUMIFS(Income!$G:$G,Income!$H:$H, AY$2,Income!$F:$F, $AT$1, Income!$B:$B, IF($AU110&lt;&gt;"", TEXT($AU110, "MMMM"), ""), Income!$C:$C, YEAR($AU110))</f>
        <v>0</v>
      </c>
      <c r="AZ110" s="464">
        <f>SUMIFS(Income!$G:$G,Income!$H:$H, AZ$2,Income!$F:$F, $AT$1, Income!$B:$B, IF($AU110&lt;&gt;"", TEXT($AU110, "MMMM"), ""), Income!$C:$C, YEAR($AU110))</f>
        <v>0</v>
      </c>
      <c r="BA110" s="468">
        <f>SUMIFS(Income!$G:$G,Income!$H:$H, BA$2,Income!$F:$F, $AT$1, Income!$B:$B, IF($AU110&lt;&gt;"", TEXT($AU110, "MMMM"), ""), Income!$C:$C, YEAR($AU110))</f>
        <v>0</v>
      </c>
      <c r="BB110" s="345"/>
      <c r="BC110" s="345"/>
      <c r="BD110" s="345"/>
      <c r="BE110" s="345"/>
    </row>
    <row r="111" ht="13.5" customHeight="1">
      <c r="A111" s="436">
        <f>'Membership Application List'!A340</f>
        <v>45525.5058</v>
      </c>
      <c r="B111" s="437" t="str">
        <f t="shared" si="6"/>
        <v>August</v>
      </c>
      <c r="C111" s="437">
        <f t="shared" si="7"/>
        <v>2024</v>
      </c>
      <c r="D111" s="438" t="str">
        <f>'Membership Application List'!E340</f>
        <v>Michelle Arriaga</v>
      </c>
      <c r="E111" s="438">
        <f>IF('Membership Application List'!J340 = "Food/Litter Donation", 0, IF('Membership Application List'!J340 = "$15 Donation, Discord Verification", IF('Membership Application List'!N340 = TRUE, 15, 0)))</f>
        <v>0</v>
      </c>
      <c r="F111" s="438">
        <f>if('Membership Application List'!K340=TRUE, 5,0)</f>
        <v>0</v>
      </c>
      <c r="G111" s="438">
        <f t="shared" si="8"/>
        <v>0</v>
      </c>
      <c r="H111" s="439" t="str">
        <f>'Membership Application List'!L340</f>
        <v>Paypal</v>
      </c>
      <c r="I111" s="407" t="s">
        <v>786</v>
      </c>
      <c r="J111" s="463">
        <v>47119.0</v>
      </c>
      <c r="K111" s="464">
        <f t="shared" ref="K111:O111" si="69">SUMIFS($G:$G, $H:$H, K$2, $B:$B, IF($J111&lt;&gt;"", TEXT($J111, "MMMM"), ""), $C:$C, YEAR($J111))</f>
        <v>0</v>
      </c>
      <c r="L111" s="464">
        <f t="shared" si="69"/>
        <v>0</v>
      </c>
      <c r="M111" s="464">
        <f t="shared" si="69"/>
        <v>0</v>
      </c>
      <c r="N111" s="464">
        <f t="shared" si="69"/>
        <v>0</v>
      </c>
      <c r="O111" s="465">
        <f t="shared" si="69"/>
        <v>0</v>
      </c>
      <c r="P111" s="414"/>
      <c r="Q111" s="414"/>
      <c r="R111" s="414"/>
      <c r="V111" s="407" t="s">
        <v>786</v>
      </c>
      <c r="W111" s="463">
        <v>47119.0</v>
      </c>
      <c r="X111" s="464">
        <f>SUMIFS(Income!$G:$G,Income!$H:$H, X$2,Income!$F:$F, $V$1, Income!$B:$B, IF($W111&lt;&gt;"", TEXT($W111, "MMMM"), ""), Income!$C:$C, YEAR($W111))</f>
        <v>0</v>
      </c>
      <c r="Y111" s="464">
        <f>SUMIFS(Income!$G:$G,Income!$H:$H, Y$2,Income!$F:$F, $V$1, Income!$B:$B, IF($W111&lt;&gt;"", TEXT($W111, "MMMM"), ""), Income!$C:$C, YEAR($W111))</f>
        <v>0</v>
      </c>
      <c r="Z111" s="464">
        <f>SUMIFS(Income!$G:$G,Income!$H:$H, Z$2,Income!$F:$F, $V$1, Income!$B:$B, IF($W111&lt;&gt;"", TEXT($W111, "MMMM"), ""), Income!$C:$C, YEAR($W111))</f>
        <v>0</v>
      </c>
      <c r="AA111" s="464">
        <f>SUMIFS(Income!$G:$G,Income!$H:$H, AA$2,Income!$F:$F, $V$1, Income!$B:$B, IF($W111&lt;&gt;"", TEXT($W111, "MMMM"), ""), Income!$C:$C, YEAR($W111))</f>
        <v>0</v>
      </c>
      <c r="AB111" s="464">
        <f>SUMIFS(Income!$G:$G,Income!$H:$H, AB$2,Income!$F:$F, $V$1, Income!$B:$B, IF($W111&lt;&gt;"", TEXT($W111, "MMMM"), ""), Income!$C:$C, YEAR($W111))</f>
        <v>0</v>
      </c>
      <c r="AC111" s="467">
        <f>SUMIFS(Income!$G:$G,Income!$H:$H, AC$2,Income!$F:$F, $V$1, Income!$B:$B, IF($W111&lt;&gt;"", TEXT($W111, "MMMM"), ""), Income!$C:$C, YEAR($W111))</f>
        <v>0</v>
      </c>
      <c r="AD111" s="407" t="s">
        <v>786</v>
      </c>
      <c r="AE111" s="463">
        <v>47119.0</v>
      </c>
      <c r="AF111" s="464">
        <f>SUMIFS(Income!$G:$G,Income!$H:$H, AF$2,Income!$F:$F, $AD$1, Income!$B:$B, IF($AE111&lt;&gt;"", TEXT($AE111, "MMMM"), ""), Income!$C:$C, YEAR($AE111))</f>
        <v>0</v>
      </c>
      <c r="AG111" s="464">
        <f>SUMIFS(Income!$G:$G,Income!$H:$H, AG$2,Income!$F:$F, $AD$1, Income!$B:$B, IF($AE111&lt;&gt;"", TEXT($AE111, "MMMM"), ""), Income!$C:$C, YEAR($AE111))</f>
        <v>0</v>
      </c>
      <c r="AH111" s="464">
        <f>SUMIFS(Income!$G:$G,Income!$H:$H, AH$2,Income!$F:$F, $AD$1, Income!$B:$B, IF($AE111&lt;&gt;"", TEXT($AE111, "MMMM"), ""), Income!$C:$C, YEAR($AE111))</f>
        <v>0</v>
      </c>
      <c r="AI111" s="464">
        <f>SUMIFS(Income!$G:$G,Income!$H:$H, AI$2,Income!$F:$F, $AD$1, Income!$B:$B, IF($AE111&lt;&gt;"", TEXT($AE111, "MMMM"), ""), Income!$C:$C, YEAR($AE111))</f>
        <v>0</v>
      </c>
      <c r="AJ111" s="464">
        <f>SUMIFS(Income!$G:$G,Income!$H:$H, AJ$2,Income!$F:$F, $AD$1, Income!$B:$B, IF($AE111&lt;&gt;"", TEXT($AE111, "MMMM"), ""), Income!$C:$C, YEAR($AE111))</f>
        <v>0</v>
      </c>
      <c r="AK111" s="467">
        <f>SUMIFS(Income!$G:$G,Income!$H:$H, AK$2,Income!$F:$F, $AD$1, Income!$B:$B, IF($AE111&lt;&gt;"", TEXT($AE111, "MMMM"), ""), Income!$C:$C, YEAR($AE111))</f>
        <v>0</v>
      </c>
      <c r="AL111" s="407" t="s">
        <v>786</v>
      </c>
      <c r="AM111" s="463">
        <v>47119.0</v>
      </c>
      <c r="AN111" s="464">
        <f>SUMIFS(Income!$G:$G,Income!$H:$H, AN$2,Income!$F:$F, $AL$1, Income!$B:$B, IF($AM111&lt;&gt;"", TEXT($AM111, "MMMM"), ""), Income!$C:$C, YEAR($AM111))+SUMIFS($T:$T, $U:$U,AN$2,$Q:$Q,IF($AM111&lt;&gt;"", TEXT($AM111, "MMMM"), ""),$R:$R,YEAR($AM111))</f>
        <v>0</v>
      </c>
      <c r="AO111" s="464">
        <f>SUMIFS(Income!$G:$G,Income!$H:$H, AO$2,Income!$F:$F, $AL$1, Income!$B:$B, IF($AM111&lt;&gt;"", TEXT($AM111, "MMMM"), ""), Income!$C:$C, YEAR($AM111))+SUMIFS($T:$T, $U:$U,AO$2,$Q:$Q,IF($AM111&lt;&gt;"", TEXT($AM111, "MMMM"), ""),$R:$R,YEAR($AM111))</f>
        <v>0</v>
      </c>
      <c r="AP111" s="464">
        <f>SUMIFS(Income!$G:$G,Income!$H:$H, AP$2,Income!$F:$F, $AL$1, Income!$B:$B, IF($AM111&lt;&gt;"", TEXT($AM111, "MMMM"), ""), Income!$C:$C, YEAR($AM111))+SUMIFS($T:$T, $U:$U,AP$2,$Q:$Q,IF($AM111&lt;&gt;"", TEXT($AM111, "MMMM"), ""),$R:$R,YEAR($AM111))</f>
        <v>0</v>
      </c>
      <c r="AQ111" s="464">
        <f>SUMIFS(Income!$G:$G,Income!$H:$H, AQ$2,Income!$F:$F, $AL$1, Income!$B:$B, IF($AM111&lt;&gt;"", TEXT($AM111, "MMMM"), ""), Income!$C:$C, YEAR($AM111))+SUMIFS($T:$T, $U:$U,AQ$2,$Q:$Q,IF($AM111&lt;&gt;"", TEXT($AM111, "MMMM"), ""),$R:$R,YEAR($AM111))</f>
        <v>0</v>
      </c>
      <c r="AR111" s="464">
        <f>SUMIFS(Income!$G:$G,Income!$H:$H, AR$2,Income!$F:$F, $AL$1, Income!$B:$B, IF($AM111&lt;&gt;"", TEXT($AM111, "MMMM"), ""), Income!$C:$C, YEAR($AM111))+SUMIFS($T:$T, $U:$U,AR$2,$Q:$Q,IF($AM111&lt;&gt;"", TEXT($AM111, "MMMM"), ""),$R:$R,YEAR($AM111))</f>
        <v>0</v>
      </c>
      <c r="AS111" s="467">
        <f>SUMIFS(Income!$G:$G,Income!$H:$H, AS$2,Income!$F:$F, $AL$1, Income!$B:$B, IF($AM111&lt;&gt;"", TEXT($AM111, "MMMM"), ""), Income!$C:$C, YEAR($AM111))+SUMIFS($T:$T, $U:$U,AS$2,$Q:$Q,IF($AM111&lt;&gt;"", TEXT($AM111, "MMMM"), ""),$R:$R,YEAR($AM111))</f>
        <v>0</v>
      </c>
      <c r="AT111" s="407" t="s">
        <v>786</v>
      </c>
      <c r="AU111" s="463">
        <v>47119.0</v>
      </c>
      <c r="AV111" s="464">
        <f>SUMIFS(Income!$G:$G,Income!$H:$H, AV$2,Income!$F:$F, $AT$1, Income!$B:$B, IF($AU111&lt;&gt;"", TEXT($AU111, "MMMM"), ""), Income!$C:$C, YEAR($AU111))</f>
        <v>0</v>
      </c>
      <c r="AW111" s="464">
        <f>SUMIFS(Income!$G:$G,Income!$H:$H, AW$2,Income!$F:$F, $AT$1, Income!$B:$B, IF($AU111&lt;&gt;"", TEXT($AU111, "MMMM"), ""), Income!$C:$C, YEAR($AU111))</f>
        <v>0</v>
      </c>
      <c r="AX111" s="464">
        <f>SUMIFS(Income!$G:$G,Income!$H:$H, AX$2,Income!$F:$F, $AT$1, Income!$B:$B, IF($AU111&lt;&gt;"", TEXT($AU111, "MMMM"), ""), Income!$C:$C, YEAR($AU111))</f>
        <v>0</v>
      </c>
      <c r="AY111" s="464">
        <f>SUMIFS(Income!$G:$G,Income!$H:$H, AY$2,Income!$F:$F, $AT$1, Income!$B:$B, IF($AU111&lt;&gt;"", TEXT($AU111, "MMMM"), ""), Income!$C:$C, YEAR($AU111))</f>
        <v>0</v>
      </c>
      <c r="AZ111" s="464">
        <f>SUMIFS(Income!$G:$G,Income!$H:$H, AZ$2,Income!$F:$F, $AT$1, Income!$B:$B, IF($AU111&lt;&gt;"", TEXT($AU111, "MMMM"), ""), Income!$C:$C, YEAR($AU111))</f>
        <v>0</v>
      </c>
      <c r="BA111" s="468">
        <f>SUMIFS(Income!$G:$G,Income!$H:$H, BA$2,Income!$F:$F, $AT$1, Income!$B:$B, IF($AU111&lt;&gt;"", TEXT($AU111, "MMMM"), ""), Income!$C:$C, YEAR($AU111))</f>
        <v>0</v>
      </c>
      <c r="BB111" s="345"/>
      <c r="BC111" s="345"/>
      <c r="BD111" s="345"/>
      <c r="BE111" s="345"/>
    </row>
    <row r="112" ht="13.5" customHeight="1">
      <c r="A112" s="424">
        <f>'Membership Application List'!A341</f>
        <v>45525.57375</v>
      </c>
      <c r="B112" s="443" t="str">
        <f t="shared" si="6"/>
        <v>August</v>
      </c>
      <c r="C112" s="443">
        <f t="shared" si="7"/>
        <v>2024</v>
      </c>
      <c r="D112" s="426" t="str">
        <f>'Membership Application List'!E341</f>
        <v>Emily Lanham</v>
      </c>
      <c r="E112" s="426">
        <f>IF('Membership Application List'!J341 = "Food/Litter Donation", 0, IF('Membership Application List'!J341 = "$15 Donation, Discord Verification", IF('Membership Application List'!N341 = TRUE, 15, 0)))</f>
        <v>15</v>
      </c>
      <c r="F112" s="426">
        <f>if('Membership Application List'!K341=TRUE, 5,0)</f>
        <v>0</v>
      </c>
      <c r="G112" s="426">
        <f t="shared" si="8"/>
        <v>15</v>
      </c>
      <c r="H112" s="427" t="str">
        <f>'Membership Application List'!L341</f>
        <v>Cashapp</v>
      </c>
      <c r="I112" s="428"/>
      <c r="J112" s="463">
        <v>47150.0</v>
      </c>
      <c r="K112" s="464">
        <f t="shared" ref="K112:O112" si="70">SUMIFS($G:$G, $H:$H, K$2, $B:$B, IF($J112&lt;&gt;"", TEXT($J112, "MMMM"), ""), $C:$C, YEAR($J112))</f>
        <v>0</v>
      </c>
      <c r="L112" s="464">
        <f t="shared" si="70"/>
        <v>0</v>
      </c>
      <c r="M112" s="464">
        <f t="shared" si="70"/>
        <v>0</v>
      </c>
      <c r="N112" s="464">
        <f t="shared" si="70"/>
        <v>0</v>
      </c>
      <c r="O112" s="465">
        <f t="shared" si="70"/>
        <v>0</v>
      </c>
      <c r="P112" s="414"/>
      <c r="Q112" s="414"/>
      <c r="R112" s="414"/>
      <c r="V112" s="428"/>
      <c r="W112" s="463">
        <v>47150.0</v>
      </c>
      <c r="X112" s="464">
        <f>SUMIFS(Income!$G:$G,Income!$H:$H, X$2,Income!$F:$F, $V$1, Income!$B:$B, IF($W112&lt;&gt;"", TEXT($W112, "MMMM"), ""), Income!$C:$C, YEAR($W112))</f>
        <v>0</v>
      </c>
      <c r="Y112" s="464">
        <f>SUMIFS(Income!$G:$G,Income!$H:$H, Y$2,Income!$F:$F, $V$1, Income!$B:$B, IF($W112&lt;&gt;"", TEXT($W112, "MMMM"), ""), Income!$C:$C, YEAR($W112))</f>
        <v>0</v>
      </c>
      <c r="Z112" s="464">
        <f>SUMIFS(Income!$G:$G,Income!$H:$H, Z$2,Income!$F:$F, $V$1, Income!$B:$B, IF($W112&lt;&gt;"", TEXT($W112, "MMMM"), ""), Income!$C:$C, YEAR($W112))</f>
        <v>0</v>
      </c>
      <c r="AA112" s="464">
        <f>SUMIFS(Income!$G:$G,Income!$H:$H, AA$2,Income!$F:$F, $V$1, Income!$B:$B, IF($W112&lt;&gt;"", TEXT($W112, "MMMM"), ""), Income!$C:$C, YEAR($W112))</f>
        <v>0</v>
      </c>
      <c r="AB112" s="464">
        <f>SUMIFS(Income!$G:$G,Income!$H:$H, AB$2,Income!$F:$F, $V$1, Income!$B:$B, IF($W112&lt;&gt;"", TEXT($W112, "MMMM"), ""), Income!$C:$C, YEAR($W112))</f>
        <v>0</v>
      </c>
      <c r="AC112" s="467">
        <f>SUMIFS(Income!$G:$G,Income!$H:$H, AC$2,Income!$F:$F, $V$1, Income!$B:$B, IF($W112&lt;&gt;"", TEXT($W112, "MMMM"), ""), Income!$C:$C, YEAR($W112))</f>
        <v>0</v>
      </c>
      <c r="AD112" s="428"/>
      <c r="AE112" s="463">
        <v>47150.0</v>
      </c>
      <c r="AF112" s="464">
        <f>SUMIFS(Income!$G:$G,Income!$H:$H, AF$2,Income!$F:$F, $AD$1, Income!$B:$B, IF($AE112&lt;&gt;"", TEXT($AE112, "MMMM"), ""), Income!$C:$C, YEAR($AE112))</f>
        <v>0</v>
      </c>
      <c r="AG112" s="464">
        <f>SUMIFS(Income!$G:$G,Income!$H:$H, AG$2,Income!$F:$F, $AD$1, Income!$B:$B, IF($AE112&lt;&gt;"", TEXT($AE112, "MMMM"), ""), Income!$C:$C, YEAR($AE112))</f>
        <v>0</v>
      </c>
      <c r="AH112" s="464">
        <f>SUMIFS(Income!$G:$G,Income!$H:$H, AH$2,Income!$F:$F, $AD$1, Income!$B:$B, IF($AE112&lt;&gt;"", TEXT($AE112, "MMMM"), ""), Income!$C:$C, YEAR($AE112))</f>
        <v>0</v>
      </c>
      <c r="AI112" s="464">
        <f>SUMIFS(Income!$G:$G,Income!$H:$H, AI$2,Income!$F:$F, $AD$1, Income!$B:$B, IF($AE112&lt;&gt;"", TEXT($AE112, "MMMM"), ""), Income!$C:$C, YEAR($AE112))</f>
        <v>0</v>
      </c>
      <c r="AJ112" s="464">
        <f>SUMIFS(Income!$G:$G,Income!$H:$H, AJ$2,Income!$F:$F, $AD$1, Income!$B:$B, IF($AE112&lt;&gt;"", TEXT($AE112, "MMMM"), ""), Income!$C:$C, YEAR($AE112))</f>
        <v>0</v>
      </c>
      <c r="AK112" s="467">
        <f>SUMIFS(Income!$G:$G,Income!$H:$H, AK$2,Income!$F:$F, $AD$1, Income!$B:$B, IF($AE112&lt;&gt;"", TEXT($AE112, "MMMM"), ""), Income!$C:$C, YEAR($AE112))</f>
        <v>0</v>
      </c>
      <c r="AL112" s="428"/>
      <c r="AM112" s="463">
        <v>47150.0</v>
      </c>
      <c r="AN112" s="464">
        <f>SUMIFS(Income!$G:$G,Income!$H:$H, AN$2,Income!$F:$F, $AL$1, Income!$B:$B, IF($AM112&lt;&gt;"", TEXT($AM112, "MMMM"), ""), Income!$C:$C, YEAR($AM112))+SUMIFS($T:$T, $U:$U,AN$2,$Q:$Q,IF($AM112&lt;&gt;"", TEXT($AM112, "MMMM"), ""),$R:$R,YEAR($AM112))</f>
        <v>0</v>
      </c>
      <c r="AO112" s="464">
        <f>SUMIFS(Income!$G:$G,Income!$H:$H, AO$2,Income!$F:$F, $AL$1, Income!$B:$B, IF($AM112&lt;&gt;"", TEXT($AM112, "MMMM"), ""), Income!$C:$C, YEAR($AM112))+SUMIFS($T:$T, $U:$U,AO$2,$Q:$Q,IF($AM112&lt;&gt;"", TEXT($AM112, "MMMM"), ""),$R:$R,YEAR($AM112))</f>
        <v>0</v>
      </c>
      <c r="AP112" s="464">
        <f>SUMIFS(Income!$G:$G,Income!$H:$H, AP$2,Income!$F:$F, $AL$1, Income!$B:$B, IF($AM112&lt;&gt;"", TEXT($AM112, "MMMM"), ""), Income!$C:$C, YEAR($AM112))+SUMIFS($T:$T, $U:$U,AP$2,$Q:$Q,IF($AM112&lt;&gt;"", TEXT($AM112, "MMMM"), ""),$R:$R,YEAR($AM112))</f>
        <v>0</v>
      </c>
      <c r="AQ112" s="464">
        <f>SUMIFS(Income!$G:$G,Income!$H:$H, AQ$2,Income!$F:$F, $AL$1, Income!$B:$B, IF($AM112&lt;&gt;"", TEXT($AM112, "MMMM"), ""), Income!$C:$C, YEAR($AM112))+SUMIFS($T:$T, $U:$U,AQ$2,$Q:$Q,IF($AM112&lt;&gt;"", TEXT($AM112, "MMMM"), ""),$R:$R,YEAR($AM112))</f>
        <v>0</v>
      </c>
      <c r="AR112" s="464">
        <f>SUMIFS(Income!$G:$G,Income!$H:$H, AR$2,Income!$F:$F, $AL$1, Income!$B:$B, IF($AM112&lt;&gt;"", TEXT($AM112, "MMMM"), ""), Income!$C:$C, YEAR($AM112))+SUMIFS($T:$T, $U:$U,AR$2,$Q:$Q,IF($AM112&lt;&gt;"", TEXT($AM112, "MMMM"), ""),$R:$R,YEAR($AM112))</f>
        <v>0</v>
      </c>
      <c r="AS112" s="467">
        <f>SUMIFS(Income!$G:$G,Income!$H:$H, AS$2,Income!$F:$F, $AL$1, Income!$B:$B, IF($AM112&lt;&gt;"", TEXT($AM112, "MMMM"), ""), Income!$C:$C, YEAR($AM112))+SUMIFS($T:$T, $U:$U,AS$2,$Q:$Q,IF($AM112&lt;&gt;"", TEXT($AM112, "MMMM"), ""),$R:$R,YEAR($AM112))</f>
        <v>0</v>
      </c>
      <c r="AT112" s="428"/>
      <c r="AU112" s="463">
        <v>47150.0</v>
      </c>
      <c r="AV112" s="464">
        <f>SUMIFS(Income!$G:$G,Income!$H:$H, AV$2,Income!$F:$F, $AT$1, Income!$B:$B, IF($AU112&lt;&gt;"", TEXT($AU112, "MMMM"), ""), Income!$C:$C, YEAR($AU112))</f>
        <v>0</v>
      </c>
      <c r="AW112" s="464">
        <f>SUMIFS(Income!$G:$G,Income!$H:$H, AW$2,Income!$F:$F, $AT$1, Income!$B:$B, IF($AU112&lt;&gt;"", TEXT($AU112, "MMMM"), ""), Income!$C:$C, YEAR($AU112))</f>
        <v>0</v>
      </c>
      <c r="AX112" s="464">
        <f>SUMIFS(Income!$G:$G,Income!$H:$H, AX$2,Income!$F:$F, $AT$1, Income!$B:$B, IF($AU112&lt;&gt;"", TEXT($AU112, "MMMM"), ""), Income!$C:$C, YEAR($AU112))</f>
        <v>0</v>
      </c>
      <c r="AY112" s="464">
        <f>SUMIFS(Income!$G:$G,Income!$H:$H, AY$2,Income!$F:$F, $AT$1, Income!$B:$B, IF($AU112&lt;&gt;"", TEXT($AU112, "MMMM"), ""), Income!$C:$C, YEAR($AU112))</f>
        <v>0</v>
      </c>
      <c r="AZ112" s="464">
        <f>SUMIFS(Income!$G:$G,Income!$H:$H, AZ$2,Income!$F:$F, $AT$1, Income!$B:$B, IF($AU112&lt;&gt;"", TEXT($AU112, "MMMM"), ""), Income!$C:$C, YEAR($AU112))</f>
        <v>0</v>
      </c>
      <c r="BA112" s="468">
        <f>SUMIFS(Income!$G:$G,Income!$H:$H, BA$2,Income!$F:$F, $AT$1, Income!$B:$B, IF($AU112&lt;&gt;"", TEXT($AU112, "MMMM"), ""), Income!$C:$C, YEAR($AU112))</f>
        <v>0</v>
      </c>
      <c r="BB112" s="345"/>
      <c r="BC112" s="345"/>
      <c r="BD112" s="345"/>
      <c r="BE112" s="345"/>
    </row>
    <row r="113" ht="13.5" customHeight="1">
      <c r="A113" s="436">
        <f>'Membership Application List'!A342</f>
        <v>45525.70646</v>
      </c>
      <c r="B113" s="437" t="str">
        <f t="shared" si="6"/>
        <v>August</v>
      </c>
      <c r="C113" s="437">
        <f t="shared" si="7"/>
        <v>2024</v>
      </c>
      <c r="D113" s="438" t="str">
        <f>'Membership Application List'!E342</f>
        <v>Allie Stubbs</v>
      </c>
      <c r="E113" s="438">
        <f>IF('Membership Application List'!J342 = "Food/Litter Donation", 0, IF('Membership Application List'!J342 = "$15 Donation, Discord Verification", IF('Membership Application List'!N342 = TRUE, 15, 0)))</f>
        <v>15</v>
      </c>
      <c r="F113" s="438">
        <f>if('Membership Application List'!K342=TRUE, 5,0)</f>
        <v>0</v>
      </c>
      <c r="G113" s="438">
        <f t="shared" si="8"/>
        <v>15</v>
      </c>
      <c r="H113" s="439" t="str">
        <f>'Membership Application List'!L342</f>
        <v>Cashapp</v>
      </c>
      <c r="I113" s="428"/>
      <c r="J113" s="463">
        <v>47178.0</v>
      </c>
      <c r="K113" s="464">
        <f t="shared" ref="K113:O113" si="71">SUMIFS($G:$G, $H:$H, K$2, $B:$B, IF($J113&lt;&gt;"", TEXT($J113, "MMMM"), ""), $C:$C, YEAR($J113))</f>
        <v>0</v>
      </c>
      <c r="L113" s="464">
        <f t="shared" si="71"/>
        <v>0</v>
      </c>
      <c r="M113" s="464">
        <f t="shared" si="71"/>
        <v>0</v>
      </c>
      <c r="N113" s="464">
        <f t="shared" si="71"/>
        <v>0</v>
      </c>
      <c r="O113" s="465">
        <f t="shared" si="71"/>
        <v>0</v>
      </c>
      <c r="P113" s="414"/>
      <c r="Q113" s="414"/>
      <c r="R113" s="414"/>
      <c r="V113" s="428"/>
      <c r="W113" s="463">
        <v>47178.0</v>
      </c>
      <c r="X113" s="464">
        <f>SUMIFS(Income!$G:$G,Income!$H:$H, X$2,Income!$F:$F, $V$1, Income!$B:$B, IF($W113&lt;&gt;"", TEXT($W113, "MMMM"), ""), Income!$C:$C, YEAR($W113))</f>
        <v>0</v>
      </c>
      <c r="Y113" s="464">
        <f>SUMIFS(Income!$G:$G,Income!$H:$H, Y$2,Income!$F:$F, $V$1, Income!$B:$B, IF($W113&lt;&gt;"", TEXT($W113, "MMMM"), ""), Income!$C:$C, YEAR($W113))</f>
        <v>0</v>
      </c>
      <c r="Z113" s="464">
        <f>SUMIFS(Income!$G:$G,Income!$H:$H, Z$2,Income!$F:$F, $V$1, Income!$B:$B, IF($W113&lt;&gt;"", TEXT($W113, "MMMM"), ""), Income!$C:$C, YEAR($W113))</f>
        <v>0</v>
      </c>
      <c r="AA113" s="464">
        <f>SUMIFS(Income!$G:$G,Income!$H:$H, AA$2,Income!$F:$F, $V$1, Income!$B:$B, IF($W113&lt;&gt;"", TEXT($W113, "MMMM"), ""), Income!$C:$C, YEAR($W113))</f>
        <v>0</v>
      </c>
      <c r="AB113" s="464">
        <f>SUMIFS(Income!$G:$G,Income!$H:$H, AB$2,Income!$F:$F, $V$1, Income!$B:$B, IF($W113&lt;&gt;"", TEXT($W113, "MMMM"), ""), Income!$C:$C, YEAR($W113))</f>
        <v>0</v>
      </c>
      <c r="AC113" s="467">
        <f>SUMIFS(Income!$G:$G,Income!$H:$H, AC$2,Income!$F:$F, $V$1, Income!$B:$B, IF($W113&lt;&gt;"", TEXT($W113, "MMMM"), ""), Income!$C:$C, YEAR($W113))</f>
        <v>0</v>
      </c>
      <c r="AD113" s="428"/>
      <c r="AE113" s="463">
        <v>47178.0</v>
      </c>
      <c r="AF113" s="464">
        <f>SUMIFS(Income!$G:$G,Income!$H:$H, AF$2,Income!$F:$F, $AD$1, Income!$B:$B, IF($AE113&lt;&gt;"", TEXT($AE113, "MMMM"), ""), Income!$C:$C, YEAR($AE113))</f>
        <v>0</v>
      </c>
      <c r="AG113" s="464">
        <f>SUMIFS(Income!$G:$G,Income!$H:$H, AG$2,Income!$F:$F, $AD$1, Income!$B:$B, IF($AE113&lt;&gt;"", TEXT($AE113, "MMMM"), ""), Income!$C:$C, YEAR($AE113))</f>
        <v>0</v>
      </c>
      <c r="AH113" s="464">
        <f>SUMIFS(Income!$G:$G,Income!$H:$H, AH$2,Income!$F:$F, $AD$1, Income!$B:$B, IF($AE113&lt;&gt;"", TEXT($AE113, "MMMM"), ""), Income!$C:$C, YEAR($AE113))</f>
        <v>0</v>
      </c>
      <c r="AI113" s="464">
        <f>SUMIFS(Income!$G:$G,Income!$H:$H, AI$2,Income!$F:$F, $AD$1, Income!$B:$B, IF($AE113&lt;&gt;"", TEXT($AE113, "MMMM"), ""), Income!$C:$C, YEAR($AE113))</f>
        <v>0</v>
      </c>
      <c r="AJ113" s="464">
        <f>SUMIFS(Income!$G:$G,Income!$H:$H, AJ$2,Income!$F:$F, $AD$1, Income!$B:$B, IF($AE113&lt;&gt;"", TEXT($AE113, "MMMM"), ""), Income!$C:$C, YEAR($AE113))</f>
        <v>0</v>
      </c>
      <c r="AK113" s="467">
        <f>SUMIFS(Income!$G:$G,Income!$H:$H, AK$2,Income!$F:$F, $AD$1, Income!$B:$B, IF($AE113&lt;&gt;"", TEXT($AE113, "MMMM"), ""), Income!$C:$C, YEAR($AE113))</f>
        <v>0</v>
      </c>
      <c r="AL113" s="428"/>
      <c r="AM113" s="463">
        <v>47178.0</v>
      </c>
      <c r="AN113" s="464">
        <f>SUMIFS(Income!$G:$G,Income!$H:$H, AN$2,Income!$F:$F, $AL$1, Income!$B:$B, IF($AM113&lt;&gt;"", TEXT($AM113, "MMMM"), ""), Income!$C:$C, YEAR($AM113))+SUMIFS($T:$T, $U:$U,AN$2,$Q:$Q,IF($AM113&lt;&gt;"", TEXT($AM113, "MMMM"), ""),$R:$R,YEAR($AM113))</f>
        <v>0</v>
      </c>
      <c r="AO113" s="464">
        <f>SUMIFS(Income!$G:$G,Income!$H:$H, AO$2,Income!$F:$F, $AL$1, Income!$B:$B, IF($AM113&lt;&gt;"", TEXT($AM113, "MMMM"), ""), Income!$C:$C, YEAR($AM113))+SUMIFS($T:$T, $U:$U,AO$2,$Q:$Q,IF($AM113&lt;&gt;"", TEXT($AM113, "MMMM"), ""),$R:$R,YEAR($AM113))</f>
        <v>0</v>
      </c>
      <c r="AP113" s="464">
        <f>SUMIFS(Income!$G:$G,Income!$H:$H, AP$2,Income!$F:$F, $AL$1, Income!$B:$B, IF($AM113&lt;&gt;"", TEXT($AM113, "MMMM"), ""), Income!$C:$C, YEAR($AM113))+SUMIFS($T:$T, $U:$U,AP$2,$Q:$Q,IF($AM113&lt;&gt;"", TEXT($AM113, "MMMM"), ""),$R:$R,YEAR($AM113))</f>
        <v>0</v>
      </c>
      <c r="AQ113" s="464">
        <f>SUMIFS(Income!$G:$G,Income!$H:$H, AQ$2,Income!$F:$F, $AL$1, Income!$B:$B, IF($AM113&lt;&gt;"", TEXT($AM113, "MMMM"), ""), Income!$C:$C, YEAR($AM113))+SUMIFS($T:$T, $U:$U,AQ$2,$Q:$Q,IF($AM113&lt;&gt;"", TEXT($AM113, "MMMM"), ""),$R:$R,YEAR($AM113))</f>
        <v>0</v>
      </c>
      <c r="AR113" s="464">
        <f>SUMIFS(Income!$G:$G,Income!$H:$H, AR$2,Income!$F:$F, $AL$1, Income!$B:$B, IF($AM113&lt;&gt;"", TEXT($AM113, "MMMM"), ""), Income!$C:$C, YEAR($AM113))+SUMIFS($T:$T, $U:$U,AR$2,$Q:$Q,IF($AM113&lt;&gt;"", TEXT($AM113, "MMMM"), ""),$R:$R,YEAR($AM113))</f>
        <v>0</v>
      </c>
      <c r="AS113" s="467">
        <f>SUMIFS(Income!$G:$G,Income!$H:$H, AS$2,Income!$F:$F, $AL$1, Income!$B:$B, IF($AM113&lt;&gt;"", TEXT($AM113, "MMMM"), ""), Income!$C:$C, YEAR($AM113))+SUMIFS($T:$T, $U:$U,AS$2,$Q:$Q,IF($AM113&lt;&gt;"", TEXT($AM113, "MMMM"), ""),$R:$R,YEAR($AM113))</f>
        <v>0</v>
      </c>
      <c r="AT113" s="428"/>
      <c r="AU113" s="463">
        <v>47178.0</v>
      </c>
      <c r="AV113" s="464">
        <f>SUMIFS(Income!$G:$G,Income!$H:$H, AV$2,Income!$F:$F, $AT$1, Income!$B:$B, IF($AU113&lt;&gt;"", TEXT($AU113, "MMMM"), ""), Income!$C:$C, YEAR($AU113))</f>
        <v>0</v>
      </c>
      <c r="AW113" s="464">
        <f>SUMIFS(Income!$G:$G,Income!$H:$H, AW$2,Income!$F:$F, $AT$1, Income!$B:$B, IF($AU113&lt;&gt;"", TEXT($AU113, "MMMM"), ""), Income!$C:$C, YEAR($AU113))</f>
        <v>0</v>
      </c>
      <c r="AX113" s="464">
        <f>SUMIFS(Income!$G:$G,Income!$H:$H, AX$2,Income!$F:$F, $AT$1, Income!$B:$B, IF($AU113&lt;&gt;"", TEXT($AU113, "MMMM"), ""), Income!$C:$C, YEAR($AU113))</f>
        <v>0</v>
      </c>
      <c r="AY113" s="464">
        <f>SUMIFS(Income!$G:$G,Income!$H:$H, AY$2,Income!$F:$F, $AT$1, Income!$B:$B, IF($AU113&lt;&gt;"", TEXT($AU113, "MMMM"), ""), Income!$C:$C, YEAR($AU113))</f>
        <v>0</v>
      </c>
      <c r="AZ113" s="464">
        <f>SUMIFS(Income!$G:$G,Income!$H:$H, AZ$2,Income!$F:$F, $AT$1, Income!$B:$B, IF($AU113&lt;&gt;"", TEXT($AU113, "MMMM"), ""), Income!$C:$C, YEAR($AU113))</f>
        <v>0</v>
      </c>
      <c r="BA113" s="468">
        <f>SUMIFS(Income!$G:$G,Income!$H:$H, BA$2,Income!$F:$F, $AT$1, Income!$B:$B, IF($AU113&lt;&gt;"", TEXT($AU113, "MMMM"), ""), Income!$C:$C, YEAR($AU113))</f>
        <v>0</v>
      </c>
      <c r="BB113" s="345"/>
      <c r="BC113" s="345"/>
      <c r="BD113" s="345"/>
      <c r="BE113" s="345"/>
    </row>
    <row r="114" ht="13.5" customHeight="1">
      <c r="A114" s="424">
        <f>'Membership Application List'!A343</f>
        <v>45525.68683</v>
      </c>
      <c r="B114" s="443" t="str">
        <f t="shared" si="6"/>
        <v>August</v>
      </c>
      <c r="C114" s="443">
        <f t="shared" si="7"/>
        <v>2024</v>
      </c>
      <c r="D114" s="426" t="str">
        <f>'Membership Application List'!E343</f>
        <v>Christopher Hall</v>
      </c>
      <c r="E114" s="426">
        <f>IF('Membership Application List'!J343 = "Food/Litter Donation", 0, IF('Membership Application List'!J343 = "$15 Donation, Discord Verification", IF('Membership Application List'!N343 = TRUE, 15, 0)))</f>
        <v>15</v>
      </c>
      <c r="F114" s="426">
        <f>if('Membership Application List'!K343=TRUE, 5,0)</f>
        <v>0</v>
      </c>
      <c r="G114" s="426">
        <f t="shared" si="8"/>
        <v>15</v>
      </c>
      <c r="H114" s="427" t="str">
        <f>'Membership Application List'!L343</f>
        <v>Venmo</v>
      </c>
      <c r="I114" s="428"/>
      <c r="J114" s="463">
        <v>47209.0</v>
      </c>
      <c r="K114" s="464">
        <f t="shared" ref="K114:O114" si="72">SUMIFS($G:$G, $H:$H, K$2, $B:$B, IF($J114&lt;&gt;"", TEXT($J114, "MMMM"), ""), $C:$C, YEAR($J114))</f>
        <v>0</v>
      </c>
      <c r="L114" s="464">
        <f t="shared" si="72"/>
        <v>0</v>
      </c>
      <c r="M114" s="464">
        <f t="shared" si="72"/>
        <v>0</v>
      </c>
      <c r="N114" s="464">
        <f t="shared" si="72"/>
        <v>0</v>
      </c>
      <c r="O114" s="465">
        <f t="shared" si="72"/>
        <v>0</v>
      </c>
      <c r="P114" s="414"/>
      <c r="Q114" s="414"/>
      <c r="R114" s="414"/>
      <c r="V114" s="428"/>
      <c r="W114" s="463">
        <v>47209.0</v>
      </c>
      <c r="X114" s="464">
        <f>SUMIFS(Income!$G:$G,Income!$H:$H, X$2,Income!$F:$F, $V$1, Income!$B:$B, IF($W114&lt;&gt;"", TEXT($W114, "MMMM"), ""), Income!$C:$C, YEAR($W114))</f>
        <v>0</v>
      </c>
      <c r="Y114" s="464">
        <f>SUMIFS(Income!$G:$G,Income!$H:$H, Y$2,Income!$F:$F, $V$1, Income!$B:$B, IF($W114&lt;&gt;"", TEXT($W114, "MMMM"), ""), Income!$C:$C, YEAR($W114))</f>
        <v>0</v>
      </c>
      <c r="Z114" s="464">
        <f>SUMIFS(Income!$G:$G,Income!$H:$H, Z$2,Income!$F:$F, $V$1, Income!$B:$B, IF($W114&lt;&gt;"", TEXT($W114, "MMMM"), ""), Income!$C:$C, YEAR($W114))</f>
        <v>0</v>
      </c>
      <c r="AA114" s="464">
        <f>SUMIFS(Income!$G:$G,Income!$H:$H, AA$2,Income!$F:$F, $V$1, Income!$B:$B, IF($W114&lt;&gt;"", TEXT($W114, "MMMM"), ""), Income!$C:$C, YEAR($W114))</f>
        <v>0</v>
      </c>
      <c r="AB114" s="464">
        <f>SUMIFS(Income!$G:$G,Income!$H:$H, AB$2,Income!$F:$F, $V$1, Income!$B:$B, IF($W114&lt;&gt;"", TEXT($W114, "MMMM"), ""), Income!$C:$C, YEAR($W114))</f>
        <v>0</v>
      </c>
      <c r="AC114" s="467">
        <f>SUMIFS(Income!$G:$G,Income!$H:$H, AC$2,Income!$F:$F, $V$1, Income!$B:$B, IF($W114&lt;&gt;"", TEXT($W114, "MMMM"), ""), Income!$C:$C, YEAR($W114))</f>
        <v>0</v>
      </c>
      <c r="AD114" s="428"/>
      <c r="AE114" s="463">
        <v>47209.0</v>
      </c>
      <c r="AF114" s="464">
        <f>SUMIFS(Income!$G:$G,Income!$H:$H, AF$2,Income!$F:$F, $AD$1, Income!$B:$B, IF($AE114&lt;&gt;"", TEXT($AE114, "MMMM"), ""), Income!$C:$C, YEAR($AE114))</f>
        <v>0</v>
      </c>
      <c r="AG114" s="464">
        <f>SUMIFS(Income!$G:$G,Income!$H:$H, AG$2,Income!$F:$F, $AD$1, Income!$B:$B, IF($AE114&lt;&gt;"", TEXT($AE114, "MMMM"), ""), Income!$C:$C, YEAR($AE114))</f>
        <v>0</v>
      </c>
      <c r="AH114" s="464">
        <f>SUMIFS(Income!$G:$G,Income!$H:$H, AH$2,Income!$F:$F, $AD$1, Income!$B:$B, IF($AE114&lt;&gt;"", TEXT($AE114, "MMMM"), ""), Income!$C:$C, YEAR($AE114))</f>
        <v>0</v>
      </c>
      <c r="AI114" s="464">
        <f>SUMIFS(Income!$G:$G,Income!$H:$H, AI$2,Income!$F:$F, $AD$1, Income!$B:$B, IF($AE114&lt;&gt;"", TEXT($AE114, "MMMM"), ""), Income!$C:$C, YEAR($AE114))</f>
        <v>0</v>
      </c>
      <c r="AJ114" s="464">
        <f>SUMIFS(Income!$G:$G,Income!$H:$H, AJ$2,Income!$F:$F, $AD$1, Income!$B:$B, IF($AE114&lt;&gt;"", TEXT($AE114, "MMMM"), ""), Income!$C:$C, YEAR($AE114))</f>
        <v>0</v>
      </c>
      <c r="AK114" s="467">
        <f>SUMIFS(Income!$G:$G,Income!$H:$H, AK$2,Income!$F:$F, $AD$1, Income!$B:$B, IF($AE114&lt;&gt;"", TEXT($AE114, "MMMM"), ""), Income!$C:$C, YEAR($AE114))</f>
        <v>0</v>
      </c>
      <c r="AL114" s="428"/>
      <c r="AM114" s="463">
        <v>47209.0</v>
      </c>
      <c r="AN114" s="464">
        <f>SUMIFS(Income!$G:$G,Income!$H:$H, AN$2,Income!$F:$F, $AL$1, Income!$B:$B, IF($AM114&lt;&gt;"", TEXT($AM114, "MMMM"), ""), Income!$C:$C, YEAR($AM114))+SUMIFS($T:$T, $U:$U,AN$2,$Q:$Q,IF($AM114&lt;&gt;"", TEXT($AM114, "MMMM"), ""),$R:$R,YEAR($AM114))</f>
        <v>0</v>
      </c>
      <c r="AO114" s="464">
        <f>SUMIFS(Income!$G:$G,Income!$H:$H, AO$2,Income!$F:$F, $AL$1, Income!$B:$B, IF($AM114&lt;&gt;"", TEXT($AM114, "MMMM"), ""), Income!$C:$C, YEAR($AM114))+SUMIFS($T:$T, $U:$U,AO$2,$Q:$Q,IF($AM114&lt;&gt;"", TEXT($AM114, "MMMM"), ""),$R:$R,YEAR($AM114))</f>
        <v>0</v>
      </c>
      <c r="AP114" s="464">
        <f>SUMIFS(Income!$G:$G,Income!$H:$H, AP$2,Income!$F:$F, $AL$1, Income!$B:$B, IF($AM114&lt;&gt;"", TEXT($AM114, "MMMM"), ""), Income!$C:$C, YEAR($AM114))+SUMIFS($T:$T, $U:$U,AP$2,$Q:$Q,IF($AM114&lt;&gt;"", TEXT($AM114, "MMMM"), ""),$R:$R,YEAR($AM114))</f>
        <v>0</v>
      </c>
      <c r="AQ114" s="464">
        <f>SUMIFS(Income!$G:$G,Income!$H:$H, AQ$2,Income!$F:$F, $AL$1, Income!$B:$B, IF($AM114&lt;&gt;"", TEXT($AM114, "MMMM"), ""), Income!$C:$C, YEAR($AM114))+SUMIFS($T:$T, $U:$U,AQ$2,$Q:$Q,IF($AM114&lt;&gt;"", TEXT($AM114, "MMMM"), ""),$R:$R,YEAR($AM114))</f>
        <v>0</v>
      </c>
      <c r="AR114" s="464">
        <f>SUMIFS(Income!$G:$G,Income!$H:$H, AR$2,Income!$F:$F, $AL$1, Income!$B:$B, IF($AM114&lt;&gt;"", TEXT($AM114, "MMMM"), ""), Income!$C:$C, YEAR($AM114))+SUMIFS($T:$T, $U:$U,AR$2,$Q:$Q,IF($AM114&lt;&gt;"", TEXT($AM114, "MMMM"), ""),$R:$R,YEAR($AM114))</f>
        <v>0</v>
      </c>
      <c r="AS114" s="467">
        <f>SUMIFS(Income!$G:$G,Income!$H:$H, AS$2,Income!$F:$F, $AL$1, Income!$B:$B, IF($AM114&lt;&gt;"", TEXT($AM114, "MMMM"), ""), Income!$C:$C, YEAR($AM114))+SUMIFS($T:$T, $U:$U,AS$2,$Q:$Q,IF($AM114&lt;&gt;"", TEXT($AM114, "MMMM"), ""),$R:$R,YEAR($AM114))</f>
        <v>0</v>
      </c>
      <c r="AT114" s="428"/>
      <c r="AU114" s="463">
        <v>47209.0</v>
      </c>
      <c r="AV114" s="464">
        <f>SUMIFS(Income!$G:$G,Income!$H:$H, AV$2,Income!$F:$F, $AT$1, Income!$B:$B, IF($AU114&lt;&gt;"", TEXT($AU114, "MMMM"), ""), Income!$C:$C, YEAR($AU114))</f>
        <v>0</v>
      </c>
      <c r="AW114" s="464">
        <f>SUMIFS(Income!$G:$G,Income!$H:$H, AW$2,Income!$F:$F, $AT$1, Income!$B:$B, IF($AU114&lt;&gt;"", TEXT($AU114, "MMMM"), ""), Income!$C:$C, YEAR($AU114))</f>
        <v>0</v>
      </c>
      <c r="AX114" s="464">
        <f>SUMIFS(Income!$G:$G,Income!$H:$H, AX$2,Income!$F:$F, $AT$1, Income!$B:$B, IF($AU114&lt;&gt;"", TEXT($AU114, "MMMM"), ""), Income!$C:$C, YEAR($AU114))</f>
        <v>0</v>
      </c>
      <c r="AY114" s="464">
        <f>SUMIFS(Income!$G:$G,Income!$H:$H, AY$2,Income!$F:$F, $AT$1, Income!$B:$B, IF($AU114&lt;&gt;"", TEXT($AU114, "MMMM"), ""), Income!$C:$C, YEAR($AU114))</f>
        <v>0</v>
      </c>
      <c r="AZ114" s="464">
        <f>SUMIFS(Income!$G:$G,Income!$H:$H, AZ$2,Income!$F:$F, $AT$1, Income!$B:$B, IF($AU114&lt;&gt;"", TEXT($AU114, "MMMM"), ""), Income!$C:$C, YEAR($AU114))</f>
        <v>0</v>
      </c>
      <c r="BA114" s="468">
        <f>SUMIFS(Income!$G:$G,Income!$H:$H, BA$2,Income!$F:$F, $AT$1, Income!$B:$B, IF($AU114&lt;&gt;"", TEXT($AU114, "MMMM"), ""), Income!$C:$C, YEAR($AU114))</f>
        <v>0</v>
      </c>
      <c r="BB114" s="345"/>
      <c r="BC114" s="345"/>
      <c r="BD114" s="345"/>
      <c r="BE114" s="345"/>
    </row>
    <row r="115" ht="13.5" customHeight="1">
      <c r="A115" s="436">
        <f>'Membership Application List'!A344</f>
        <v>45525.79143</v>
      </c>
      <c r="B115" s="437" t="str">
        <f t="shared" si="6"/>
        <v>August</v>
      </c>
      <c r="C115" s="437">
        <f t="shared" si="7"/>
        <v>2024</v>
      </c>
      <c r="D115" s="438" t="str">
        <f>'Membership Application List'!E344</f>
        <v>Samantha Crumpler</v>
      </c>
      <c r="E115" s="438">
        <f>IF('Membership Application List'!J344 = "Food/Litter Donation", 0, IF('Membership Application List'!J344 = "$15 Donation, Discord Verification", IF('Membership Application List'!N344 = TRUE, 15, 0)))</f>
        <v>0</v>
      </c>
      <c r="F115" s="438">
        <f>if('Membership Application List'!K344=TRUE, 5,0)</f>
        <v>0</v>
      </c>
      <c r="G115" s="438">
        <f t="shared" si="8"/>
        <v>0</v>
      </c>
      <c r="H115" s="439" t="str">
        <f>'Membership Application List'!L344</f>
        <v>Cashapp</v>
      </c>
      <c r="I115" s="428"/>
      <c r="J115" s="463">
        <v>47239.0</v>
      </c>
      <c r="K115" s="464">
        <f t="shared" ref="K115:O115" si="73">SUMIFS($G:$G, $H:$H, K$2, $B:$B, IF($J115&lt;&gt;"", TEXT($J115, "MMMM"), ""), $C:$C, YEAR($J115))</f>
        <v>0</v>
      </c>
      <c r="L115" s="464">
        <f t="shared" si="73"/>
        <v>0</v>
      </c>
      <c r="M115" s="464">
        <f t="shared" si="73"/>
        <v>0</v>
      </c>
      <c r="N115" s="464">
        <f t="shared" si="73"/>
        <v>0</v>
      </c>
      <c r="O115" s="465">
        <f t="shared" si="73"/>
        <v>0</v>
      </c>
      <c r="P115" s="414"/>
      <c r="Q115" s="414"/>
      <c r="R115" s="414"/>
      <c r="V115" s="428"/>
      <c r="W115" s="463">
        <v>47239.0</v>
      </c>
      <c r="X115" s="464">
        <f>SUMIFS(Income!$G:$G,Income!$H:$H, X$2,Income!$F:$F, $V$1, Income!$B:$B, IF($W115&lt;&gt;"", TEXT($W115, "MMMM"), ""), Income!$C:$C, YEAR($W115))</f>
        <v>0</v>
      </c>
      <c r="Y115" s="464">
        <f>SUMIFS(Income!$G:$G,Income!$H:$H, Y$2,Income!$F:$F, $V$1, Income!$B:$B, IF($W115&lt;&gt;"", TEXT($W115, "MMMM"), ""), Income!$C:$C, YEAR($W115))</f>
        <v>0</v>
      </c>
      <c r="Z115" s="464">
        <f>SUMIFS(Income!$G:$G,Income!$H:$H, Z$2,Income!$F:$F, $V$1, Income!$B:$B, IF($W115&lt;&gt;"", TEXT($W115, "MMMM"), ""), Income!$C:$C, YEAR($W115))</f>
        <v>0</v>
      </c>
      <c r="AA115" s="464">
        <f>SUMIFS(Income!$G:$G,Income!$H:$H, AA$2,Income!$F:$F, $V$1, Income!$B:$B, IF($W115&lt;&gt;"", TEXT($W115, "MMMM"), ""), Income!$C:$C, YEAR($W115))</f>
        <v>0</v>
      </c>
      <c r="AB115" s="464">
        <f>SUMIFS(Income!$G:$G,Income!$H:$H, AB$2,Income!$F:$F, $V$1, Income!$B:$B, IF($W115&lt;&gt;"", TEXT($W115, "MMMM"), ""), Income!$C:$C, YEAR($W115))</f>
        <v>0</v>
      </c>
      <c r="AC115" s="467">
        <f>SUMIFS(Income!$G:$G,Income!$H:$H, AC$2,Income!$F:$F, $V$1, Income!$B:$B, IF($W115&lt;&gt;"", TEXT($W115, "MMMM"), ""), Income!$C:$C, YEAR($W115))</f>
        <v>0</v>
      </c>
      <c r="AD115" s="428"/>
      <c r="AE115" s="463">
        <v>47239.0</v>
      </c>
      <c r="AF115" s="464">
        <f>SUMIFS(Income!$G:$G,Income!$H:$H, AF$2,Income!$F:$F, $AD$1, Income!$B:$B, IF($AE115&lt;&gt;"", TEXT($AE115, "MMMM"), ""), Income!$C:$C, YEAR($AE115))</f>
        <v>0</v>
      </c>
      <c r="AG115" s="464">
        <f>SUMIFS(Income!$G:$G,Income!$H:$H, AG$2,Income!$F:$F, $AD$1, Income!$B:$B, IF($AE115&lt;&gt;"", TEXT($AE115, "MMMM"), ""), Income!$C:$C, YEAR($AE115))</f>
        <v>0</v>
      </c>
      <c r="AH115" s="464">
        <f>SUMIFS(Income!$G:$G,Income!$H:$H, AH$2,Income!$F:$F, $AD$1, Income!$B:$B, IF($AE115&lt;&gt;"", TEXT($AE115, "MMMM"), ""), Income!$C:$C, YEAR($AE115))</f>
        <v>0</v>
      </c>
      <c r="AI115" s="464">
        <f>SUMIFS(Income!$G:$G,Income!$H:$H, AI$2,Income!$F:$F, $AD$1, Income!$B:$B, IF($AE115&lt;&gt;"", TEXT($AE115, "MMMM"), ""), Income!$C:$C, YEAR($AE115))</f>
        <v>0</v>
      </c>
      <c r="AJ115" s="464">
        <f>SUMIFS(Income!$G:$G,Income!$H:$H, AJ$2,Income!$F:$F, $AD$1, Income!$B:$B, IF($AE115&lt;&gt;"", TEXT($AE115, "MMMM"), ""), Income!$C:$C, YEAR($AE115))</f>
        <v>0</v>
      </c>
      <c r="AK115" s="467">
        <f>SUMIFS(Income!$G:$G,Income!$H:$H, AK$2,Income!$F:$F, $AD$1, Income!$B:$B, IF($AE115&lt;&gt;"", TEXT($AE115, "MMMM"), ""), Income!$C:$C, YEAR($AE115))</f>
        <v>0</v>
      </c>
      <c r="AL115" s="428"/>
      <c r="AM115" s="463">
        <v>47239.0</v>
      </c>
      <c r="AN115" s="464">
        <f>SUMIFS(Income!$G:$G,Income!$H:$H, AN$2,Income!$F:$F, $AL$1, Income!$B:$B, IF($AM115&lt;&gt;"", TEXT($AM115, "MMMM"), ""), Income!$C:$C, YEAR($AM115))+SUMIFS($T:$T, $U:$U,AN$2,$Q:$Q,IF($AM115&lt;&gt;"", TEXT($AM115, "MMMM"), ""),$R:$R,YEAR($AM115))</f>
        <v>0</v>
      </c>
      <c r="AO115" s="464">
        <f>SUMIFS(Income!$G:$G,Income!$H:$H, AO$2,Income!$F:$F, $AL$1, Income!$B:$B, IF($AM115&lt;&gt;"", TEXT($AM115, "MMMM"), ""), Income!$C:$C, YEAR($AM115))+SUMIFS($T:$T, $U:$U,AO$2,$Q:$Q,IF($AM115&lt;&gt;"", TEXT($AM115, "MMMM"), ""),$R:$R,YEAR($AM115))</f>
        <v>0</v>
      </c>
      <c r="AP115" s="464">
        <f>SUMIFS(Income!$G:$G,Income!$H:$H, AP$2,Income!$F:$F, $AL$1, Income!$B:$B, IF($AM115&lt;&gt;"", TEXT($AM115, "MMMM"), ""), Income!$C:$C, YEAR($AM115))+SUMIFS($T:$T, $U:$U,AP$2,$Q:$Q,IF($AM115&lt;&gt;"", TEXT($AM115, "MMMM"), ""),$R:$R,YEAR($AM115))</f>
        <v>0</v>
      </c>
      <c r="AQ115" s="464">
        <f>SUMIFS(Income!$G:$G,Income!$H:$H, AQ$2,Income!$F:$F, $AL$1, Income!$B:$B, IF($AM115&lt;&gt;"", TEXT($AM115, "MMMM"), ""), Income!$C:$C, YEAR($AM115))+SUMIFS($T:$T, $U:$U,AQ$2,$Q:$Q,IF($AM115&lt;&gt;"", TEXT($AM115, "MMMM"), ""),$R:$R,YEAR($AM115))</f>
        <v>0</v>
      </c>
      <c r="AR115" s="464">
        <f>SUMIFS(Income!$G:$G,Income!$H:$H, AR$2,Income!$F:$F, $AL$1, Income!$B:$B, IF($AM115&lt;&gt;"", TEXT($AM115, "MMMM"), ""), Income!$C:$C, YEAR($AM115))+SUMIFS($T:$T, $U:$U,AR$2,$Q:$Q,IF($AM115&lt;&gt;"", TEXT($AM115, "MMMM"), ""),$R:$R,YEAR($AM115))</f>
        <v>0</v>
      </c>
      <c r="AS115" s="467">
        <f>SUMIFS(Income!$G:$G,Income!$H:$H, AS$2,Income!$F:$F, $AL$1, Income!$B:$B, IF($AM115&lt;&gt;"", TEXT($AM115, "MMMM"), ""), Income!$C:$C, YEAR($AM115))+SUMIFS($T:$T, $U:$U,AS$2,$Q:$Q,IF($AM115&lt;&gt;"", TEXT($AM115, "MMMM"), ""),$R:$R,YEAR($AM115))</f>
        <v>0</v>
      </c>
      <c r="AT115" s="428"/>
      <c r="AU115" s="463">
        <v>47239.0</v>
      </c>
      <c r="AV115" s="464">
        <f>SUMIFS(Income!$G:$G,Income!$H:$H, AV$2,Income!$F:$F, $AT$1, Income!$B:$B, IF($AU115&lt;&gt;"", TEXT($AU115, "MMMM"), ""), Income!$C:$C, YEAR($AU115))</f>
        <v>0</v>
      </c>
      <c r="AW115" s="464">
        <f>SUMIFS(Income!$G:$G,Income!$H:$H, AW$2,Income!$F:$F, $AT$1, Income!$B:$B, IF($AU115&lt;&gt;"", TEXT($AU115, "MMMM"), ""), Income!$C:$C, YEAR($AU115))</f>
        <v>0</v>
      </c>
      <c r="AX115" s="464">
        <f>SUMIFS(Income!$G:$G,Income!$H:$H, AX$2,Income!$F:$F, $AT$1, Income!$B:$B, IF($AU115&lt;&gt;"", TEXT($AU115, "MMMM"), ""), Income!$C:$C, YEAR($AU115))</f>
        <v>0</v>
      </c>
      <c r="AY115" s="464">
        <f>SUMIFS(Income!$G:$G,Income!$H:$H, AY$2,Income!$F:$F, $AT$1, Income!$B:$B, IF($AU115&lt;&gt;"", TEXT($AU115, "MMMM"), ""), Income!$C:$C, YEAR($AU115))</f>
        <v>0</v>
      </c>
      <c r="AZ115" s="464">
        <f>SUMIFS(Income!$G:$G,Income!$H:$H, AZ$2,Income!$F:$F, $AT$1, Income!$B:$B, IF($AU115&lt;&gt;"", TEXT($AU115, "MMMM"), ""), Income!$C:$C, YEAR($AU115))</f>
        <v>0</v>
      </c>
      <c r="BA115" s="468">
        <f>SUMIFS(Income!$G:$G,Income!$H:$H, BA$2,Income!$F:$F, $AT$1, Income!$B:$B, IF($AU115&lt;&gt;"", TEXT($AU115, "MMMM"), ""), Income!$C:$C, YEAR($AU115))</f>
        <v>0</v>
      </c>
      <c r="BB115" s="345"/>
      <c r="BC115" s="345"/>
      <c r="BD115" s="345"/>
      <c r="BE115" s="345"/>
    </row>
    <row r="116" ht="13.5" customHeight="1">
      <c r="A116" s="424">
        <f>'Membership Application List'!A345</f>
        <v>45526.5779</v>
      </c>
      <c r="B116" s="443" t="str">
        <f t="shared" si="6"/>
        <v>August</v>
      </c>
      <c r="C116" s="443">
        <f t="shared" si="7"/>
        <v>2024</v>
      </c>
      <c r="D116" s="426" t="str">
        <f>'Membership Application List'!E345</f>
        <v>Luisa Santa-Maria</v>
      </c>
      <c r="E116" s="426">
        <f>IF('Membership Application List'!J345 = "Food/Litter Donation", 0, IF('Membership Application List'!J345 = "$15 Donation, Discord Verification", IF('Membership Application List'!N345 = TRUE, 15, 0)))</f>
        <v>15</v>
      </c>
      <c r="F116" s="426">
        <f>if('Membership Application List'!K345=TRUE, 5,0)</f>
        <v>0</v>
      </c>
      <c r="G116" s="426">
        <f t="shared" si="8"/>
        <v>15</v>
      </c>
      <c r="H116" s="427" t="str">
        <f>'Membership Application List'!L345</f>
        <v>Cashapp</v>
      </c>
      <c r="I116" s="447" t="s">
        <v>787</v>
      </c>
      <c r="J116" s="463">
        <v>47270.0</v>
      </c>
      <c r="K116" s="464">
        <f t="shared" ref="K116:O116" si="74">SUMIFS($G:$G, $H:$H, K$2, $B:$B, IF($J116&lt;&gt;"", TEXT($J116, "MMMM"), ""), $C:$C, YEAR($J116))</f>
        <v>0</v>
      </c>
      <c r="L116" s="464">
        <f t="shared" si="74"/>
        <v>0</v>
      </c>
      <c r="M116" s="464">
        <f t="shared" si="74"/>
        <v>0</v>
      </c>
      <c r="N116" s="464">
        <f t="shared" si="74"/>
        <v>0</v>
      </c>
      <c r="O116" s="465">
        <f t="shared" si="74"/>
        <v>0</v>
      </c>
      <c r="P116" s="414"/>
      <c r="Q116" s="414"/>
      <c r="R116" s="414"/>
      <c r="V116" s="447" t="s">
        <v>787</v>
      </c>
      <c r="W116" s="463">
        <v>47270.0</v>
      </c>
      <c r="X116" s="464">
        <f>SUMIFS(Income!$G:$G,Income!$H:$H, X$2,Income!$F:$F, $V$1, Income!$B:$B, IF($W116&lt;&gt;"", TEXT($W116, "MMMM"), ""), Income!$C:$C, YEAR($W116))</f>
        <v>0</v>
      </c>
      <c r="Y116" s="464">
        <f>SUMIFS(Income!$G:$G,Income!$H:$H, Y$2,Income!$F:$F, $V$1, Income!$B:$B, IF($W116&lt;&gt;"", TEXT($W116, "MMMM"), ""), Income!$C:$C, YEAR($W116))</f>
        <v>0</v>
      </c>
      <c r="Z116" s="464">
        <f>SUMIFS(Income!$G:$G,Income!$H:$H, Z$2,Income!$F:$F, $V$1, Income!$B:$B, IF($W116&lt;&gt;"", TEXT($W116, "MMMM"), ""), Income!$C:$C, YEAR($W116))</f>
        <v>0</v>
      </c>
      <c r="AA116" s="464">
        <f>SUMIFS(Income!$G:$G,Income!$H:$H, AA$2,Income!$F:$F, $V$1, Income!$B:$B, IF($W116&lt;&gt;"", TEXT($W116, "MMMM"), ""), Income!$C:$C, YEAR($W116))</f>
        <v>0</v>
      </c>
      <c r="AB116" s="464">
        <f>SUMIFS(Income!$G:$G,Income!$H:$H, AB$2,Income!$F:$F, $V$1, Income!$B:$B, IF($W116&lt;&gt;"", TEXT($W116, "MMMM"), ""), Income!$C:$C, YEAR($W116))</f>
        <v>0</v>
      </c>
      <c r="AC116" s="467">
        <f>SUMIFS(Income!$G:$G,Income!$H:$H, AC$2,Income!$F:$F, $V$1, Income!$B:$B, IF($W116&lt;&gt;"", TEXT($W116, "MMMM"), ""), Income!$C:$C, YEAR($W116))</f>
        <v>0</v>
      </c>
      <c r="AD116" s="447" t="s">
        <v>787</v>
      </c>
      <c r="AE116" s="463">
        <v>47270.0</v>
      </c>
      <c r="AF116" s="464">
        <f>SUMIFS(Income!$G:$G,Income!$H:$H, AF$2,Income!$F:$F, $AD$1, Income!$B:$B, IF($AE116&lt;&gt;"", TEXT($AE116, "MMMM"), ""), Income!$C:$C, YEAR($AE116))</f>
        <v>0</v>
      </c>
      <c r="AG116" s="464">
        <f>SUMIFS(Income!$G:$G,Income!$H:$H, AG$2,Income!$F:$F, $AD$1, Income!$B:$B, IF($AE116&lt;&gt;"", TEXT($AE116, "MMMM"), ""), Income!$C:$C, YEAR($AE116))</f>
        <v>0</v>
      </c>
      <c r="AH116" s="464">
        <f>SUMIFS(Income!$G:$G,Income!$H:$H, AH$2,Income!$F:$F, $AD$1, Income!$B:$B, IF($AE116&lt;&gt;"", TEXT($AE116, "MMMM"), ""), Income!$C:$C, YEAR($AE116))</f>
        <v>0</v>
      </c>
      <c r="AI116" s="464">
        <f>SUMIFS(Income!$G:$G,Income!$H:$H, AI$2,Income!$F:$F, $AD$1, Income!$B:$B, IF($AE116&lt;&gt;"", TEXT($AE116, "MMMM"), ""), Income!$C:$C, YEAR($AE116))</f>
        <v>0</v>
      </c>
      <c r="AJ116" s="464">
        <f>SUMIFS(Income!$G:$G,Income!$H:$H, AJ$2,Income!$F:$F, $AD$1, Income!$B:$B, IF($AE116&lt;&gt;"", TEXT($AE116, "MMMM"), ""), Income!$C:$C, YEAR($AE116))</f>
        <v>0</v>
      </c>
      <c r="AK116" s="467">
        <f>SUMIFS(Income!$G:$G,Income!$H:$H, AK$2,Income!$F:$F, $AD$1, Income!$B:$B, IF($AE116&lt;&gt;"", TEXT($AE116, "MMMM"), ""), Income!$C:$C, YEAR($AE116))</f>
        <v>0</v>
      </c>
      <c r="AL116" s="447" t="s">
        <v>787</v>
      </c>
      <c r="AM116" s="463">
        <v>47270.0</v>
      </c>
      <c r="AN116" s="464">
        <f>SUMIFS(Income!$G:$G,Income!$H:$H, AN$2,Income!$F:$F, $AL$1, Income!$B:$B, IF($AM116&lt;&gt;"", TEXT($AM116, "MMMM"), ""), Income!$C:$C, YEAR($AM116))+SUMIFS($T:$T, $U:$U,AN$2,$Q:$Q,IF($AM116&lt;&gt;"", TEXT($AM116, "MMMM"), ""),$R:$R,YEAR($AM116))</f>
        <v>0</v>
      </c>
      <c r="AO116" s="464">
        <f>SUMIFS(Income!$G:$G,Income!$H:$H, AO$2,Income!$F:$F, $AL$1, Income!$B:$B, IF($AM116&lt;&gt;"", TEXT($AM116, "MMMM"), ""), Income!$C:$C, YEAR($AM116))+SUMIFS($T:$T, $U:$U,AO$2,$Q:$Q,IF($AM116&lt;&gt;"", TEXT($AM116, "MMMM"), ""),$R:$R,YEAR($AM116))</f>
        <v>0</v>
      </c>
      <c r="AP116" s="464">
        <f>SUMIFS(Income!$G:$G,Income!$H:$H, AP$2,Income!$F:$F, $AL$1, Income!$B:$B, IF($AM116&lt;&gt;"", TEXT($AM116, "MMMM"), ""), Income!$C:$C, YEAR($AM116))+SUMIFS($T:$T, $U:$U,AP$2,$Q:$Q,IF($AM116&lt;&gt;"", TEXT($AM116, "MMMM"), ""),$R:$R,YEAR($AM116))</f>
        <v>0</v>
      </c>
      <c r="AQ116" s="464">
        <f>SUMIFS(Income!$G:$G,Income!$H:$H, AQ$2,Income!$F:$F, $AL$1, Income!$B:$B, IF($AM116&lt;&gt;"", TEXT($AM116, "MMMM"), ""), Income!$C:$C, YEAR($AM116))+SUMIFS($T:$T, $U:$U,AQ$2,$Q:$Q,IF($AM116&lt;&gt;"", TEXT($AM116, "MMMM"), ""),$R:$R,YEAR($AM116))</f>
        <v>0</v>
      </c>
      <c r="AR116" s="464">
        <f>SUMIFS(Income!$G:$G,Income!$H:$H, AR$2,Income!$F:$F, $AL$1, Income!$B:$B, IF($AM116&lt;&gt;"", TEXT($AM116, "MMMM"), ""), Income!$C:$C, YEAR($AM116))+SUMIFS($T:$T, $U:$U,AR$2,$Q:$Q,IF($AM116&lt;&gt;"", TEXT($AM116, "MMMM"), ""),$R:$R,YEAR($AM116))</f>
        <v>0</v>
      </c>
      <c r="AS116" s="467">
        <f>SUMIFS(Income!$G:$G,Income!$H:$H, AS$2,Income!$F:$F, $AL$1, Income!$B:$B, IF($AM116&lt;&gt;"", TEXT($AM116, "MMMM"), ""), Income!$C:$C, YEAR($AM116))+SUMIFS($T:$T, $U:$U,AS$2,$Q:$Q,IF($AM116&lt;&gt;"", TEXT($AM116, "MMMM"), ""),$R:$R,YEAR($AM116))</f>
        <v>0</v>
      </c>
      <c r="AT116" s="447" t="s">
        <v>787</v>
      </c>
      <c r="AU116" s="463">
        <v>47270.0</v>
      </c>
      <c r="AV116" s="464">
        <f>SUMIFS(Income!$G:$G,Income!$H:$H, AV$2,Income!$F:$F, $AT$1, Income!$B:$B, IF($AU116&lt;&gt;"", TEXT($AU116, "MMMM"), ""), Income!$C:$C, YEAR($AU116))</f>
        <v>0</v>
      </c>
      <c r="AW116" s="464">
        <f>SUMIFS(Income!$G:$G,Income!$H:$H, AW$2,Income!$F:$F, $AT$1, Income!$B:$B, IF($AU116&lt;&gt;"", TEXT($AU116, "MMMM"), ""), Income!$C:$C, YEAR($AU116))</f>
        <v>0</v>
      </c>
      <c r="AX116" s="464">
        <f>SUMIFS(Income!$G:$G,Income!$H:$H, AX$2,Income!$F:$F, $AT$1, Income!$B:$B, IF($AU116&lt;&gt;"", TEXT($AU116, "MMMM"), ""), Income!$C:$C, YEAR($AU116))</f>
        <v>0</v>
      </c>
      <c r="AY116" s="464">
        <f>SUMIFS(Income!$G:$G,Income!$H:$H, AY$2,Income!$F:$F, $AT$1, Income!$B:$B, IF($AU116&lt;&gt;"", TEXT($AU116, "MMMM"), ""), Income!$C:$C, YEAR($AU116))</f>
        <v>0</v>
      </c>
      <c r="AZ116" s="464">
        <f>SUMIFS(Income!$G:$G,Income!$H:$H, AZ$2,Income!$F:$F, $AT$1, Income!$B:$B, IF($AU116&lt;&gt;"", TEXT($AU116, "MMMM"), ""), Income!$C:$C, YEAR($AU116))</f>
        <v>0</v>
      </c>
      <c r="BA116" s="468">
        <f>SUMIFS(Income!$G:$G,Income!$H:$H, BA$2,Income!$F:$F, $AT$1, Income!$B:$B, IF($AU116&lt;&gt;"", TEXT($AU116, "MMMM"), ""), Income!$C:$C, YEAR($AU116))</f>
        <v>0</v>
      </c>
      <c r="BB116" s="345"/>
      <c r="BC116" s="345"/>
      <c r="BD116" s="345"/>
      <c r="BE116" s="345"/>
    </row>
    <row r="117" ht="13.5" customHeight="1">
      <c r="A117" s="436">
        <f>'Membership Application List'!A346</f>
        <v>45526.6203</v>
      </c>
      <c r="B117" s="437" t="str">
        <f t="shared" si="6"/>
        <v>August</v>
      </c>
      <c r="C117" s="437">
        <f t="shared" si="7"/>
        <v>2024</v>
      </c>
      <c r="D117" s="438" t="str">
        <f>'Membership Application List'!E346</f>
        <v>Morgan Chivers</v>
      </c>
      <c r="E117" s="438">
        <f>IF('Membership Application List'!J346 = "Food/Litter Donation", 0, IF('Membership Application List'!J346 = "$15 Donation, Discord Verification", IF('Membership Application List'!N346 = TRUE, 15, 0)))</f>
        <v>0</v>
      </c>
      <c r="F117" s="438">
        <f>if('Membership Application List'!K346=TRUE, 5,0)</f>
        <v>0</v>
      </c>
      <c r="G117" s="438">
        <f t="shared" si="8"/>
        <v>0</v>
      </c>
      <c r="H117" s="439" t="str">
        <f>'Membership Application List'!L346</f>
        <v/>
      </c>
      <c r="I117" s="428"/>
      <c r="J117" s="463">
        <v>47300.0</v>
      </c>
      <c r="K117" s="464">
        <f t="shared" ref="K117:O117" si="75">SUMIFS($G:$G, $H:$H, K$2, $B:$B, IF($J117&lt;&gt;"", TEXT($J117, "MMMM"), ""), $C:$C, YEAR($J117))</f>
        <v>0</v>
      </c>
      <c r="L117" s="464">
        <f t="shared" si="75"/>
        <v>0</v>
      </c>
      <c r="M117" s="464">
        <f t="shared" si="75"/>
        <v>0</v>
      </c>
      <c r="N117" s="464">
        <f t="shared" si="75"/>
        <v>0</v>
      </c>
      <c r="O117" s="465">
        <f t="shared" si="75"/>
        <v>0</v>
      </c>
      <c r="P117" s="414"/>
      <c r="Q117" s="414"/>
      <c r="R117" s="414"/>
      <c r="V117" s="428"/>
      <c r="W117" s="463">
        <v>47300.0</v>
      </c>
      <c r="X117" s="464">
        <f>SUMIFS(Income!$G:$G,Income!$H:$H, X$2,Income!$F:$F, $V$1, Income!$B:$B, IF($W117&lt;&gt;"", TEXT($W117, "MMMM"), ""), Income!$C:$C, YEAR($W117))</f>
        <v>0</v>
      </c>
      <c r="Y117" s="464">
        <f>SUMIFS(Income!$G:$G,Income!$H:$H, Y$2,Income!$F:$F, $V$1, Income!$B:$B, IF($W117&lt;&gt;"", TEXT($W117, "MMMM"), ""), Income!$C:$C, YEAR($W117))</f>
        <v>0</v>
      </c>
      <c r="Z117" s="464">
        <f>SUMIFS(Income!$G:$G,Income!$H:$H, Z$2,Income!$F:$F, $V$1, Income!$B:$B, IF($W117&lt;&gt;"", TEXT($W117, "MMMM"), ""), Income!$C:$C, YEAR($W117))</f>
        <v>0</v>
      </c>
      <c r="AA117" s="464">
        <f>SUMIFS(Income!$G:$G,Income!$H:$H, AA$2,Income!$F:$F, $V$1, Income!$B:$B, IF($W117&lt;&gt;"", TEXT($W117, "MMMM"), ""), Income!$C:$C, YEAR($W117))</f>
        <v>0</v>
      </c>
      <c r="AB117" s="464">
        <f>SUMIFS(Income!$G:$G,Income!$H:$H, AB$2,Income!$F:$F, $V$1, Income!$B:$B, IF($W117&lt;&gt;"", TEXT($W117, "MMMM"), ""), Income!$C:$C, YEAR($W117))</f>
        <v>0</v>
      </c>
      <c r="AC117" s="467">
        <f>SUMIFS(Income!$G:$G,Income!$H:$H, AC$2,Income!$F:$F, $V$1, Income!$B:$B, IF($W117&lt;&gt;"", TEXT($W117, "MMMM"), ""), Income!$C:$C, YEAR($W117))</f>
        <v>0</v>
      </c>
      <c r="AD117" s="428"/>
      <c r="AE117" s="463">
        <v>47300.0</v>
      </c>
      <c r="AF117" s="464">
        <f>SUMIFS(Income!$G:$G,Income!$H:$H, AF$2,Income!$F:$F, $AD$1, Income!$B:$B, IF($AE117&lt;&gt;"", TEXT($AE117, "MMMM"), ""), Income!$C:$C, YEAR($AE117))</f>
        <v>0</v>
      </c>
      <c r="AG117" s="464">
        <f>SUMIFS(Income!$G:$G,Income!$H:$H, AG$2,Income!$F:$F, $AD$1, Income!$B:$B, IF($AE117&lt;&gt;"", TEXT($AE117, "MMMM"), ""), Income!$C:$C, YEAR($AE117))</f>
        <v>0</v>
      </c>
      <c r="AH117" s="464">
        <f>SUMIFS(Income!$G:$G,Income!$H:$H, AH$2,Income!$F:$F, $AD$1, Income!$B:$B, IF($AE117&lt;&gt;"", TEXT($AE117, "MMMM"), ""), Income!$C:$C, YEAR($AE117))</f>
        <v>0</v>
      </c>
      <c r="AI117" s="464">
        <f>SUMIFS(Income!$G:$G,Income!$H:$H, AI$2,Income!$F:$F, $AD$1, Income!$B:$B, IF($AE117&lt;&gt;"", TEXT($AE117, "MMMM"), ""), Income!$C:$C, YEAR($AE117))</f>
        <v>0</v>
      </c>
      <c r="AJ117" s="464">
        <f>SUMIFS(Income!$G:$G,Income!$H:$H, AJ$2,Income!$F:$F, $AD$1, Income!$B:$B, IF($AE117&lt;&gt;"", TEXT($AE117, "MMMM"), ""), Income!$C:$C, YEAR($AE117))</f>
        <v>0</v>
      </c>
      <c r="AK117" s="467">
        <f>SUMIFS(Income!$G:$G,Income!$H:$H, AK$2,Income!$F:$F, $AD$1, Income!$B:$B, IF($AE117&lt;&gt;"", TEXT($AE117, "MMMM"), ""), Income!$C:$C, YEAR($AE117))</f>
        <v>0</v>
      </c>
      <c r="AL117" s="428"/>
      <c r="AM117" s="463">
        <v>47300.0</v>
      </c>
      <c r="AN117" s="464">
        <f>SUMIFS(Income!$G:$G,Income!$H:$H, AN$2,Income!$F:$F, $AL$1, Income!$B:$B, IF($AM117&lt;&gt;"", TEXT($AM117, "MMMM"), ""), Income!$C:$C, YEAR($AM117))+SUMIFS($T:$T, $U:$U,AN$2,$Q:$Q,IF($AM117&lt;&gt;"", TEXT($AM117, "MMMM"), ""),$R:$R,YEAR($AM117))</f>
        <v>0</v>
      </c>
      <c r="AO117" s="464">
        <f>SUMIFS(Income!$G:$G,Income!$H:$H, AO$2,Income!$F:$F, $AL$1, Income!$B:$B, IF($AM117&lt;&gt;"", TEXT($AM117, "MMMM"), ""), Income!$C:$C, YEAR($AM117))+SUMIFS($T:$T, $U:$U,AO$2,$Q:$Q,IF($AM117&lt;&gt;"", TEXT($AM117, "MMMM"), ""),$R:$R,YEAR($AM117))</f>
        <v>0</v>
      </c>
      <c r="AP117" s="464">
        <f>SUMIFS(Income!$G:$G,Income!$H:$H, AP$2,Income!$F:$F, $AL$1, Income!$B:$B, IF($AM117&lt;&gt;"", TEXT($AM117, "MMMM"), ""), Income!$C:$C, YEAR($AM117))+SUMIFS($T:$T, $U:$U,AP$2,$Q:$Q,IF($AM117&lt;&gt;"", TEXT($AM117, "MMMM"), ""),$R:$R,YEAR($AM117))</f>
        <v>0</v>
      </c>
      <c r="AQ117" s="464">
        <f>SUMIFS(Income!$G:$G,Income!$H:$H, AQ$2,Income!$F:$F, $AL$1, Income!$B:$B, IF($AM117&lt;&gt;"", TEXT($AM117, "MMMM"), ""), Income!$C:$C, YEAR($AM117))+SUMIFS($T:$T, $U:$U,AQ$2,$Q:$Q,IF($AM117&lt;&gt;"", TEXT($AM117, "MMMM"), ""),$R:$R,YEAR($AM117))</f>
        <v>0</v>
      </c>
      <c r="AR117" s="464">
        <f>SUMIFS(Income!$G:$G,Income!$H:$H, AR$2,Income!$F:$F, $AL$1, Income!$B:$B, IF($AM117&lt;&gt;"", TEXT($AM117, "MMMM"), ""), Income!$C:$C, YEAR($AM117))+SUMIFS($T:$T, $U:$U,AR$2,$Q:$Q,IF($AM117&lt;&gt;"", TEXT($AM117, "MMMM"), ""),$R:$R,YEAR($AM117))</f>
        <v>0</v>
      </c>
      <c r="AS117" s="467">
        <f>SUMIFS(Income!$G:$G,Income!$H:$H, AS$2,Income!$F:$F, $AL$1, Income!$B:$B, IF($AM117&lt;&gt;"", TEXT($AM117, "MMMM"), ""), Income!$C:$C, YEAR($AM117))+SUMIFS($T:$T, $U:$U,AS$2,$Q:$Q,IF($AM117&lt;&gt;"", TEXT($AM117, "MMMM"), ""),$R:$R,YEAR($AM117))</f>
        <v>0</v>
      </c>
      <c r="AT117" s="428"/>
      <c r="AU117" s="463">
        <v>47300.0</v>
      </c>
      <c r="AV117" s="464">
        <f>SUMIFS(Income!$G:$G,Income!$H:$H, AV$2,Income!$F:$F, $AT$1, Income!$B:$B, IF($AU117&lt;&gt;"", TEXT($AU117, "MMMM"), ""), Income!$C:$C, YEAR($AU117))</f>
        <v>0</v>
      </c>
      <c r="AW117" s="464">
        <f>SUMIFS(Income!$G:$G,Income!$H:$H, AW$2,Income!$F:$F, $AT$1, Income!$B:$B, IF($AU117&lt;&gt;"", TEXT($AU117, "MMMM"), ""), Income!$C:$C, YEAR($AU117))</f>
        <v>0</v>
      </c>
      <c r="AX117" s="464">
        <f>SUMIFS(Income!$G:$G,Income!$H:$H, AX$2,Income!$F:$F, $AT$1, Income!$B:$B, IF($AU117&lt;&gt;"", TEXT($AU117, "MMMM"), ""), Income!$C:$C, YEAR($AU117))</f>
        <v>0</v>
      </c>
      <c r="AY117" s="464">
        <f>SUMIFS(Income!$G:$G,Income!$H:$H, AY$2,Income!$F:$F, $AT$1, Income!$B:$B, IF($AU117&lt;&gt;"", TEXT($AU117, "MMMM"), ""), Income!$C:$C, YEAR($AU117))</f>
        <v>0</v>
      </c>
      <c r="AZ117" s="464">
        <f>SUMIFS(Income!$G:$G,Income!$H:$H, AZ$2,Income!$F:$F, $AT$1, Income!$B:$B, IF($AU117&lt;&gt;"", TEXT($AU117, "MMMM"), ""), Income!$C:$C, YEAR($AU117))</f>
        <v>0</v>
      </c>
      <c r="BA117" s="468">
        <f>SUMIFS(Income!$G:$G,Income!$H:$H, BA$2,Income!$F:$F, $AT$1, Income!$B:$B, IF($AU117&lt;&gt;"", TEXT($AU117, "MMMM"), ""), Income!$C:$C, YEAR($AU117))</f>
        <v>0</v>
      </c>
      <c r="BB117" s="345"/>
      <c r="BC117" s="345"/>
      <c r="BD117" s="345"/>
      <c r="BE117" s="345"/>
    </row>
    <row r="118" ht="13.5" customHeight="1">
      <c r="A118" s="424">
        <f>'Membership Application List'!A347</f>
        <v>45526.64159</v>
      </c>
      <c r="B118" s="443" t="str">
        <f t="shared" si="6"/>
        <v>August</v>
      </c>
      <c r="C118" s="443">
        <f t="shared" si="7"/>
        <v>2024</v>
      </c>
      <c r="D118" s="426" t="str">
        <f>'Membership Application List'!E347</f>
        <v>Cristal aguilera</v>
      </c>
      <c r="E118" s="426">
        <f>IF('Membership Application List'!J347 = "Food/Litter Donation", 0, IF('Membership Application List'!J347 = "$15 Donation, Discord Verification", IF('Membership Application List'!N347 = TRUE, 15, 0)))</f>
        <v>15</v>
      </c>
      <c r="F118" s="426">
        <f>if('Membership Application List'!K347=TRUE, 5,0)</f>
        <v>0</v>
      </c>
      <c r="G118" s="426">
        <f t="shared" si="8"/>
        <v>15</v>
      </c>
      <c r="H118" s="427" t="str">
        <f>'Membership Application List'!L347</f>
        <v>Cashapp</v>
      </c>
      <c r="I118" s="428"/>
      <c r="J118" s="463">
        <v>47331.0</v>
      </c>
      <c r="K118" s="464">
        <f t="shared" ref="K118:O118" si="76">SUMIFS($G:$G, $H:$H, K$2, $B:$B, IF($J118&lt;&gt;"", TEXT($J118, "MMMM"), ""), $C:$C, YEAR($J118))</f>
        <v>0</v>
      </c>
      <c r="L118" s="464">
        <f t="shared" si="76"/>
        <v>0</v>
      </c>
      <c r="M118" s="464">
        <f t="shared" si="76"/>
        <v>0</v>
      </c>
      <c r="N118" s="464">
        <f t="shared" si="76"/>
        <v>0</v>
      </c>
      <c r="O118" s="465">
        <f t="shared" si="76"/>
        <v>0</v>
      </c>
      <c r="P118" s="414"/>
      <c r="Q118" s="414"/>
      <c r="R118" s="414"/>
      <c r="V118" s="428"/>
      <c r="W118" s="463">
        <v>47331.0</v>
      </c>
      <c r="X118" s="464">
        <f>SUMIFS(Income!$G:$G,Income!$H:$H, X$2,Income!$F:$F, $V$1, Income!$B:$B, IF($W118&lt;&gt;"", TEXT($W118, "MMMM"), ""), Income!$C:$C, YEAR($W118))</f>
        <v>0</v>
      </c>
      <c r="Y118" s="464">
        <f>SUMIFS(Income!$G:$G,Income!$H:$H, Y$2,Income!$F:$F, $V$1, Income!$B:$B, IF($W118&lt;&gt;"", TEXT($W118, "MMMM"), ""), Income!$C:$C, YEAR($W118))</f>
        <v>0</v>
      </c>
      <c r="Z118" s="464">
        <f>SUMIFS(Income!$G:$G,Income!$H:$H, Z$2,Income!$F:$F, $V$1, Income!$B:$B, IF($W118&lt;&gt;"", TEXT($W118, "MMMM"), ""), Income!$C:$C, YEAR($W118))</f>
        <v>0</v>
      </c>
      <c r="AA118" s="464">
        <f>SUMIFS(Income!$G:$G,Income!$H:$H, AA$2,Income!$F:$F, $V$1, Income!$B:$B, IF($W118&lt;&gt;"", TEXT($W118, "MMMM"), ""), Income!$C:$C, YEAR($W118))</f>
        <v>0</v>
      </c>
      <c r="AB118" s="464">
        <f>SUMIFS(Income!$G:$G,Income!$H:$H, AB$2,Income!$F:$F, $V$1, Income!$B:$B, IF($W118&lt;&gt;"", TEXT($W118, "MMMM"), ""), Income!$C:$C, YEAR($W118))</f>
        <v>0</v>
      </c>
      <c r="AC118" s="467">
        <f>SUMIFS(Income!$G:$G,Income!$H:$H, AC$2,Income!$F:$F, $V$1, Income!$B:$B, IF($W118&lt;&gt;"", TEXT($W118, "MMMM"), ""), Income!$C:$C, YEAR($W118))</f>
        <v>0</v>
      </c>
      <c r="AD118" s="428"/>
      <c r="AE118" s="463">
        <v>47331.0</v>
      </c>
      <c r="AF118" s="464">
        <f>SUMIFS(Income!$G:$G,Income!$H:$H, AF$2,Income!$F:$F, $AD$1, Income!$B:$B, IF($AE118&lt;&gt;"", TEXT($AE118, "MMMM"), ""), Income!$C:$C, YEAR($AE118))</f>
        <v>0</v>
      </c>
      <c r="AG118" s="464">
        <f>SUMIFS(Income!$G:$G,Income!$H:$H, AG$2,Income!$F:$F, $AD$1, Income!$B:$B, IF($AE118&lt;&gt;"", TEXT($AE118, "MMMM"), ""), Income!$C:$C, YEAR($AE118))</f>
        <v>0</v>
      </c>
      <c r="AH118" s="464">
        <f>SUMIFS(Income!$G:$G,Income!$H:$H, AH$2,Income!$F:$F, $AD$1, Income!$B:$B, IF($AE118&lt;&gt;"", TEXT($AE118, "MMMM"), ""), Income!$C:$C, YEAR($AE118))</f>
        <v>0</v>
      </c>
      <c r="AI118" s="464">
        <f>SUMIFS(Income!$G:$G,Income!$H:$H, AI$2,Income!$F:$F, $AD$1, Income!$B:$B, IF($AE118&lt;&gt;"", TEXT($AE118, "MMMM"), ""), Income!$C:$C, YEAR($AE118))</f>
        <v>0</v>
      </c>
      <c r="AJ118" s="464">
        <f>SUMIFS(Income!$G:$G,Income!$H:$H, AJ$2,Income!$F:$F, $AD$1, Income!$B:$B, IF($AE118&lt;&gt;"", TEXT($AE118, "MMMM"), ""), Income!$C:$C, YEAR($AE118))</f>
        <v>0</v>
      </c>
      <c r="AK118" s="467">
        <f>SUMIFS(Income!$G:$G,Income!$H:$H, AK$2,Income!$F:$F, $AD$1, Income!$B:$B, IF($AE118&lt;&gt;"", TEXT($AE118, "MMMM"), ""), Income!$C:$C, YEAR($AE118))</f>
        <v>0</v>
      </c>
      <c r="AL118" s="428"/>
      <c r="AM118" s="463">
        <v>47331.0</v>
      </c>
      <c r="AN118" s="464">
        <f>SUMIFS(Income!$G:$G,Income!$H:$H, AN$2,Income!$F:$F, $AL$1, Income!$B:$B, IF($AM118&lt;&gt;"", TEXT($AM118, "MMMM"), ""), Income!$C:$C, YEAR($AM118))+SUMIFS($T:$T, $U:$U,AN$2,$Q:$Q,IF($AM118&lt;&gt;"", TEXT($AM118, "MMMM"), ""),$R:$R,YEAR($AM118))</f>
        <v>0</v>
      </c>
      <c r="AO118" s="464">
        <f>SUMIFS(Income!$G:$G,Income!$H:$H, AO$2,Income!$F:$F, $AL$1, Income!$B:$B, IF($AM118&lt;&gt;"", TEXT($AM118, "MMMM"), ""), Income!$C:$C, YEAR($AM118))+SUMIFS($T:$T, $U:$U,AO$2,$Q:$Q,IF($AM118&lt;&gt;"", TEXT($AM118, "MMMM"), ""),$R:$R,YEAR($AM118))</f>
        <v>0</v>
      </c>
      <c r="AP118" s="464">
        <f>SUMIFS(Income!$G:$G,Income!$H:$H, AP$2,Income!$F:$F, $AL$1, Income!$B:$B, IF($AM118&lt;&gt;"", TEXT($AM118, "MMMM"), ""), Income!$C:$C, YEAR($AM118))+SUMIFS($T:$T, $U:$U,AP$2,$Q:$Q,IF($AM118&lt;&gt;"", TEXT($AM118, "MMMM"), ""),$R:$R,YEAR($AM118))</f>
        <v>0</v>
      </c>
      <c r="AQ118" s="464">
        <f>SUMIFS(Income!$G:$G,Income!$H:$H, AQ$2,Income!$F:$F, $AL$1, Income!$B:$B, IF($AM118&lt;&gt;"", TEXT($AM118, "MMMM"), ""), Income!$C:$C, YEAR($AM118))+SUMIFS($T:$T, $U:$U,AQ$2,$Q:$Q,IF($AM118&lt;&gt;"", TEXT($AM118, "MMMM"), ""),$R:$R,YEAR($AM118))</f>
        <v>0</v>
      </c>
      <c r="AR118" s="464">
        <f>SUMIFS(Income!$G:$G,Income!$H:$H, AR$2,Income!$F:$F, $AL$1, Income!$B:$B, IF($AM118&lt;&gt;"", TEXT($AM118, "MMMM"), ""), Income!$C:$C, YEAR($AM118))+SUMIFS($T:$T, $U:$U,AR$2,$Q:$Q,IF($AM118&lt;&gt;"", TEXT($AM118, "MMMM"), ""),$R:$R,YEAR($AM118))</f>
        <v>0</v>
      </c>
      <c r="AS118" s="467">
        <f>SUMIFS(Income!$G:$G,Income!$H:$H, AS$2,Income!$F:$F, $AL$1, Income!$B:$B, IF($AM118&lt;&gt;"", TEXT($AM118, "MMMM"), ""), Income!$C:$C, YEAR($AM118))+SUMIFS($T:$T, $U:$U,AS$2,$Q:$Q,IF($AM118&lt;&gt;"", TEXT($AM118, "MMMM"), ""),$R:$R,YEAR($AM118))</f>
        <v>0</v>
      </c>
      <c r="AT118" s="428"/>
      <c r="AU118" s="463">
        <v>47331.0</v>
      </c>
      <c r="AV118" s="464">
        <f>SUMIFS(Income!$G:$G,Income!$H:$H, AV$2,Income!$F:$F, $AT$1, Income!$B:$B, IF($AU118&lt;&gt;"", TEXT($AU118, "MMMM"), ""), Income!$C:$C, YEAR($AU118))</f>
        <v>0</v>
      </c>
      <c r="AW118" s="464">
        <f>SUMIFS(Income!$G:$G,Income!$H:$H, AW$2,Income!$F:$F, $AT$1, Income!$B:$B, IF($AU118&lt;&gt;"", TEXT($AU118, "MMMM"), ""), Income!$C:$C, YEAR($AU118))</f>
        <v>0</v>
      </c>
      <c r="AX118" s="464">
        <f>SUMIFS(Income!$G:$G,Income!$H:$H, AX$2,Income!$F:$F, $AT$1, Income!$B:$B, IF($AU118&lt;&gt;"", TEXT($AU118, "MMMM"), ""), Income!$C:$C, YEAR($AU118))</f>
        <v>0</v>
      </c>
      <c r="AY118" s="464">
        <f>SUMIFS(Income!$G:$G,Income!$H:$H, AY$2,Income!$F:$F, $AT$1, Income!$B:$B, IF($AU118&lt;&gt;"", TEXT($AU118, "MMMM"), ""), Income!$C:$C, YEAR($AU118))</f>
        <v>0</v>
      </c>
      <c r="AZ118" s="464">
        <f>SUMIFS(Income!$G:$G,Income!$H:$H, AZ$2,Income!$F:$F, $AT$1, Income!$B:$B, IF($AU118&lt;&gt;"", TEXT($AU118, "MMMM"), ""), Income!$C:$C, YEAR($AU118))</f>
        <v>0</v>
      </c>
      <c r="BA118" s="468">
        <f>SUMIFS(Income!$G:$G,Income!$H:$H, BA$2,Income!$F:$F, $AT$1, Income!$B:$B, IF($AU118&lt;&gt;"", TEXT($AU118, "MMMM"), ""), Income!$C:$C, YEAR($AU118))</f>
        <v>0</v>
      </c>
      <c r="BB118" s="345"/>
      <c r="BC118" s="345"/>
      <c r="BD118" s="345"/>
      <c r="BE118" s="345"/>
    </row>
    <row r="119" ht="13.5" customHeight="1">
      <c r="A119" s="436">
        <f>'Membership Application List'!A348</f>
        <v>45526.65857</v>
      </c>
      <c r="B119" s="437" t="str">
        <f t="shared" si="6"/>
        <v>August</v>
      </c>
      <c r="C119" s="437">
        <f t="shared" si="7"/>
        <v>2024</v>
      </c>
      <c r="D119" s="438" t="str">
        <f>'Membership Application List'!E348</f>
        <v>Rosa chavarria</v>
      </c>
      <c r="E119" s="438">
        <f>IF('Membership Application List'!J348 = "Food/Litter Donation", 0, IF('Membership Application List'!J348 = "$15 Donation, Discord Verification", IF('Membership Application List'!N348 = TRUE, 15, 0)))</f>
        <v>15</v>
      </c>
      <c r="F119" s="438">
        <f>if('Membership Application List'!K348=TRUE, 5,0)</f>
        <v>0</v>
      </c>
      <c r="G119" s="438">
        <f t="shared" si="8"/>
        <v>15</v>
      </c>
      <c r="H119" s="439" t="str">
        <f>'Membership Application List'!L348</f>
        <v>Cashapp</v>
      </c>
      <c r="I119" s="428"/>
      <c r="J119" s="463">
        <v>47362.0</v>
      </c>
      <c r="K119" s="464">
        <f t="shared" ref="K119:O119" si="77">SUMIFS($G:$G, $H:$H, K$2, $B:$B, IF($J119&lt;&gt;"", TEXT($J119, "MMMM"), ""), $C:$C, YEAR($J119))</f>
        <v>0</v>
      </c>
      <c r="L119" s="464">
        <f t="shared" si="77"/>
        <v>0</v>
      </c>
      <c r="M119" s="464">
        <f t="shared" si="77"/>
        <v>0</v>
      </c>
      <c r="N119" s="464">
        <f t="shared" si="77"/>
        <v>0</v>
      </c>
      <c r="O119" s="465">
        <f t="shared" si="77"/>
        <v>0</v>
      </c>
      <c r="P119" s="414"/>
      <c r="Q119" s="414"/>
      <c r="R119" s="414"/>
      <c r="V119" s="428"/>
      <c r="W119" s="463">
        <v>47362.0</v>
      </c>
      <c r="X119" s="464">
        <f>SUMIFS(Income!$G:$G,Income!$H:$H, X$2,Income!$F:$F, $V$1, Income!$B:$B, IF($W119&lt;&gt;"", TEXT($W119, "MMMM"), ""), Income!$C:$C, YEAR($W119))</f>
        <v>0</v>
      </c>
      <c r="Y119" s="464">
        <f>SUMIFS(Income!$G:$G,Income!$H:$H, Y$2,Income!$F:$F, $V$1, Income!$B:$B, IF($W119&lt;&gt;"", TEXT($W119, "MMMM"), ""), Income!$C:$C, YEAR($W119))</f>
        <v>0</v>
      </c>
      <c r="Z119" s="464">
        <f>SUMIFS(Income!$G:$G,Income!$H:$H, Z$2,Income!$F:$F, $V$1, Income!$B:$B, IF($W119&lt;&gt;"", TEXT($W119, "MMMM"), ""), Income!$C:$C, YEAR($W119))</f>
        <v>0</v>
      </c>
      <c r="AA119" s="464">
        <f>SUMIFS(Income!$G:$G,Income!$H:$H, AA$2,Income!$F:$F, $V$1, Income!$B:$B, IF($W119&lt;&gt;"", TEXT($W119, "MMMM"), ""), Income!$C:$C, YEAR($W119))</f>
        <v>0</v>
      </c>
      <c r="AB119" s="464">
        <f>SUMIFS(Income!$G:$G,Income!$H:$H, AB$2,Income!$F:$F, $V$1, Income!$B:$B, IF($W119&lt;&gt;"", TEXT($W119, "MMMM"), ""), Income!$C:$C, YEAR($W119))</f>
        <v>0</v>
      </c>
      <c r="AC119" s="467">
        <f>SUMIFS(Income!$G:$G,Income!$H:$H, AC$2,Income!$F:$F, $V$1, Income!$B:$B, IF($W119&lt;&gt;"", TEXT($W119, "MMMM"), ""), Income!$C:$C, YEAR($W119))</f>
        <v>0</v>
      </c>
      <c r="AD119" s="428"/>
      <c r="AE119" s="463">
        <v>47362.0</v>
      </c>
      <c r="AF119" s="464">
        <f>SUMIFS(Income!$G:$G,Income!$H:$H, AF$2,Income!$F:$F, $AD$1, Income!$B:$B, IF($AE119&lt;&gt;"", TEXT($AE119, "MMMM"), ""), Income!$C:$C, YEAR($AE119))</f>
        <v>0</v>
      </c>
      <c r="AG119" s="464">
        <f>SUMIFS(Income!$G:$G,Income!$H:$H, AG$2,Income!$F:$F, $AD$1, Income!$B:$B, IF($AE119&lt;&gt;"", TEXT($AE119, "MMMM"), ""), Income!$C:$C, YEAR($AE119))</f>
        <v>0</v>
      </c>
      <c r="AH119" s="464">
        <f>SUMIFS(Income!$G:$G,Income!$H:$H, AH$2,Income!$F:$F, $AD$1, Income!$B:$B, IF($AE119&lt;&gt;"", TEXT($AE119, "MMMM"), ""), Income!$C:$C, YEAR($AE119))</f>
        <v>0</v>
      </c>
      <c r="AI119" s="464">
        <f>SUMIFS(Income!$G:$G,Income!$H:$H, AI$2,Income!$F:$F, $AD$1, Income!$B:$B, IF($AE119&lt;&gt;"", TEXT($AE119, "MMMM"), ""), Income!$C:$C, YEAR($AE119))</f>
        <v>0</v>
      </c>
      <c r="AJ119" s="464">
        <f>SUMIFS(Income!$G:$G,Income!$H:$H, AJ$2,Income!$F:$F, $AD$1, Income!$B:$B, IF($AE119&lt;&gt;"", TEXT($AE119, "MMMM"), ""), Income!$C:$C, YEAR($AE119))</f>
        <v>0</v>
      </c>
      <c r="AK119" s="467">
        <f>SUMIFS(Income!$G:$G,Income!$H:$H, AK$2,Income!$F:$F, $AD$1, Income!$B:$B, IF($AE119&lt;&gt;"", TEXT($AE119, "MMMM"), ""), Income!$C:$C, YEAR($AE119))</f>
        <v>0</v>
      </c>
      <c r="AL119" s="428"/>
      <c r="AM119" s="463">
        <v>47362.0</v>
      </c>
      <c r="AN119" s="464">
        <f>SUMIFS(Income!$G:$G,Income!$H:$H, AN$2,Income!$F:$F, $AL$1, Income!$B:$B, IF($AM119&lt;&gt;"", TEXT($AM119, "MMMM"), ""), Income!$C:$C, YEAR($AM119))+SUMIFS($T:$T, $U:$U,AN$2,$Q:$Q,IF($AM119&lt;&gt;"", TEXT($AM119, "MMMM"), ""),$R:$R,YEAR($AM119))</f>
        <v>0</v>
      </c>
      <c r="AO119" s="464">
        <f>SUMIFS(Income!$G:$G,Income!$H:$H, AO$2,Income!$F:$F, $AL$1, Income!$B:$B, IF($AM119&lt;&gt;"", TEXT($AM119, "MMMM"), ""), Income!$C:$C, YEAR($AM119))+SUMIFS($T:$T, $U:$U,AO$2,$Q:$Q,IF($AM119&lt;&gt;"", TEXT($AM119, "MMMM"), ""),$R:$R,YEAR($AM119))</f>
        <v>0</v>
      </c>
      <c r="AP119" s="464">
        <f>SUMIFS(Income!$G:$G,Income!$H:$H, AP$2,Income!$F:$F, $AL$1, Income!$B:$B, IF($AM119&lt;&gt;"", TEXT($AM119, "MMMM"), ""), Income!$C:$C, YEAR($AM119))+SUMIFS($T:$T, $U:$U,AP$2,$Q:$Q,IF($AM119&lt;&gt;"", TEXT($AM119, "MMMM"), ""),$R:$R,YEAR($AM119))</f>
        <v>0</v>
      </c>
      <c r="AQ119" s="464">
        <f>SUMIFS(Income!$G:$G,Income!$H:$H, AQ$2,Income!$F:$F, $AL$1, Income!$B:$B, IF($AM119&lt;&gt;"", TEXT($AM119, "MMMM"), ""), Income!$C:$C, YEAR($AM119))+SUMIFS($T:$T, $U:$U,AQ$2,$Q:$Q,IF($AM119&lt;&gt;"", TEXT($AM119, "MMMM"), ""),$R:$R,YEAR($AM119))</f>
        <v>0</v>
      </c>
      <c r="AR119" s="464">
        <f>SUMIFS(Income!$G:$G,Income!$H:$H, AR$2,Income!$F:$F, $AL$1, Income!$B:$B, IF($AM119&lt;&gt;"", TEXT($AM119, "MMMM"), ""), Income!$C:$C, YEAR($AM119))+SUMIFS($T:$T, $U:$U,AR$2,$Q:$Q,IF($AM119&lt;&gt;"", TEXT($AM119, "MMMM"), ""),$R:$R,YEAR($AM119))</f>
        <v>0</v>
      </c>
      <c r="AS119" s="467">
        <f>SUMIFS(Income!$G:$G,Income!$H:$H, AS$2,Income!$F:$F, $AL$1, Income!$B:$B, IF($AM119&lt;&gt;"", TEXT($AM119, "MMMM"), ""), Income!$C:$C, YEAR($AM119))+SUMIFS($T:$T, $U:$U,AS$2,$Q:$Q,IF($AM119&lt;&gt;"", TEXT($AM119, "MMMM"), ""),$R:$R,YEAR($AM119))</f>
        <v>0</v>
      </c>
      <c r="AT119" s="428"/>
      <c r="AU119" s="463">
        <v>47362.0</v>
      </c>
      <c r="AV119" s="464">
        <f>SUMIFS(Income!$G:$G,Income!$H:$H, AV$2,Income!$F:$F, $AT$1, Income!$B:$B, IF($AU119&lt;&gt;"", TEXT($AU119, "MMMM"), ""), Income!$C:$C, YEAR($AU119))</f>
        <v>0</v>
      </c>
      <c r="AW119" s="464">
        <f>SUMIFS(Income!$G:$G,Income!$H:$H, AW$2,Income!$F:$F, $AT$1, Income!$B:$B, IF($AU119&lt;&gt;"", TEXT($AU119, "MMMM"), ""), Income!$C:$C, YEAR($AU119))</f>
        <v>0</v>
      </c>
      <c r="AX119" s="464">
        <f>SUMIFS(Income!$G:$G,Income!$H:$H, AX$2,Income!$F:$F, $AT$1, Income!$B:$B, IF($AU119&lt;&gt;"", TEXT($AU119, "MMMM"), ""), Income!$C:$C, YEAR($AU119))</f>
        <v>0</v>
      </c>
      <c r="AY119" s="464">
        <f>SUMIFS(Income!$G:$G,Income!$H:$H, AY$2,Income!$F:$F, $AT$1, Income!$B:$B, IF($AU119&lt;&gt;"", TEXT($AU119, "MMMM"), ""), Income!$C:$C, YEAR($AU119))</f>
        <v>0</v>
      </c>
      <c r="AZ119" s="464">
        <f>SUMIFS(Income!$G:$G,Income!$H:$H, AZ$2,Income!$F:$F, $AT$1, Income!$B:$B, IF($AU119&lt;&gt;"", TEXT($AU119, "MMMM"), ""), Income!$C:$C, YEAR($AU119))</f>
        <v>0</v>
      </c>
      <c r="BA119" s="468">
        <f>SUMIFS(Income!$G:$G,Income!$H:$H, BA$2,Income!$F:$F, $AT$1, Income!$B:$B, IF($AU119&lt;&gt;"", TEXT($AU119, "MMMM"), ""), Income!$C:$C, YEAR($AU119))</f>
        <v>0</v>
      </c>
      <c r="BB119" s="345"/>
      <c r="BC119" s="345"/>
      <c r="BD119" s="345"/>
      <c r="BE119" s="345"/>
    </row>
    <row r="120" ht="13.5" customHeight="1">
      <c r="A120" s="424">
        <f>'Membership Application List'!A349</f>
        <v>45527.55132</v>
      </c>
      <c r="B120" s="443" t="str">
        <f t="shared" si="6"/>
        <v>August</v>
      </c>
      <c r="C120" s="443">
        <f t="shared" si="7"/>
        <v>2024</v>
      </c>
      <c r="D120" s="426" t="str">
        <f>'Membership Application List'!E349</f>
        <v>Jace Richardson</v>
      </c>
      <c r="E120" s="426">
        <f>IF('Membership Application List'!J349 = "Food/Litter Donation", 0, IF('Membership Application List'!J349 = "$15 Donation, Discord Verification", IF('Membership Application List'!N349 = TRUE, 15, 0)))</f>
        <v>15</v>
      </c>
      <c r="F120" s="426">
        <f>if('Membership Application List'!K349=TRUE, 5,0)</f>
        <v>0</v>
      </c>
      <c r="G120" s="426">
        <f t="shared" si="8"/>
        <v>15</v>
      </c>
      <c r="H120" s="427" t="str">
        <f>'Membership Application List'!L349</f>
        <v>Cashapp</v>
      </c>
      <c r="I120" s="428"/>
      <c r="J120" s="463">
        <v>47392.0</v>
      </c>
      <c r="K120" s="464">
        <f t="shared" ref="K120:O120" si="78">SUMIFS($G:$G, $H:$H, K$2, $B:$B, IF($J120&lt;&gt;"", TEXT($J120, "MMMM"), ""), $C:$C, YEAR($J120))</f>
        <v>0</v>
      </c>
      <c r="L120" s="464">
        <f t="shared" si="78"/>
        <v>0</v>
      </c>
      <c r="M120" s="464">
        <f t="shared" si="78"/>
        <v>0</v>
      </c>
      <c r="N120" s="464">
        <f t="shared" si="78"/>
        <v>0</v>
      </c>
      <c r="O120" s="465">
        <f t="shared" si="78"/>
        <v>0</v>
      </c>
      <c r="P120" s="414"/>
      <c r="Q120" s="414"/>
      <c r="R120" s="414"/>
      <c r="V120" s="428"/>
      <c r="W120" s="463">
        <v>47392.0</v>
      </c>
      <c r="X120" s="464">
        <f>SUMIFS(Income!$G:$G,Income!$H:$H, X$2,Income!$F:$F, $V$1, Income!$B:$B, IF($W120&lt;&gt;"", TEXT($W120, "MMMM"), ""), Income!$C:$C, YEAR($W120))</f>
        <v>0</v>
      </c>
      <c r="Y120" s="464">
        <f>SUMIFS(Income!$G:$G,Income!$H:$H, Y$2,Income!$F:$F, $V$1, Income!$B:$B, IF($W120&lt;&gt;"", TEXT($W120, "MMMM"), ""), Income!$C:$C, YEAR($W120))</f>
        <v>0</v>
      </c>
      <c r="Z120" s="464">
        <f>SUMIFS(Income!$G:$G,Income!$H:$H, Z$2,Income!$F:$F, $V$1, Income!$B:$B, IF($W120&lt;&gt;"", TEXT($W120, "MMMM"), ""), Income!$C:$C, YEAR($W120))</f>
        <v>0</v>
      </c>
      <c r="AA120" s="464">
        <f>SUMIFS(Income!$G:$G,Income!$H:$H, AA$2,Income!$F:$F, $V$1, Income!$B:$B, IF($W120&lt;&gt;"", TEXT($W120, "MMMM"), ""), Income!$C:$C, YEAR($W120))</f>
        <v>0</v>
      </c>
      <c r="AB120" s="464">
        <f>SUMIFS(Income!$G:$G,Income!$H:$H, AB$2,Income!$F:$F, $V$1, Income!$B:$B, IF($W120&lt;&gt;"", TEXT($W120, "MMMM"), ""), Income!$C:$C, YEAR($W120))</f>
        <v>0</v>
      </c>
      <c r="AC120" s="467">
        <f>SUMIFS(Income!$G:$G,Income!$H:$H, AC$2,Income!$F:$F, $V$1, Income!$B:$B, IF($W120&lt;&gt;"", TEXT($W120, "MMMM"), ""), Income!$C:$C, YEAR($W120))</f>
        <v>0</v>
      </c>
      <c r="AD120" s="428"/>
      <c r="AE120" s="463">
        <v>47392.0</v>
      </c>
      <c r="AF120" s="464">
        <f>SUMIFS(Income!$G:$G,Income!$H:$H, AF$2,Income!$F:$F, $AD$1, Income!$B:$B, IF($AE120&lt;&gt;"", TEXT($AE120, "MMMM"), ""), Income!$C:$C, YEAR($AE120))</f>
        <v>0</v>
      </c>
      <c r="AG120" s="464">
        <f>SUMIFS(Income!$G:$G,Income!$H:$H, AG$2,Income!$F:$F, $AD$1, Income!$B:$B, IF($AE120&lt;&gt;"", TEXT($AE120, "MMMM"), ""), Income!$C:$C, YEAR($AE120))</f>
        <v>0</v>
      </c>
      <c r="AH120" s="464">
        <f>SUMIFS(Income!$G:$G,Income!$H:$H, AH$2,Income!$F:$F, $AD$1, Income!$B:$B, IF($AE120&lt;&gt;"", TEXT($AE120, "MMMM"), ""), Income!$C:$C, YEAR($AE120))</f>
        <v>0</v>
      </c>
      <c r="AI120" s="464">
        <f>SUMIFS(Income!$G:$G,Income!$H:$H, AI$2,Income!$F:$F, $AD$1, Income!$B:$B, IF($AE120&lt;&gt;"", TEXT($AE120, "MMMM"), ""), Income!$C:$C, YEAR($AE120))</f>
        <v>0</v>
      </c>
      <c r="AJ120" s="464">
        <f>SUMIFS(Income!$G:$G,Income!$H:$H, AJ$2,Income!$F:$F, $AD$1, Income!$B:$B, IF($AE120&lt;&gt;"", TEXT($AE120, "MMMM"), ""), Income!$C:$C, YEAR($AE120))</f>
        <v>0</v>
      </c>
      <c r="AK120" s="467">
        <f>SUMIFS(Income!$G:$G,Income!$H:$H, AK$2,Income!$F:$F, $AD$1, Income!$B:$B, IF($AE120&lt;&gt;"", TEXT($AE120, "MMMM"), ""), Income!$C:$C, YEAR($AE120))</f>
        <v>0</v>
      </c>
      <c r="AL120" s="428"/>
      <c r="AM120" s="463">
        <v>47392.0</v>
      </c>
      <c r="AN120" s="464">
        <f>SUMIFS(Income!$G:$G,Income!$H:$H, AN$2,Income!$F:$F, $AL$1, Income!$B:$B, IF($AM120&lt;&gt;"", TEXT($AM120, "MMMM"), ""), Income!$C:$C, YEAR($AM120))+SUMIFS($T:$T, $U:$U,AN$2,$Q:$Q,IF($AM120&lt;&gt;"", TEXT($AM120, "MMMM"), ""),$R:$R,YEAR($AM120))</f>
        <v>0</v>
      </c>
      <c r="AO120" s="464">
        <f>SUMIFS(Income!$G:$G,Income!$H:$H, AO$2,Income!$F:$F, $AL$1, Income!$B:$B, IF($AM120&lt;&gt;"", TEXT($AM120, "MMMM"), ""), Income!$C:$C, YEAR($AM120))+SUMIFS($T:$T, $U:$U,AO$2,$Q:$Q,IF($AM120&lt;&gt;"", TEXT($AM120, "MMMM"), ""),$R:$R,YEAR($AM120))</f>
        <v>0</v>
      </c>
      <c r="AP120" s="464">
        <f>SUMIFS(Income!$G:$G,Income!$H:$H, AP$2,Income!$F:$F, $AL$1, Income!$B:$B, IF($AM120&lt;&gt;"", TEXT($AM120, "MMMM"), ""), Income!$C:$C, YEAR($AM120))+SUMIFS($T:$T, $U:$U,AP$2,$Q:$Q,IF($AM120&lt;&gt;"", TEXT($AM120, "MMMM"), ""),$R:$R,YEAR($AM120))</f>
        <v>0</v>
      </c>
      <c r="AQ120" s="464">
        <f>SUMIFS(Income!$G:$G,Income!$H:$H, AQ$2,Income!$F:$F, $AL$1, Income!$B:$B, IF($AM120&lt;&gt;"", TEXT($AM120, "MMMM"), ""), Income!$C:$C, YEAR($AM120))+SUMIFS($T:$T, $U:$U,AQ$2,$Q:$Q,IF($AM120&lt;&gt;"", TEXT($AM120, "MMMM"), ""),$R:$R,YEAR($AM120))</f>
        <v>0</v>
      </c>
      <c r="AR120" s="464">
        <f>SUMIFS(Income!$G:$G,Income!$H:$H, AR$2,Income!$F:$F, $AL$1, Income!$B:$B, IF($AM120&lt;&gt;"", TEXT($AM120, "MMMM"), ""), Income!$C:$C, YEAR($AM120))+SUMIFS($T:$T, $U:$U,AR$2,$Q:$Q,IF($AM120&lt;&gt;"", TEXT($AM120, "MMMM"), ""),$R:$R,YEAR($AM120))</f>
        <v>0</v>
      </c>
      <c r="AS120" s="467">
        <f>SUMIFS(Income!$G:$G,Income!$H:$H, AS$2,Income!$F:$F, $AL$1, Income!$B:$B, IF($AM120&lt;&gt;"", TEXT($AM120, "MMMM"), ""), Income!$C:$C, YEAR($AM120))+SUMIFS($T:$T, $U:$U,AS$2,$Q:$Q,IF($AM120&lt;&gt;"", TEXT($AM120, "MMMM"), ""),$R:$R,YEAR($AM120))</f>
        <v>0</v>
      </c>
      <c r="AT120" s="428"/>
      <c r="AU120" s="463">
        <v>47392.0</v>
      </c>
      <c r="AV120" s="464">
        <f>SUMIFS(Income!$G:$G,Income!$H:$H, AV$2,Income!$F:$F, $AT$1, Income!$B:$B, IF($AU120&lt;&gt;"", TEXT($AU120, "MMMM"), ""), Income!$C:$C, YEAR($AU120))</f>
        <v>0</v>
      </c>
      <c r="AW120" s="464">
        <f>SUMIFS(Income!$G:$G,Income!$H:$H, AW$2,Income!$F:$F, $AT$1, Income!$B:$B, IF($AU120&lt;&gt;"", TEXT($AU120, "MMMM"), ""), Income!$C:$C, YEAR($AU120))</f>
        <v>0</v>
      </c>
      <c r="AX120" s="464">
        <f>SUMIFS(Income!$G:$G,Income!$H:$H, AX$2,Income!$F:$F, $AT$1, Income!$B:$B, IF($AU120&lt;&gt;"", TEXT($AU120, "MMMM"), ""), Income!$C:$C, YEAR($AU120))</f>
        <v>0</v>
      </c>
      <c r="AY120" s="464">
        <f>SUMIFS(Income!$G:$G,Income!$H:$H, AY$2,Income!$F:$F, $AT$1, Income!$B:$B, IF($AU120&lt;&gt;"", TEXT($AU120, "MMMM"), ""), Income!$C:$C, YEAR($AU120))</f>
        <v>0</v>
      </c>
      <c r="AZ120" s="464">
        <f>SUMIFS(Income!$G:$G,Income!$H:$H, AZ$2,Income!$F:$F, $AT$1, Income!$B:$B, IF($AU120&lt;&gt;"", TEXT($AU120, "MMMM"), ""), Income!$C:$C, YEAR($AU120))</f>
        <v>0</v>
      </c>
      <c r="BA120" s="468">
        <f>SUMIFS(Income!$G:$G,Income!$H:$H, BA$2,Income!$F:$F, $AT$1, Income!$B:$B, IF($AU120&lt;&gt;"", TEXT($AU120, "MMMM"), ""), Income!$C:$C, YEAR($AU120))</f>
        <v>0</v>
      </c>
      <c r="BB120" s="345"/>
      <c r="BC120" s="345"/>
      <c r="BD120" s="345"/>
      <c r="BE120" s="345"/>
    </row>
    <row r="121" ht="13.5" customHeight="1">
      <c r="A121" s="436">
        <f>'Membership Application List'!A350</f>
        <v>45527.57579</v>
      </c>
      <c r="B121" s="437" t="str">
        <f t="shared" si="6"/>
        <v>August</v>
      </c>
      <c r="C121" s="437">
        <f t="shared" si="7"/>
        <v>2024</v>
      </c>
      <c r="D121" s="438" t="str">
        <f>'Membership Application List'!E350</f>
        <v>Lesly Rodriguez </v>
      </c>
      <c r="E121" s="438">
        <f>IF('Membership Application List'!J350 = "Food/Litter Donation", 0, IF('Membership Application List'!J350 = "$15 Donation, Discord Verification", IF('Membership Application List'!N350 = TRUE, 15, 0)))</f>
        <v>15</v>
      </c>
      <c r="F121" s="438">
        <f>if('Membership Application List'!K350=TRUE, 5,0)</f>
        <v>0</v>
      </c>
      <c r="G121" s="438">
        <f t="shared" si="8"/>
        <v>15</v>
      </c>
      <c r="H121" s="439" t="str">
        <f>'Membership Application List'!L350</f>
        <v>Cash</v>
      </c>
      <c r="I121" s="428"/>
      <c r="J121" s="463">
        <v>47423.0</v>
      </c>
      <c r="K121" s="464">
        <f t="shared" ref="K121:O121" si="79">SUMIFS($G:$G, $H:$H, K$2, $B:$B, IF($J121&lt;&gt;"", TEXT($J121, "MMMM"), ""), $C:$C, YEAR($J121))</f>
        <v>0</v>
      </c>
      <c r="L121" s="464">
        <f t="shared" si="79"/>
        <v>0</v>
      </c>
      <c r="M121" s="464">
        <f t="shared" si="79"/>
        <v>0</v>
      </c>
      <c r="N121" s="464">
        <f t="shared" si="79"/>
        <v>0</v>
      </c>
      <c r="O121" s="465">
        <f t="shared" si="79"/>
        <v>0</v>
      </c>
      <c r="P121" s="414"/>
      <c r="Q121" s="414"/>
      <c r="R121" s="414"/>
      <c r="V121" s="428"/>
      <c r="W121" s="463">
        <v>47423.0</v>
      </c>
      <c r="X121" s="464">
        <f>SUMIFS(Income!$G:$G,Income!$H:$H, X$2,Income!$F:$F, $V$1, Income!$B:$B, IF($W121&lt;&gt;"", TEXT($W121, "MMMM"), ""), Income!$C:$C, YEAR($W121))</f>
        <v>0</v>
      </c>
      <c r="Y121" s="464">
        <f>SUMIFS(Income!$G:$G,Income!$H:$H, Y$2,Income!$F:$F, $V$1, Income!$B:$B, IF($W121&lt;&gt;"", TEXT($W121, "MMMM"), ""), Income!$C:$C, YEAR($W121))</f>
        <v>0</v>
      </c>
      <c r="Z121" s="464">
        <f>SUMIFS(Income!$G:$G,Income!$H:$H, Z$2,Income!$F:$F, $V$1, Income!$B:$B, IF($W121&lt;&gt;"", TEXT($W121, "MMMM"), ""), Income!$C:$C, YEAR($W121))</f>
        <v>0</v>
      </c>
      <c r="AA121" s="464">
        <f>SUMIFS(Income!$G:$G,Income!$H:$H, AA$2,Income!$F:$F, $V$1, Income!$B:$B, IF($W121&lt;&gt;"", TEXT($W121, "MMMM"), ""), Income!$C:$C, YEAR($W121))</f>
        <v>0</v>
      </c>
      <c r="AB121" s="464">
        <f>SUMIFS(Income!$G:$G,Income!$H:$H, AB$2,Income!$F:$F, $V$1, Income!$B:$B, IF($W121&lt;&gt;"", TEXT($W121, "MMMM"), ""), Income!$C:$C, YEAR($W121))</f>
        <v>0</v>
      </c>
      <c r="AC121" s="467">
        <f>SUMIFS(Income!$G:$G,Income!$H:$H, AC$2,Income!$F:$F, $V$1, Income!$B:$B, IF($W121&lt;&gt;"", TEXT($W121, "MMMM"), ""), Income!$C:$C, YEAR($W121))</f>
        <v>0</v>
      </c>
      <c r="AD121" s="428"/>
      <c r="AE121" s="463">
        <v>47423.0</v>
      </c>
      <c r="AF121" s="464">
        <f>SUMIFS(Income!$G:$G,Income!$H:$H, AF$2,Income!$F:$F, $AD$1, Income!$B:$B, IF($AE121&lt;&gt;"", TEXT($AE121, "MMMM"), ""), Income!$C:$C, YEAR($AE121))</f>
        <v>0</v>
      </c>
      <c r="AG121" s="464">
        <f>SUMIFS(Income!$G:$G,Income!$H:$H, AG$2,Income!$F:$F, $AD$1, Income!$B:$B, IF($AE121&lt;&gt;"", TEXT($AE121, "MMMM"), ""), Income!$C:$C, YEAR($AE121))</f>
        <v>0</v>
      </c>
      <c r="AH121" s="464">
        <f>SUMIFS(Income!$G:$G,Income!$H:$H, AH$2,Income!$F:$F, $AD$1, Income!$B:$B, IF($AE121&lt;&gt;"", TEXT($AE121, "MMMM"), ""), Income!$C:$C, YEAR($AE121))</f>
        <v>0</v>
      </c>
      <c r="AI121" s="464">
        <f>SUMIFS(Income!$G:$G,Income!$H:$H, AI$2,Income!$F:$F, $AD$1, Income!$B:$B, IF($AE121&lt;&gt;"", TEXT($AE121, "MMMM"), ""), Income!$C:$C, YEAR($AE121))</f>
        <v>0</v>
      </c>
      <c r="AJ121" s="464">
        <f>SUMIFS(Income!$G:$G,Income!$H:$H, AJ$2,Income!$F:$F, $AD$1, Income!$B:$B, IF($AE121&lt;&gt;"", TEXT($AE121, "MMMM"), ""), Income!$C:$C, YEAR($AE121))</f>
        <v>0</v>
      </c>
      <c r="AK121" s="467">
        <f>SUMIFS(Income!$G:$G,Income!$H:$H, AK$2,Income!$F:$F, $AD$1, Income!$B:$B, IF($AE121&lt;&gt;"", TEXT($AE121, "MMMM"), ""), Income!$C:$C, YEAR($AE121))</f>
        <v>0</v>
      </c>
      <c r="AL121" s="428"/>
      <c r="AM121" s="463">
        <v>47423.0</v>
      </c>
      <c r="AN121" s="464">
        <f>SUMIFS(Income!$G:$G,Income!$H:$H, AN$2,Income!$F:$F, $AL$1, Income!$B:$B, IF($AM121&lt;&gt;"", TEXT($AM121, "MMMM"), ""), Income!$C:$C, YEAR($AM121))+SUMIFS($T:$T, $U:$U,AN$2,$Q:$Q,IF($AM121&lt;&gt;"", TEXT($AM121, "MMMM"), ""),$R:$R,YEAR($AM121))</f>
        <v>0</v>
      </c>
      <c r="AO121" s="464">
        <f>SUMIFS(Income!$G:$G,Income!$H:$H, AO$2,Income!$F:$F, $AL$1, Income!$B:$B, IF($AM121&lt;&gt;"", TEXT($AM121, "MMMM"), ""), Income!$C:$C, YEAR($AM121))+SUMIFS($T:$T, $U:$U,AO$2,$Q:$Q,IF($AM121&lt;&gt;"", TEXT($AM121, "MMMM"), ""),$R:$R,YEAR($AM121))</f>
        <v>0</v>
      </c>
      <c r="AP121" s="464">
        <f>SUMIFS(Income!$G:$G,Income!$H:$H, AP$2,Income!$F:$F, $AL$1, Income!$B:$B, IF($AM121&lt;&gt;"", TEXT($AM121, "MMMM"), ""), Income!$C:$C, YEAR($AM121))+SUMIFS($T:$T, $U:$U,AP$2,$Q:$Q,IF($AM121&lt;&gt;"", TEXT($AM121, "MMMM"), ""),$R:$R,YEAR($AM121))</f>
        <v>0</v>
      </c>
      <c r="AQ121" s="464">
        <f>SUMIFS(Income!$G:$G,Income!$H:$H, AQ$2,Income!$F:$F, $AL$1, Income!$B:$B, IF($AM121&lt;&gt;"", TEXT($AM121, "MMMM"), ""), Income!$C:$C, YEAR($AM121))+SUMIFS($T:$T, $U:$U,AQ$2,$Q:$Q,IF($AM121&lt;&gt;"", TEXT($AM121, "MMMM"), ""),$R:$R,YEAR($AM121))</f>
        <v>0</v>
      </c>
      <c r="AR121" s="464">
        <f>SUMIFS(Income!$G:$G,Income!$H:$H, AR$2,Income!$F:$F, $AL$1, Income!$B:$B, IF($AM121&lt;&gt;"", TEXT($AM121, "MMMM"), ""), Income!$C:$C, YEAR($AM121))+SUMIFS($T:$T, $U:$U,AR$2,$Q:$Q,IF($AM121&lt;&gt;"", TEXT($AM121, "MMMM"), ""),$R:$R,YEAR($AM121))</f>
        <v>0</v>
      </c>
      <c r="AS121" s="467">
        <f>SUMIFS(Income!$G:$G,Income!$H:$H, AS$2,Income!$F:$F, $AL$1, Income!$B:$B, IF($AM121&lt;&gt;"", TEXT($AM121, "MMMM"), ""), Income!$C:$C, YEAR($AM121))+SUMIFS($T:$T, $U:$U,AS$2,$Q:$Q,IF($AM121&lt;&gt;"", TEXT($AM121, "MMMM"), ""),$R:$R,YEAR($AM121))</f>
        <v>0</v>
      </c>
      <c r="AT121" s="428"/>
      <c r="AU121" s="463">
        <v>47423.0</v>
      </c>
      <c r="AV121" s="464">
        <f>SUMIFS(Income!$G:$G,Income!$H:$H, AV$2,Income!$F:$F, $AT$1, Income!$B:$B, IF($AU121&lt;&gt;"", TEXT($AU121, "MMMM"), ""), Income!$C:$C, YEAR($AU121))</f>
        <v>0</v>
      </c>
      <c r="AW121" s="464">
        <f>SUMIFS(Income!$G:$G,Income!$H:$H, AW$2,Income!$F:$F, $AT$1, Income!$B:$B, IF($AU121&lt;&gt;"", TEXT($AU121, "MMMM"), ""), Income!$C:$C, YEAR($AU121))</f>
        <v>0</v>
      </c>
      <c r="AX121" s="464">
        <f>SUMIFS(Income!$G:$G,Income!$H:$H, AX$2,Income!$F:$F, $AT$1, Income!$B:$B, IF($AU121&lt;&gt;"", TEXT($AU121, "MMMM"), ""), Income!$C:$C, YEAR($AU121))</f>
        <v>0</v>
      </c>
      <c r="AY121" s="464">
        <f>SUMIFS(Income!$G:$G,Income!$H:$H, AY$2,Income!$F:$F, $AT$1, Income!$B:$B, IF($AU121&lt;&gt;"", TEXT($AU121, "MMMM"), ""), Income!$C:$C, YEAR($AU121))</f>
        <v>0</v>
      </c>
      <c r="AZ121" s="464">
        <f>SUMIFS(Income!$G:$G,Income!$H:$H, AZ$2,Income!$F:$F, $AT$1, Income!$B:$B, IF($AU121&lt;&gt;"", TEXT($AU121, "MMMM"), ""), Income!$C:$C, YEAR($AU121))</f>
        <v>0</v>
      </c>
      <c r="BA121" s="468">
        <f>SUMIFS(Income!$G:$G,Income!$H:$H, BA$2,Income!$F:$F, $AT$1, Income!$B:$B, IF($AU121&lt;&gt;"", TEXT($AU121, "MMMM"), ""), Income!$C:$C, YEAR($AU121))</f>
        <v>0</v>
      </c>
      <c r="BB121" s="345"/>
      <c r="BC121" s="345"/>
      <c r="BD121" s="345"/>
      <c r="BE121" s="345"/>
    </row>
    <row r="122" ht="13.5" customHeight="1">
      <c r="A122" s="424">
        <f>'Membership Application List'!A351</f>
        <v>45527.65022</v>
      </c>
      <c r="B122" s="443" t="str">
        <f t="shared" si="6"/>
        <v>August</v>
      </c>
      <c r="C122" s="443">
        <f t="shared" si="7"/>
        <v>2024</v>
      </c>
      <c r="D122" s="426" t="str">
        <f>'Membership Application List'!E351</f>
        <v>Elisabeth Hotard </v>
      </c>
      <c r="E122" s="426">
        <f>IF('Membership Application List'!J351 = "Food/Litter Donation", 0, IF('Membership Application List'!J351 = "$15 Donation, Discord Verification", IF('Membership Application List'!N351 = TRUE, 15, 0)))</f>
        <v>15</v>
      </c>
      <c r="F122" s="426">
        <f>if('Membership Application List'!K351=TRUE, 5,0)</f>
        <v>0</v>
      </c>
      <c r="G122" s="426">
        <f t="shared" si="8"/>
        <v>15</v>
      </c>
      <c r="H122" s="427" t="str">
        <f>'Membership Application List'!L351</f>
        <v>Paypal</v>
      </c>
      <c r="I122" s="428"/>
      <c r="J122" s="463">
        <v>47453.0</v>
      </c>
      <c r="K122" s="464">
        <f t="shared" ref="K122:O122" si="80">SUMIFS($G:$G, $H:$H, K$2, $B:$B, IF($J122&lt;&gt;"", TEXT($J122, "MMMM"), ""), $C:$C, YEAR($J122))</f>
        <v>0</v>
      </c>
      <c r="L122" s="464">
        <f t="shared" si="80"/>
        <v>0</v>
      </c>
      <c r="M122" s="464">
        <f t="shared" si="80"/>
        <v>0</v>
      </c>
      <c r="N122" s="464">
        <f t="shared" si="80"/>
        <v>0</v>
      </c>
      <c r="O122" s="465">
        <f t="shared" si="80"/>
        <v>0</v>
      </c>
      <c r="P122" s="414"/>
      <c r="Q122" s="414"/>
      <c r="R122" s="414"/>
      <c r="V122" s="428"/>
      <c r="W122" s="463">
        <v>47453.0</v>
      </c>
      <c r="X122" s="464">
        <f>SUMIFS(Income!$G:$G,Income!$H:$H, X$2,Income!$F:$F, $V$1, Income!$B:$B, IF($W122&lt;&gt;"", TEXT($W122, "MMMM"), ""), Income!$C:$C, YEAR($W122))</f>
        <v>0</v>
      </c>
      <c r="Y122" s="464">
        <f>SUMIFS(Income!$G:$G,Income!$H:$H, Y$2,Income!$F:$F, $V$1, Income!$B:$B, IF($W122&lt;&gt;"", TEXT($W122, "MMMM"), ""), Income!$C:$C, YEAR($W122))</f>
        <v>0</v>
      </c>
      <c r="Z122" s="464">
        <f>SUMIFS(Income!$G:$G,Income!$H:$H, Z$2,Income!$F:$F, $V$1, Income!$B:$B, IF($W122&lt;&gt;"", TEXT($W122, "MMMM"), ""), Income!$C:$C, YEAR($W122))</f>
        <v>0</v>
      </c>
      <c r="AA122" s="464">
        <f>SUMIFS(Income!$G:$G,Income!$H:$H, AA$2,Income!$F:$F, $V$1, Income!$B:$B, IF($W122&lt;&gt;"", TEXT($W122, "MMMM"), ""), Income!$C:$C, YEAR($W122))</f>
        <v>0</v>
      </c>
      <c r="AB122" s="464">
        <f>SUMIFS(Income!$G:$G,Income!$H:$H, AB$2,Income!$F:$F, $V$1, Income!$B:$B, IF($W122&lt;&gt;"", TEXT($W122, "MMMM"), ""), Income!$C:$C, YEAR($W122))</f>
        <v>0</v>
      </c>
      <c r="AC122" s="467">
        <f>SUMIFS(Income!$G:$G,Income!$H:$H, AC$2,Income!$F:$F, $V$1, Income!$B:$B, IF($W122&lt;&gt;"", TEXT($W122, "MMMM"), ""), Income!$C:$C, YEAR($W122))</f>
        <v>0</v>
      </c>
      <c r="AD122" s="428"/>
      <c r="AE122" s="463">
        <v>47453.0</v>
      </c>
      <c r="AF122" s="464">
        <f>SUMIFS(Income!$G:$G,Income!$H:$H, AF$2,Income!$F:$F, $AD$1, Income!$B:$B, IF($AE122&lt;&gt;"", TEXT($AE122, "MMMM"), ""), Income!$C:$C, YEAR($AE122))</f>
        <v>0</v>
      </c>
      <c r="AG122" s="464">
        <f>SUMIFS(Income!$G:$G,Income!$H:$H, AG$2,Income!$F:$F, $AD$1, Income!$B:$B, IF($AE122&lt;&gt;"", TEXT($AE122, "MMMM"), ""), Income!$C:$C, YEAR($AE122))</f>
        <v>0</v>
      </c>
      <c r="AH122" s="464">
        <f>SUMIFS(Income!$G:$G,Income!$H:$H, AH$2,Income!$F:$F, $AD$1, Income!$B:$B, IF($AE122&lt;&gt;"", TEXT($AE122, "MMMM"), ""), Income!$C:$C, YEAR($AE122))</f>
        <v>0</v>
      </c>
      <c r="AI122" s="464">
        <f>SUMIFS(Income!$G:$G,Income!$H:$H, AI$2,Income!$F:$F, $AD$1, Income!$B:$B, IF($AE122&lt;&gt;"", TEXT($AE122, "MMMM"), ""), Income!$C:$C, YEAR($AE122))</f>
        <v>0</v>
      </c>
      <c r="AJ122" s="464">
        <f>SUMIFS(Income!$G:$G,Income!$H:$H, AJ$2,Income!$F:$F, $AD$1, Income!$B:$B, IF($AE122&lt;&gt;"", TEXT($AE122, "MMMM"), ""), Income!$C:$C, YEAR($AE122))</f>
        <v>0</v>
      </c>
      <c r="AK122" s="467">
        <f>SUMIFS(Income!$G:$G,Income!$H:$H, AK$2,Income!$F:$F, $AD$1, Income!$B:$B, IF($AE122&lt;&gt;"", TEXT($AE122, "MMMM"), ""), Income!$C:$C, YEAR($AE122))</f>
        <v>0</v>
      </c>
      <c r="AL122" s="428"/>
      <c r="AM122" s="463">
        <v>47453.0</v>
      </c>
      <c r="AN122" s="464">
        <f>SUMIFS(Income!$G:$G,Income!$H:$H, AN$2,Income!$F:$F, $AL$1, Income!$B:$B, IF($AM122&lt;&gt;"", TEXT($AM122, "MMMM"), ""), Income!$C:$C, YEAR($AM122))+SUMIFS($T:$T, $U:$U,AN$2,$Q:$Q,IF($AM122&lt;&gt;"", TEXT($AM122, "MMMM"), ""),$R:$R,YEAR($AM122))</f>
        <v>0</v>
      </c>
      <c r="AO122" s="464">
        <f>SUMIFS(Income!$G:$G,Income!$H:$H, AO$2,Income!$F:$F, $AL$1, Income!$B:$B, IF($AM122&lt;&gt;"", TEXT($AM122, "MMMM"), ""), Income!$C:$C, YEAR($AM122))+SUMIFS($T:$T, $U:$U,AO$2,$Q:$Q,IF($AM122&lt;&gt;"", TEXT($AM122, "MMMM"), ""),$R:$R,YEAR($AM122))</f>
        <v>0</v>
      </c>
      <c r="AP122" s="464">
        <f>SUMIFS(Income!$G:$G,Income!$H:$H, AP$2,Income!$F:$F, $AL$1, Income!$B:$B, IF($AM122&lt;&gt;"", TEXT($AM122, "MMMM"), ""), Income!$C:$C, YEAR($AM122))+SUMIFS($T:$T, $U:$U,AP$2,$Q:$Q,IF($AM122&lt;&gt;"", TEXT($AM122, "MMMM"), ""),$R:$R,YEAR($AM122))</f>
        <v>0</v>
      </c>
      <c r="AQ122" s="464">
        <f>SUMIFS(Income!$G:$G,Income!$H:$H, AQ$2,Income!$F:$F, $AL$1, Income!$B:$B, IF($AM122&lt;&gt;"", TEXT($AM122, "MMMM"), ""), Income!$C:$C, YEAR($AM122))+SUMIFS($T:$T, $U:$U,AQ$2,$Q:$Q,IF($AM122&lt;&gt;"", TEXT($AM122, "MMMM"), ""),$R:$R,YEAR($AM122))</f>
        <v>0</v>
      </c>
      <c r="AR122" s="464">
        <f>SUMIFS(Income!$G:$G,Income!$H:$H, AR$2,Income!$F:$F, $AL$1, Income!$B:$B, IF($AM122&lt;&gt;"", TEXT($AM122, "MMMM"), ""), Income!$C:$C, YEAR($AM122))+SUMIFS($T:$T, $U:$U,AR$2,$Q:$Q,IF($AM122&lt;&gt;"", TEXT($AM122, "MMMM"), ""),$R:$R,YEAR($AM122))</f>
        <v>0</v>
      </c>
      <c r="AS122" s="467">
        <f>SUMIFS(Income!$G:$G,Income!$H:$H, AS$2,Income!$F:$F, $AL$1, Income!$B:$B, IF($AM122&lt;&gt;"", TEXT($AM122, "MMMM"), ""), Income!$C:$C, YEAR($AM122))+SUMIFS($T:$T, $U:$U,AS$2,$Q:$Q,IF($AM122&lt;&gt;"", TEXT($AM122, "MMMM"), ""),$R:$R,YEAR($AM122))</f>
        <v>0</v>
      </c>
      <c r="AT122" s="428"/>
      <c r="AU122" s="463">
        <v>47453.0</v>
      </c>
      <c r="AV122" s="464">
        <f>SUMIFS(Income!$G:$G,Income!$H:$H, AV$2,Income!$F:$F, $AT$1, Income!$B:$B, IF($AU122&lt;&gt;"", TEXT($AU122, "MMMM"), ""), Income!$C:$C, YEAR($AU122))</f>
        <v>0</v>
      </c>
      <c r="AW122" s="464">
        <f>SUMIFS(Income!$G:$G,Income!$H:$H, AW$2,Income!$F:$F, $AT$1, Income!$B:$B, IF($AU122&lt;&gt;"", TEXT($AU122, "MMMM"), ""), Income!$C:$C, YEAR($AU122))</f>
        <v>0</v>
      </c>
      <c r="AX122" s="464">
        <f>SUMIFS(Income!$G:$G,Income!$H:$H, AX$2,Income!$F:$F, $AT$1, Income!$B:$B, IF($AU122&lt;&gt;"", TEXT($AU122, "MMMM"), ""), Income!$C:$C, YEAR($AU122))</f>
        <v>0</v>
      </c>
      <c r="AY122" s="464">
        <f>SUMIFS(Income!$G:$G,Income!$H:$H, AY$2,Income!$F:$F, $AT$1, Income!$B:$B, IF($AU122&lt;&gt;"", TEXT($AU122, "MMMM"), ""), Income!$C:$C, YEAR($AU122))</f>
        <v>0</v>
      </c>
      <c r="AZ122" s="464">
        <f>SUMIFS(Income!$G:$G,Income!$H:$H, AZ$2,Income!$F:$F, $AT$1, Income!$B:$B, IF($AU122&lt;&gt;"", TEXT($AU122, "MMMM"), ""), Income!$C:$C, YEAR($AU122))</f>
        <v>0</v>
      </c>
      <c r="BA122" s="468">
        <f>SUMIFS(Income!$G:$G,Income!$H:$H, BA$2,Income!$F:$F, $AT$1, Income!$B:$B, IF($AU122&lt;&gt;"", TEXT($AU122, "MMMM"), ""), Income!$C:$C, YEAR($AU122))</f>
        <v>0</v>
      </c>
      <c r="BB122" s="345"/>
      <c r="BC122" s="345"/>
      <c r="BD122" s="345"/>
      <c r="BE122" s="345"/>
    </row>
    <row r="123" ht="13.5" customHeight="1">
      <c r="A123" s="436">
        <f>'Membership Application List'!A352</f>
        <v>45529.39243</v>
      </c>
      <c r="B123" s="437" t="str">
        <f t="shared" si="6"/>
        <v>August</v>
      </c>
      <c r="C123" s="437">
        <f t="shared" si="7"/>
        <v>2024</v>
      </c>
      <c r="D123" s="438" t="str">
        <f>'Membership Application List'!E352</f>
        <v>Angelica Romero </v>
      </c>
      <c r="E123" s="438">
        <f>IF('Membership Application List'!J352 = "Food/Litter Donation", 0, IF('Membership Application List'!J352 = "$15 Donation, Discord Verification", IF('Membership Application List'!N352 = TRUE, 15, 0)))</f>
        <v>15</v>
      </c>
      <c r="F123" s="438">
        <f>if('Membership Application List'!K352=TRUE, 5,0)</f>
        <v>0</v>
      </c>
      <c r="G123" s="438">
        <f t="shared" si="8"/>
        <v>15</v>
      </c>
      <c r="H123" s="439" t="str">
        <f>'Membership Application List'!L352</f>
        <v>Cashapp</v>
      </c>
      <c r="I123" s="407" t="s">
        <v>788</v>
      </c>
      <c r="J123" s="463">
        <v>47484.0</v>
      </c>
      <c r="K123" s="464">
        <f t="shared" ref="K123:O123" si="81">SUMIFS($G:$G, $H:$H, K$2, $B:$B, IF($J123&lt;&gt;"", TEXT($J123, "MMMM"), ""), $C:$C, YEAR($J123))</f>
        <v>0</v>
      </c>
      <c r="L123" s="464">
        <f t="shared" si="81"/>
        <v>0</v>
      </c>
      <c r="M123" s="464">
        <f t="shared" si="81"/>
        <v>0</v>
      </c>
      <c r="N123" s="464">
        <f t="shared" si="81"/>
        <v>0</v>
      </c>
      <c r="O123" s="465">
        <f t="shared" si="81"/>
        <v>0</v>
      </c>
      <c r="P123" s="414"/>
      <c r="Q123" s="414"/>
      <c r="R123" s="414"/>
      <c r="V123" s="407" t="s">
        <v>788</v>
      </c>
      <c r="W123" s="463">
        <v>47484.0</v>
      </c>
      <c r="X123" s="464">
        <f>SUMIFS(Income!$G:$G,Income!$H:$H, X$2,Income!$F:$F, $V$1, Income!$B:$B, IF($W123&lt;&gt;"", TEXT($W123, "MMMM"), ""), Income!$C:$C, YEAR($W123))</f>
        <v>0</v>
      </c>
      <c r="Y123" s="464">
        <f>SUMIFS(Income!$G:$G,Income!$H:$H, Y$2,Income!$F:$F, $V$1, Income!$B:$B, IF($W123&lt;&gt;"", TEXT($W123, "MMMM"), ""), Income!$C:$C, YEAR($W123))</f>
        <v>0</v>
      </c>
      <c r="Z123" s="464">
        <f>SUMIFS(Income!$G:$G,Income!$H:$H, Z$2,Income!$F:$F, $V$1, Income!$B:$B, IF($W123&lt;&gt;"", TEXT($W123, "MMMM"), ""), Income!$C:$C, YEAR($W123))</f>
        <v>0</v>
      </c>
      <c r="AA123" s="464">
        <f>SUMIFS(Income!$G:$G,Income!$H:$H, AA$2,Income!$F:$F, $V$1, Income!$B:$B, IF($W123&lt;&gt;"", TEXT($W123, "MMMM"), ""), Income!$C:$C, YEAR($W123))</f>
        <v>0</v>
      </c>
      <c r="AB123" s="464">
        <f>SUMIFS(Income!$G:$G,Income!$H:$H, AB$2,Income!$F:$F, $V$1, Income!$B:$B, IF($W123&lt;&gt;"", TEXT($W123, "MMMM"), ""), Income!$C:$C, YEAR($W123))</f>
        <v>0</v>
      </c>
      <c r="AC123" s="467">
        <f>SUMIFS(Income!$G:$G,Income!$H:$H, AC$2,Income!$F:$F, $V$1, Income!$B:$B, IF($W123&lt;&gt;"", TEXT($W123, "MMMM"), ""), Income!$C:$C, YEAR($W123))</f>
        <v>0</v>
      </c>
      <c r="AD123" s="407" t="s">
        <v>788</v>
      </c>
      <c r="AE123" s="463">
        <v>47484.0</v>
      </c>
      <c r="AF123" s="464">
        <f>SUMIFS(Income!$G:$G,Income!$H:$H, AF$2,Income!$F:$F, $AD$1, Income!$B:$B, IF($AE123&lt;&gt;"", TEXT($AE123, "MMMM"), ""), Income!$C:$C, YEAR($AE123))</f>
        <v>0</v>
      </c>
      <c r="AG123" s="464">
        <f>SUMIFS(Income!$G:$G,Income!$H:$H, AG$2,Income!$F:$F, $AD$1, Income!$B:$B, IF($AE123&lt;&gt;"", TEXT($AE123, "MMMM"), ""), Income!$C:$C, YEAR($AE123))</f>
        <v>0</v>
      </c>
      <c r="AH123" s="464">
        <f>SUMIFS(Income!$G:$G,Income!$H:$H, AH$2,Income!$F:$F, $AD$1, Income!$B:$B, IF($AE123&lt;&gt;"", TEXT($AE123, "MMMM"), ""), Income!$C:$C, YEAR($AE123))</f>
        <v>0</v>
      </c>
      <c r="AI123" s="464">
        <f>SUMIFS(Income!$G:$G,Income!$H:$H, AI$2,Income!$F:$F, $AD$1, Income!$B:$B, IF($AE123&lt;&gt;"", TEXT($AE123, "MMMM"), ""), Income!$C:$C, YEAR($AE123))</f>
        <v>0</v>
      </c>
      <c r="AJ123" s="464">
        <f>SUMIFS(Income!$G:$G,Income!$H:$H, AJ$2,Income!$F:$F, $AD$1, Income!$B:$B, IF($AE123&lt;&gt;"", TEXT($AE123, "MMMM"), ""), Income!$C:$C, YEAR($AE123))</f>
        <v>0</v>
      </c>
      <c r="AK123" s="467">
        <f>SUMIFS(Income!$G:$G,Income!$H:$H, AK$2,Income!$F:$F, $AD$1, Income!$B:$B, IF($AE123&lt;&gt;"", TEXT($AE123, "MMMM"), ""), Income!$C:$C, YEAR($AE123))</f>
        <v>0</v>
      </c>
      <c r="AL123" s="407" t="s">
        <v>788</v>
      </c>
      <c r="AM123" s="463">
        <v>47484.0</v>
      </c>
      <c r="AN123" s="464">
        <f>SUMIFS(Income!$G:$G,Income!$H:$H, AN$2,Income!$F:$F, $AL$1, Income!$B:$B, IF($AM123&lt;&gt;"", TEXT($AM123, "MMMM"), ""), Income!$C:$C, YEAR($AM123))+SUMIFS($T:$T, $U:$U,AN$2,$Q:$Q,IF($AM123&lt;&gt;"", TEXT($AM123, "MMMM"), ""),$R:$R,YEAR($AM123))</f>
        <v>0</v>
      </c>
      <c r="AO123" s="464">
        <f>SUMIFS(Income!$G:$G,Income!$H:$H, AO$2,Income!$F:$F, $AL$1, Income!$B:$B, IF($AM123&lt;&gt;"", TEXT($AM123, "MMMM"), ""), Income!$C:$C, YEAR($AM123))+SUMIFS($T:$T, $U:$U,AO$2,$Q:$Q,IF($AM123&lt;&gt;"", TEXT($AM123, "MMMM"), ""),$R:$R,YEAR($AM123))</f>
        <v>0</v>
      </c>
      <c r="AP123" s="464">
        <f>SUMIFS(Income!$G:$G,Income!$H:$H, AP$2,Income!$F:$F, $AL$1, Income!$B:$B, IF($AM123&lt;&gt;"", TEXT($AM123, "MMMM"), ""), Income!$C:$C, YEAR($AM123))+SUMIFS($T:$T, $U:$U,AP$2,$Q:$Q,IF($AM123&lt;&gt;"", TEXT($AM123, "MMMM"), ""),$R:$R,YEAR($AM123))</f>
        <v>0</v>
      </c>
      <c r="AQ123" s="464">
        <f>SUMIFS(Income!$G:$G,Income!$H:$H, AQ$2,Income!$F:$F, $AL$1, Income!$B:$B, IF($AM123&lt;&gt;"", TEXT($AM123, "MMMM"), ""), Income!$C:$C, YEAR($AM123))+SUMIFS($T:$T, $U:$U,AQ$2,$Q:$Q,IF($AM123&lt;&gt;"", TEXT($AM123, "MMMM"), ""),$R:$R,YEAR($AM123))</f>
        <v>0</v>
      </c>
      <c r="AR123" s="464">
        <f>SUMIFS(Income!$G:$G,Income!$H:$H, AR$2,Income!$F:$F, $AL$1, Income!$B:$B, IF($AM123&lt;&gt;"", TEXT($AM123, "MMMM"), ""), Income!$C:$C, YEAR($AM123))+SUMIFS($T:$T, $U:$U,AR$2,$Q:$Q,IF($AM123&lt;&gt;"", TEXT($AM123, "MMMM"), ""),$R:$R,YEAR($AM123))</f>
        <v>0</v>
      </c>
      <c r="AS123" s="467">
        <f>SUMIFS(Income!$G:$G,Income!$H:$H, AS$2,Income!$F:$F, $AL$1, Income!$B:$B, IF($AM123&lt;&gt;"", TEXT($AM123, "MMMM"), ""), Income!$C:$C, YEAR($AM123))+SUMIFS($T:$T, $U:$U,AS$2,$Q:$Q,IF($AM123&lt;&gt;"", TEXT($AM123, "MMMM"), ""),$R:$R,YEAR($AM123))</f>
        <v>0</v>
      </c>
      <c r="AT123" s="407" t="s">
        <v>788</v>
      </c>
      <c r="AU123" s="463">
        <v>47484.0</v>
      </c>
      <c r="AV123" s="464">
        <f>SUMIFS(Income!$G:$G,Income!$H:$H, AV$2,Income!$F:$F, $AT$1, Income!$B:$B, IF($AU123&lt;&gt;"", TEXT($AU123, "MMMM"), ""), Income!$C:$C, YEAR($AU123))</f>
        <v>0</v>
      </c>
      <c r="AW123" s="464">
        <f>SUMIFS(Income!$G:$G,Income!$H:$H, AW$2,Income!$F:$F, $AT$1, Income!$B:$B, IF($AU123&lt;&gt;"", TEXT($AU123, "MMMM"), ""), Income!$C:$C, YEAR($AU123))</f>
        <v>0</v>
      </c>
      <c r="AX123" s="464">
        <f>SUMIFS(Income!$G:$G,Income!$H:$H, AX$2,Income!$F:$F, $AT$1, Income!$B:$B, IF($AU123&lt;&gt;"", TEXT($AU123, "MMMM"), ""), Income!$C:$C, YEAR($AU123))</f>
        <v>0</v>
      </c>
      <c r="AY123" s="464">
        <f>SUMIFS(Income!$G:$G,Income!$H:$H, AY$2,Income!$F:$F, $AT$1, Income!$B:$B, IF($AU123&lt;&gt;"", TEXT($AU123, "MMMM"), ""), Income!$C:$C, YEAR($AU123))</f>
        <v>0</v>
      </c>
      <c r="AZ123" s="464">
        <f>SUMIFS(Income!$G:$G,Income!$H:$H, AZ$2,Income!$F:$F, $AT$1, Income!$B:$B, IF($AU123&lt;&gt;"", TEXT($AU123, "MMMM"), ""), Income!$C:$C, YEAR($AU123))</f>
        <v>0</v>
      </c>
      <c r="BA123" s="468">
        <f>SUMIFS(Income!$G:$G,Income!$H:$H, BA$2,Income!$F:$F, $AT$1, Income!$B:$B, IF($AU123&lt;&gt;"", TEXT($AU123, "MMMM"), ""), Income!$C:$C, YEAR($AU123))</f>
        <v>0</v>
      </c>
      <c r="BB123" s="345"/>
      <c r="BC123" s="345"/>
      <c r="BD123" s="345"/>
      <c r="BE123" s="345"/>
    </row>
    <row r="124" ht="13.5" customHeight="1">
      <c r="A124" s="424">
        <f>'Membership Application List'!A353</f>
        <v>45530.41465</v>
      </c>
      <c r="B124" s="443" t="str">
        <f t="shared" si="6"/>
        <v>August</v>
      </c>
      <c r="C124" s="443">
        <f t="shared" si="7"/>
        <v>2024</v>
      </c>
      <c r="D124" s="426" t="str">
        <f>'Membership Application List'!E353</f>
        <v>Sarah Crews</v>
      </c>
      <c r="E124" s="426">
        <f>IF('Membership Application List'!J353 = "Food/Litter Donation", 0, IF('Membership Application List'!J353 = "$15 Donation, Discord Verification", IF('Membership Application List'!N353 = TRUE, 15, 0)))</f>
        <v>0</v>
      </c>
      <c r="F124" s="426">
        <f>if('Membership Application List'!K353=TRUE, 5,0)</f>
        <v>0</v>
      </c>
      <c r="G124" s="426">
        <f t="shared" si="8"/>
        <v>0</v>
      </c>
      <c r="H124" s="427" t="str">
        <f>'Membership Application List'!L353</f>
        <v>Cashapp</v>
      </c>
      <c r="I124" s="428"/>
      <c r="J124" s="463">
        <v>47515.0</v>
      </c>
      <c r="K124" s="464">
        <f t="shared" ref="K124:O124" si="82">SUMIFS($G:$G, $H:$H, K$2, $B:$B, IF($J124&lt;&gt;"", TEXT($J124, "MMMM"), ""), $C:$C, YEAR($J124))</f>
        <v>0</v>
      </c>
      <c r="L124" s="464">
        <f t="shared" si="82"/>
        <v>0</v>
      </c>
      <c r="M124" s="464">
        <f t="shared" si="82"/>
        <v>0</v>
      </c>
      <c r="N124" s="464">
        <f t="shared" si="82"/>
        <v>0</v>
      </c>
      <c r="O124" s="465">
        <f t="shared" si="82"/>
        <v>0</v>
      </c>
      <c r="P124" s="414"/>
      <c r="Q124" s="414"/>
      <c r="R124" s="414"/>
      <c r="V124" s="428"/>
      <c r="W124" s="463">
        <v>47515.0</v>
      </c>
      <c r="X124" s="464">
        <f>SUMIFS(Income!$G:$G,Income!$H:$H, X$2,Income!$F:$F, $V$1, Income!$B:$B, IF($W124&lt;&gt;"", TEXT($W124, "MMMM"), ""), Income!$C:$C, YEAR($W124))</f>
        <v>0</v>
      </c>
      <c r="Y124" s="464">
        <f>SUMIFS(Income!$G:$G,Income!$H:$H, Y$2,Income!$F:$F, $V$1, Income!$B:$B, IF($W124&lt;&gt;"", TEXT($W124, "MMMM"), ""), Income!$C:$C, YEAR($W124))</f>
        <v>0</v>
      </c>
      <c r="Z124" s="464">
        <f>SUMIFS(Income!$G:$G,Income!$H:$H, Z$2,Income!$F:$F, $V$1, Income!$B:$B, IF($W124&lt;&gt;"", TEXT($W124, "MMMM"), ""), Income!$C:$C, YEAR($W124))</f>
        <v>0</v>
      </c>
      <c r="AA124" s="464">
        <f>SUMIFS(Income!$G:$G,Income!$H:$H, AA$2,Income!$F:$F, $V$1, Income!$B:$B, IF($W124&lt;&gt;"", TEXT($W124, "MMMM"), ""), Income!$C:$C, YEAR($W124))</f>
        <v>0</v>
      </c>
      <c r="AB124" s="464">
        <f>SUMIFS(Income!$G:$G,Income!$H:$H, AB$2,Income!$F:$F, $V$1, Income!$B:$B, IF($W124&lt;&gt;"", TEXT($W124, "MMMM"), ""), Income!$C:$C, YEAR($W124))</f>
        <v>0</v>
      </c>
      <c r="AC124" s="467">
        <f>SUMIFS(Income!$G:$G,Income!$H:$H, AC$2,Income!$F:$F, $V$1, Income!$B:$B, IF($W124&lt;&gt;"", TEXT($W124, "MMMM"), ""), Income!$C:$C, YEAR($W124))</f>
        <v>0</v>
      </c>
      <c r="AD124" s="428"/>
      <c r="AE124" s="463">
        <v>47515.0</v>
      </c>
      <c r="AF124" s="464">
        <f>SUMIFS(Income!$G:$G,Income!$H:$H, AF$2,Income!$F:$F, $AD$1, Income!$B:$B, IF($AE124&lt;&gt;"", TEXT($AE124, "MMMM"), ""), Income!$C:$C, YEAR($AE124))</f>
        <v>0</v>
      </c>
      <c r="AG124" s="464">
        <f>SUMIFS(Income!$G:$G,Income!$H:$H, AG$2,Income!$F:$F, $AD$1, Income!$B:$B, IF($AE124&lt;&gt;"", TEXT($AE124, "MMMM"), ""), Income!$C:$C, YEAR($AE124))</f>
        <v>0</v>
      </c>
      <c r="AH124" s="464">
        <f>SUMIFS(Income!$G:$G,Income!$H:$H, AH$2,Income!$F:$F, $AD$1, Income!$B:$B, IF($AE124&lt;&gt;"", TEXT($AE124, "MMMM"), ""), Income!$C:$C, YEAR($AE124))</f>
        <v>0</v>
      </c>
      <c r="AI124" s="464">
        <f>SUMIFS(Income!$G:$G,Income!$H:$H, AI$2,Income!$F:$F, $AD$1, Income!$B:$B, IF($AE124&lt;&gt;"", TEXT($AE124, "MMMM"), ""), Income!$C:$C, YEAR($AE124))</f>
        <v>0</v>
      </c>
      <c r="AJ124" s="464">
        <f>SUMIFS(Income!$G:$G,Income!$H:$H, AJ$2,Income!$F:$F, $AD$1, Income!$B:$B, IF($AE124&lt;&gt;"", TEXT($AE124, "MMMM"), ""), Income!$C:$C, YEAR($AE124))</f>
        <v>0</v>
      </c>
      <c r="AK124" s="467">
        <f>SUMIFS(Income!$G:$G,Income!$H:$H, AK$2,Income!$F:$F, $AD$1, Income!$B:$B, IF($AE124&lt;&gt;"", TEXT($AE124, "MMMM"), ""), Income!$C:$C, YEAR($AE124))</f>
        <v>0</v>
      </c>
      <c r="AL124" s="428"/>
      <c r="AM124" s="463">
        <v>47515.0</v>
      </c>
      <c r="AN124" s="464">
        <f>SUMIFS(Income!$G:$G,Income!$H:$H, AN$2,Income!$F:$F, $AL$1, Income!$B:$B, IF($AM124&lt;&gt;"", TEXT($AM124, "MMMM"), ""), Income!$C:$C, YEAR($AM124))+SUMIFS($T:$T, $U:$U,AN$2,$Q:$Q,IF($AM124&lt;&gt;"", TEXT($AM124, "MMMM"), ""),$R:$R,YEAR($AM124))</f>
        <v>0</v>
      </c>
      <c r="AO124" s="464">
        <f>SUMIFS(Income!$G:$G,Income!$H:$H, AO$2,Income!$F:$F, $AL$1, Income!$B:$B, IF($AM124&lt;&gt;"", TEXT($AM124, "MMMM"), ""), Income!$C:$C, YEAR($AM124))+SUMIFS($T:$T, $U:$U,AO$2,$Q:$Q,IF($AM124&lt;&gt;"", TEXT($AM124, "MMMM"), ""),$R:$R,YEAR($AM124))</f>
        <v>0</v>
      </c>
      <c r="AP124" s="464">
        <f>SUMIFS(Income!$G:$G,Income!$H:$H, AP$2,Income!$F:$F, $AL$1, Income!$B:$B, IF($AM124&lt;&gt;"", TEXT($AM124, "MMMM"), ""), Income!$C:$C, YEAR($AM124))+SUMIFS($T:$T, $U:$U,AP$2,$Q:$Q,IF($AM124&lt;&gt;"", TEXT($AM124, "MMMM"), ""),$R:$R,YEAR($AM124))</f>
        <v>0</v>
      </c>
      <c r="AQ124" s="464">
        <f>SUMIFS(Income!$G:$G,Income!$H:$H, AQ$2,Income!$F:$F, $AL$1, Income!$B:$B, IF($AM124&lt;&gt;"", TEXT($AM124, "MMMM"), ""), Income!$C:$C, YEAR($AM124))+SUMIFS($T:$T, $U:$U,AQ$2,$Q:$Q,IF($AM124&lt;&gt;"", TEXT($AM124, "MMMM"), ""),$R:$R,YEAR($AM124))</f>
        <v>0</v>
      </c>
      <c r="AR124" s="464">
        <f>SUMIFS(Income!$G:$G,Income!$H:$H, AR$2,Income!$F:$F, $AL$1, Income!$B:$B, IF($AM124&lt;&gt;"", TEXT($AM124, "MMMM"), ""), Income!$C:$C, YEAR($AM124))+SUMIFS($T:$T, $U:$U,AR$2,$Q:$Q,IF($AM124&lt;&gt;"", TEXT($AM124, "MMMM"), ""),$R:$R,YEAR($AM124))</f>
        <v>0</v>
      </c>
      <c r="AS124" s="467">
        <f>SUMIFS(Income!$G:$G,Income!$H:$H, AS$2,Income!$F:$F, $AL$1, Income!$B:$B, IF($AM124&lt;&gt;"", TEXT($AM124, "MMMM"), ""), Income!$C:$C, YEAR($AM124))+SUMIFS($T:$T, $U:$U,AS$2,$Q:$Q,IF($AM124&lt;&gt;"", TEXT($AM124, "MMMM"), ""),$R:$R,YEAR($AM124))</f>
        <v>0</v>
      </c>
      <c r="AT124" s="428"/>
      <c r="AU124" s="463">
        <v>47515.0</v>
      </c>
      <c r="AV124" s="464">
        <f>SUMIFS(Income!$G:$G,Income!$H:$H, AV$2,Income!$F:$F, $AT$1, Income!$B:$B, IF($AU124&lt;&gt;"", TEXT($AU124, "MMMM"), ""), Income!$C:$C, YEAR($AU124))</f>
        <v>0</v>
      </c>
      <c r="AW124" s="464">
        <f>SUMIFS(Income!$G:$G,Income!$H:$H, AW$2,Income!$F:$F, $AT$1, Income!$B:$B, IF($AU124&lt;&gt;"", TEXT($AU124, "MMMM"), ""), Income!$C:$C, YEAR($AU124))</f>
        <v>0</v>
      </c>
      <c r="AX124" s="464">
        <f>SUMIFS(Income!$G:$G,Income!$H:$H, AX$2,Income!$F:$F, $AT$1, Income!$B:$B, IF($AU124&lt;&gt;"", TEXT($AU124, "MMMM"), ""), Income!$C:$C, YEAR($AU124))</f>
        <v>0</v>
      </c>
      <c r="AY124" s="464">
        <f>SUMIFS(Income!$G:$G,Income!$H:$H, AY$2,Income!$F:$F, $AT$1, Income!$B:$B, IF($AU124&lt;&gt;"", TEXT($AU124, "MMMM"), ""), Income!$C:$C, YEAR($AU124))</f>
        <v>0</v>
      </c>
      <c r="AZ124" s="464">
        <f>SUMIFS(Income!$G:$G,Income!$H:$H, AZ$2,Income!$F:$F, $AT$1, Income!$B:$B, IF($AU124&lt;&gt;"", TEXT($AU124, "MMMM"), ""), Income!$C:$C, YEAR($AU124))</f>
        <v>0</v>
      </c>
      <c r="BA124" s="468">
        <f>SUMIFS(Income!$G:$G,Income!$H:$H, BA$2,Income!$F:$F, $AT$1, Income!$B:$B, IF($AU124&lt;&gt;"", TEXT($AU124, "MMMM"), ""), Income!$C:$C, YEAR($AU124))</f>
        <v>0</v>
      </c>
      <c r="BB124" s="345"/>
      <c r="BC124" s="345"/>
      <c r="BD124" s="345"/>
      <c r="BE124" s="345"/>
    </row>
    <row r="125" ht="13.5" customHeight="1">
      <c r="A125" s="436">
        <f>'Membership Application List'!A354</f>
        <v>45530.54804</v>
      </c>
      <c r="B125" s="437" t="str">
        <f t="shared" si="6"/>
        <v>August</v>
      </c>
      <c r="C125" s="437">
        <f t="shared" si="7"/>
        <v>2024</v>
      </c>
      <c r="D125" s="438" t="str">
        <f>'Membership Application List'!E354</f>
        <v>Makayla Guerra</v>
      </c>
      <c r="E125" s="438">
        <f>IF('Membership Application List'!J354 = "Food/Litter Donation", 0, IF('Membership Application List'!J354 = "$15 Donation, Discord Verification", IF('Membership Application List'!N354 = TRUE, 15, 0)))</f>
        <v>15</v>
      </c>
      <c r="F125" s="438">
        <f>if('Membership Application List'!K354=TRUE, 5,0)</f>
        <v>0</v>
      </c>
      <c r="G125" s="438">
        <f t="shared" si="8"/>
        <v>15</v>
      </c>
      <c r="H125" s="439" t="str">
        <f>'Membership Application List'!L354</f>
        <v>Cash</v>
      </c>
      <c r="I125" s="428"/>
      <c r="J125" s="463">
        <v>47543.0</v>
      </c>
      <c r="K125" s="464">
        <f t="shared" ref="K125:O125" si="83">SUMIFS($G:$G, $H:$H, K$2, $B:$B, IF($J125&lt;&gt;"", TEXT($J125, "MMMM"), ""), $C:$C, YEAR($J125))</f>
        <v>0</v>
      </c>
      <c r="L125" s="464">
        <f t="shared" si="83"/>
        <v>0</v>
      </c>
      <c r="M125" s="464">
        <f t="shared" si="83"/>
        <v>0</v>
      </c>
      <c r="N125" s="464">
        <f t="shared" si="83"/>
        <v>0</v>
      </c>
      <c r="O125" s="465">
        <f t="shared" si="83"/>
        <v>0</v>
      </c>
      <c r="P125" s="414"/>
      <c r="Q125" s="414"/>
      <c r="R125" s="414"/>
      <c r="V125" s="428"/>
      <c r="W125" s="463">
        <v>47543.0</v>
      </c>
      <c r="X125" s="464">
        <f>SUMIFS(Income!$G:$G,Income!$H:$H, X$2,Income!$F:$F, $V$1, Income!$B:$B, IF($W125&lt;&gt;"", TEXT($W125, "MMMM"), ""), Income!$C:$C, YEAR($W125))</f>
        <v>0</v>
      </c>
      <c r="Y125" s="464">
        <f>SUMIFS(Income!$G:$G,Income!$H:$H, Y$2,Income!$F:$F, $V$1, Income!$B:$B, IF($W125&lt;&gt;"", TEXT($W125, "MMMM"), ""), Income!$C:$C, YEAR($W125))</f>
        <v>0</v>
      </c>
      <c r="Z125" s="464">
        <f>SUMIFS(Income!$G:$G,Income!$H:$H, Z$2,Income!$F:$F, $V$1, Income!$B:$B, IF($W125&lt;&gt;"", TEXT($W125, "MMMM"), ""), Income!$C:$C, YEAR($W125))</f>
        <v>0</v>
      </c>
      <c r="AA125" s="464">
        <f>SUMIFS(Income!$G:$G,Income!$H:$H, AA$2,Income!$F:$F, $V$1, Income!$B:$B, IF($W125&lt;&gt;"", TEXT($W125, "MMMM"), ""), Income!$C:$C, YEAR($W125))</f>
        <v>0</v>
      </c>
      <c r="AB125" s="464">
        <f>SUMIFS(Income!$G:$G,Income!$H:$H, AB$2,Income!$F:$F, $V$1, Income!$B:$B, IF($W125&lt;&gt;"", TEXT($W125, "MMMM"), ""), Income!$C:$C, YEAR($W125))</f>
        <v>0</v>
      </c>
      <c r="AC125" s="467">
        <f>SUMIFS(Income!$G:$G,Income!$H:$H, AC$2,Income!$F:$F, $V$1, Income!$B:$B, IF($W125&lt;&gt;"", TEXT($W125, "MMMM"), ""), Income!$C:$C, YEAR($W125))</f>
        <v>0</v>
      </c>
      <c r="AD125" s="428"/>
      <c r="AE125" s="463">
        <v>47543.0</v>
      </c>
      <c r="AF125" s="464">
        <f>SUMIFS(Income!$G:$G,Income!$H:$H, AF$2,Income!$F:$F, $AD$1, Income!$B:$B, IF($AE125&lt;&gt;"", TEXT($AE125, "MMMM"), ""), Income!$C:$C, YEAR($AE125))</f>
        <v>0</v>
      </c>
      <c r="AG125" s="464">
        <f>SUMIFS(Income!$G:$G,Income!$H:$H, AG$2,Income!$F:$F, $AD$1, Income!$B:$B, IF($AE125&lt;&gt;"", TEXT($AE125, "MMMM"), ""), Income!$C:$C, YEAR($AE125))</f>
        <v>0</v>
      </c>
      <c r="AH125" s="464">
        <f>SUMIFS(Income!$G:$G,Income!$H:$H, AH$2,Income!$F:$F, $AD$1, Income!$B:$B, IF($AE125&lt;&gt;"", TEXT($AE125, "MMMM"), ""), Income!$C:$C, YEAR($AE125))</f>
        <v>0</v>
      </c>
      <c r="AI125" s="464">
        <f>SUMIFS(Income!$G:$G,Income!$H:$H, AI$2,Income!$F:$F, $AD$1, Income!$B:$B, IF($AE125&lt;&gt;"", TEXT($AE125, "MMMM"), ""), Income!$C:$C, YEAR($AE125))</f>
        <v>0</v>
      </c>
      <c r="AJ125" s="464">
        <f>SUMIFS(Income!$G:$G,Income!$H:$H, AJ$2,Income!$F:$F, $AD$1, Income!$B:$B, IF($AE125&lt;&gt;"", TEXT($AE125, "MMMM"), ""), Income!$C:$C, YEAR($AE125))</f>
        <v>0</v>
      </c>
      <c r="AK125" s="467">
        <f>SUMIFS(Income!$G:$G,Income!$H:$H, AK$2,Income!$F:$F, $AD$1, Income!$B:$B, IF($AE125&lt;&gt;"", TEXT($AE125, "MMMM"), ""), Income!$C:$C, YEAR($AE125))</f>
        <v>0</v>
      </c>
      <c r="AL125" s="428"/>
      <c r="AM125" s="463">
        <v>47543.0</v>
      </c>
      <c r="AN125" s="464">
        <f>SUMIFS(Income!$G:$G,Income!$H:$H, AN$2,Income!$F:$F, $AL$1, Income!$B:$B, IF($AM125&lt;&gt;"", TEXT($AM125, "MMMM"), ""), Income!$C:$C, YEAR($AM125))+SUMIFS($T:$T, $U:$U,AN$2,$Q:$Q,IF($AM125&lt;&gt;"", TEXT($AM125, "MMMM"), ""),$R:$R,YEAR($AM125))</f>
        <v>0</v>
      </c>
      <c r="AO125" s="464">
        <f>SUMIFS(Income!$G:$G,Income!$H:$H, AO$2,Income!$F:$F, $AL$1, Income!$B:$B, IF($AM125&lt;&gt;"", TEXT($AM125, "MMMM"), ""), Income!$C:$C, YEAR($AM125))+SUMIFS($T:$T, $U:$U,AO$2,$Q:$Q,IF($AM125&lt;&gt;"", TEXT($AM125, "MMMM"), ""),$R:$R,YEAR($AM125))</f>
        <v>0</v>
      </c>
      <c r="AP125" s="464">
        <f>SUMIFS(Income!$G:$G,Income!$H:$H, AP$2,Income!$F:$F, $AL$1, Income!$B:$B, IF($AM125&lt;&gt;"", TEXT($AM125, "MMMM"), ""), Income!$C:$C, YEAR($AM125))+SUMIFS($T:$T, $U:$U,AP$2,$Q:$Q,IF($AM125&lt;&gt;"", TEXT($AM125, "MMMM"), ""),$R:$R,YEAR($AM125))</f>
        <v>0</v>
      </c>
      <c r="AQ125" s="464">
        <f>SUMIFS(Income!$G:$G,Income!$H:$H, AQ$2,Income!$F:$F, $AL$1, Income!$B:$B, IF($AM125&lt;&gt;"", TEXT($AM125, "MMMM"), ""), Income!$C:$C, YEAR($AM125))+SUMIFS($T:$T, $U:$U,AQ$2,$Q:$Q,IF($AM125&lt;&gt;"", TEXT($AM125, "MMMM"), ""),$R:$R,YEAR($AM125))</f>
        <v>0</v>
      </c>
      <c r="AR125" s="464">
        <f>SUMIFS(Income!$G:$G,Income!$H:$H, AR$2,Income!$F:$F, $AL$1, Income!$B:$B, IF($AM125&lt;&gt;"", TEXT($AM125, "MMMM"), ""), Income!$C:$C, YEAR($AM125))+SUMIFS($T:$T, $U:$U,AR$2,$Q:$Q,IF($AM125&lt;&gt;"", TEXT($AM125, "MMMM"), ""),$R:$R,YEAR($AM125))</f>
        <v>0</v>
      </c>
      <c r="AS125" s="467">
        <f>SUMIFS(Income!$G:$G,Income!$H:$H, AS$2,Income!$F:$F, $AL$1, Income!$B:$B, IF($AM125&lt;&gt;"", TEXT($AM125, "MMMM"), ""), Income!$C:$C, YEAR($AM125))+SUMIFS($T:$T, $U:$U,AS$2,$Q:$Q,IF($AM125&lt;&gt;"", TEXT($AM125, "MMMM"), ""),$R:$R,YEAR($AM125))</f>
        <v>0</v>
      </c>
      <c r="AT125" s="428"/>
      <c r="AU125" s="463">
        <v>47543.0</v>
      </c>
      <c r="AV125" s="464">
        <f>SUMIFS(Income!$G:$G,Income!$H:$H, AV$2,Income!$F:$F, $AT$1, Income!$B:$B, IF($AU125&lt;&gt;"", TEXT($AU125, "MMMM"), ""), Income!$C:$C, YEAR($AU125))</f>
        <v>0</v>
      </c>
      <c r="AW125" s="464">
        <f>SUMIFS(Income!$G:$G,Income!$H:$H, AW$2,Income!$F:$F, $AT$1, Income!$B:$B, IF($AU125&lt;&gt;"", TEXT($AU125, "MMMM"), ""), Income!$C:$C, YEAR($AU125))</f>
        <v>0</v>
      </c>
      <c r="AX125" s="464">
        <f>SUMIFS(Income!$G:$G,Income!$H:$H, AX$2,Income!$F:$F, $AT$1, Income!$B:$B, IF($AU125&lt;&gt;"", TEXT($AU125, "MMMM"), ""), Income!$C:$C, YEAR($AU125))</f>
        <v>0</v>
      </c>
      <c r="AY125" s="464">
        <f>SUMIFS(Income!$G:$G,Income!$H:$H, AY$2,Income!$F:$F, $AT$1, Income!$B:$B, IF($AU125&lt;&gt;"", TEXT($AU125, "MMMM"), ""), Income!$C:$C, YEAR($AU125))</f>
        <v>0</v>
      </c>
      <c r="AZ125" s="464">
        <f>SUMIFS(Income!$G:$G,Income!$H:$H, AZ$2,Income!$F:$F, $AT$1, Income!$B:$B, IF($AU125&lt;&gt;"", TEXT($AU125, "MMMM"), ""), Income!$C:$C, YEAR($AU125))</f>
        <v>0</v>
      </c>
      <c r="BA125" s="468">
        <f>SUMIFS(Income!$G:$G,Income!$H:$H, BA$2,Income!$F:$F, $AT$1, Income!$B:$B, IF($AU125&lt;&gt;"", TEXT($AU125, "MMMM"), ""), Income!$C:$C, YEAR($AU125))</f>
        <v>0</v>
      </c>
      <c r="BB125" s="345"/>
      <c r="BC125" s="345"/>
      <c r="BD125" s="345"/>
      <c r="BE125" s="345"/>
    </row>
    <row r="126" ht="13.5" customHeight="1">
      <c r="A126" s="424">
        <f>'Membership Application List'!A355</f>
        <v>45530.71569</v>
      </c>
      <c r="B126" s="443" t="str">
        <f t="shared" si="6"/>
        <v>August</v>
      </c>
      <c r="C126" s="443">
        <f t="shared" si="7"/>
        <v>2024</v>
      </c>
      <c r="D126" s="426" t="str">
        <f>'Membership Application List'!E355</f>
        <v>Chloe Dunbar</v>
      </c>
      <c r="E126" s="426">
        <f>IF('Membership Application List'!J355 = "Food/Litter Donation", 0, IF('Membership Application List'!J355 = "$15 Donation, Discord Verification", IF('Membership Application List'!N355 = TRUE, 15, 0)))</f>
        <v>15</v>
      </c>
      <c r="F126" s="426">
        <f>if('Membership Application List'!K355=TRUE, 5,0)</f>
        <v>0</v>
      </c>
      <c r="G126" s="426">
        <f t="shared" si="8"/>
        <v>15</v>
      </c>
      <c r="H126" s="427" t="str">
        <f>'Membership Application List'!L355</f>
        <v>Venmo</v>
      </c>
      <c r="I126" s="428"/>
      <c r="J126" s="463">
        <v>47574.0</v>
      </c>
      <c r="K126" s="464">
        <f t="shared" ref="K126:O126" si="84">SUMIFS($G:$G, $H:$H, K$2, $B:$B, IF($J126&lt;&gt;"", TEXT($J126, "MMMM"), ""), $C:$C, YEAR($J126))</f>
        <v>0</v>
      </c>
      <c r="L126" s="464">
        <f t="shared" si="84"/>
        <v>0</v>
      </c>
      <c r="M126" s="464">
        <f t="shared" si="84"/>
        <v>0</v>
      </c>
      <c r="N126" s="464">
        <f t="shared" si="84"/>
        <v>0</v>
      </c>
      <c r="O126" s="465">
        <f t="shared" si="84"/>
        <v>0</v>
      </c>
      <c r="P126" s="414"/>
      <c r="Q126" s="414"/>
      <c r="R126" s="414"/>
      <c r="V126" s="428"/>
      <c r="W126" s="463">
        <v>47574.0</v>
      </c>
      <c r="X126" s="464">
        <f>SUMIFS(Income!$G:$G,Income!$H:$H, X$2,Income!$F:$F, $V$1, Income!$B:$B, IF($W126&lt;&gt;"", TEXT($W126, "MMMM"), ""), Income!$C:$C, YEAR($W126))</f>
        <v>0</v>
      </c>
      <c r="Y126" s="464">
        <f>SUMIFS(Income!$G:$G,Income!$H:$H, Y$2,Income!$F:$F, $V$1, Income!$B:$B, IF($W126&lt;&gt;"", TEXT($W126, "MMMM"), ""), Income!$C:$C, YEAR($W126))</f>
        <v>0</v>
      </c>
      <c r="Z126" s="464">
        <f>SUMIFS(Income!$G:$G,Income!$H:$H, Z$2,Income!$F:$F, $V$1, Income!$B:$B, IF($W126&lt;&gt;"", TEXT($W126, "MMMM"), ""), Income!$C:$C, YEAR($W126))</f>
        <v>0</v>
      </c>
      <c r="AA126" s="464">
        <f>SUMIFS(Income!$G:$G,Income!$H:$H, AA$2,Income!$F:$F, $V$1, Income!$B:$B, IF($W126&lt;&gt;"", TEXT($W126, "MMMM"), ""), Income!$C:$C, YEAR($W126))</f>
        <v>0</v>
      </c>
      <c r="AB126" s="464">
        <f>SUMIFS(Income!$G:$G,Income!$H:$H, AB$2,Income!$F:$F, $V$1, Income!$B:$B, IF($W126&lt;&gt;"", TEXT($W126, "MMMM"), ""), Income!$C:$C, YEAR($W126))</f>
        <v>0</v>
      </c>
      <c r="AC126" s="467">
        <f>SUMIFS(Income!$G:$G,Income!$H:$H, AC$2,Income!$F:$F, $V$1, Income!$B:$B, IF($W126&lt;&gt;"", TEXT($W126, "MMMM"), ""), Income!$C:$C, YEAR($W126))</f>
        <v>0</v>
      </c>
      <c r="AD126" s="428"/>
      <c r="AE126" s="463">
        <v>47574.0</v>
      </c>
      <c r="AF126" s="464">
        <f>SUMIFS(Income!$G:$G,Income!$H:$H, AF$2,Income!$F:$F, $AD$1, Income!$B:$B, IF($AE126&lt;&gt;"", TEXT($AE126, "MMMM"), ""), Income!$C:$C, YEAR($AE126))</f>
        <v>0</v>
      </c>
      <c r="AG126" s="464">
        <f>SUMIFS(Income!$G:$G,Income!$H:$H, AG$2,Income!$F:$F, $AD$1, Income!$B:$B, IF($AE126&lt;&gt;"", TEXT($AE126, "MMMM"), ""), Income!$C:$C, YEAR($AE126))</f>
        <v>0</v>
      </c>
      <c r="AH126" s="464">
        <f>SUMIFS(Income!$G:$G,Income!$H:$H, AH$2,Income!$F:$F, $AD$1, Income!$B:$B, IF($AE126&lt;&gt;"", TEXT($AE126, "MMMM"), ""), Income!$C:$C, YEAR($AE126))</f>
        <v>0</v>
      </c>
      <c r="AI126" s="464">
        <f>SUMIFS(Income!$G:$G,Income!$H:$H, AI$2,Income!$F:$F, $AD$1, Income!$B:$B, IF($AE126&lt;&gt;"", TEXT($AE126, "MMMM"), ""), Income!$C:$C, YEAR($AE126))</f>
        <v>0</v>
      </c>
      <c r="AJ126" s="464">
        <f>SUMIFS(Income!$G:$G,Income!$H:$H, AJ$2,Income!$F:$F, $AD$1, Income!$B:$B, IF($AE126&lt;&gt;"", TEXT($AE126, "MMMM"), ""), Income!$C:$C, YEAR($AE126))</f>
        <v>0</v>
      </c>
      <c r="AK126" s="467">
        <f>SUMIFS(Income!$G:$G,Income!$H:$H, AK$2,Income!$F:$F, $AD$1, Income!$B:$B, IF($AE126&lt;&gt;"", TEXT($AE126, "MMMM"), ""), Income!$C:$C, YEAR($AE126))</f>
        <v>0</v>
      </c>
      <c r="AL126" s="428"/>
      <c r="AM126" s="463">
        <v>47574.0</v>
      </c>
      <c r="AN126" s="464">
        <f>SUMIFS(Income!$G:$G,Income!$H:$H, AN$2,Income!$F:$F, $AL$1, Income!$B:$B, IF($AM126&lt;&gt;"", TEXT($AM126, "MMMM"), ""), Income!$C:$C, YEAR($AM126))+SUMIFS($T:$T, $U:$U,AN$2,$Q:$Q,IF($AM126&lt;&gt;"", TEXT($AM126, "MMMM"), ""),$R:$R,YEAR($AM126))</f>
        <v>0</v>
      </c>
      <c r="AO126" s="464">
        <f>SUMIFS(Income!$G:$G,Income!$H:$H, AO$2,Income!$F:$F, $AL$1, Income!$B:$B, IF($AM126&lt;&gt;"", TEXT($AM126, "MMMM"), ""), Income!$C:$C, YEAR($AM126))+SUMIFS($T:$T, $U:$U,AO$2,$Q:$Q,IF($AM126&lt;&gt;"", TEXT($AM126, "MMMM"), ""),$R:$R,YEAR($AM126))</f>
        <v>0</v>
      </c>
      <c r="AP126" s="464">
        <f>SUMIFS(Income!$G:$G,Income!$H:$H, AP$2,Income!$F:$F, $AL$1, Income!$B:$B, IF($AM126&lt;&gt;"", TEXT($AM126, "MMMM"), ""), Income!$C:$C, YEAR($AM126))+SUMIFS($T:$T, $U:$U,AP$2,$Q:$Q,IF($AM126&lt;&gt;"", TEXT($AM126, "MMMM"), ""),$R:$R,YEAR($AM126))</f>
        <v>0</v>
      </c>
      <c r="AQ126" s="464">
        <f>SUMIFS(Income!$G:$G,Income!$H:$H, AQ$2,Income!$F:$F, $AL$1, Income!$B:$B, IF($AM126&lt;&gt;"", TEXT($AM126, "MMMM"), ""), Income!$C:$C, YEAR($AM126))+SUMIFS($T:$T, $U:$U,AQ$2,$Q:$Q,IF($AM126&lt;&gt;"", TEXT($AM126, "MMMM"), ""),$R:$R,YEAR($AM126))</f>
        <v>0</v>
      </c>
      <c r="AR126" s="464">
        <f>SUMIFS(Income!$G:$G,Income!$H:$H, AR$2,Income!$F:$F, $AL$1, Income!$B:$B, IF($AM126&lt;&gt;"", TEXT($AM126, "MMMM"), ""), Income!$C:$C, YEAR($AM126))+SUMIFS($T:$T, $U:$U,AR$2,$Q:$Q,IF($AM126&lt;&gt;"", TEXT($AM126, "MMMM"), ""),$R:$R,YEAR($AM126))</f>
        <v>0</v>
      </c>
      <c r="AS126" s="467">
        <f>SUMIFS(Income!$G:$G,Income!$H:$H, AS$2,Income!$F:$F, $AL$1, Income!$B:$B, IF($AM126&lt;&gt;"", TEXT($AM126, "MMMM"), ""), Income!$C:$C, YEAR($AM126))+SUMIFS($T:$T, $U:$U,AS$2,$Q:$Q,IF($AM126&lt;&gt;"", TEXT($AM126, "MMMM"), ""),$R:$R,YEAR($AM126))</f>
        <v>0</v>
      </c>
      <c r="AT126" s="428"/>
      <c r="AU126" s="463">
        <v>47574.0</v>
      </c>
      <c r="AV126" s="464">
        <f>SUMIFS(Income!$G:$G,Income!$H:$H, AV$2,Income!$F:$F, $AT$1, Income!$B:$B, IF($AU126&lt;&gt;"", TEXT($AU126, "MMMM"), ""), Income!$C:$C, YEAR($AU126))</f>
        <v>0</v>
      </c>
      <c r="AW126" s="464">
        <f>SUMIFS(Income!$G:$G,Income!$H:$H, AW$2,Income!$F:$F, $AT$1, Income!$B:$B, IF($AU126&lt;&gt;"", TEXT($AU126, "MMMM"), ""), Income!$C:$C, YEAR($AU126))</f>
        <v>0</v>
      </c>
      <c r="AX126" s="464">
        <f>SUMIFS(Income!$G:$G,Income!$H:$H, AX$2,Income!$F:$F, $AT$1, Income!$B:$B, IF($AU126&lt;&gt;"", TEXT($AU126, "MMMM"), ""), Income!$C:$C, YEAR($AU126))</f>
        <v>0</v>
      </c>
      <c r="AY126" s="464">
        <f>SUMIFS(Income!$G:$G,Income!$H:$H, AY$2,Income!$F:$F, $AT$1, Income!$B:$B, IF($AU126&lt;&gt;"", TEXT($AU126, "MMMM"), ""), Income!$C:$C, YEAR($AU126))</f>
        <v>0</v>
      </c>
      <c r="AZ126" s="464">
        <f>SUMIFS(Income!$G:$G,Income!$H:$H, AZ$2,Income!$F:$F, $AT$1, Income!$B:$B, IF($AU126&lt;&gt;"", TEXT($AU126, "MMMM"), ""), Income!$C:$C, YEAR($AU126))</f>
        <v>0</v>
      </c>
      <c r="BA126" s="468">
        <f>SUMIFS(Income!$G:$G,Income!$H:$H, BA$2,Income!$F:$F, $AT$1, Income!$B:$B, IF($AU126&lt;&gt;"", TEXT($AU126, "MMMM"), ""), Income!$C:$C, YEAR($AU126))</f>
        <v>0</v>
      </c>
      <c r="BB126" s="345"/>
      <c r="BC126" s="345"/>
      <c r="BD126" s="345"/>
      <c r="BE126" s="345"/>
    </row>
    <row r="127" ht="13.5" customHeight="1">
      <c r="A127" s="436">
        <f>'Membership Application List'!A356</f>
        <v>45531.5424</v>
      </c>
      <c r="B127" s="437" t="str">
        <f t="shared" si="6"/>
        <v>August</v>
      </c>
      <c r="C127" s="437">
        <f t="shared" si="7"/>
        <v>2024</v>
      </c>
      <c r="D127" s="438" t="str">
        <f>'Membership Application List'!E356</f>
        <v>Lily Vega</v>
      </c>
      <c r="E127" s="438">
        <f>IF('Membership Application List'!J356 = "Food/Litter Donation", 0, IF('Membership Application List'!J356 = "$15 Donation, Discord Verification", IF('Membership Application List'!N356 = TRUE, 15, 0)))</f>
        <v>0</v>
      </c>
      <c r="F127" s="438">
        <f>if('Membership Application List'!K356=TRUE, 5,0)</f>
        <v>0</v>
      </c>
      <c r="G127" s="438">
        <f t="shared" si="8"/>
        <v>0</v>
      </c>
      <c r="H127" s="439" t="str">
        <f>'Membership Application List'!L356</f>
        <v/>
      </c>
      <c r="I127" s="428"/>
      <c r="J127" s="463">
        <v>47604.0</v>
      </c>
      <c r="K127" s="464">
        <f t="shared" ref="K127:O127" si="85">SUMIFS($G:$G, $H:$H, K$2, $B:$B, IF($J127&lt;&gt;"", TEXT($J127, "MMMM"), ""), $C:$C, YEAR($J127))</f>
        <v>0</v>
      </c>
      <c r="L127" s="464">
        <f t="shared" si="85"/>
        <v>0</v>
      </c>
      <c r="M127" s="464">
        <f t="shared" si="85"/>
        <v>0</v>
      </c>
      <c r="N127" s="464">
        <f t="shared" si="85"/>
        <v>0</v>
      </c>
      <c r="O127" s="465">
        <f t="shared" si="85"/>
        <v>0</v>
      </c>
      <c r="P127" s="414"/>
      <c r="Q127" s="414"/>
      <c r="R127" s="414"/>
      <c r="V127" s="428"/>
      <c r="W127" s="463">
        <v>47604.0</v>
      </c>
      <c r="X127" s="464">
        <f>SUMIFS(Income!$G:$G,Income!$H:$H, X$2,Income!$F:$F, $V$1, Income!$B:$B, IF($W127&lt;&gt;"", TEXT($W127, "MMMM"), ""), Income!$C:$C, YEAR($W127))</f>
        <v>0</v>
      </c>
      <c r="Y127" s="464">
        <f>SUMIFS(Income!$G:$G,Income!$H:$H, Y$2,Income!$F:$F, $V$1, Income!$B:$B, IF($W127&lt;&gt;"", TEXT($W127, "MMMM"), ""), Income!$C:$C, YEAR($W127))</f>
        <v>0</v>
      </c>
      <c r="Z127" s="464">
        <f>SUMIFS(Income!$G:$G,Income!$H:$H, Z$2,Income!$F:$F, $V$1, Income!$B:$B, IF($W127&lt;&gt;"", TEXT($W127, "MMMM"), ""), Income!$C:$C, YEAR($W127))</f>
        <v>0</v>
      </c>
      <c r="AA127" s="464">
        <f>SUMIFS(Income!$G:$G,Income!$H:$H, AA$2,Income!$F:$F, $V$1, Income!$B:$B, IF($W127&lt;&gt;"", TEXT($W127, "MMMM"), ""), Income!$C:$C, YEAR($W127))</f>
        <v>0</v>
      </c>
      <c r="AB127" s="464">
        <f>SUMIFS(Income!$G:$G,Income!$H:$H, AB$2,Income!$F:$F, $V$1, Income!$B:$B, IF($W127&lt;&gt;"", TEXT($W127, "MMMM"), ""), Income!$C:$C, YEAR($W127))</f>
        <v>0</v>
      </c>
      <c r="AC127" s="467">
        <f>SUMIFS(Income!$G:$G,Income!$H:$H, AC$2,Income!$F:$F, $V$1, Income!$B:$B, IF($W127&lt;&gt;"", TEXT($W127, "MMMM"), ""), Income!$C:$C, YEAR($W127))</f>
        <v>0</v>
      </c>
      <c r="AD127" s="428"/>
      <c r="AE127" s="463">
        <v>47604.0</v>
      </c>
      <c r="AF127" s="464">
        <f>SUMIFS(Income!$G:$G,Income!$H:$H, AF$2,Income!$F:$F, $AD$1, Income!$B:$B, IF($AE127&lt;&gt;"", TEXT($AE127, "MMMM"), ""), Income!$C:$C, YEAR($AE127))</f>
        <v>0</v>
      </c>
      <c r="AG127" s="464">
        <f>SUMIFS(Income!$G:$G,Income!$H:$H, AG$2,Income!$F:$F, $AD$1, Income!$B:$B, IF($AE127&lt;&gt;"", TEXT($AE127, "MMMM"), ""), Income!$C:$C, YEAR($AE127))</f>
        <v>0</v>
      </c>
      <c r="AH127" s="464">
        <f>SUMIFS(Income!$G:$G,Income!$H:$H, AH$2,Income!$F:$F, $AD$1, Income!$B:$B, IF($AE127&lt;&gt;"", TEXT($AE127, "MMMM"), ""), Income!$C:$C, YEAR($AE127))</f>
        <v>0</v>
      </c>
      <c r="AI127" s="464">
        <f>SUMIFS(Income!$G:$G,Income!$H:$H, AI$2,Income!$F:$F, $AD$1, Income!$B:$B, IF($AE127&lt;&gt;"", TEXT($AE127, "MMMM"), ""), Income!$C:$C, YEAR($AE127))</f>
        <v>0</v>
      </c>
      <c r="AJ127" s="464">
        <f>SUMIFS(Income!$G:$G,Income!$H:$H, AJ$2,Income!$F:$F, $AD$1, Income!$B:$B, IF($AE127&lt;&gt;"", TEXT($AE127, "MMMM"), ""), Income!$C:$C, YEAR($AE127))</f>
        <v>0</v>
      </c>
      <c r="AK127" s="467">
        <f>SUMIFS(Income!$G:$G,Income!$H:$H, AK$2,Income!$F:$F, $AD$1, Income!$B:$B, IF($AE127&lt;&gt;"", TEXT($AE127, "MMMM"), ""), Income!$C:$C, YEAR($AE127))</f>
        <v>0</v>
      </c>
      <c r="AL127" s="428"/>
      <c r="AM127" s="463">
        <v>47604.0</v>
      </c>
      <c r="AN127" s="464">
        <f>SUMIFS(Income!$G:$G,Income!$H:$H, AN$2,Income!$F:$F, $AL$1, Income!$B:$B, IF($AM127&lt;&gt;"", TEXT($AM127, "MMMM"), ""), Income!$C:$C, YEAR($AM127))+SUMIFS($T:$T, $U:$U,AN$2,$Q:$Q,IF($AM127&lt;&gt;"", TEXT($AM127, "MMMM"), ""),$R:$R,YEAR($AM127))</f>
        <v>0</v>
      </c>
      <c r="AO127" s="464">
        <f>SUMIFS(Income!$G:$G,Income!$H:$H, AO$2,Income!$F:$F, $AL$1, Income!$B:$B, IF($AM127&lt;&gt;"", TEXT($AM127, "MMMM"), ""), Income!$C:$C, YEAR($AM127))+SUMIFS($T:$T, $U:$U,AO$2,$Q:$Q,IF($AM127&lt;&gt;"", TEXT($AM127, "MMMM"), ""),$R:$R,YEAR($AM127))</f>
        <v>0</v>
      </c>
      <c r="AP127" s="464">
        <f>SUMIFS(Income!$G:$G,Income!$H:$H, AP$2,Income!$F:$F, $AL$1, Income!$B:$B, IF($AM127&lt;&gt;"", TEXT($AM127, "MMMM"), ""), Income!$C:$C, YEAR($AM127))+SUMIFS($T:$T, $U:$U,AP$2,$Q:$Q,IF($AM127&lt;&gt;"", TEXT($AM127, "MMMM"), ""),$R:$R,YEAR($AM127))</f>
        <v>0</v>
      </c>
      <c r="AQ127" s="464">
        <f>SUMIFS(Income!$G:$G,Income!$H:$H, AQ$2,Income!$F:$F, $AL$1, Income!$B:$B, IF($AM127&lt;&gt;"", TEXT($AM127, "MMMM"), ""), Income!$C:$C, YEAR($AM127))+SUMIFS($T:$T, $U:$U,AQ$2,$Q:$Q,IF($AM127&lt;&gt;"", TEXT($AM127, "MMMM"), ""),$R:$R,YEAR($AM127))</f>
        <v>0</v>
      </c>
      <c r="AR127" s="464">
        <f>SUMIFS(Income!$G:$G,Income!$H:$H, AR$2,Income!$F:$F, $AL$1, Income!$B:$B, IF($AM127&lt;&gt;"", TEXT($AM127, "MMMM"), ""), Income!$C:$C, YEAR($AM127))+SUMIFS($T:$T, $U:$U,AR$2,$Q:$Q,IF($AM127&lt;&gt;"", TEXT($AM127, "MMMM"), ""),$R:$R,YEAR($AM127))</f>
        <v>0</v>
      </c>
      <c r="AS127" s="467">
        <f>SUMIFS(Income!$G:$G,Income!$H:$H, AS$2,Income!$F:$F, $AL$1, Income!$B:$B, IF($AM127&lt;&gt;"", TEXT($AM127, "MMMM"), ""), Income!$C:$C, YEAR($AM127))+SUMIFS($T:$T, $U:$U,AS$2,$Q:$Q,IF($AM127&lt;&gt;"", TEXT($AM127, "MMMM"), ""),$R:$R,YEAR($AM127))</f>
        <v>0</v>
      </c>
      <c r="AT127" s="428"/>
      <c r="AU127" s="463">
        <v>47604.0</v>
      </c>
      <c r="AV127" s="464">
        <f>SUMIFS(Income!$G:$G,Income!$H:$H, AV$2,Income!$F:$F, $AT$1, Income!$B:$B, IF($AU127&lt;&gt;"", TEXT($AU127, "MMMM"), ""), Income!$C:$C, YEAR($AU127))</f>
        <v>0</v>
      </c>
      <c r="AW127" s="464">
        <f>SUMIFS(Income!$G:$G,Income!$H:$H, AW$2,Income!$F:$F, $AT$1, Income!$B:$B, IF($AU127&lt;&gt;"", TEXT($AU127, "MMMM"), ""), Income!$C:$C, YEAR($AU127))</f>
        <v>0</v>
      </c>
      <c r="AX127" s="464">
        <f>SUMIFS(Income!$G:$G,Income!$H:$H, AX$2,Income!$F:$F, $AT$1, Income!$B:$B, IF($AU127&lt;&gt;"", TEXT($AU127, "MMMM"), ""), Income!$C:$C, YEAR($AU127))</f>
        <v>0</v>
      </c>
      <c r="AY127" s="464">
        <f>SUMIFS(Income!$G:$G,Income!$H:$H, AY$2,Income!$F:$F, $AT$1, Income!$B:$B, IF($AU127&lt;&gt;"", TEXT($AU127, "MMMM"), ""), Income!$C:$C, YEAR($AU127))</f>
        <v>0</v>
      </c>
      <c r="AZ127" s="464">
        <f>SUMIFS(Income!$G:$G,Income!$H:$H, AZ$2,Income!$F:$F, $AT$1, Income!$B:$B, IF($AU127&lt;&gt;"", TEXT($AU127, "MMMM"), ""), Income!$C:$C, YEAR($AU127))</f>
        <v>0</v>
      </c>
      <c r="BA127" s="468">
        <f>SUMIFS(Income!$G:$G,Income!$H:$H, BA$2,Income!$F:$F, $AT$1, Income!$B:$B, IF($AU127&lt;&gt;"", TEXT($AU127, "MMMM"), ""), Income!$C:$C, YEAR($AU127))</f>
        <v>0</v>
      </c>
      <c r="BB127" s="345"/>
      <c r="BC127" s="345"/>
      <c r="BD127" s="345"/>
      <c r="BE127" s="345"/>
    </row>
    <row r="128" ht="13.5" customHeight="1">
      <c r="A128" s="424">
        <f>'Membership Application List'!A357</f>
        <v>45531.92631</v>
      </c>
      <c r="B128" s="443" t="str">
        <f t="shared" si="6"/>
        <v>August</v>
      </c>
      <c r="C128" s="443">
        <f t="shared" si="7"/>
        <v>2024</v>
      </c>
      <c r="D128" s="426" t="str">
        <f>'Membership Application List'!E357</f>
        <v>Diana Arias</v>
      </c>
      <c r="E128" s="426">
        <f>IF('Membership Application List'!J357 = "Food/Litter Donation", 0, IF('Membership Application List'!J357 = "$15 Donation, Discord Verification", IF('Membership Application List'!N357 = TRUE, 15, 0)))</f>
        <v>0</v>
      </c>
      <c r="F128" s="426">
        <f>if('Membership Application List'!K357=TRUE, 5,0)</f>
        <v>0</v>
      </c>
      <c r="G128" s="426">
        <f t="shared" si="8"/>
        <v>0</v>
      </c>
      <c r="H128" s="427" t="str">
        <f>'Membership Application List'!L357</f>
        <v/>
      </c>
      <c r="I128" s="447" t="s">
        <v>789</v>
      </c>
      <c r="J128" s="463">
        <v>47635.0</v>
      </c>
      <c r="K128" s="464">
        <f t="shared" ref="K128:O128" si="86">SUMIFS($G:$G, $H:$H, K$2, $B:$B, IF($J128&lt;&gt;"", TEXT($J128, "MMMM"), ""), $C:$C, YEAR($J128))</f>
        <v>0</v>
      </c>
      <c r="L128" s="464">
        <f t="shared" si="86"/>
        <v>0</v>
      </c>
      <c r="M128" s="464">
        <f t="shared" si="86"/>
        <v>0</v>
      </c>
      <c r="N128" s="464">
        <f t="shared" si="86"/>
        <v>0</v>
      </c>
      <c r="O128" s="465">
        <f t="shared" si="86"/>
        <v>0</v>
      </c>
      <c r="P128" s="414"/>
      <c r="Q128" s="414"/>
      <c r="R128" s="414"/>
      <c r="V128" s="447" t="s">
        <v>789</v>
      </c>
      <c r="W128" s="463">
        <v>47635.0</v>
      </c>
      <c r="X128" s="464">
        <f>SUMIFS(Income!$G:$G,Income!$H:$H, X$2,Income!$F:$F, $V$1, Income!$B:$B, IF($W128&lt;&gt;"", TEXT($W128, "MMMM"), ""), Income!$C:$C, YEAR($W128))</f>
        <v>0</v>
      </c>
      <c r="Y128" s="464">
        <f>SUMIFS(Income!$G:$G,Income!$H:$H, Y$2,Income!$F:$F, $V$1, Income!$B:$B, IF($W128&lt;&gt;"", TEXT($W128, "MMMM"), ""), Income!$C:$C, YEAR($W128))</f>
        <v>0</v>
      </c>
      <c r="Z128" s="464">
        <f>SUMIFS(Income!$G:$G,Income!$H:$H, Z$2,Income!$F:$F, $V$1, Income!$B:$B, IF($W128&lt;&gt;"", TEXT($W128, "MMMM"), ""), Income!$C:$C, YEAR($W128))</f>
        <v>0</v>
      </c>
      <c r="AA128" s="464">
        <f>SUMIFS(Income!$G:$G,Income!$H:$H, AA$2,Income!$F:$F, $V$1, Income!$B:$B, IF($W128&lt;&gt;"", TEXT($W128, "MMMM"), ""), Income!$C:$C, YEAR($W128))</f>
        <v>0</v>
      </c>
      <c r="AB128" s="464">
        <f>SUMIFS(Income!$G:$G,Income!$H:$H, AB$2,Income!$F:$F, $V$1, Income!$B:$B, IF($W128&lt;&gt;"", TEXT($W128, "MMMM"), ""), Income!$C:$C, YEAR($W128))</f>
        <v>0</v>
      </c>
      <c r="AC128" s="467">
        <f>SUMIFS(Income!$G:$G,Income!$H:$H, AC$2,Income!$F:$F, $V$1, Income!$B:$B, IF($W128&lt;&gt;"", TEXT($W128, "MMMM"), ""), Income!$C:$C, YEAR($W128))</f>
        <v>0</v>
      </c>
      <c r="AD128" s="447" t="s">
        <v>789</v>
      </c>
      <c r="AE128" s="463">
        <v>47635.0</v>
      </c>
      <c r="AF128" s="464">
        <f>SUMIFS(Income!$G:$G,Income!$H:$H, AF$2,Income!$F:$F, $AD$1, Income!$B:$B, IF($AE128&lt;&gt;"", TEXT($AE128, "MMMM"), ""), Income!$C:$C, YEAR($AE128))</f>
        <v>0</v>
      </c>
      <c r="AG128" s="464">
        <f>SUMIFS(Income!$G:$G,Income!$H:$H, AG$2,Income!$F:$F, $AD$1, Income!$B:$B, IF($AE128&lt;&gt;"", TEXT($AE128, "MMMM"), ""), Income!$C:$C, YEAR($AE128))</f>
        <v>0</v>
      </c>
      <c r="AH128" s="464">
        <f>SUMIFS(Income!$G:$G,Income!$H:$H, AH$2,Income!$F:$F, $AD$1, Income!$B:$B, IF($AE128&lt;&gt;"", TEXT($AE128, "MMMM"), ""), Income!$C:$C, YEAR($AE128))</f>
        <v>0</v>
      </c>
      <c r="AI128" s="464">
        <f>SUMIFS(Income!$G:$G,Income!$H:$H, AI$2,Income!$F:$F, $AD$1, Income!$B:$B, IF($AE128&lt;&gt;"", TEXT($AE128, "MMMM"), ""), Income!$C:$C, YEAR($AE128))</f>
        <v>0</v>
      </c>
      <c r="AJ128" s="464">
        <f>SUMIFS(Income!$G:$G,Income!$H:$H, AJ$2,Income!$F:$F, $AD$1, Income!$B:$B, IF($AE128&lt;&gt;"", TEXT($AE128, "MMMM"), ""), Income!$C:$C, YEAR($AE128))</f>
        <v>0</v>
      </c>
      <c r="AK128" s="467">
        <f>SUMIFS(Income!$G:$G,Income!$H:$H, AK$2,Income!$F:$F, $AD$1, Income!$B:$B, IF($AE128&lt;&gt;"", TEXT($AE128, "MMMM"), ""), Income!$C:$C, YEAR($AE128))</f>
        <v>0</v>
      </c>
      <c r="AL128" s="447" t="s">
        <v>789</v>
      </c>
      <c r="AM128" s="463">
        <v>47635.0</v>
      </c>
      <c r="AN128" s="464">
        <f>SUMIFS(Income!$G:$G,Income!$H:$H, AN$2,Income!$F:$F, $AL$1, Income!$B:$B, IF($AM128&lt;&gt;"", TEXT($AM128, "MMMM"), ""), Income!$C:$C, YEAR($AM128))+SUMIFS($T:$T, $U:$U,AN$2,$Q:$Q,IF($AM128&lt;&gt;"", TEXT($AM128, "MMMM"), ""),$R:$R,YEAR($AM128))</f>
        <v>0</v>
      </c>
      <c r="AO128" s="464">
        <f>SUMIFS(Income!$G:$G,Income!$H:$H, AO$2,Income!$F:$F, $AL$1, Income!$B:$B, IF($AM128&lt;&gt;"", TEXT($AM128, "MMMM"), ""), Income!$C:$C, YEAR($AM128))+SUMIFS($T:$T, $U:$U,AO$2,$Q:$Q,IF($AM128&lt;&gt;"", TEXT($AM128, "MMMM"), ""),$R:$R,YEAR($AM128))</f>
        <v>0</v>
      </c>
      <c r="AP128" s="464">
        <f>SUMIFS(Income!$G:$G,Income!$H:$H, AP$2,Income!$F:$F, $AL$1, Income!$B:$B, IF($AM128&lt;&gt;"", TEXT($AM128, "MMMM"), ""), Income!$C:$C, YEAR($AM128))+SUMIFS($T:$T, $U:$U,AP$2,$Q:$Q,IF($AM128&lt;&gt;"", TEXT($AM128, "MMMM"), ""),$R:$R,YEAR($AM128))</f>
        <v>0</v>
      </c>
      <c r="AQ128" s="464">
        <f>SUMIFS(Income!$G:$G,Income!$H:$H, AQ$2,Income!$F:$F, $AL$1, Income!$B:$B, IF($AM128&lt;&gt;"", TEXT($AM128, "MMMM"), ""), Income!$C:$C, YEAR($AM128))+SUMIFS($T:$T, $U:$U,AQ$2,$Q:$Q,IF($AM128&lt;&gt;"", TEXT($AM128, "MMMM"), ""),$R:$R,YEAR($AM128))</f>
        <v>0</v>
      </c>
      <c r="AR128" s="464">
        <f>SUMIFS(Income!$G:$G,Income!$H:$H, AR$2,Income!$F:$F, $AL$1, Income!$B:$B, IF($AM128&lt;&gt;"", TEXT($AM128, "MMMM"), ""), Income!$C:$C, YEAR($AM128))+SUMIFS($T:$T, $U:$U,AR$2,$Q:$Q,IF($AM128&lt;&gt;"", TEXT($AM128, "MMMM"), ""),$R:$R,YEAR($AM128))</f>
        <v>0</v>
      </c>
      <c r="AS128" s="467">
        <f>SUMIFS(Income!$G:$G,Income!$H:$H, AS$2,Income!$F:$F, $AL$1, Income!$B:$B, IF($AM128&lt;&gt;"", TEXT($AM128, "MMMM"), ""), Income!$C:$C, YEAR($AM128))+SUMIFS($T:$T, $U:$U,AS$2,$Q:$Q,IF($AM128&lt;&gt;"", TEXT($AM128, "MMMM"), ""),$R:$R,YEAR($AM128))</f>
        <v>0</v>
      </c>
      <c r="AT128" s="447" t="s">
        <v>789</v>
      </c>
      <c r="AU128" s="463">
        <v>47635.0</v>
      </c>
      <c r="AV128" s="464">
        <f>SUMIFS(Income!$G:$G,Income!$H:$H, AV$2,Income!$F:$F, $AT$1, Income!$B:$B, IF($AU128&lt;&gt;"", TEXT($AU128, "MMMM"), ""), Income!$C:$C, YEAR($AU128))</f>
        <v>0</v>
      </c>
      <c r="AW128" s="464">
        <f>SUMIFS(Income!$G:$G,Income!$H:$H, AW$2,Income!$F:$F, $AT$1, Income!$B:$B, IF($AU128&lt;&gt;"", TEXT($AU128, "MMMM"), ""), Income!$C:$C, YEAR($AU128))</f>
        <v>0</v>
      </c>
      <c r="AX128" s="464">
        <f>SUMIFS(Income!$G:$G,Income!$H:$H, AX$2,Income!$F:$F, $AT$1, Income!$B:$B, IF($AU128&lt;&gt;"", TEXT($AU128, "MMMM"), ""), Income!$C:$C, YEAR($AU128))</f>
        <v>0</v>
      </c>
      <c r="AY128" s="464">
        <f>SUMIFS(Income!$G:$G,Income!$H:$H, AY$2,Income!$F:$F, $AT$1, Income!$B:$B, IF($AU128&lt;&gt;"", TEXT($AU128, "MMMM"), ""), Income!$C:$C, YEAR($AU128))</f>
        <v>0</v>
      </c>
      <c r="AZ128" s="464">
        <f>SUMIFS(Income!$G:$G,Income!$H:$H, AZ$2,Income!$F:$F, $AT$1, Income!$B:$B, IF($AU128&lt;&gt;"", TEXT($AU128, "MMMM"), ""), Income!$C:$C, YEAR($AU128))</f>
        <v>0</v>
      </c>
      <c r="BA128" s="468">
        <f>SUMIFS(Income!$G:$G,Income!$H:$H, BA$2,Income!$F:$F, $AT$1, Income!$B:$B, IF($AU128&lt;&gt;"", TEXT($AU128, "MMMM"), ""), Income!$C:$C, YEAR($AU128))</f>
        <v>0</v>
      </c>
      <c r="BB128" s="345"/>
      <c r="BC128" s="345"/>
      <c r="BD128" s="345"/>
      <c r="BE128" s="345"/>
    </row>
    <row r="129" ht="13.5" customHeight="1">
      <c r="A129" s="436">
        <f>'Membership Application List'!A358</f>
        <v>45532.45617</v>
      </c>
      <c r="B129" s="437" t="str">
        <f t="shared" si="6"/>
        <v>August</v>
      </c>
      <c r="C129" s="437">
        <f t="shared" si="7"/>
        <v>2024</v>
      </c>
      <c r="D129" s="438" t="str">
        <f>'Membership Application List'!E358</f>
        <v>Mary Abby Goss</v>
      </c>
      <c r="E129" s="438">
        <f>IF('Membership Application List'!J358 = "Food/Litter Donation", 0, IF('Membership Application List'!J358 = "$15 Donation, Discord Verification", IF('Membership Application List'!N358 = TRUE, 15, 0)))</f>
        <v>15</v>
      </c>
      <c r="F129" s="438">
        <f>if('Membership Application List'!K358=TRUE, 5,0)</f>
        <v>0</v>
      </c>
      <c r="G129" s="438">
        <f t="shared" si="8"/>
        <v>15</v>
      </c>
      <c r="H129" s="439" t="str">
        <f>'Membership Application List'!L358</f>
        <v>Venmo</v>
      </c>
      <c r="I129" s="428"/>
      <c r="J129" s="463">
        <v>47665.0</v>
      </c>
      <c r="K129" s="464">
        <f t="shared" ref="K129:O129" si="87">SUMIFS($G:$G, $H:$H, K$2, $B:$B, IF($J129&lt;&gt;"", TEXT($J129, "MMMM"), ""), $C:$C, YEAR($J129))</f>
        <v>0</v>
      </c>
      <c r="L129" s="464">
        <f t="shared" si="87"/>
        <v>0</v>
      </c>
      <c r="M129" s="464">
        <f t="shared" si="87"/>
        <v>0</v>
      </c>
      <c r="N129" s="464">
        <f t="shared" si="87"/>
        <v>0</v>
      </c>
      <c r="O129" s="465">
        <f t="shared" si="87"/>
        <v>0</v>
      </c>
      <c r="P129" s="414"/>
      <c r="Q129" s="414"/>
      <c r="R129" s="414"/>
      <c r="V129" s="428"/>
      <c r="W129" s="463">
        <v>47665.0</v>
      </c>
      <c r="X129" s="464">
        <f>SUMIFS(Income!$G:$G,Income!$H:$H, X$2,Income!$F:$F, $V$1, Income!$B:$B, IF($W129&lt;&gt;"", TEXT($W129, "MMMM"), ""), Income!$C:$C, YEAR($W129))</f>
        <v>0</v>
      </c>
      <c r="Y129" s="464">
        <f>SUMIFS(Income!$G:$G,Income!$H:$H, Y$2,Income!$F:$F, $V$1, Income!$B:$B, IF($W129&lt;&gt;"", TEXT($W129, "MMMM"), ""), Income!$C:$C, YEAR($W129))</f>
        <v>0</v>
      </c>
      <c r="Z129" s="464">
        <f>SUMIFS(Income!$G:$G,Income!$H:$H, Z$2,Income!$F:$F, $V$1, Income!$B:$B, IF($W129&lt;&gt;"", TEXT($W129, "MMMM"), ""), Income!$C:$C, YEAR($W129))</f>
        <v>0</v>
      </c>
      <c r="AA129" s="464">
        <f>SUMIFS(Income!$G:$G,Income!$H:$H, AA$2,Income!$F:$F, $V$1, Income!$B:$B, IF($W129&lt;&gt;"", TEXT($W129, "MMMM"), ""), Income!$C:$C, YEAR($W129))</f>
        <v>0</v>
      </c>
      <c r="AB129" s="464">
        <f>SUMIFS(Income!$G:$G,Income!$H:$H, AB$2,Income!$F:$F, $V$1, Income!$B:$B, IF($W129&lt;&gt;"", TEXT($W129, "MMMM"), ""), Income!$C:$C, YEAR($W129))</f>
        <v>0</v>
      </c>
      <c r="AC129" s="467">
        <f>SUMIFS(Income!$G:$G,Income!$H:$H, AC$2,Income!$F:$F, $V$1, Income!$B:$B, IF($W129&lt;&gt;"", TEXT($W129, "MMMM"), ""), Income!$C:$C, YEAR($W129))</f>
        <v>0</v>
      </c>
      <c r="AD129" s="428"/>
      <c r="AE129" s="463">
        <v>47665.0</v>
      </c>
      <c r="AF129" s="464">
        <f>SUMIFS(Income!$G:$G,Income!$H:$H, AF$2,Income!$F:$F, $AD$1, Income!$B:$B, IF($AE129&lt;&gt;"", TEXT($AE129, "MMMM"), ""), Income!$C:$C, YEAR($AE129))</f>
        <v>0</v>
      </c>
      <c r="AG129" s="464">
        <f>SUMIFS(Income!$G:$G,Income!$H:$H, AG$2,Income!$F:$F, $AD$1, Income!$B:$B, IF($AE129&lt;&gt;"", TEXT($AE129, "MMMM"), ""), Income!$C:$C, YEAR($AE129))</f>
        <v>0</v>
      </c>
      <c r="AH129" s="464">
        <f>SUMIFS(Income!$G:$G,Income!$H:$H, AH$2,Income!$F:$F, $AD$1, Income!$B:$B, IF($AE129&lt;&gt;"", TEXT($AE129, "MMMM"), ""), Income!$C:$C, YEAR($AE129))</f>
        <v>0</v>
      </c>
      <c r="AI129" s="464">
        <f>SUMIFS(Income!$G:$G,Income!$H:$H, AI$2,Income!$F:$F, $AD$1, Income!$B:$B, IF($AE129&lt;&gt;"", TEXT($AE129, "MMMM"), ""), Income!$C:$C, YEAR($AE129))</f>
        <v>0</v>
      </c>
      <c r="AJ129" s="464">
        <f>SUMIFS(Income!$G:$G,Income!$H:$H, AJ$2,Income!$F:$F, $AD$1, Income!$B:$B, IF($AE129&lt;&gt;"", TEXT($AE129, "MMMM"), ""), Income!$C:$C, YEAR($AE129))</f>
        <v>0</v>
      </c>
      <c r="AK129" s="467">
        <f>SUMIFS(Income!$G:$G,Income!$H:$H, AK$2,Income!$F:$F, $AD$1, Income!$B:$B, IF($AE129&lt;&gt;"", TEXT($AE129, "MMMM"), ""), Income!$C:$C, YEAR($AE129))</f>
        <v>0</v>
      </c>
      <c r="AL129" s="428"/>
      <c r="AM129" s="463">
        <v>47665.0</v>
      </c>
      <c r="AN129" s="464">
        <f>SUMIFS(Income!$G:$G,Income!$H:$H, AN$2,Income!$F:$F, $AL$1, Income!$B:$B, IF($AM129&lt;&gt;"", TEXT($AM129, "MMMM"), ""), Income!$C:$C, YEAR($AM129))+SUMIFS($T:$T, $U:$U,AN$2,$Q:$Q,IF($AM129&lt;&gt;"", TEXT($AM129, "MMMM"), ""),$R:$R,YEAR($AM129))</f>
        <v>0</v>
      </c>
      <c r="AO129" s="464">
        <f>SUMIFS(Income!$G:$G,Income!$H:$H, AO$2,Income!$F:$F, $AL$1, Income!$B:$B, IF($AM129&lt;&gt;"", TEXT($AM129, "MMMM"), ""), Income!$C:$C, YEAR($AM129))+SUMIFS($T:$T, $U:$U,AO$2,$Q:$Q,IF($AM129&lt;&gt;"", TEXT($AM129, "MMMM"), ""),$R:$R,YEAR($AM129))</f>
        <v>0</v>
      </c>
      <c r="AP129" s="464">
        <f>SUMIFS(Income!$G:$G,Income!$H:$H, AP$2,Income!$F:$F, $AL$1, Income!$B:$B, IF($AM129&lt;&gt;"", TEXT($AM129, "MMMM"), ""), Income!$C:$C, YEAR($AM129))+SUMIFS($T:$T, $U:$U,AP$2,$Q:$Q,IF($AM129&lt;&gt;"", TEXT($AM129, "MMMM"), ""),$R:$R,YEAR($AM129))</f>
        <v>0</v>
      </c>
      <c r="AQ129" s="464">
        <f>SUMIFS(Income!$G:$G,Income!$H:$H, AQ$2,Income!$F:$F, $AL$1, Income!$B:$B, IF($AM129&lt;&gt;"", TEXT($AM129, "MMMM"), ""), Income!$C:$C, YEAR($AM129))+SUMIFS($T:$T, $U:$U,AQ$2,$Q:$Q,IF($AM129&lt;&gt;"", TEXT($AM129, "MMMM"), ""),$R:$R,YEAR($AM129))</f>
        <v>0</v>
      </c>
      <c r="AR129" s="464">
        <f>SUMIFS(Income!$G:$G,Income!$H:$H, AR$2,Income!$F:$F, $AL$1, Income!$B:$B, IF($AM129&lt;&gt;"", TEXT($AM129, "MMMM"), ""), Income!$C:$C, YEAR($AM129))+SUMIFS($T:$T, $U:$U,AR$2,$Q:$Q,IF($AM129&lt;&gt;"", TEXT($AM129, "MMMM"), ""),$R:$R,YEAR($AM129))</f>
        <v>0</v>
      </c>
      <c r="AS129" s="467">
        <f>SUMIFS(Income!$G:$G,Income!$H:$H, AS$2,Income!$F:$F, $AL$1, Income!$B:$B, IF($AM129&lt;&gt;"", TEXT($AM129, "MMMM"), ""), Income!$C:$C, YEAR($AM129))+SUMIFS($T:$T, $U:$U,AS$2,$Q:$Q,IF($AM129&lt;&gt;"", TEXT($AM129, "MMMM"), ""),$R:$R,YEAR($AM129))</f>
        <v>0</v>
      </c>
      <c r="AT129" s="428"/>
      <c r="AU129" s="463">
        <v>47665.0</v>
      </c>
      <c r="AV129" s="464">
        <f>SUMIFS(Income!$G:$G,Income!$H:$H, AV$2,Income!$F:$F, $AT$1, Income!$B:$B, IF($AU129&lt;&gt;"", TEXT($AU129, "MMMM"), ""), Income!$C:$C, YEAR($AU129))</f>
        <v>0</v>
      </c>
      <c r="AW129" s="464">
        <f>SUMIFS(Income!$G:$G,Income!$H:$H, AW$2,Income!$F:$F, $AT$1, Income!$B:$B, IF($AU129&lt;&gt;"", TEXT($AU129, "MMMM"), ""), Income!$C:$C, YEAR($AU129))</f>
        <v>0</v>
      </c>
      <c r="AX129" s="464">
        <f>SUMIFS(Income!$G:$G,Income!$H:$H, AX$2,Income!$F:$F, $AT$1, Income!$B:$B, IF($AU129&lt;&gt;"", TEXT($AU129, "MMMM"), ""), Income!$C:$C, YEAR($AU129))</f>
        <v>0</v>
      </c>
      <c r="AY129" s="464">
        <f>SUMIFS(Income!$G:$G,Income!$H:$H, AY$2,Income!$F:$F, $AT$1, Income!$B:$B, IF($AU129&lt;&gt;"", TEXT($AU129, "MMMM"), ""), Income!$C:$C, YEAR($AU129))</f>
        <v>0</v>
      </c>
      <c r="AZ129" s="464">
        <f>SUMIFS(Income!$G:$G,Income!$H:$H, AZ$2,Income!$F:$F, $AT$1, Income!$B:$B, IF($AU129&lt;&gt;"", TEXT($AU129, "MMMM"), ""), Income!$C:$C, YEAR($AU129))</f>
        <v>0</v>
      </c>
      <c r="BA129" s="468">
        <f>SUMIFS(Income!$G:$G,Income!$H:$H, BA$2,Income!$F:$F, $AT$1, Income!$B:$B, IF($AU129&lt;&gt;"", TEXT($AU129, "MMMM"), ""), Income!$C:$C, YEAR($AU129))</f>
        <v>0</v>
      </c>
      <c r="BB129" s="345"/>
      <c r="BC129" s="345"/>
      <c r="BD129" s="345"/>
      <c r="BE129" s="345"/>
    </row>
    <row r="130" ht="13.5" customHeight="1">
      <c r="A130" s="424">
        <f>'Membership Application List'!A359</f>
        <v>45532.46088</v>
      </c>
      <c r="B130" s="443" t="str">
        <f t="shared" si="6"/>
        <v>August</v>
      </c>
      <c r="C130" s="443">
        <f t="shared" si="7"/>
        <v>2024</v>
      </c>
      <c r="D130" s="426" t="str">
        <f>'Membership Application List'!E359</f>
        <v>Adrean Frazer</v>
      </c>
      <c r="E130" s="426">
        <f>IF('Membership Application List'!J359 = "Food/Litter Donation", 0, IF('Membership Application List'!J359 = "$15 Donation, Discord Verification", IF('Membership Application List'!N359 = TRUE, 15, 0)))</f>
        <v>0</v>
      </c>
      <c r="F130" s="426">
        <f>if('Membership Application List'!K359=TRUE, 5,0)</f>
        <v>0</v>
      </c>
      <c r="G130" s="426">
        <f t="shared" si="8"/>
        <v>0</v>
      </c>
      <c r="H130" s="427" t="str">
        <f>'Membership Application List'!L359</f>
        <v>Cashapp</v>
      </c>
      <c r="I130" s="428"/>
      <c r="J130" s="463">
        <v>47696.0</v>
      </c>
      <c r="K130" s="464">
        <f t="shared" ref="K130:O130" si="88">SUMIFS($G:$G, $H:$H, K$2, $B:$B, IF($J130&lt;&gt;"", TEXT($J130, "MMMM"), ""), $C:$C, YEAR($J130))</f>
        <v>0</v>
      </c>
      <c r="L130" s="464">
        <f t="shared" si="88"/>
        <v>0</v>
      </c>
      <c r="M130" s="464">
        <f t="shared" si="88"/>
        <v>0</v>
      </c>
      <c r="N130" s="464">
        <f t="shared" si="88"/>
        <v>0</v>
      </c>
      <c r="O130" s="465">
        <f t="shared" si="88"/>
        <v>0</v>
      </c>
      <c r="P130" s="414"/>
      <c r="Q130" s="414"/>
      <c r="R130" s="414"/>
      <c r="V130" s="428"/>
      <c r="W130" s="463">
        <v>47696.0</v>
      </c>
      <c r="X130" s="464">
        <f>SUMIFS(Income!$G:$G,Income!$H:$H, X$2,Income!$F:$F, $V$1, Income!$B:$B, IF($W130&lt;&gt;"", TEXT($W130, "MMMM"), ""), Income!$C:$C, YEAR($W130))</f>
        <v>0</v>
      </c>
      <c r="Y130" s="464">
        <f>SUMIFS(Income!$G:$G,Income!$H:$H, Y$2,Income!$F:$F, $V$1, Income!$B:$B, IF($W130&lt;&gt;"", TEXT($W130, "MMMM"), ""), Income!$C:$C, YEAR($W130))</f>
        <v>0</v>
      </c>
      <c r="Z130" s="464">
        <f>SUMIFS(Income!$G:$G,Income!$H:$H, Z$2,Income!$F:$F, $V$1, Income!$B:$B, IF($W130&lt;&gt;"", TEXT($W130, "MMMM"), ""), Income!$C:$C, YEAR($W130))</f>
        <v>0</v>
      </c>
      <c r="AA130" s="464">
        <f>SUMIFS(Income!$G:$G,Income!$H:$H, AA$2,Income!$F:$F, $V$1, Income!$B:$B, IF($W130&lt;&gt;"", TEXT($W130, "MMMM"), ""), Income!$C:$C, YEAR($W130))</f>
        <v>0</v>
      </c>
      <c r="AB130" s="464">
        <f>SUMIFS(Income!$G:$G,Income!$H:$H, AB$2,Income!$F:$F, $V$1, Income!$B:$B, IF($W130&lt;&gt;"", TEXT($W130, "MMMM"), ""), Income!$C:$C, YEAR($W130))</f>
        <v>0</v>
      </c>
      <c r="AC130" s="467">
        <f>SUMIFS(Income!$G:$G,Income!$H:$H, AC$2,Income!$F:$F, $V$1, Income!$B:$B, IF($W130&lt;&gt;"", TEXT($W130, "MMMM"), ""), Income!$C:$C, YEAR($W130))</f>
        <v>0</v>
      </c>
      <c r="AD130" s="428"/>
      <c r="AE130" s="463">
        <v>47696.0</v>
      </c>
      <c r="AF130" s="464">
        <f>SUMIFS(Income!$G:$G,Income!$H:$H, AF$2,Income!$F:$F, $AD$1, Income!$B:$B, IF($AE130&lt;&gt;"", TEXT($AE130, "MMMM"), ""), Income!$C:$C, YEAR($AE130))</f>
        <v>0</v>
      </c>
      <c r="AG130" s="464">
        <f>SUMIFS(Income!$G:$G,Income!$H:$H, AG$2,Income!$F:$F, $AD$1, Income!$B:$B, IF($AE130&lt;&gt;"", TEXT($AE130, "MMMM"), ""), Income!$C:$C, YEAR($AE130))</f>
        <v>0</v>
      </c>
      <c r="AH130" s="464">
        <f>SUMIFS(Income!$G:$G,Income!$H:$H, AH$2,Income!$F:$F, $AD$1, Income!$B:$B, IF($AE130&lt;&gt;"", TEXT($AE130, "MMMM"), ""), Income!$C:$C, YEAR($AE130))</f>
        <v>0</v>
      </c>
      <c r="AI130" s="464">
        <f>SUMIFS(Income!$G:$G,Income!$H:$H, AI$2,Income!$F:$F, $AD$1, Income!$B:$B, IF($AE130&lt;&gt;"", TEXT($AE130, "MMMM"), ""), Income!$C:$C, YEAR($AE130))</f>
        <v>0</v>
      </c>
      <c r="AJ130" s="464">
        <f>SUMIFS(Income!$G:$G,Income!$H:$H, AJ$2,Income!$F:$F, $AD$1, Income!$B:$B, IF($AE130&lt;&gt;"", TEXT($AE130, "MMMM"), ""), Income!$C:$C, YEAR($AE130))</f>
        <v>0</v>
      </c>
      <c r="AK130" s="467">
        <f>SUMIFS(Income!$G:$G,Income!$H:$H, AK$2,Income!$F:$F, $AD$1, Income!$B:$B, IF($AE130&lt;&gt;"", TEXT($AE130, "MMMM"), ""), Income!$C:$C, YEAR($AE130))</f>
        <v>0</v>
      </c>
      <c r="AL130" s="428"/>
      <c r="AM130" s="463">
        <v>47696.0</v>
      </c>
      <c r="AN130" s="464">
        <f>SUMIFS(Income!$G:$G,Income!$H:$H, AN$2,Income!$F:$F, $AL$1, Income!$B:$B, IF($AM130&lt;&gt;"", TEXT($AM130, "MMMM"), ""), Income!$C:$C, YEAR($AM130))+SUMIFS($T:$T, $U:$U,AN$2,$Q:$Q,IF($AM130&lt;&gt;"", TEXT($AM130, "MMMM"), ""),$R:$R,YEAR($AM130))</f>
        <v>0</v>
      </c>
      <c r="AO130" s="464">
        <f>SUMIFS(Income!$G:$G,Income!$H:$H, AO$2,Income!$F:$F, $AL$1, Income!$B:$B, IF($AM130&lt;&gt;"", TEXT($AM130, "MMMM"), ""), Income!$C:$C, YEAR($AM130))+SUMIFS($T:$T, $U:$U,AO$2,$Q:$Q,IF($AM130&lt;&gt;"", TEXT($AM130, "MMMM"), ""),$R:$R,YEAR($AM130))</f>
        <v>0</v>
      </c>
      <c r="AP130" s="464">
        <f>SUMIFS(Income!$G:$G,Income!$H:$H, AP$2,Income!$F:$F, $AL$1, Income!$B:$B, IF($AM130&lt;&gt;"", TEXT($AM130, "MMMM"), ""), Income!$C:$C, YEAR($AM130))+SUMIFS($T:$T, $U:$U,AP$2,$Q:$Q,IF($AM130&lt;&gt;"", TEXT($AM130, "MMMM"), ""),$R:$R,YEAR($AM130))</f>
        <v>0</v>
      </c>
      <c r="AQ130" s="464">
        <f>SUMIFS(Income!$G:$G,Income!$H:$H, AQ$2,Income!$F:$F, $AL$1, Income!$B:$B, IF($AM130&lt;&gt;"", TEXT($AM130, "MMMM"), ""), Income!$C:$C, YEAR($AM130))+SUMIFS($T:$T, $U:$U,AQ$2,$Q:$Q,IF($AM130&lt;&gt;"", TEXT($AM130, "MMMM"), ""),$R:$R,YEAR($AM130))</f>
        <v>0</v>
      </c>
      <c r="AR130" s="464">
        <f>SUMIFS(Income!$G:$G,Income!$H:$H, AR$2,Income!$F:$F, $AL$1, Income!$B:$B, IF($AM130&lt;&gt;"", TEXT($AM130, "MMMM"), ""), Income!$C:$C, YEAR($AM130))+SUMIFS($T:$T, $U:$U,AR$2,$Q:$Q,IF($AM130&lt;&gt;"", TEXT($AM130, "MMMM"), ""),$R:$R,YEAR($AM130))</f>
        <v>0</v>
      </c>
      <c r="AS130" s="467">
        <f>SUMIFS(Income!$G:$G,Income!$H:$H, AS$2,Income!$F:$F, $AL$1, Income!$B:$B, IF($AM130&lt;&gt;"", TEXT($AM130, "MMMM"), ""), Income!$C:$C, YEAR($AM130))+SUMIFS($T:$T, $U:$U,AS$2,$Q:$Q,IF($AM130&lt;&gt;"", TEXT($AM130, "MMMM"), ""),$R:$R,YEAR($AM130))</f>
        <v>0</v>
      </c>
      <c r="AT130" s="428"/>
      <c r="AU130" s="463">
        <v>47696.0</v>
      </c>
      <c r="AV130" s="464">
        <f>SUMIFS(Income!$G:$G,Income!$H:$H, AV$2,Income!$F:$F, $AT$1, Income!$B:$B, IF($AU130&lt;&gt;"", TEXT($AU130, "MMMM"), ""), Income!$C:$C, YEAR($AU130))</f>
        <v>0</v>
      </c>
      <c r="AW130" s="464">
        <f>SUMIFS(Income!$G:$G,Income!$H:$H, AW$2,Income!$F:$F, $AT$1, Income!$B:$B, IF($AU130&lt;&gt;"", TEXT($AU130, "MMMM"), ""), Income!$C:$C, YEAR($AU130))</f>
        <v>0</v>
      </c>
      <c r="AX130" s="464">
        <f>SUMIFS(Income!$G:$G,Income!$H:$H, AX$2,Income!$F:$F, $AT$1, Income!$B:$B, IF($AU130&lt;&gt;"", TEXT($AU130, "MMMM"), ""), Income!$C:$C, YEAR($AU130))</f>
        <v>0</v>
      </c>
      <c r="AY130" s="464">
        <f>SUMIFS(Income!$G:$G,Income!$H:$H, AY$2,Income!$F:$F, $AT$1, Income!$B:$B, IF($AU130&lt;&gt;"", TEXT($AU130, "MMMM"), ""), Income!$C:$C, YEAR($AU130))</f>
        <v>0</v>
      </c>
      <c r="AZ130" s="464">
        <f>SUMIFS(Income!$G:$G,Income!$H:$H, AZ$2,Income!$F:$F, $AT$1, Income!$B:$B, IF($AU130&lt;&gt;"", TEXT($AU130, "MMMM"), ""), Income!$C:$C, YEAR($AU130))</f>
        <v>0</v>
      </c>
      <c r="BA130" s="468">
        <f>SUMIFS(Income!$G:$G,Income!$H:$H, BA$2,Income!$F:$F, $AT$1, Income!$B:$B, IF($AU130&lt;&gt;"", TEXT($AU130, "MMMM"), ""), Income!$C:$C, YEAR($AU130))</f>
        <v>0</v>
      </c>
      <c r="BB130" s="345"/>
      <c r="BC130" s="345"/>
      <c r="BD130" s="345"/>
      <c r="BE130" s="345"/>
    </row>
    <row r="131" ht="13.5" customHeight="1">
      <c r="A131" s="436">
        <f>'Membership Application List'!A360</f>
        <v>45532.4884</v>
      </c>
      <c r="B131" s="437" t="str">
        <f t="shared" si="6"/>
        <v>August</v>
      </c>
      <c r="C131" s="437">
        <f t="shared" si="7"/>
        <v>2024</v>
      </c>
      <c r="D131" s="438" t="str">
        <f>'Membership Application List'!E360</f>
        <v>Miranda Lee</v>
      </c>
      <c r="E131" s="438">
        <f>IF('Membership Application List'!J360 = "Food/Litter Donation", 0, IF('Membership Application List'!J360 = "$15 Donation, Discord Verification", IF('Membership Application List'!N360 = TRUE, 15, 0)))</f>
        <v>15</v>
      </c>
      <c r="F131" s="438">
        <f>if('Membership Application List'!K360=TRUE, 5,0)</f>
        <v>0</v>
      </c>
      <c r="G131" s="438">
        <f t="shared" si="8"/>
        <v>15</v>
      </c>
      <c r="H131" s="439" t="str">
        <f>'Membership Application List'!L360</f>
        <v>Cashapp</v>
      </c>
      <c r="I131" s="428"/>
      <c r="J131" s="463">
        <v>47727.0</v>
      </c>
      <c r="K131" s="464">
        <f t="shared" ref="K131:O131" si="89">SUMIFS($G:$G, $H:$H, K$2, $B:$B, IF($J131&lt;&gt;"", TEXT($J131, "MMMM"), ""), $C:$C, YEAR($J131))</f>
        <v>0</v>
      </c>
      <c r="L131" s="464">
        <f t="shared" si="89"/>
        <v>0</v>
      </c>
      <c r="M131" s="464">
        <f t="shared" si="89"/>
        <v>0</v>
      </c>
      <c r="N131" s="464">
        <f t="shared" si="89"/>
        <v>0</v>
      </c>
      <c r="O131" s="465">
        <f t="shared" si="89"/>
        <v>0</v>
      </c>
      <c r="P131" s="414"/>
      <c r="Q131" s="414"/>
      <c r="R131" s="414"/>
      <c r="V131" s="428"/>
      <c r="W131" s="463">
        <v>47727.0</v>
      </c>
      <c r="X131" s="464">
        <f>SUMIFS(Income!$G:$G,Income!$H:$H, X$2,Income!$F:$F, $V$1, Income!$B:$B, IF($W131&lt;&gt;"", TEXT($W131, "MMMM"), ""), Income!$C:$C, YEAR($W131))</f>
        <v>0</v>
      </c>
      <c r="Y131" s="464">
        <f>SUMIFS(Income!$G:$G,Income!$H:$H, Y$2,Income!$F:$F, $V$1, Income!$B:$B, IF($W131&lt;&gt;"", TEXT($W131, "MMMM"), ""), Income!$C:$C, YEAR($W131))</f>
        <v>0</v>
      </c>
      <c r="Z131" s="464">
        <f>SUMIFS(Income!$G:$G,Income!$H:$H, Z$2,Income!$F:$F, $V$1, Income!$B:$B, IF($W131&lt;&gt;"", TEXT($W131, "MMMM"), ""), Income!$C:$C, YEAR($W131))</f>
        <v>0</v>
      </c>
      <c r="AA131" s="464">
        <f>SUMIFS(Income!$G:$G,Income!$H:$H, AA$2,Income!$F:$F, $V$1, Income!$B:$B, IF($W131&lt;&gt;"", TEXT($W131, "MMMM"), ""), Income!$C:$C, YEAR($W131))</f>
        <v>0</v>
      </c>
      <c r="AB131" s="464">
        <f>SUMIFS(Income!$G:$G,Income!$H:$H, AB$2,Income!$F:$F, $V$1, Income!$B:$B, IF($W131&lt;&gt;"", TEXT($W131, "MMMM"), ""), Income!$C:$C, YEAR($W131))</f>
        <v>0</v>
      </c>
      <c r="AC131" s="467">
        <f>SUMIFS(Income!$G:$G,Income!$H:$H, AC$2,Income!$F:$F, $V$1, Income!$B:$B, IF($W131&lt;&gt;"", TEXT($W131, "MMMM"), ""), Income!$C:$C, YEAR($W131))</f>
        <v>0</v>
      </c>
      <c r="AD131" s="428"/>
      <c r="AE131" s="463">
        <v>47727.0</v>
      </c>
      <c r="AF131" s="464">
        <f>SUMIFS(Income!$G:$G,Income!$H:$H, AF$2,Income!$F:$F, $AD$1, Income!$B:$B, IF($AE131&lt;&gt;"", TEXT($AE131, "MMMM"), ""), Income!$C:$C, YEAR($AE131))</f>
        <v>0</v>
      </c>
      <c r="AG131" s="464">
        <f>SUMIFS(Income!$G:$G,Income!$H:$H, AG$2,Income!$F:$F, $AD$1, Income!$B:$B, IF($AE131&lt;&gt;"", TEXT($AE131, "MMMM"), ""), Income!$C:$C, YEAR($AE131))</f>
        <v>0</v>
      </c>
      <c r="AH131" s="464">
        <f>SUMIFS(Income!$G:$G,Income!$H:$H, AH$2,Income!$F:$F, $AD$1, Income!$B:$B, IF($AE131&lt;&gt;"", TEXT($AE131, "MMMM"), ""), Income!$C:$C, YEAR($AE131))</f>
        <v>0</v>
      </c>
      <c r="AI131" s="464">
        <f>SUMIFS(Income!$G:$G,Income!$H:$H, AI$2,Income!$F:$F, $AD$1, Income!$B:$B, IF($AE131&lt;&gt;"", TEXT($AE131, "MMMM"), ""), Income!$C:$C, YEAR($AE131))</f>
        <v>0</v>
      </c>
      <c r="AJ131" s="464">
        <f>SUMIFS(Income!$G:$G,Income!$H:$H, AJ$2,Income!$F:$F, $AD$1, Income!$B:$B, IF($AE131&lt;&gt;"", TEXT($AE131, "MMMM"), ""), Income!$C:$C, YEAR($AE131))</f>
        <v>0</v>
      </c>
      <c r="AK131" s="467">
        <f>SUMIFS(Income!$G:$G,Income!$H:$H, AK$2,Income!$F:$F, $AD$1, Income!$B:$B, IF($AE131&lt;&gt;"", TEXT($AE131, "MMMM"), ""), Income!$C:$C, YEAR($AE131))</f>
        <v>0</v>
      </c>
      <c r="AL131" s="428"/>
      <c r="AM131" s="463">
        <v>47727.0</v>
      </c>
      <c r="AN131" s="464">
        <f>SUMIFS(Income!$G:$G,Income!$H:$H, AN$2,Income!$F:$F, $AL$1, Income!$B:$B, IF($AM131&lt;&gt;"", TEXT($AM131, "MMMM"), ""), Income!$C:$C, YEAR($AM131))+SUMIFS($T:$T, $U:$U,AN$2,$Q:$Q,IF($AM131&lt;&gt;"", TEXT($AM131, "MMMM"), ""),$R:$R,YEAR($AM131))</f>
        <v>0</v>
      </c>
      <c r="AO131" s="464">
        <f>SUMIFS(Income!$G:$G,Income!$H:$H, AO$2,Income!$F:$F, $AL$1, Income!$B:$B, IF($AM131&lt;&gt;"", TEXT($AM131, "MMMM"), ""), Income!$C:$C, YEAR($AM131))+SUMIFS($T:$T, $U:$U,AO$2,$Q:$Q,IF($AM131&lt;&gt;"", TEXT($AM131, "MMMM"), ""),$R:$R,YEAR($AM131))</f>
        <v>0</v>
      </c>
      <c r="AP131" s="464">
        <f>SUMIFS(Income!$G:$G,Income!$H:$H, AP$2,Income!$F:$F, $AL$1, Income!$B:$B, IF($AM131&lt;&gt;"", TEXT($AM131, "MMMM"), ""), Income!$C:$C, YEAR($AM131))+SUMIFS($T:$T, $U:$U,AP$2,$Q:$Q,IF($AM131&lt;&gt;"", TEXT($AM131, "MMMM"), ""),$R:$R,YEAR($AM131))</f>
        <v>0</v>
      </c>
      <c r="AQ131" s="464">
        <f>SUMIFS(Income!$G:$G,Income!$H:$H, AQ$2,Income!$F:$F, $AL$1, Income!$B:$B, IF($AM131&lt;&gt;"", TEXT($AM131, "MMMM"), ""), Income!$C:$C, YEAR($AM131))+SUMIFS($T:$T, $U:$U,AQ$2,$Q:$Q,IF($AM131&lt;&gt;"", TEXT($AM131, "MMMM"), ""),$R:$R,YEAR($AM131))</f>
        <v>0</v>
      </c>
      <c r="AR131" s="464">
        <f>SUMIFS(Income!$G:$G,Income!$H:$H, AR$2,Income!$F:$F, $AL$1, Income!$B:$B, IF($AM131&lt;&gt;"", TEXT($AM131, "MMMM"), ""), Income!$C:$C, YEAR($AM131))+SUMIFS($T:$T, $U:$U,AR$2,$Q:$Q,IF($AM131&lt;&gt;"", TEXT($AM131, "MMMM"), ""),$R:$R,YEAR($AM131))</f>
        <v>0</v>
      </c>
      <c r="AS131" s="467">
        <f>SUMIFS(Income!$G:$G,Income!$H:$H, AS$2,Income!$F:$F, $AL$1, Income!$B:$B, IF($AM131&lt;&gt;"", TEXT($AM131, "MMMM"), ""), Income!$C:$C, YEAR($AM131))+SUMIFS($T:$T, $U:$U,AS$2,$Q:$Q,IF($AM131&lt;&gt;"", TEXT($AM131, "MMMM"), ""),$R:$R,YEAR($AM131))</f>
        <v>0</v>
      </c>
      <c r="AT131" s="428"/>
      <c r="AU131" s="463">
        <v>47727.0</v>
      </c>
      <c r="AV131" s="464">
        <f>SUMIFS(Income!$G:$G,Income!$H:$H, AV$2,Income!$F:$F, $AT$1, Income!$B:$B, IF($AU131&lt;&gt;"", TEXT($AU131, "MMMM"), ""), Income!$C:$C, YEAR($AU131))</f>
        <v>0</v>
      </c>
      <c r="AW131" s="464">
        <f>SUMIFS(Income!$G:$G,Income!$H:$H, AW$2,Income!$F:$F, $AT$1, Income!$B:$B, IF($AU131&lt;&gt;"", TEXT($AU131, "MMMM"), ""), Income!$C:$C, YEAR($AU131))</f>
        <v>0</v>
      </c>
      <c r="AX131" s="464">
        <f>SUMIFS(Income!$G:$G,Income!$H:$H, AX$2,Income!$F:$F, $AT$1, Income!$B:$B, IF($AU131&lt;&gt;"", TEXT($AU131, "MMMM"), ""), Income!$C:$C, YEAR($AU131))</f>
        <v>0</v>
      </c>
      <c r="AY131" s="464">
        <f>SUMIFS(Income!$G:$G,Income!$H:$H, AY$2,Income!$F:$F, $AT$1, Income!$B:$B, IF($AU131&lt;&gt;"", TEXT($AU131, "MMMM"), ""), Income!$C:$C, YEAR($AU131))</f>
        <v>0</v>
      </c>
      <c r="AZ131" s="464">
        <f>SUMIFS(Income!$G:$G,Income!$H:$H, AZ$2,Income!$F:$F, $AT$1, Income!$B:$B, IF($AU131&lt;&gt;"", TEXT($AU131, "MMMM"), ""), Income!$C:$C, YEAR($AU131))</f>
        <v>0</v>
      </c>
      <c r="BA131" s="468">
        <f>SUMIFS(Income!$G:$G,Income!$H:$H, BA$2,Income!$F:$F, $AT$1, Income!$B:$B, IF($AU131&lt;&gt;"", TEXT($AU131, "MMMM"), ""), Income!$C:$C, YEAR($AU131))</f>
        <v>0</v>
      </c>
      <c r="BB131" s="345"/>
      <c r="BC131" s="345"/>
      <c r="BD131" s="345"/>
      <c r="BE131" s="345"/>
    </row>
    <row r="132" ht="13.5" customHeight="1">
      <c r="A132" s="424">
        <f>'Membership Application List'!A361</f>
        <v>45532.49804</v>
      </c>
      <c r="B132" s="443" t="str">
        <f t="shared" si="6"/>
        <v>August</v>
      </c>
      <c r="C132" s="443">
        <f t="shared" si="7"/>
        <v>2024</v>
      </c>
      <c r="D132" s="426" t="str">
        <f>'Membership Application List'!E361</f>
        <v>Christopher Mendoza</v>
      </c>
      <c r="E132" s="426">
        <f>IF('Membership Application List'!J361 = "Food/Litter Donation", 0, IF('Membership Application List'!J361 = "$15 Donation, Discord Verification", IF('Membership Application List'!N361 = TRUE, 15, 0)))</f>
        <v>15</v>
      </c>
      <c r="F132" s="426">
        <f>if('Membership Application List'!K361=TRUE, 5,0)</f>
        <v>0</v>
      </c>
      <c r="G132" s="426">
        <f t="shared" si="8"/>
        <v>15</v>
      </c>
      <c r="H132" s="427" t="str">
        <f>'Membership Application List'!L361</f>
        <v>Cash</v>
      </c>
      <c r="I132" s="428"/>
      <c r="J132" s="463">
        <v>47757.0</v>
      </c>
      <c r="K132" s="464">
        <f t="shared" ref="K132:O132" si="90">SUMIFS($G:$G, $H:$H, K$2, $B:$B, IF($J132&lt;&gt;"", TEXT($J132, "MMMM"), ""), $C:$C, YEAR($J132))</f>
        <v>0</v>
      </c>
      <c r="L132" s="464">
        <f t="shared" si="90"/>
        <v>0</v>
      </c>
      <c r="M132" s="464">
        <f t="shared" si="90"/>
        <v>0</v>
      </c>
      <c r="N132" s="464">
        <f t="shared" si="90"/>
        <v>0</v>
      </c>
      <c r="O132" s="465">
        <f t="shared" si="90"/>
        <v>0</v>
      </c>
      <c r="P132" s="414"/>
      <c r="Q132" s="414"/>
      <c r="R132" s="414"/>
      <c r="S132" s="445"/>
      <c r="T132" s="445"/>
      <c r="U132" s="445"/>
      <c r="V132" s="428"/>
      <c r="W132" s="463">
        <v>47757.0</v>
      </c>
      <c r="X132" s="464">
        <f>SUMIFS(Income!$G:$G,Income!$H:$H, X$2,Income!$F:$F, $V$1, Income!$B:$B, IF($W132&lt;&gt;"", TEXT($W132, "MMMM"), ""), Income!$C:$C, YEAR($W132))</f>
        <v>0</v>
      </c>
      <c r="Y132" s="464">
        <f>SUMIFS(Income!$G:$G,Income!$H:$H, Y$2,Income!$F:$F, $V$1, Income!$B:$B, IF($W132&lt;&gt;"", TEXT($W132, "MMMM"), ""), Income!$C:$C, YEAR($W132))</f>
        <v>0</v>
      </c>
      <c r="Z132" s="464">
        <f>SUMIFS(Income!$G:$G,Income!$H:$H, Z$2,Income!$F:$F, $V$1, Income!$B:$B, IF($W132&lt;&gt;"", TEXT($W132, "MMMM"), ""), Income!$C:$C, YEAR($W132))</f>
        <v>0</v>
      </c>
      <c r="AA132" s="464">
        <f>SUMIFS(Income!$G:$G,Income!$H:$H, AA$2,Income!$F:$F, $V$1, Income!$B:$B, IF($W132&lt;&gt;"", TEXT($W132, "MMMM"), ""), Income!$C:$C, YEAR($W132))</f>
        <v>0</v>
      </c>
      <c r="AB132" s="464">
        <f>SUMIFS(Income!$G:$G,Income!$H:$H, AB$2,Income!$F:$F, $V$1, Income!$B:$B, IF($W132&lt;&gt;"", TEXT($W132, "MMMM"), ""), Income!$C:$C, YEAR($W132))</f>
        <v>0</v>
      </c>
      <c r="AC132" s="467">
        <f>SUMIFS(Income!$G:$G,Income!$H:$H, AC$2,Income!$F:$F, $V$1, Income!$B:$B, IF($W132&lt;&gt;"", TEXT($W132, "MMMM"), ""), Income!$C:$C, YEAR($W132))</f>
        <v>0</v>
      </c>
      <c r="AD132" s="428"/>
      <c r="AE132" s="463">
        <v>47757.0</v>
      </c>
      <c r="AF132" s="464">
        <f>SUMIFS(Income!$G:$G,Income!$H:$H, AF$2,Income!$F:$F, $AD$1, Income!$B:$B, IF($AE132&lt;&gt;"", TEXT($AE132, "MMMM"), ""), Income!$C:$C, YEAR($AE132))</f>
        <v>0</v>
      </c>
      <c r="AG132" s="464">
        <f>SUMIFS(Income!$G:$G,Income!$H:$H, AG$2,Income!$F:$F, $AD$1, Income!$B:$B, IF($AE132&lt;&gt;"", TEXT($AE132, "MMMM"), ""), Income!$C:$C, YEAR($AE132))</f>
        <v>0</v>
      </c>
      <c r="AH132" s="464">
        <f>SUMIFS(Income!$G:$G,Income!$H:$H, AH$2,Income!$F:$F, $AD$1, Income!$B:$B, IF($AE132&lt;&gt;"", TEXT($AE132, "MMMM"), ""), Income!$C:$C, YEAR($AE132))</f>
        <v>0</v>
      </c>
      <c r="AI132" s="464">
        <f>SUMIFS(Income!$G:$G,Income!$H:$H, AI$2,Income!$F:$F, $AD$1, Income!$B:$B, IF($AE132&lt;&gt;"", TEXT($AE132, "MMMM"), ""), Income!$C:$C, YEAR($AE132))</f>
        <v>0</v>
      </c>
      <c r="AJ132" s="464">
        <f>SUMIFS(Income!$G:$G,Income!$H:$H, AJ$2,Income!$F:$F, $AD$1, Income!$B:$B, IF($AE132&lt;&gt;"", TEXT($AE132, "MMMM"), ""), Income!$C:$C, YEAR($AE132))</f>
        <v>0</v>
      </c>
      <c r="AK132" s="467">
        <f>SUMIFS(Income!$G:$G,Income!$H:$H, AK$2,Income!$F:$F, $AD$1, Income!$B:$B, IF($AE132&lt;&gt;"", TEXT($AE132, "MMMM"), ""), Income!$C:$C, YEAR($AE132))</f>
        <v>0</v>
      </c>
      <c r="AL132" s="428"/>
      <c r="AM132" s="463">
        <v>47757.0</v>
      </c>
      <c r="AN132" s="464">
        <f>SUMIFS(Income!$G:$G,Income!$H:$H, AN$2,Income!$F:$F, $AL$1, Income!$B:$B, IF($AM132&lt;&gt;"", TEXT($AM132, "MMMM"), ""), Income!$C:$C, YEAR($AM132))+SUMIFS($T:$T, $U:$U,AN$2,$Q:$Q,IF($AM132&lt;&gt;"", TEXT($AM132, "MMMM"), ""),$R:$R,YEAR($AM132))</f>
        <v>0</v>
      </c>
      <c r="AO132" s="464">
        <f>SUMIFS(Income!$G:$G,Income!$H:$H, AO$2,Income!$F:$F, $AL$1, Income!$B:$B, IF($AM132&lt;&gt;"", TEXT($AM132, "MMMM"), ""), Income!$C:$C, YEAR($AM132))+SUMIFS($T:$T, $U:$U,AO$2,$Q:$Q,IF($AM132&lt;&gt;"", TEXT($AM132, "MMMM"), ""),$R:$R,YEAR($AM132))</f>
        <v>0</v>
      </c>
      <c r="AP132" s="464">
        <f>SUMIFS(Income!$G:$G,Income!$H:$H, AP$2,Income!$F:$F, $AL$1, Income!$B:$B, IF($AM132&lt;&gt;"", TEXT($AM132, "MMMM"), ""), Income!$C:$C, YEAR($AM132))+SUMIFS($T:$T, $U:$U,AP$2,$Q:$Q,IF($AM132&lt;&gt;"", TEXT($AM132, "MMMM"), ""),$R:$R,YEAR($AM132))</f>
        <v>0</v>
      </c>
      <c r="AQ132" s="464">
        <f>SUMIFS(Income!$G:$G,Income!$H:$H, AQ$2,Income!$F:$F, $AL$1, Income!$B:$B, IF($AM132&lt;&gt;"", TEXT($AM132, "MMMM"), ""), Income!$C:$C, YEAR($AM132))+SUMIFS($T:$T, $U:$U,AQ$2,$Q:$Q,IF($AM132&lt;&gt;"", TEXT($AM132, "MMMM"), ""),$R:$R,YEAR($AM132))</f>
        <v>0</v>
      </c>
      <c r="AR132" s="464">
        <f>SUMIFS(Income!$G:$G,Income!$H:$H, AR$2,Income!$F:$F, $AL$1, Income!$B:$B, IF($AM132&lt;&gt;"", TEXT($AM132, "MMMM"), ""), Income!$C:$C, YEAR($AM132))+SUMIFS($T:$T, $U:$U,AR$2,$Q:$Q,IF($AM132&lt;&gt;"", TEXT($AM132, "MMMM"), ""),$R:$R,YEAR($AM132))</f>
        <v>0</v>
      </c>
      <c r="AS132" s="467">
        <f>SUMIFS(Income!$G:$G,Income!$H:$H, AS$2,Income!$F:$F, $AL$1, Income!$B:$B, IF($AM132&lt;&gt;"", TEXT($AM132, "MMMM"), ""), Income!$C:$C, YEAR($AM132))+SUMIFS($T:$T, $U:$U,AS$2,$Q:$Q,IF($AM132&lt;&gt;"", TEXT($AM132, "MMMM"), ""),$R:$R,YEAR($AM132))</f>
        <v>0</v>
      </c>
      <c r="AT132" s="428"/>
      <c r="AU132" s="463">
        <v>47757.0</v>
      </c>
      <c r="AV132" s="464">
        <f>SUMIFS(Income!$G:$G,Income!$H:$H, AV$2,Income!$F:$F, $AT$1, Income!$B:$B, IF($AU132&lt;&gt;"", TEXT($AU132, "MMMM"), ""), Income!$C:$C, YEAR($AU132))</f>
        <v>0</v>
      </c>
      <c r="AW132" s="464">
        <f>SUMIFS(Income!$G:$G,Income!$H:$H, AW$2,Income!$F:$F, $AT$1, Income!$B:$B, IF($AU132&lt;&gt;"", TEXT($AU132, "MMMM"), ""), Income!$C:$C, YEAR($AU132))</f>
        <v>0</v>
      </c>
      <c r="AX132" s="464">
        <f>SUMIFS(Income!$G:$G,Income!$H:$H, AX$2,Income!$F:$F, $AT$1, Income!$B:$B, IF($AU132&lt;&gt;"", TEXT($AU132, "MMMM"), ""), Income!$C:$C, YEAR($AU132))</f>
        <v>0</v>
      </c>
      <c r="AY132" s="464">
        <f>SUMIFS(Income!$G:$G,Income!$H:$H, AY$2,Income!$F:$F, $AT$1, Income!$B:$B, IF($AU132&lt;&gt;"", TEXT($AU132, "MMMM"), ""), Income!$C:$C, YEAR($AU132))</f>
        <v>0</v>
      </c>
      <c r="AZ132" s="464">
        <f>SUMIFS(Income!$G:$G,Income!$H:$H, AZ$2,Income!$F:$F, $AT$1, Income!$B:$B, IF($AU132&lt;&gt;"", TEXT($AU132, "MMMM"), ""), Income!$C:$C, YEAR($AU132))</f>
        <v>0</v>
      </c>
      <c r="BA132" s="468">
        <f>SUMIFS(Income!$G:$G,Income!$H:$H, BA$2,Income!$F:$F, $AT$1, Income!$B:$B, IF($AU132&lt;&gt;"", TEXT($AU132, "MMMM"), ""), Income!$C:$C, YEAR($AU132))</f>
        <v>0</v>
      </c>
      <c r="BB132" s="345"/>
      <c r="BC132" s="345"/>
      <c r="BD132" s="345"/>
      <c r="BE132" s="345"/>
    </row>
    <row r="133" ht="13.5" customHeight="1">
      <c r="A133" s="436">
        <f>'Membership Application List'!A362</f>
        <v>45532.50961</v>
      </c>
      <c r="B133" s="437" t="str">
        <f t="shared" si="6"/>
        <v>August</v>
      </c>
      <c r="C133" s="437">
        <f t="shared" si="7"/>
        <v>2024</v>
      </c>
      <c r="D133" s="438" t="str">
        <f>'Membership Application List'!E362</f>
        <v>Acacia Shiroma</v>
      </c>
      <c r="E133" s="438">
        <f>IF('Membership Application List'!J362 = "Food/Litter Donation", 0, IF('Membership Application List'!J362 = "$15 Donation, Discord Verification", IF('Membership Application List'!N362 = TRUE, 15, 0)))</f>
        <v>0</v>
      </c>
      <c r="F133" s="438">
        <f>if('Membership Application List'!K362=TRUE, 5,0)</f>
        <v>0</v>
      </c>
      <c r="G133" s="438">
        <f t="shared" si="8"/>
        <v>0</v>
      </c>
      <c r="H133" s="439" t="str">
        <f>'Membership Application List'!L362</f>
        <v>Paypal</v>
      </c>
      <c r="I133" s="428"/>
      <c r="J133" s="463">
        <v>47788.0</v>
      </c>
      <c r="K133" s="464">
        <f t="shared" ref="K133:O133" si="91">SUMIFS($G:$G, $H:$H, K$2, $B:$B, IF($J133&lt;&gt;"", TEXT($J133, "MMMM"), ""), $C:$C, YEAR($J133))</f>
        <v>0</v>
      </c>
      <c r="L133" s="464">
        <f t="shared" si="91"/>
        <v>0</v>
      </c>
      <c r="M133" s="464">
        <f t="shared" si="91"/>
        <v>0</v>
      </c>
      <c r="N133" s="464">
        <f t="shared" si="91"/>
        <v>0</v>
      </c>
      <c r="O133" s="465">
        <f t="shared" si="91"/>
        <v>0</v>
      </c>
      <c r="P133" s="414"/>
      <c r="Q133" s="414"/>
      <c r="R133" s="414"/>
      <c r="S133" s="445"/>
      <c r="T133" s="445"/>
      <c r="U133" s="445"/>
      <c r="V133" s="428"/>
      <c r="W133" s="463">
        <v>47788.0</v>
      </c>
      <c r="X133" s="464">
        <f>SUMIFS(Income!$G:$G,Income!$H:$H, X$2,Income!$F:$F, $V$1, Income!$B:$B, IF($W133&lt;&gt;"", TEXT($W133, "MMMM"), ""), Income!$C:$C, YEAR($W133))</f>
        <v>0</v>
      </c>
      <c r="Y133" s="464">
        <f>SUMIFS(Income!$G:$G,Income!$H:$H, Y$2,Income!$F:$F, $V$1, Income!$B:$B, IF($W133&lt;&gt;"", TEXT($W133, "MMMM"), ""), Income!$C:$C, YEAR($W133))</f>
        <v>0</v>
      </c>
      <c r="Z133" s="464">
        <f>SUMIFS(Income!$G:$G,Income!$H:$H, Z$2,Income!$F:$F, $V$1, Income!$B:$B, IF($W133&lt;&gt;"", TEXT($W133, "MMMM"), ""), Income!$C:$C, YEAR($W133))</f>
        <v>0</v>
      </c>
      <c r="AA133" s="464">
        <f>SUMIFS(Income!$G:$G,Income!$H:$H, AA$2,Income!$F:$F, $V$1, Income!$B:$B, IF($W133&lt;&gt;"", TEXT($W133, "MMMM"), ""), Income!$C:$C, YEAR($W133))</f>
        <v>0</v>
      </c>
      <c r="AB133" s="464">
        <f>SUMIFS(Income!$G:$G,Income!$H:$H, AB$2,Income!$F:$F, $V$1, Income!$B:$B, IF($W133&lt;&gt;"", TEXT($W133, "MMMM"), ""), Income!$C:$C, YEAR($W133))</f>
        <v>0</v>
      </c>
      <c r="AC133" s="467">
        <f>SUMIFS(Income!$G:$G,Income!$H:$H, AC$2,Income!$F:$F, $V$1, Income!$B:$B, IF($W133&lt;&gt;"", TEXT($W133, "MMMM"), ""), Income!$C:$C, YEAR($W133))</f>
        <v>0</v>
      </c>
      <c r="AD133" s="428"/>
      <c r="AE133" s="463">
        <v>47788.0</v>
      </c>
      <c r="AF133" s="464">
        <f>SUMIFS(Income!$G:$G,Income!$H:$H, AF$2,Income!$F:$F, $AD$1, Income!$B:$B, IF($AE133&lt;&gt;"", TEXT($AE133, "MMMM"), ""), Income!$C:$C, YEAR($AE133))</f>
        <v>0</v>
      </c>
      <c r="AG133" s="464">
        <f>SUMIFS(Income!$G:$G,Income!$H:$H, AG$2,Income!$F:$F, $AD$1, Income!$B:$B, IF($AE133&lt;&gt;"", TEXT($AE133, "MMMM"), ""), Income!$C:$C, YEAR($AE133))</f>
        <v>0</v>
      </c>
      <c r="AH133" s="464">
        <f>SUMIFS(Income!$G:$G,Income!$H:$H, AH$2,Income!$F:$F, $AD$1, Income!$B:$B, IF($AE133&lt;&gt;"", TEXT($AE133, "MMMM"), ""), Income!$C:$C, YEAR($AE133))</f>
        <v>0</v>
      </c>
      <c r="AI133" s="464">
        <f>SUMIFS(Income!$G:$G,Income!$H:$H, AI$2,Income!$F:$F, $AD$1, Income!$B:$B, IF($AE133&lt;&gt;"", TEXT($AE133, "MMMM"), ""), Income!$C:$C, YEAR($AE133))</f>
        <v>0</v>
      </c>
      <c r="AJ133" s="464">
        <f>SUMIFS(Income!$G:$G,Income!$H:$H, AJ$2,Income!$F:$F, $AD$1, Income!$B:$B, IF($AE133&lt;&gt;"", TEXT($AE133, "MMMM"), ""), Income!$C:$C, YEAR($AE133))</f>
        <v>0</v>
      </c>
      <c r="AK133" s="467">
        <f>SUMIFS(Income!$G:$G,Income!$H:$H, AK$2,Income!$F:$F, $AD$1, Income!$B:$B, IF($AE133&lt;&gt;"", TEXT($AE133, "MMMM"), ""), Income!$C:$C, YEAR($AE133))</f>
        <v>0</v>
      </c>
      <c r="AL133" s="428"/>
      <c r="AM133" s="463">
        <v>47788.0</v>
      </c>
      <c r="AN133" s="464">
        <f>SUMIFS(Income!$G:$G,Income!$H:$H, AN$2,Income!$F:$F, $AL$1, Income!$B:$B, IF($AM133&lt;&gt;"", TEXT($AM133, "MMMM"), ""), Income!$C:$C, YEAR($AM133))+SUMIFS($T:$T, $U:$U,AN$2,$Q:$Q,IF($AM133&lt;&gt;"", TEXT($AM133, "MMMM"), ""),$R:$R,YEAR($AM133))</f>
        <v>0</v>
      </c>
      <c r="AO133" s="464">
        <f>SUMIFS(Income!$G:$G,Income!$H:$H, AO$2,Income!$F:$F, $AL$1, Income!$B:$B, IF($AM133&lt;&gt;"", TEXT($AM133, "MMMM"), ""), Income!$C:$C, YEAR($AM133))+SUMIFS($T:$T, $U:$U,AO$2,$Q:$Q,IF($AM133&lt;&gt;"", TEXT($AM133, "MMMM"), ""),$R:$R,YEAR($AM133))</f>
        <v>0</v>
      </c>
      <c r="AP133" s="464">
        <f>SUMIFS(Income!$G:$G,Income!$H:$H, AP$2,Income!$F:$F, $AL$1, Income!$B:$B, IF($AM133&lt;&gt;"", TEXT($AM133, "MMMM"), ""), Income!$C:$C, YEAR($AM133))+SUMIFS($T:$T, $U:$U,AP$2,$Q:$Q,IF($AM133&lt;&gt;"", TEXT($AM133, "MMMM"), ""),$R:$R,YEAR($AM133))</f>
        <v>0</v>
      </c>
      <c r="AQ133" s="464">
        <f>SUMIFS(Income!$G:$G,Income!$H:$H, AQ$2,Income!$F:$F, $AL$1, Income!$B:$B, IF($AM133&lt;&gt;"", TEXT($AM133, "MMMM"), ""), Income!$C:$C, YEAR($AM133))+SUMIFS($T:$T, $U:$U,AQ$2,$Q:$Q,IF($AM133&lt;&gt;"", TEXT($AM133, "MMMM"), ""),$R:$R,YEAR($AM133))</f>
        <v>0</v>
      </c>
      <c r="AR133" s="464">
        <f>SUMIFS(Income!$G:$G,Income!$H:$H, AR$2,Income!$F:$F, $AL$1, Income!$B:$B, IF($AM133&lt;&gt;"", TEXT($AM133, "MMMM"), ""), Income!$C:$C, YEAR($AM133))+SUMIFS($T:$T, $U:$U,AR$2,$Q:$Q,IF($AM133&lt;&gt;"", TEXT($AM133, "MMMM"), ""),$R:$R,YEAR($AM133))</f>
        <v>0</v>
      </c>
      <c r="AS133" s="467">
        <f>SUMIFS(Income!$G:$G,Income!$H:$H, AS$2,Income!$F:$F, $AL$1, Income!$B:$B, IF($AM133&lt;&gt;"", TEXT($AM133, "MMMM"), ""), Income!$C:$C, YEAR($AM133))+SUMIFS($T:$T, $U:$U,AS$2,$Q:$Q,IF($AM133&lt;&gt;"", TEXT($AM133, "MMMM"), ""),$R:$R,YEAR($AM133))</f>
        <v>0</v>
      </c>
      <c r="AT133" s="428"/>
      <c r="AU133" s="463">
        <v>47788.0</v>
      </c>
      <c r="AV133" s="464">
        <f>SUMIFS(Income!$G:$G,Income!$H:$H, AV$2,Income!$F:$F, $AT$1, Income!$B:$B, IF($AU133&lt;&gt;"", TEXT($AU133, "MMMM"), ""), Income!$C:$C, YEAR($AU133))</f>
        <v>0</v>
      </c>
      <c r="AW133" s="464">
        <f>SUMIFS(Income!$G:$G,Income!$H:$H, AW$2,Income!$F:$F, $AT$1, Income!$B:$B, IF($AU133&lt;&gt;"", TEXT($AU133, "MMMM"), ""), Income!$C:$C, YEAR($AU133))</f>
        <v>0</v>
      </c>
      <c r="AX133" s="464">
        <f>SUMIFS(Income!$G:$G,Income!$H:$H, AX$2,Income!$F:$F, $AT$1, Income!$B:$B, IF($AU133&lt;&gt;"", TEXT($AU133, "MMMM"), ""), Income!$C:$C, YEAR($AU133))</f>
        <v>0</v>
      </c>
      <c r="AY133" s="464">
        <f>SUMIFS(Income!$G:$G,Income!$H:$H, AY$2,Income!$F:$F, $AT$1, Income!$B:$B, IF($AU133&lt;&gt;"", TEXT($AU133, "MMMM"), ""), Income!$C:$C, YEAR($AU133))</f>
        <v>0</v>
      </c>
      <c r="AZ133" s="464">
        <f>SUMIFS(Income!$G:$G,Income!$H:$H, AZ$2,Income!$F:$F, $AT$1, Income!$B:$B, IF($AU133&lt;&gt;"", TEXT($AU133, "MMMM"), ""), Income!$C:$C, YEAR($AU133))</f>
        <v>0</v>
      </c>
      <c r="BA133" s="468">
        <f>SUMIFS(Income!$G:$G,Income!$H:$H, BA$2,Income!$F:$F, $AT$1, Income!$B:$B, IF($AU133&lt;&gt;"", TEXT($AU133, "MMMM"), ""), Income!$C:$C, YEAR($AU133))</f>
        <v>0</v>
      </c>
      <c r="BB133" s="345"/>
      <c r="BC133" s="345"/>
      <c r="BD133" s="345"/>
      <c r="BE133" s="345"/>
    </row>
    <row r="134" ht="13.5" customHeight="1">
      <c r="A134" s="424">
        <f>'Membership Application List'!A363</f>
        <v>45532.50899</v>
      </c>
      <c r="B134" s="443" t="str">
        <f t="shared" si="6"/>
        <v>August</v>
      </c>
      <c r="C134" s="443">
        <f t="shared" si="7"/>
        <v>2024</v>
      </c>
      <c r="D134" s="426" t="str">
        <f>'Membership Application List'!E363</f>
        <v>Acacia Shiroma</v>
      </c>
      <c r="E134" s="426">
        <f>IF('Membership Application List'!J363 = "Food/Litter Donation", 0, IF('Membership Application List'!J363 = "$15 Donation, Discord Verification", IF('Membership Application List'!N363 = TRUE, 15, 0)))</f>
        <v>15</v>
      </c>
      <c r="F134" s="426">
        <f>if('Membership Application List'!K363=TRUE, 5,0)</f>
        <v>0</v>
      </c>
      <c r="G134" s="426">
        <f t="shared" si="8"/>
        <v>15</v>
      </c>
      <c r="H134" s="427" t="str">
        <f>'Membership Application List'!L363</f>
        <v>Paypal</v>
      </c>
      <c r="I134" s="428"/>
      <c r="J134" s="463">
        <v>47818.0</v>
      </c>
      <c r="K134" s="464">
        <f t="shared" ref="K134:O134" si="92">SUMIFS($G:$G, $H:$H, K$2, $B:$B, IF($J134&lt;&gt;"", TEXT($J134, "MMMM"), ""), $C:$C, YEAR($J134))</f>
        <v>0</v>
      </c>
      <c r="L134" s="464">
        <f t="shared" si="92"/>
        <v>0</v>
      </c>
      <c r="M134" s="464">
        <f t="shared" si="92"/>
        <v>0</v>
      </c>
      <c r="N134" s="464">
        <f t="shared" si="92"/>
        <v>0</v>
      </c>
      <c r="O134" s="465">
        <f t="shared" si="92"/>
        <v>0</v>
      </c>
      <c r="P134" s="414"/>
      <c r="Q134" s="414"/>
      <c r="R134" s="414"/>
      <c r="S134" s="445"/>
      <c r="T134" s="445"/>
      <c r="U134" s="445"/>
      <c r="V134" s="428"/>
      <c r="W134" s="463">
        <v>47818.0</v>
      </c>
      <c r="X134" s="464">
        <f>SUMIFS(Income!$G:$G,Income!$H:$H, X$2,Income!$F:$F, $V$1, Income!$B:$B, IF($W134&lt;&gt;"", TEXT($W134, "MMMM"), ""), Income!$C:$C, YEAR($W134))</f>
        <v>0</v>
      </c>
      <c r="Y134" s="464">
        <f>SUMIFS(Income!$G:$G,Income!$H:$H, Y$2,Income!$F:$F, $V$1, Income!$B:$B, IF($W134&lt;&gt;"", TEXT($W134, "MMMM"), ""), Income!$C:$C, YEAR($W134))</f>
        <v>0</v>
      </c>
      <c r="Z134" s="464">
        <f>SUMIFS(Income!$G:$G,Income!$H:$H, Z$2,Income!$F:$F, $V$1, Income!$B:$B, IF($W134&lt;&gt;"", TEXT($W134, "MMMM"), ""), Income!$C:$C, YEAR($W134))</f>
        <v>0</v>
      </c>
      <c r="AA134" s="464">
        <f>SUMIFS(Income!$G:$G,Income!$H:$H, AA$2,Income!$F:$F, $V$1, Income!$B:$B, IF($W134&lt;&gt;"", TEXT($W134, "MMMM"), ""), Income!$C:$C, YEAR($W134))</f>
        <v>0</v>
      </c>
      <c r="AB134" s="464">
        <f>SUMIFS(Income!$G:$G,Income!$H:$H, AB$2,Income!$F:$F, $V$1, Income!$B:$B, IF($W134&lt;&gt;"", TEXT($W134, "MMMM"), ""), Income!$C:$C, YEAR($W134))</f>
        <v>0</v>
      </c>
      <c r="AC134" s="467">
        <f>SUMIFS(Income!$G:$G,Income!$H:$H, AC$2,Income!$F:$F, $V$1, Income!$B:$B, IF($W134&lt;&gt;"", TEXT($W134, "MMMM"), ""), Income!$C:$C, YEAR($W134))</f>
        <v>0</v>
      </c>
      <c r="AD134" s="428"/>
      <c r="AE134" s="463">
        <v>47818.0</v>
      </c>
      <c r="AF134" s="464">
        <f>SUMIFS(Income!$G:$G,Income!$H:$H, AF$2,Income!$F:$F, $AD$1, Income!$B:$B, IF($AE134&lt;&gt;"", TEXT($AE134, "MMMM"), ""), Income!$C:$C, YEAR($AE134))</f>
        <v>0</v>
      </c>
      <c r="AG134" s="464">
        <f>SUMIFS(Income!$G:$G,Income!$H:$H, AG$2,Income!$F:$F, $AD$1, Income!$B:$B, IF($AE134&lt;&gt;"", TEXT($AE134, "MMMM"), ""), Income!$C:$C, YEAR($AE134))</f>
        <v>0</v>
      </c>
      <c r="AH134" s="464">
        <f>SUMIFS(Income!$G:$G,Income!$H:$H, AH$2,Income!$F:$F, $AD$1, Income!$B:$B, IF($AE134&lt;&gt;"", TEXT($AE134, "MMMM"), ""), Income!$C:$C, YEAR($AE134))</f>
        <v>0</v>
      </c>
      <c r="AI134" s="464">
        <f>SUMIFS(Income!$G:$G,Income!$H:$H, AI$2,Income!$F:$F, $AD$1, Income!$B:$B, IF($AE134&lt;&gt;"", TEXT($AE134, "MMMM"), ""), Income!$C:$C, YEAR($AE134))</f>
        <v>0</v>
      </c>
      <c r="AJ134" s="464">
        <f>SUMIFS(Income!$G:$G,Income!$H:$H, AJ$2,Income!$F:$F, $AD$1, Income!$B:$B, IF($AE134&lt;&gt;"", TEXT($AE134, "MMMM"), ""), Income!$C:$C, YEAR($AE134))</f>
        <v>0</v>
      </c>
      <c r="AK134" s="467">
        <f>SUMIFS(Income!$G:$G,Income!$H:$H, AK$2,Income!$F:$F, $AD$1, Income!$B:$B, IF($AE134&lt;&gt;"", TEXT($AE134, "MMMM"), ""), Income!$C:$C, YEAR($AE134))</f>
        <v>0</v>
      </c>
      <c r="AL134" s="428"/>
      <c r="AM134" s="463">
        <v>47818.0</v>
      </c>
      <c r="AN134" s="464">
        <f>SUMIFS(Income!$G:$G,Income!$H:$H, AN$2,Income!$F:$F, $AL$1, Income!$B:$B, IF($AM134&lt;&gt;"", TEXT($AM134, "MMMM"), ""), Income!$C:$C, YEAR($AM134))+SUMIFS($T:$T, $U:$U,AN$2,$Q:$Q,IF($AM134&lt;&gt;"", TEXT($AM134, "MMMM"), ""),$R:$R,YEAR($AM134))</f>
        <v>0</v>
      </c>
      <c r="AO134" s="464">
        <f>SUMIFS(Income!$G:$G,Income!$H:$H, AO$2,Income!$F:$F, $AL$1, Income!$B:$B, IF($AM134&lt;&gt;"", TEXT($AM134, "MMMM"), ""), Income!$C:$C, YEAR($AM134))+SUMIFS($T:$T, $U:$U,AO$2,$Q:$Q,IF($AM134&lt;&gt;"", TEXT($AM134, "MMMM"), ""),$R:$R,YEAR($AM134))</f>
        <v>0</v>
      </c>
      <c r="AP134" s="464">
        <f>SUMIFS(Income!$G:$G,Income!$H:$H, AP$2,Income!$F:$F, $AL$1, Income!$B:$B, IF($AM134&lt;&gt;"", TEXT($AM134, "MMMM"), ""), Income!$C:$C, YEAR($AM134))+SUMIFS($T:$T, $U:$U,AP$2,$Q:$Q,IF($AM134&lt;&gt;"", TEXT($AM134, "MMMM"), ""),$R:$R,YEAR($AM134))</f>
        <v>0</v>
      </c>
      <c r="AQ134" s="464">
        <f>SUMIFS(Income!$G:$G,Income!$H:$H, AQ$2,Income!$F:$F, $AL$1, Income!$B:$B, IF($AM134&lt;&gt;"", TEXT($AM134, "MMMM"), ""), Income!$C:$C, YEAR($AM134))+SUMIFS($T:$T, $U:$U,AQ$2,$Q:$Q,IF($AM134&lt;&gt;"", TEXT($AM134, "MMMM"), ""),$R:$R,YEAR($AM134))</f>
        <v>0</v>
      </c>
      <c r="AR134" s="464">
        <f>SUMIFS(Income!$G:$G,Income!$H:$H, AR$2,Income!$F:$F, $AL$1, Income!$B:$B, IF($AM134&lt;&gt;"", TEXT($AM134, "MMMM"), ""), Income!$C:$C, YEAR($AM134))+SUMIFS($T:$T, $U:$U,AR$2,$Q:$Q,IF($AM134&lt;&gt;"", TEXT($AM134, "MMMM"), ""),$R:$R,YEAR($AM134))</f>
        <v>0</v>
      </c>
      <c r="AS134" s="467">
        <f>SUMIFS(Income!$G:$G,Income!$H:$H, AS$2,Income!$F:$F, $AL$1, Income!$B:$B, IF($AM134&lt;&gt;"", TEXT($AM134, "MMMM"), ""), Income!$C:$C, YEAR($AM134))+SUMIFS($T:$T, $U:$U,AS$2,$Q:$Q,IF($AM134&lt;&gt;"", TEXT($AM134, "MMMM"), ""),$R:$R,YEAR($AM134))</f>
        <v>0</v>
      </c>
      <c r="AT134" s="428"/>
      <c r="AU134" s="463">
        <v>47818.0</v>
      </c>
      <c r="AV134" s="464">
        <f>SUMIFS(Income!$G:$G,Income!$H:$H, AV$2,Income!$F:$F, $AT$1, Income!$B:$B, IF($AU134&lt;&gt;"", TEXT($AU134, "MMMM"), ""), Income!$C:$C, YEAR($AU134))</f>
        <v>0</v>
      </c>
      <c r="AW134" s="464">
        <f>SUMIFS(Income!$G:$G,Income!$H:$H, AW$2,Income!$F:$F, $AT$1, Income!$B:$B, IF($AU134&lt;&gt;"", TEXT($AU134, "MMMM"), ""), Income!$C:$C, YEAR($AU134))</f>
        <v>0</v>
      </c>
      <c r="AX134" s="464">
        <f>SUMIFS(Income!$G:$G,Income!$H:$H, AX$2,Income!$F:$F, $AT$1, Income!$B:$B, IF($AU134&lt;&gt;"", TEXT($AU134, "MMMM"), ""), Income!$C:$C, YEAR($AU134))</f>
        <v>0</v>
      </c>
      <c r="AY134" s="464">
        <f>SUMIFS(Income!$G:$G,Income!$H:$H, AY$2,Income!$F:$F, $AT$1, Income!$B:$B, IF($AU134&lt;&gt;"", TEXT($AU134, "MMMM"), ""), Income!$C:$C, YEAR($AU134))</f>
        <v>0</v>
      </c>
      <c r="AZ134" s="464">
        <f>SUMIFS(Income!$G:$G,Income!$H:$H, AZ$2,Income!$F:$F, $AT$1, Income!$B:$B, IF($AU134&lt;&gt;"", TEXT($AU134, "MMMM"), ""), Income!$C:$C, YEAR($AU134))</f>
        <v>0</v>
      </c>
      <c r="BA134" s="468">
        <f>SUMIFS(Income!$G:$G,Income!$H:$H, BA$2,Income!$F:$F, $AT$1, Income!$B:$B, IF($AU134&lt;&gt;"", TEXT($AU134, "MMMM"), ""), Income!$C:$C, YEAR($AU134))</f>
        <v>0</v>
      </c>
      <c r="BB134" s="345"/>
      <c r="BC134" s="345"/>
      <c r="BD134" s="345"/>
      <c r="BE134" s="345"/>
    </row>
    <row r="135" ht="13.5" customHeight="1">
      <c r="A135" s="436">
        <f>'Membership Application List'!A364</f>
        <v>45532.56654</v>
      </c>
      <c r="B135" s="437" t="str">
        <f t="shared" si="6"/>
        <v>August</v>
      </c>
      <c r="C135" s="437">
        <f t="shared" si="7"/>
        <v>2024</v>
      </c>
      <c r="D135" s="438" t="str">
        <f>'Membership Application List'!E364</f>
        <v>Michell Kim</v>
      </c>
      <c r="E135" s="438">
        <f>IF('Membership Application List'!J364 = "Food/Litter Donation", 0, IF('Membership Application List'!J364 = "$15 Donation, Discord Verification", IF('Membership Application List'!N364 = TRUE, 15, 0)))</f>
        <v>0</v>
      </c>
      <c r="F135" s="438">
        <f>if('Membership Application List'!K364=TRUE, 5,0)</f>
        <v>0</v>
      </c>
      <c r="G135" s="438">
        <f t="shared" si="8"/>
        <v>0</v>
      </c>
      <c r="H135" s="439" t="str">
        <f>'Membership Application List'!L364</f>
        <v/>
      </c>
      <c r="I135" s="407" t="s">
        <v>790</v>
      </c>
      <c r="J135" s="463">
        <v>47849.0</v>
      </c>
      <c r="K135" s="464">
        <f t="shared" ref="K135:O135" si="93">SUMIFS($G:$G, $H:$H, K$2, $B:$B, IF($J135&lt;&gt;"", TEXT($J135, "MMMM"), ""), $C:$C, YEAR($J135))</f>
        <v>0</v>
      </c>
      <c r="L135" s="464">
        <f t="shared" si="93"/>
        <v>0</v>
      </c>
      <c r="M135" s="464">
        <f t="shared" si="93"/>
        <v>0</v>
      </c>
      <c r="N135" s="464">
        <f t="shared" si="93"/>
        <v>0</v>
      </c>
      <c r="O135" s="465">
        <f t="shared" si="93"/>
        <v>0</v>
      </c>
      <c r="P135" s="414"/>
      <c r="Q135" s="414"/>
      <c r="R135" s="414"/>
      <c r="S135" s="445"/>
      <c r="T135" s="445"/>
      <c r="U135" s="445"/>
      <c r="V135" s="407" t="s">
        <v>790</v>
      </c>
      <c r="W135" s="463">
        <v>47849.0</v>
      </c>
      <c r="X135" s="469">
        <f>SUMIFS(Income!$G:$G,Income!$H:$H, X$2,Income!$F:$F, $V$1, Income!$B:$B, IF($W135&lt;&gt;"", TEXT($W135, "MMMM"), ""), Income!$C:$C, YEAR($W135))</f>
        <v>0</v>
      </c>
      <c r="Y135" s="469">
        <f>SUMIFS(Income!$G:$G,Income!$H:$H, Y$2,Income!$F:$F, $V$1, Income!$B:$B, IF($W135&lt;&gt;"", TEXT($W135, "MMMM"), ""), Income!$C:$C, YEAR($W135))</f>
        <v>0</v>
      </c>
      <c r="Z135" s="469">
        <f>SUMIFS(Income!$G:$G,Income!$H:$H, Z$2,Income!$F:$F, $V$1, Income!$B:$B, IF($W135&lt;&gt;"", TEXT($W135, "MMMM"), ""), Income!$C:$C, YEAR($W135))</f>
        <v>0</v>
      </c>
      <c r="AA135" s="469">
        <f>SUMIFS(Income!$G:$G,Income!$H:$H, AA$2,Income!$F:$F, $V$1, Income!$B:$B, IF($W135&lt;&gt;"", TEXT($W135, "MMMM"), ""), Income!$C:$C, YEAR($W135))</f>
        <v>0</v>
      </c>
      <c r="AB135" s="464">
        <f>SUMIFS(Income!$G:$G,Income!$H:$H, AB$2,Income!$F:$F, $V$1, Income!$B:$B, IF($W135&lt;&gt;"", TEXT($W135, "MMMM"), ""), Income!$C:$C, YEAR($W135))</f>
        <v>0</v>
      </c>
      <c r="AC135" s="470">
        <f>SUMIFS(Income!$G:$G,Income!$H:$H, AC$2,Income!$F:$F, $V$1, Income!$B:$B, IF($W135&lt;&gt;"", TEXT($W135, "MMMM"), ""), Income!$C:$C, YEAR($W135))</f>
        <v>0</v>
      </c>
      <c r="AD135" s="407" t="s">
        <v>790</v>
      </c>
      <c r="AE135" s="463">
        <v>47849.0</v>
      </c>
      <c r="AF135" s="469">
        <f>SUMIFS(Income!$G:$G,Income!$H:$H, AF$2,Income!$F:$F, $AD$1, Income!$B:$B, IF($AE135&lt;&gt;"", TEXT($AE135, "MMMM"), ""), Income!$C:$C, YEAR($AE135))</f>
        <v>0</v>
      </c>
      <c r="AG135" s="469">
        <f>SUMIFS(Income!$G:$G,Income!$H:$H, AG$2,Income!$F:$F, $AD$1, Income!$B:$B, IF($AE135&lt;&gt;"", TEXT($AE135, "MMMM"), ""), Income!$C:$C, YEAR($AE135))</f>
        <v>0</v>
      </c>
      <c r="AH135" s="469">
        <f>SUMIFS(Income!$G:$G,Income!$H:$H, AH$2,Income!$F:$F, $AD$1, Income!$B:$B, IF($AE135&lt;&gt;"", TEXT($AE135, "MMMM"), ""), Income!$C:$C, YEAR($AE135))</f>
        <v>0</v>
      </c>
      <c r="AI135" s="469">
        <f>SUMIFS(Income!$G:$G,Income!$H:$H, AI$2,Income!$F:$F, $AD$1, Income!$B:$B, IF($AE135&lt;&gt;"", TEXT($AE135, "MMMM"), ""), Income!$C:$C, YEAR($AE135))</f>
        <v>0</v>
      </c>
      <c r="AJ135" s="464">
        <f>SUMIFS(Income!$G:$G,Income!$H:$H, AJ$2,Income!$F:$F, $AD$1, Income!$B:$B, IF($AE135&lt;&gt;"", TEXT($AE135, "MMMM"), ""), Income!$C:$C, YEAR($AE135))</f>
        <v>0</v>
      </c>
      <c r="AK135" s="470">
        <f>SUMIFS(Income!$G:$G,Income!$H:$H, AK$2,Income!$F:$F, $AD$1, Income!$B:$B, IF($AE135&lt;&gt;"", TEXT($AE135, "MMMM"), ""), Income!$C:$C, YEAR($AE135))</f>
        <v>0</v>
      </c>
      <c r="AL135" s="407" t="s">
        <v>790</v>
      </c>
      <c r="AM135" s="463">
        <v>47849.0</v>
      </c>
      <c r="AN135" s="464">
        <f>SUMIFS(Income!$G:$G,Income!$H:$H, AN$2,Income!$F:$F, $AL$1, Income!$B:$B, IF($AM135&lt;&gt;"", TEXT($AM135, "MMMM"), ""), Income!$C:$C, YEAR($AM135))+SUMIFS($T:$T, $U:$U,AN$2,$Q:$Q,IF($AM135&lt;&gt;"", TEXT($AM135, "MMMM"), ""),$R:$R,YEAR($AM135))</f>
        <v>0</v>
      </c>
      <c r="AO135" s="464">
        <f>SUMIFS(Income!$G:$G,Income!$H:$H, AO$2,Income!$F:$F, $AL$1, Income!$B:$B, IF($AM135&lt;&gt;"", TEXT($AM135, "MMMM"), ""), Income!$C:$C, YEAR($AM135))+SUMIFS($T:$T, $U:$U,AO$2,$Q:$Q,IF($AM135&lt;&gt;"", TEXT($AM135, "MMMM"), ""),$R:$R,YEAR($AM135))</f>
        <v>0</v>
      </c>
      <c r="AP135" s="464">
        <f>SUMIFS(Income!$G:$G,Income!$H:$H, AP$2,Income!$F:$F, $AL$1, Income!$B:$B, IF($AM135&lt;&gt;"", TEXT($AM135, "MMMM"), ""), Income!$C:$C, YEAR($AM135))+SUMIFS($T:$T, $U:$U,AP$2,$Q:$Q,IF($AM135&lt;&gt;"", TEXT($AM135, "MMMM"), ""),$R:$R,YEAR($AM135))</f>
        <v>0</v>
      </c>
      <c r="AQ135" s="464">
        <f>SUMIFS(Income!$G:$G,Income!$H:$H, AQ$2,Income!$F:$F, $AL$1, Income!$B:$B, IF($AM135&lt;&gt;"", TEXT($AM135, "MMMM"), ""), Income!$C:$C, YEAR($AM135))+SUMIFS($T:$T, $U:$U,AQ$2,$Q:$Q,IF($AM135&lt;&gt;"", TEXT($AM135, "MMMM"), ""),$R:$R,YEAR($AM135))</f>
        <v>0</v>
      </c>
      <c r="AR135" s="464">
        <f>SUMIFS(Income!$G:$G,Income!$H:$H, AR$2,Income!$F:$F, $AL$1, Income!$B:$B, IF($AM135&lt;&gt;"", TEXT($AM135, "MMMM"), ""), Income!$C:$C, YEAR($AM135))+SUMIFS($T:$T, $U:$U,AR$2,$Q:$Q,IF($AM135&lt;&gt;"", TEXT($AM135, "MMMM"), ""),$R:$R,YEAR($AM135))</f>
        <v>0</v>
      </c>
      <c r="AS135" s="467">
        <f>SUMIFS(Income!$G:$G,Income!$H:$H, AS$2,Income!$F:$F, $AL$1, Income!$B:$B, IF($AM135&lt;&gt;"", TEXT($AM135, "MMMM"), ""), Income!$C:$C, YEAR($AM135))+SUMIFS($T:$T, $U:$U,AS$2,$Q:$Q,IF($AM135&lt;&gt;"", TEXT($AM135, "MMMM"), ""),$R:$R,YEAR($AM135))</f>
        <v>0</v>
      </c>
      <c r="AT135" s="407" t="s">
        <v>790</v>
      </c>
      <c r="AU135" s="463">
        <v>47849.0</v>
      </c>
      <c r="AV135" s="469">
        <f>SUMIFS(Income!$G:$G,Income!$H:$H, AV$2,Income!$F:$F, $AT$1, Income!$B:$B, IF($AU135&lt;&gt;"", TEXT($AU135, "MMMM"), ""), Income!$C:$C, YEAR($AU135))</f>
        <v>0</v>
      </c>
      <c r="AW135" s="469">
        <f>SUMIFS(Income!$G:$G,Income!$H:$H, AW$2,Income!$F:$F, $AT$1, Income!$B:$B, IF($AU135&lt;&gt;"", TEXT($AU135, "MMMM"), ""), Income!$C:$C, YEAR($AU135))</f>
        <v>0</v>
      </c>
      <c r="AX135" s="469">
        <f>SUMIFS(Income!$G:$G,Income!$H:$H, AX$2,Income!$F:$F, $AT$1, Income!$B:$B, IF($AU135&lt;&gt;"", TEXT($AU135, "MMMM"), ""), Income!$C:$C, YEAR($AU135))</f>
        <v>0</v>
      </c>
      <c r="AY135" s="469">
        <f>SUMIFS(Income!$G:$G,Income!$H:$H, AY$2,Income!$F:$F, $AT$1, Income!$B:$B, IF($AU135&lt;&gt;"", TEXT($AU135, "MMMM"), ""), Income!$C:$C, YEAR($AU135))</f>
        <v>0</v>
      </c>
      <c r="AZ135" s="464">
        <f>SUMIFS(Income!$G:$G,Income!$H:$H, AZ$2,Income!$F:$F, $AT$1, Income!$B:$B, IF($AU135&lt;&gt;"", TEXT($AU135, "MMMM"), ""), Income!$C:$C, YEAR($AU135))</f>
        <v>0</v>
      </c>
      <c r="BA135" s="471">
        <f>SUMIFS(Income!$G:$G,Income!$H:$H, BA$2,Income!$F:$F, $AT$1, Income!$B:$B, IF($AU135&lt;&gt;"", TEXT($AU135, "MMMM"), ""), Income!$C:$C, YEAR($AU135))</f>
        <v>0</v>
      </c>
      <c r="BB135" s="345"/>
      <c r="BC135" s="345"/>
      <c r="BD135" s="345"/>
      <c r="BE135" s="345"/>
    </row>
    <row r="136" ht="13.5" customHeight="1">
      <c r="A136" s="424">
        <f>'Membership Application List'!A365</f>
        <v>45532.58777</v>
      </c>
      <c r="B136" s="443" t="str">
        <f t="shared" si="6"/>
        <v>August</v>
      </c>
      <c r="C136" s="443">
        <f t="shared" si="7"/>
        <v>2024</v>
      </c>
      <c r="D136" s="426" t="str">
        <f>'Membership Application List'!E365</f>
        <v>Jose Balandran</v>
      </c>
      <c r="E136" s="426">
        <f>IF('Membership Application List'!J365 = "Food/Litter Donation", 0, IF('Membership Application List'!J365 = "$15 Donation, Discord Verification", IF('Membership Application List'!N365 = TRUE, 15, 0)))</f>
        <v>15</v>
      </c>
      <c r="F136" s="426">
        <f>if('Membership Application List'!K365=TRUE, 5,0)</f>
        <v>0</v>
      </c>
      <c r="G136" s="426">
        <f t="shared" si="8"/>
        <v>15</v>
      </c>
      <c r="H136" s="427" t="str">
        <f>'Membership Application List'!L365</f>
        <v>Paypal</v>
      </c>
      <c r="I136" s="428"/>
      <c r="J136" s="463">
        <v>47880.0</v>
      </c>
      <c r="K136" s="464">
        <f t="shared" ref="K136:O136" si="94">SUMIFS($G:$G, $H:$H, K$2, $B:$B, IF($J136&lt;&gt;"", TEXT($J136, "MMMM"), ""), $C:$C, YEAR($J136))</f>
        <v>0</v>
      </c>
      <c r="L136" s="464">
        <f t="shared" si="94"/>
        <v>0</v>
      </c>
      <c r="M136" s="464">
        <f t="shared" si="94"/>
        <v>0</v>
      </c>
      <c r="N136" s="464">
        <f t="shared" si="94"/>
        <v>0</v>
      </c>
      <c r="O136" s="465">
        <f t="shared" si="94"/>
        <v>0</v>
      </c>
      <c r="P136" s="414"/>
      <c r="Q136" s="414"/>
      <c r="R136" s="414"/>
      <c r="S136" s="445"/>
      <c r="T136" s="445"/>
      <c r="U136" s="445"/>
      <c r="V136" s="428"/>
      <c r="W136" s="463">
        <v>47880.0</v>
      </c>
      <c r="X136" s="469">
        <f>SUMIFS(Income!$G:$G,Income!$H:$H, X$2,Income!$F:$F, $V$1, Income!$B:$B, IF($W136&lt;&gt;"", TEXT($W136, "MMMM"), ""), Income!$C:$C, YEAR($W136))</f>
        <v>0</v>
      </c>
      <c r="Y136" s="469">
        <f>SUMIFS(Income!$G:$G,Income!$H:$H, Y$2,Income!$F:$F, $V$1, Income!$B:$B, IF($W136&lt;&gt;"", TEXT($W136, "MMMM"), ""), Income!$C:$C, YEAR($W136))</f>
        <v>0</v>
      </c>
      <c r="Z136" s="469">
        <f>SUMIFS(Income!$G:$G,Income!$H:$H, Z$2,Income!$F:$F, $V$1, Income!$B:$B, IF($W136&lt;&gt;"", TEXT($W136, "MMMM"), ""), Income!$C:$C, YEAR($W136))</f>
        <v>0</v>
      </c>
      <c r="AA136" s="469">
        <f>SUMIFS(Income!$G:$G,Income!$H:$H, AA$2,Income!$F:$F, $V$1, Income!$B:$B, IF($W136&lt;&gt;"", TEXT($W136, "MMMM"), ""), Income!$C:$C, YEAR($W136))</f>
        <v>0</v>
      </c>
      <c r="AB136" s="464">
        <f>SUMIFS(Income!$G:$G,Income!$H:$H, AB$2,Income!$F:$F, $V$1, Income!$B:$B, IF($W136&lt;&gt;"", TEXT($W136, "MMMM"), ""), Income!$C:$C, YEAR($W136))</f>
        <v>0</v>
      </c>
      <c r="AC136" s="470">
        <f>SUMIFS(Income!$G:$G,Income!$H:$H, AC$2,Income!$F:$F, $V$1, Income!$B:$B, IF($W136&lt;&gt;"", TEXT($W136, "MMMM"), ""), Income!$C:$C, YEAR($W136))</f>
        <v>0</v>
      </c>
      <c r="AD136" s="428"/>
      <c r="AE136" s="463">
        <v>47880.0</v>
      </c>
      <c r="AF136" s="469">
        <f>SUMIFS(Income!$G:$G,Income!$H:$H, AF$2,Income!$F:$F, $AD$1, Income!$B:$B, IF($AE136&lt;&gt;"", TEXT($AE136, "MMMM"), ""), Income!$C:$C, YEAR($AE136))</f>
        <v>0</v>
      </c>
      <c r="AG136" s="469">
        <f>SUMIFS(Income!$G:$G,Income!$H:$H, AG$2,Income!$F:$F, $AD$1, Income!$B:$B, IF($AE136&lt;&gt;"", TEXT($AE136, "MMMM"), ""), Income!$C:$C, YEAR($AE136))</f>
        <v>0</v>
      </c>
      <c r="AH136" s="469">
        <f>SUMIFS(Income!$G:$G,Income!$H:$H, AH$2,Income!$F:$F, $AD$1, Income!$B:$B, IF($AE136&lt;&gt;"", TEXT($AE136, "MMMM"), ""), Income!$C:$C, YEAR($AE136))</f>
        <v>0</v>
      </c>
      <c r="AI136" s="469">
        <f>SUMIFS(Income!$G:$G,Income!$H:$H, AI$2,Income!$F:$F, $AD$1, Income!$B:$B, IF($AE136&lt;&gt;"", TEXT($AE136, "MMMM"), ""), Income!$C:$C, YEAR($AE136))</f>
        <v>0</v>
      </c>
      <c r="AJ136" s="464">
        <f>SUMIFS(Income!$G:$G,Income!$H:$H, AJ$2,Income!$F:$F, $AD$1, Income!$B:$B, IF($AE136&lt;&gt;"", TEXT($AE136, "MMMM"), ""), Income!$C:$C, YEAR($AE136))</f>
        <v>0</v>
      </c>
      <c r="AK136" s="470">
        <f>SUMIFS(Income!$G:$G,Income!$H:$H, AK$2,Income!$F:$F, $AD$1, Income!$B:$B, IF($AE136&lt;&gt;"", TEXT($AE136, "MMMM"), ""), Income!$C:$C, YEAR($AE136))</f>
        <v>0</v>
      </c>
      <c r="AL136" s="428"/>
      <c r="AM136" s="463">
        <v>47880.0</v>
      </c>
      <c r="AN136" s="464">
        <f>SUMIFS(Income!$G:$G,Income!$H:$H, AN$2,Income!$F:$F, $AL$1, Income!$B:$B, IF($AM136&lt;&gt;"", TEXT($AM136, "MMMM"), ""), Income!$C:$C, YEAR($AM136))+SUMIFS($T:$T, $U:$U,AN$2,$Q:$Q,IF($AM136&lt;&gt;"", TEXT($AM136, "MMMM"), ""),$R:$R,YEAR($AM136))</f>
        <v>0</v>
      </c>
      <c r="AO136" s="464">
        <f>SUMIFS(Income!$G:$G,Income!$H:$H, AO$2,Income!$F:$F, $AL$1, Income!$B:$B, IF($AM136&lt;&gt;"", TEXT($AM136, "MMMM"), ""), Income!$C:$C, YEAR($AM136))+SUMIFS($T:$T, $U:$U,AO$2,$Q:$Q,IF($AM136&lt;&gt;"", TEXT($AM136, "MMMM"), ""),$R:$R,YEAR($AM136))</f>
        <v>0</v>
      </c>
      <c r="AP136" s="464">
        <f>SUMIFS(Income!$G:$G,Income!$H:$H, AP$2,Income!$F:$F, $AL$1, Income!$B:$B, IF($AM136&lt;&gt;"", TEXT($AM136, "MMMM"), ""), Income!$C:$C, YEAR($AM136))+SUMIFS($T:$T, $U:$U,AP$2,$Q:$Q,IF($AM136&lt;&gt;"", TEXT($AM136, "MMMM"), ""),$R:$R,YEAR($AM136))</f>
        <v>0</v>
      </c>
      <c r="AQ136" s="464">
        <f>SUMIFS(Income!$G:$G,Income!$H:$H, AQ$2,Income!$F:$F, $AL$1, Income!$B:$B, IF($AM136&lt;&gt;"", TEXT($AM136, "MMMM"), ""), Income!$C:$C, YEAR($AM136))+SUMIFS($T:$T, $U:$U,AQ$2,$Q:$Q,IF($AM136&lt;&gt;"", TEXT($AM136, "MMMM"), ""),$R:$R,YEAR($AM136))</f>
        <v>0</v>
      </c>
      <c r="AR136" s="464">
        <f>SUMIFS(Income!$G:$G,Income!$H:$H, AR$2,Income!$F:$F, $AL$1, Income!$B:$B, IF($AM136&lt;&gt;"", TEXT($AM136, "MMMM"), ""), Income!$C:$C, YEAR($AM136))+SUMIFS($T:$T, $U:$U,AR$2,$Q:$Q,IF($AM136&lt;&gt;"", TEXT($AM136, "MMMM"), ""),$R:$R,YEAR($AM136))</f>
        <v>0</v>
      </c>
      <c r="AS136" s="467">
        <f>SUMIFS(Income!$G:$G,Income!$H:$H, AS$2,Income!$F:$F, $AL$1, Income!$B:$B, IF($AM136&lt;&gt;"", TEXT($AM136, "MMMM"), ""), Income!$C:$C, YEAR($AM136))+SUMIFS($T:$T, $U:$U,AS$2,$Q:$Q,IF($AM136&lt;&gt;"", TEXT($AM136, "MMMM"), ""),$R:$R,YEAR($AM136))</f>
        <v>0</v>
      </c>
      <c r="AT136" s="428"/>
      <c r="AU136" s="463">
        <v>47880.0</v>
      </c>
      <c r="AV136" s="469">
        <f>SUMIFS(Income!$G:$G,Income!$H:$H, AV$2,Income!$F:$F, $AT$1, Income!$B:$B, IF($AU136&lt;&gt;"", TEXT($AU136, "MMMM"), ""), Income!$C:$C, YEAR($AU136))</f>
        <v>0</v>
      </c>
      <c r="AW136" s="469">
        <f>SUMIFS(Income!$G:$G,Income!$H:$H, AW$2,Income!$F:$F, $AT$1, Income!$B:$B, IF($AU136&lt;&gt;"", TEXT($AU136, "MMMM"), ""), Income!$C:$C, YEAR($AU136))</f>
        <v>0</v>
      </c>
      <c r="AX136" s="469">
        <f>SUMIFS(Income!$G:$G,Income!$H:$H, AX$2,Income!$F:$F, $AT$1, Income!$B:$B, IF($AU136&lt;&gt;"", TEXT($AU136, "MMMM"), ""), Income!$C:$C, YEAR($AU136))</f>
        <v>0</v>
      </c>
      <c r="AY136" s="469">
        <f>SUMIFS(Income!$G:$G,Income!$H:$H, AY$2,Income!$F:$F, $AT$1, Income!$B:$B, IF($AU136&lt;&gt;"", TEXT($AU136, "MMMM"), ""), Income!$C:$C, YEAR($AU136))</f>
        <v>0</v>
      </c>
      <c r="AZ136" s="464">
        <f>SUMIFS(Income!$G:$G,Income!$H:$H, AZ$2,Income!$F:$F, $AT$1, Income!$B:$B, IF($AU136&lt;&gt;"", TEXT($AU136, "MMMM"), ""), Income!$C:$C, YEAR($AU136))</f>
        <v>0</v>
      </c>
      <c r="BA136" s="471">
        <f>SUMIFS(Income!$G:$G,Income!$H:$H, BA$2,Income!$F:$F, $AT$1, Income!$B:$B, IF($AU136&lt;&gt;"", TEXT($AU136, "MMMM"), ""), Income!$C:$C, YEAR($AU136))</f>
        <v>0</v>
      </c>
      <c r="BB136" s="345"/>
      <c r="BC136" s="345"/>
      <c r="BD136" s="345"/>
      <c r="BE136" s="345"/>
    </row>
    <row r="137" ht="13.5" customHeight="1">
      <c r="A137" s="436">
        <f>'Membership Application List'!A366</f>
        <v>45532.9196</v>
      </c>
      <c r="B137" s="437" t="str">
        <f t="shared" si="6"/>
        <v>August</v>
      </c>
      <c r="C137" s="437">
        <f t="shared" si="7"/>
        <v>2024</v>
      </c>
      <c r="D137" s="438" t="str">
        <f>'Membership Application List'!E366</f>
        <v>Salvador Ascencio</v>
      </c>
      <c r="E137" s="438">
        <f>IF('Membership Application List'!J366 = "Food/Litter Donation", 0, IF('Membership Application List'!J366 = "$15 Donation, Discord Verification", IF('Membership Application List'!N366 = TRUE, 15, 0)))</f>
        <v>0</v>
      </c>
      <c r="F137" s="438">
        <f>if('Membership Application List'!K366=TRUE, 5,0)</f>
        <v>0</v>
      </c>
      <c r="G137" s="438">
        <f t="shared" si="8"/>
        <v>0</v>
      </c>
      <c r="H137" s="439" t="str">
        <f>'Membership Application List'!L366</f>
        <v>Cashapp</v>
      </c>
      <c r="I137" s="428"/>
      <c r="J137" s="463">
        <v>47908.0</v>
      </c>
      <c r="K137" s="464">
        <f t="shared" ref="K137:O137" si="95">SUMIFS($G:$G, $H:$H, K$2, $B:$B, IF($J137&lt;&gt;"", TEXT($J137, "MMMM"), ""), $C:$C, YEAR($J137))</f>
        <v>0</v>
      </c>
      <c r="L137" s="464">
        <f t="shared" si="95"/>
        <v>0</v>
      </c>
      <c r="M137" s="464">
        <f t="shared" si="95"/>
        <v>0</v>
      </c>
      <c r="N137" s="464">
        <f t="shared" si="95"/>
        <v>0</v>
      </c>
      <c r="O137" s="465">
        <f t="shared" si="95"/>
        <v>0</v>
      </c>
      <c r="P137" s="414"/>
      <c r="Q137" s="414"/>
      <c r="R137" s="414"/>
      <c r="S137" s="445"/>
      <c r="T137" s="445"/>
      <c r="U137" s="445"/>
      <c r="V137" s="428"/>
      <c r="W137" s="463">
        <v>47908.0</v>
      </c>
      <c r="X137" s="469">
        <f>SUMIFS(Income!$G:$G,Income!$H:$H, X$2,Income!$F:$F, $V$1, Income!$B:$B, IF($W137&lt;&gt;"", TEXT($W137, "MMMM"), ""), Income!$C:$C, YEAR($W137))</f>
        <v>0</v>
      </c>
      <c r="Y137" s="469">
        <f>SUMIFS(Income!$G:$G,Income!$H:$H, Y$2,Income!$F:$F, $V$1, Income!$B:$B, IF($W137&lt;&gt;"", TEXT($W137, "MMMM"), ""), Income!$C:$C, YEAR($W137))</f>
        <v>0</v>
      </c>
      <c r="Z137" s="469">
        <f>SUMIFS(Income!$G:$G,Income!$H:$H, Z$2,Income!$F:$F, $V$1, Income!$B:$B, IF($W137&lt;&gt;"", TEXT($W137, "MMMM"), ""), Income!$C:$C, YEAR($W137))</f>
        <v>0</v>
      </c>
      <c r="AA137" s="469">
        <f>SUMIFS(Income!$G:$G,Income!$H:$H, AA$2,Income!$F:$F, $V$1, Income!$B:$B, IF($W137&lt;&gt;"", TEXT($W137, "MMMM"), ""), Income!$C:$C, YEAR($W137))</f>
        <v>0</v>
      </c>
      <c r="AB137" s="464">
        <f>SUMIFS(Income!$G:$G,Income!$H:$H, AB$2,Income!$F:$F, $V$1, Income!$B:$B, IF($W137&lt;&gt;"", TEXT($W137, "MMMM"), ""), Income!$C:$C, YEAR($W137))</f>
        <v>0</v>
      </c>
      <c r="AC137" s="470">
        <f>SUMIFS(Income!$G:$G,Income!$H:$H, AC$2,Income!$F:$F, $V$1, Income!$B:$B, IF($W137&lt;&gt;"", TEXT($W137, "MMMM"), ""), Income!$C:$C, YEAR($W137))</f>
        <v>0</v>
      </c>
      <c r="AD137" s="428"/>
      <c r="AE137" s="463">
        <v>47908.0</v>
      </c>
      <c r="AF137" s="469">
        <f>SUMIFS(Income!$G:$G,Income!$H:$H, AF$2,Income!$F:$F, $AD$1, Income!$B:$B, IF($AE137&lt;&gt;"", TEXT($AE137, "MMMM"), ""), Income!$C:$C, YEAR($AE137))</f>
        <v>0</v>
      </c>
      <c r="AG137" s="469">
        <f>SUMIFS(Income!$G:$G,Income!$H:$H, AG$2,Income!$F:$F, $AD$1, Income!$B:$B, IF($AE137&lt;&gt;"", TEXT($AE137, "MMMM"), ""), Income!$C:$C, YEAR($AE137))</f>
        <v>0</v>
      </c>
      <c r="AH137" s="469">
        <f>SUMIFS(Income!$G:$G,Income!$H:$H, AH$2,Income!$F:$F, $AD$1, Income!$B:$B, IF($AE137&lt;&gt;"", TEXT($AE137, "MMMM"), ""), Income!$C:$C, YEAR($AE137))</f>
        <v>0</v>
      </c>
      <c r="AI137" s="469">
        <f>SUMIFS(Income!$G:$G,Income!$H:$H, AI$2,Income!$F:$F, $AD$1, Income!$B:$B, IF($AE137&lt;&gt;"", TEXT($AE137, "MMMM"), ""), Income!$C:$C, YEAR($AE137))</f>
        <v>0</v>
      </c>
      <c r="AJ137" s="464">
        <f>SUMIFS(Income!$G:$G,Income!$H:$H, AJ$2,Income!$F:$F, $AD$1, Income!$B:$B, IF($AE137&lt;&gt;"", TEXT($AE137, "MMMM"), ""), Income!$C:$C, YEAR($AE137))</f>
        <v>0</v>
      </c>
      <c r="AK137" s="470">
        <f>SUMIFS(Income!$G:$G,Income!$H:$H, AK$2,Income!$F:$F, $AD$1, Income!$B:$B, IF($AE137&lt;&gt;"", TEXT($AE137, "MMMM"), ""), Income!$C:$C, YEAR($AE137))</f>
        <v>0</v>
      </c>
      <c r="AL137" s="428"/>
      <c r="AM137" s="463">
        <v>47908.0</v>
      </c>
      <c r="AN137" s="464">
        <f>SUMIFS(Income!$G:$G,Income!$H:$H, AN$2,Income!$F:$F, $AL$1, Income!$B:$B, IF($AM137&lt;&gt;"", TEXT($AM137, "MMMM"), ""), Income!$C:$C, YEAR($AM137))+SUMIFS($T:$T, $U:$U,AN$2,$Q:$Q,IF($AM137&lt;&gt;"", TEXT($AM137, "MMMM"), ""),$R:$R,YEAR($AM137))</f>
        <v>0</v>
      </c>
      <c r="AO137" s="464">
        <f>SUMIFS(Income!$G:$G,Income!$H:$H, AO$2,Income!$F:$F, $AL$1, Income!$B:$B, IF($AM137&lt;&gt;"", TEXT($AM137, "MMMM"), ""), Income!$C:$C, YEAR($AM137))+SUMIFS($T:$T, $U:$U,AO$2,$Q:$Q,IF($AM137&lt;&gt;"", TEXT($AM137, "MMMM"), ""),$R:$R,YEAR($AM137))</f>
        <v>0</v>
      </c>
      <c r="AP137" s="464">
        <f>SUMIFS(Income!$G:$G,Income!$H:$H, AP$2,Income!$F:$F, $AL$1, Income!$B:$B, IF($AM137&lt;&gt;"", TEXT($AM137, "MMMM"), ""), Income!$C:$C, YEAR($AM137))+SUMIFS($T:$T, $U:$U,AP$2,$Q:$Q,IF($AM137&lt;&gt;"", TEXT($AM137, "MMMM"), ""),$R:$R,YEAR($AM137))</f>
        <v>0</v>
      </c>
      <c r="AQ137" s="464">
        <f>SUMIFS(Income!$G:$G,Income!$H:$H, AQ$2,Income!$F:$F, $AL$1, Income!$B:$B, IF($AM137&lt;&gt;"", TEXT($AM137, "MMMM"), ""), Income!$C:$C, YEAR($AM137))+SUMIFS($T:$T, $U:$U,AQ$2,$Q:$Q,IF($AM137&lt;&gt;"", TEXT($AM137, "MMMM"), ""),$R:$R,YEAR($AM137))</f>
        <v>0</v>
      </c>
      <c r="AR137" s="464">
        <f>SUMIFS(Income!$G:$G,Income!$H:$H, AR$2,Income!$F:$F, $AL$1, Income!$B:$B, IF($AM137&lt;&gt;"", TEXT($AM137, "MMMM"), ""), Income!$C:$C, YEAR($AM137))+SUMIFS($T:$T, $U:$U,AR$2,$Q:$Q,IF($AM137&lt;&gt;"", TEXT($AM137, "MMMM"), ""),$R:$R,YEAR($AM137))</f>
        <v>0</v>
      </c>
      <c r="AS137" s="467">
        <f>SUMIFS(Income!$G:$G,Income!$H:$H, AS$2,Income!$F:$F, $AL$1, Income!$B:$B, IF($AM137&lt;&gt;"", TEXT($AM137, "MMMM"), ""), Income!$C:$C, YEAR($AM137))+SUMIFS($T:$T, $U:$U,AS$2,$Q:$Q,IF($AM137&lt;&gt;"", TEXT($AM137, "MMMM"), ""),$R:$R,YEAR($AM137))</f>
        <v>0</v>
      </c>
      <c r="AT137" s="428"/>
      <c r="AU137" s="463">
        <v>47908.0</v>
      </c>
      <c r="AV137" s="469">
        <f>SUMIFS(Income!$G:$G,Income!$H:$H, AV$2,Income!$F:$F, $AT$1, Income!$B:$B, IF($AU137&lt;&gt;"", TEXT($AU137, "MMMM"), ""), Income!$C:$C, YEAR($AU137))</f>
        <v>0</v>
      </c>
      <c r="AW137" s="469">
        <f>SUMIFS(Income!$G:$G,Income!$H:$H, AW$2,Income!$F:$F, $AT$1, Income!$B:$B, IF($AU137&lt;&gt;"", TEXT($AU137, "MMMM"), ""), Income!$C:$C, YEAR($AU137))</f>
        <v>0</v>
      </c>
      <c r="AX137" s="469">
        <f>SUMIFS(Income!$G:$G,Income!$H:$H, AX$2,Income!$F:$F, $AT$1, Income!$B:$B, IF($AU137&lt;&gt;"", TEXT($AU137, "MMMM"), ""), Income!$C:$C, YEAR($AU137))</f>
        <v>0</v>
      </c>
      <c r="AY137" s="469">
        <f>SUMIFS(Income!$G:$G,Income!$H:$H, AY$2,Income!$F:$F, $AT$1, Income!$B:$B, IF($AU137&lt;&gt;"", TEXT($AU137, "MMMM"), ""), Income!$C:$C, YEAR($AU137))</f>
        <v>0</v>
      </c>
      <c r="AZ137" s="464">
        <f>SUMIFS(Income!$G:$G,Income!$H:$H, AZ$2,Income!$F:$F, $AT$1, Income!$B:$B, IF($AU137&lt;&gt;"", TEXT($AU137, "MMMM"), ""), Income!$C:$C, YEAR($AU137))</f>
        <v>0</v>
      </c>
      <c r="BA137" s="471">
        <f>SUMIFS(Income!$G:$G,Income!$H:$H, BA$2,Income!$F:$F, $AT$1, Income!$B:$B, IF($AU137&lt;&gt;"", TEXT($AU137, "MMMM"), ""), Income!$C:$C, YEAR($AU137))</f>
        <v>0</v>
      </c>
      <c r="BB137" s="345"/>
      <c r="BC137" s="345"/>
      <c r="BD137" s="345"/>
      <c r="BE137" s="345"/>
    </row>
    <row r="138" ht="13.5" customHeight="1">
      <c r="A138" s="424">
        <f>'Membership Application List'!A367</f>
        <v>45532.68907</v>
      </c>
      <c r="B138" s="443" t="str">
        <f t="shared" si="6"/>
        <v>August</v>
      </c>
      <c r="C138" s="443">
        <f t="shared" si="7"/>
        <v>2024</v>
      </c>
      <c r="D138" s="426" t="str">
        <f>'Membership Application List'!E367</f>
        <v>Alysa Potter</v>
      </c>
      <c r="E138" s="426">
        <f>IF('Membership Application List'!J367 = "Food/Litter Donation", 0, IF('Membership Application List'!J367 = "$15 Donation, Discord Verification", IF('Membership Application List'!N367 = TRUE, 15, 0)))</f>
        <v>15</v>
      </c>
      <c r="F138" s="426">
        <f>if('Membership Application List'!K367=TRUE, 5,0)</f>
        <v>0</v>
      </c>
      <c r="G138" s="426">
        <f t="shared" si="8"/>
        <v>15</v>
      </c>
      <c r="H138" s="427" t="str">
        <f>'Membership Application List'!L367</f>
        <v>Cash</v>
      </c>
      <c r="I138" s="428"/>
      <c r="J138" s="463">
        <v>47939.0</v>
      </c>
      <c r="K138" s="464">
        <f t="shared" ref="K138:O138" si="96">SUMIFS($G:$G, $H:$H, K$2, $B:$B, IF($J138&lt;&gt;"", TEXT($J138, "MMMM"), ""), $C:$C, YEAR($J138))</f>
        <v>0</v>
      </c>
      <c r="L138" s="464">
        <f t="shared" si="96"/>
        <v>0</v>
      </c>
      <c r="M138" s="464">
        <f t="shared" si="96"/>
        <v>0</v>
      </c>
      <c r="N138" s="464">
        <f t="shared" si="96"/>
        <v>0</v>
      </c>
      <c r="O138" s="465">
        <f t="shared" si="96"/>
        <v>0</v>
      </c>
      <c r="P138" s="414"/>
      <c r="Q138" s="414"/>
      <c r="R138" s="414"/>
      <c r="S138" s="445"/>
      <c r="T138" s="445"/>
      <c r="U138" s="445"/>
      <c r="V138" s="428"/>
      <c r="W138" s="463">
        <v>47939.0</v>
      </c>
      <c r="X138" s="469">
        <f>SUMIFS(Income!$G:$G,Income!$H:$H, X$2,Income!$F:$F, $V$1, Income!$B:$B, IF($W138&lt;&gt;"", TEXT($W138, "MMMM"), ""), Income!$C:$C, YEAR($W138))</f>
        <v>0</v>
      </c>
      <c r="Y138" s="469">
        <f>SUMIFS(Income!$G:$G,Income!$H:$H, Y$2,Income!$F:$F, $V$1, Income!$B:$B, IF($W138&lt;&gt;"", TEXT($W138, "MMMM"), ""), Income!$C:$C, YEAR($W138))</f>
        <v>0</v>
      </c>
      <c r="Z138" s="469">
        <f>SUMIFS(Income!$G:$G,Income!$H:$H, Z$2,Income!$F:$F, $V$1, Income!$B:$B, IF($W138&lt;&gt;"", TEXT($W138, "MMMM"), ""), Income!$C:$C, YEAR($W138))</f>
        <v>0</v>
      </c>
      <c r="AA138" s="469">
        <f>SUMIFS(Income!$G:$G,Income!$H:$H, AA$2,Income!$F:$F, $V$1, Income!$B:$B, IF($W138&lt;&gt;"", TEXT($W138, "MMMM"), ""), Income!$C:$C, YEAR($W138))</f>
        <v>0</v>
      </c>
      <c r="AB138" s="464">
        <f>SUMIFS(Income!$G:$G,Income!$H:$H, AB$2,Income!$F:$F, $V$1, Income!$B:$B, IF($W138&lt;&gt;"", TEXT($W138, "MMMM"), ""), Income!$C:$C, YEAR($W138))</f>
        <v>0</v>
      </c>
      <c r="AC138" s="470">
        <f>SUMIFS(Income!$G:$G,Income!$H:$H, AC$2,Income!$F:$F, $V$1, Income!$B:$B, IF($W138&lt;&gt;"", TEXT($W138, "MMMM"), ""), Income!$C:$C, YEAR($W138))</f>
        <v>0</v>
      </c>
      <c r="AD138" s="428"/>
      <c r="AE138" s="463">
        <v>47939.0</v>
      </c>
      <c r="AF138" s="469">
        <f>SUMIFS(Income!$G:$G,Income!$H:$H, AF$2,Income!$F:$F, $AD$1, Income!$B:$B, IF($AE138&lt;&gt;"", TEXT($AE138, "MMMM"), ""), Income!$C:$C, YEAR($AE138))</f>
        <v>0</v>
      </c>
      <c r="AG138" s="469">
        <f>SUMIFS(Income!$G:$G,Income!$H:$H, AG$2,Income!$F:$F, $AD$1, Income!$B:$B, IF($AE138&lt;&gt;"", TEXT($AE138, "MMMM"), ""), Income!$C:$C, YEAR($AE138))</f>
        <v>0</v>
      </c>
      <c r="AH138" s="469">
        <f>SUMIFS(Income!$G:$G,Income!$H:$H, AH$2,Income!$F:$F, $AD$1, Income!$B:$B, IF($AE138&lt;&gt;"", TEXT($AE138, "MMMM"), ""), Income!$C:$C, YEAR($AE138))</f>
        <v>0</v>
      </c>
      <c r="AI138" s="469">
        <f>SUMIFS(Income!$G:$G,Income!$H:$H, AI$2,Income!$F:$F, $AD$1, Income!$B:$B, IF($AE138&lt;&gt;"", TEXT($AE138, "MMMM"), ""), Income!$C:$C, YEAR($AE138))</f>
        <v>0</v>
      </c>
      <c r="AJ138" s="464">
        <f>SUMIFS(Income!$G:$G,Income!$H:$H, AJ$2,Income!$F:$F, $AD$1, Income!$B:$B, IF($AE138&lt;&gt;"", TEXT($AE138, "MMMM"), ""), Income!$C:$C, YEAR($AE138))</f>
        <v>0</v>
      </c>
      <c r="AK138" s="470">
        <f>SUMIFS(Income!$G:$G,Income!$H:$H, AK$2,Income!$F:$F, $AD$1, Income!$B:$B, IF($AE138&lt;&gt;"", TEXT($AE138, "MMMM"), ""), Income!$C:$C, YEAR($AE138))</f>
        <v>0</v>
      </c>
      <c r="AL138" s="428"/>
      <c r="AM138" s="463">
        <v>47939.0</v>
      </c>
      <c r="AN138" s="464">
        <f>SUMIFS(Income!$G:$G,Income!$H:$H, AN$2,Income!$F:$F, $AL$1, Income!$B:$B, IF($AM138&lt;&gt;"", TEXT($AM138, "MMMM"), ""), Income!$C:$C, YEAR($AM138))+SUMIFS($T:$T, $U:$U,AN$2,$Q:$Q,IF($AM138&lt;&gt;"", TEXT($AM138, "MMMM"), ""),$R:$R,YEAR($AM138))</f>
        <v>0</v>
      </c>
      <c r="AO138" s="464">
        <f>SUMIFS(Income!$G:$G,Income!$H:$H, AO$2,Income!$F:$F, $AL$1, Income!$B:$B, IF($AM138&lt;&gt;"", TEXT($AM138, "MMMM"), ""), Income!$C:$C, YEAR($AM138))+SUMIFS($T:$T, $U:$U,AO$2,$Q:$Q,IF($AM138&lt;&gt;"", TEXT($AM138, "MMMM"), ""),$R:$R,YEAR($AM138))</f>
        <v>0</v>
      </c>
      <c r="AP138" s="464">
        <f>SUMIFS(Income!$G:$G,Income!$H:$H, AP$2,Income!$F:$F, $AL$1, Income!$B:$B, IF($AM138&lt;&gt;"", TEXT($AM138, "MMMM"), ""), Income!$C:$C, YEAR($AM138))+SUMIFS($T:$T, $U:$U,AP$2,$Q:$Q,IF($AM138&lt;&gt;"", TEXT($AM138, "MMMM"), ""),$R:$R,YEAR($AM138))</f>
        <v>0</v>
      </c>
      <c r="AQ138" s="464">
        <f>SUMIFS(Income!$G:$G,Income!$H:$H, AQ$2,Income!$F:$F, $AL$1, Income!$B:$B, IF($AM138&lt;&gt;"", TEXT($AM138, "MMMM"), ""), Income!$C:$C, YEAR($AM138))+SUMIFS($T:$T, $U:$U,AQ$2,$Q:$Q,IF($AM138&lt;&gt;"", TEXT($AM138, "MMMM"), ""),$R:$R,YEAR($AM138))</f>
        <v>0</v>
      </c>
      <c r="AR138" s="464">
        <f>SUMIFS(Income!$G:$G,Income!$H:$H, AR$2,Income!$F:$F, $AL$1, Income!$B:$B, IF($AM138&lt;&gt;"", TEXT($AM138, "MMMM"), ""), Income!$C:$C, YEAR($AM138))+SUMIFS($T:$T, $U:$U,AR$2,$Q:$Q,IF($AM138&lt;&gt;"", TEXT($AM138, "MMMM"), ""),$R:$R,YEAR($AM138))</f>
        <v>0</v>
      </c>
      <c r="AS138" s="467">
        <f>SUMIFS(Income!$G:$G,Income!$H:$H, AS$2,Income!$F:$F, $AL$1, Income!$B:$B, IF($AM138&lt;&gt;"", TEXT($AM138, "MMMM"), ""), Income!$C:$C, YEAR($AM138))+SUMIFS($T:$T, $U:$U,AS$2,$Q:$Q,IF($AM138&lt;&gt;"", TEXT($AM138, "MMMM"), ""),$R:$R,YEAR($AM138))</f>
        <v>0</v>
      </c>
      <c r="AT138" s="428"/>
      <c r="AU138" s="463">
        <v>47939.0</v>
      </c>
      <c r="AV138" s="469">
        <f>SUMIFS(Income!$G:$G,Income!$H:$H, AV$2,Income!$F:$F, $AT$1, Income!$B:$B, IF($AU138&lt;&gt;"", TEXT($AU138, "MMMM"), ""), Income!$C:$C, YEAR($AU138))</f>
        <v>0</v>
      </c>
      <c r="AW138" s="469">
        <f>SUMIFS(Income!$G:$G,Income!$H:$H, AW$2,Income!$F:$F, $AT$1, Income!$B:$B, IF($AU138&lt;&gt;"", TEXT($AU138, "MMMM"), ""), Income!$C:$C, YEAR($AU138))</f>
        <v>0</v>
      </c>
      <c r="AX138" s="469">
        <f>SUMIFS(Income!$G:$G,Income!$H:$H, AX$2,Income!$F:$F, $AT$1, Income!$B:$B, IF($AU138&lt;&gt;"", TEXT($AU138, "MMMM"), ""), Income!$C:$C, YEAR($AU138))</f>
        <v>0</v>
      </c>
      <c r="AY138" s="469">
        <f>SUMIFS(Income!$G:$G,Income!$H:$H, AY$2,Income!$F:$F, $AT$1, Income!$B:$B, IF($AU138&lt;&gt;"", TEXT($AU138, "MMMM"), ""), Income!$C:$C, YEAR($AU138))</f>
        <v>0</v>
      </c>
      <c r="AZ138" s="464">
        <f>SUMIFS(Income!$G:$G,Income!$H:$H, AZ$2,Income!$F:$F, $AT$1, Income!$B:$B, IF($AU138&lt;&gt;"", TEXT($AU138, "MMMM"), ""), Income!$C:$C, YEAR($AU138))</f>
        <v>0</v>
      </c>
      <c r="BA138" s="471">
        <f>SUMIFS(Income!$G:$G,Income!$H:$H, BA$2,Income!$F:$F, $AT$1, Income!$B:$B, IF($AU138&lt;&gt;"", TEXT($AU138, "MMMM"), ""), Income!$C:$C, YEAR($AU138))</f>
        <v>0</v>
      </c>
      <c r="BB138" s="345"/>
      <c r="BC138" s="345"/>
      <c r="BD138" s="345"/>
      <c r="BE138" s="345"/>
    </row>
    <row r="139" ht="13.5" customHeight="1">
      <c r="A139" s="436">
        <f>'Membership Application List'!A368</f>
        <v>45532.71986</v>
      </c>
      <c r="B139" s="437" t="str">
        <f t="shared" si="6"/>
        <v>August</v>
      </c>
      <c r="C139" s="437">
        <f t="shared" si="7"/>
        <v>2024</v>
      </c>
      <c r="D139" s="438" t="str">
        <f>'Membership Application List'!E368</f>
        <v>Uyenmy Nguyen</v>
      </c>
      <c r="E139" s="438">
        <f>IF('Membership Application List'!J368 = "Food/Litter Donation", 0, IF('Membership Application List'!J368 = "$15 Donation, Discord Verification", IF('Membership Application List'!N368 = TRUE, 15, 0)))</f>
        <v>0</v>
      </c>
      <c r="F139" s="438">
        <f>if('Membership Application List'!K368=TRUE, 5,0)</f>
        <v>0</v>
      </c>
      <c r="G139" s="438">
        <f t="shared" si="8"/>
        <v>0</v>
      </c>
      <c r="H139" s="439" t="str">
        <f>'Membership Application List'!L368</f>
        <v>Cash</v>
      </c>
      <c r="I139" s="428"/>
      <c r="J139" s="463">
        <v>47969.0</v>
      </c>
      <c r="K139" s="464">
        <f t="shared" ref="K139:O139" si="97">SUMIFS($G:$G, $H:$H, K$2, $B:$B, IF($J139&lt;&gt;"", TEXT($J139, "MMMM"), ""), $C:$C, YEAR($J139))</f>
        <v>0</v>
      </c>
      <c r="L139" s="464">
        <f t="shared" si="97"/>
        <v>0</v>
      </c>
      <c r="M139" s="464">
        <f t="shared" si="97"/>
        <v>0</v>
      </c>
      <c r="N139" s="464">
        <f t="shared" si="97"/>
        <v>0</v>
      </c>
      <c r="O139" s="465">
        <f t="shared" si="97"/>
        <v>0</v>
      </c>
      <c r="P139" s="414"/>
      <c r="Q139" s="414"/>
      <c r="R139" s="414"/>
      <c r="S139" s="445"/>
      <c r="T139" s="445"/>
      <c r="U139" s="445"/>
      <c r="V139" s="428"/>
      <c r="W139" s="463">
        <v>47969.0</v>
      </c>
      <c r="X139" s="469">
        <f>SUMIFS(Income!$G:$G,Income!$H:$H, X$2,Income!$F:$F, $V$1, Income!$B:$B, IF($W139&lt;&gt;"", TEXT($W139, "MMMM"), ""), Income!$C:$C, YEAR($W139))</f>
        <v>0</v>
      </c>
      <c r="Y139" s="469">
        <f>SUMIFS(Income!$G:$G,Income!$H:$H, Y$2,Income!$F:$F, $V$1, Income!$B:$B, IF($W139&lt;&gt;"", TEXT($W139, "MMMM"), ""), Income!$C:$C, YEAR($W139))</f>
        <v>0</v>
      </c>
      <c r="Z139" s="469">
        <f>SUMIFS(Income!$G:$G,Income!$H:$H, Z$2,Income!$F:$F, $V$1, Income!$B:$B, IF($W139&lt;&gt;"", TEXT($W139, "MMMM"), ""), Income!$C:$C, YEAR($W139))</f>
        <v>0</v>
      </c>
      <c r="AA139" s="469">
        <f>SUMIFS(Income!$G:$G,Income!$H:$H, AA$2,Income!$F:$F, $V$1, Income!$B:$B, IF($W139&lt;&gt;"", TEXT($W139, "MMMM"), ""), Income!$C:$C, YEAR($W139))</f>
        <v>0</v>
      </c>
      <c r="AB139" s="464">
        <f>SUMIFS(Income!$G:$G,Income!$H:$H, AB$2,Income!$F:$F, $V$1, Income!$B:$B, IF($W139&lt;&gt;"", TEXT($W139, "MMMM"), ""), Income!$C:$C, YEAR($W139))</f>
        <v>0</v>
      </c>
      <c r="AC139" s="470">
        <f>SUMIFS(Income!$G:$G,Income!$H:$H, AC$2,Income!$F:$F, $V$1, Income!$B:$B, IF($W139&lt;&gt;"", TEXT($W139, "MMMM"), ""), Income!$C:$C, YEAR($W139))</f>
        <v>0</v>
      </c>
      <c r="AD139" s="428"/>
      <c r="AE139" s="463">
        <v>47969.0</v>
      </c>
      <c r="AF139" s="469">
        <f>SUMIFS(Income!$G:$G,Income!$H:$H, AF$2,Income!$F:$F, $AD$1, Income!$B:$B, IF($AE139&lt;&gt;"", TEXT($AE139, "MMMM"), ""), Income!$C:$C, YEAR($AE139))</f>
        <v>0</v>
      </c>
      <c r="AG139" s="469">
        <f>SUMIFS(Income!$G:$G,Income!$H:$H, AG$2,Income!$F:$F, $AD$1, Income!$B:$B, IF($AE139&lt;&gt;"", TEXT($AE139, "MMMM"), ""), Income!$C:$C, YEAR($AE139))</f>
        <v>0</v>
      </c>
      <c r="AH139" s="469">
        <f>SUMIFS(Income!$G:$G,Income!$H:$H, AH$2,Income!$F:$F, $AD$1, Income!$B:$B, IF($AE139&lt;&gt;"", TEXT($AE139, "MMMM"), ""), Income!$C:$C, YEAR($AE139))</f>
        <v>0</v>
      </c>
      <c r="AI139" s="469">
        <f>SUMIFS(Income!$G:$G,Income!$H:$H, AI$2,Income!$F:$F, $AD$1, Income!$B:$B, IF($AE139&lt;&gt;"", TEXT($AE139, "MMMM"), ""), Income!$C:$C, YEAR($AE139))</f>
        <v>0</v>
      </c>
      <c r="AJ139" s="464">
        <f>SUMIFS(Income!$G:$G,Income!$H:$H, AJ$2,Income!$F:$F, $AD$1, Income!$B:$B, IF($AE139&lt;&gt;"", TEXT($AE139, "MMMM"), ""), Income!$C:$C, YEAR($AE139))</f>
        <v>0</v>
      </c>
      <c r="AK139" s="470">
        <f>SUMIFS(Income!$G:$G,Income!$H:$H, AK$2,Income!$F:$F, $AD$1, Income!$B:$B, IF($AE139&lt;&gt;"", TEXT($AE139, "MMMM"), ""), Income!$C:$C, YEAR($AE139))</f>
        <v>0</v>
      </c>
      <c r="AL139" s="428"/>
      <c r="AM139" s="463">
        <v>47969.0</v>
      </c>
      <c r="AN139" s="464">
        <f>SUMIFS(Income!$G:$G,Income!$H:$H, AN$2,Income!$F:$F, $AL$1, Income!$B:$B, IF($AM139&lt;&gt;"", TEXT($AM139, "MMMM"), ""), Income!$C:$C, YEAR($AM139))+SUMIFS($T:$T, $U:$U,AN$2,$Q:$Q,IF($AM139&lt;&gt;"", TEXT($AM139, "MMMM"), ""),$R:$R,YEAR($AM139))</f>
        <v>0</v>
      </c>
      <c r="AO139" s="464">
        <f>SUMIFS(Income!$G:$G,Income!$H:$H, AO$2,Income!$F:$F, $AL$1, Income!$B:$B, IF($AM139&lt;&gt;"", TEXT($AM139, "MMMM"), ""), Income!$C:$C, YEAR($AM139))+SUMIFS($T:$T, $U:$U,AO$2,$Q:$Q,IF($AM139&lt;&gt;"", TEXT($AM139, "MMMM"), ""),$R:$R,YEAR($AM139))</f>
        <v>0</v>
      </c>
      <c r="AP139" s="464">
        <f>SUMIFS(Income!$G:$G,Income!$H:$H, AP$2,Income!$F:$F, $AL$1, Income!$B:$B, IF($AM139&lt;&gt;"", TEXT($AM139, "MMMM"), ""), Income!$C:$C, YEAR($AM139))+SUMIFS($T:$T, $U:$U,AP$2,$Q:$Q,IF($AM139&lt;&gt;"", TEXT($AM139, "MMMM"), ""),$R:$R,YEAR($AM139))</f>
        <v>0</v>
      </c>
      <c r="AQ139" s="464">
        <f>SUMIFS(Income!$G:$G,Income!$H:$H, AQ$2,Income!$F:$F, $AL$1, Income!$B:$B, IF($AM139&lt;&gt;"", TEXT($AM139, "MMMM"), ""), Income!$C:$C, YEAR($AM139))+SUMIFS($T:$T, $U:$U,AQ$2,$Q:$Q,IF($AM139&lt;&gt;"", TEXT($AM139, "MMMM"), ""),$R:$R,YEAR($AM139))</f>
        <v>0</v>
      </c>
      <c r="AR139" s="464">
        <f>SUMIFS(Income!$G:$G,Income!$H:$H, AR$2,Income!$F:$F, $AL$1, Income!$B:$B, IF($AM139&lt;&gt;"", TEXT($AM139, "MMMM"), ""), Income!$C:$C, YEAR($AM139))+SUMIFS($T:$T, $U:$U,AR$2,$Q:$Q,IF($AM139&lt;&gt;"", TEXT($AM139, "MMMM"), ""),$R:$R,YEAR($AM139))</f>
        <v>0</v>
      </c>
      <c r="AS139" s="467">
        <f>SUMIFS(Income!$G:$G,Income!$H:$H, AS$2,Income!$F:$F, $AL$1, Income!$B:$B, IF($AM139&lt;&gt;"", TEXT($AM139, "MMMM"), ""), Income!$C:$C, YEAR($AM139))+SUMIFS($T:$T, $U:$U,AS$2,$Q:$Q,IF($AM139&lt;&gt;"", TEXT($AM139, "MMMM"), ""),$R:$R,YEAR($AM139))</f>
        <v>0</v>
      </c>
      <c r="AT139" s="428"/>
      <c r="AU139" s="463">
        <v>47969.0</v>
      </c>
      <c r="AV139" s="469">
        <f>SUMIFS(Income!$G:$G,Income!$H:$H, AV$2,Income!$F:$F, $AT$1, Income!$B:$B, IF($AU139&lt;&gt;"", TEXT($AU139, "MMMM"), ""), Income!$C:$C, YEAR($AU139))</f>
        <v>0</v>
      </c>
      <c r="AW139" s="469">
        <f>SUMIFS(Income!$G:$G,Income!$H:$H, AW$2,Income!$F:$F, $AT$1, Income!$B:$B, IF($AU139&lt;&gt;"", TEXT($AU139, "MMMM"), ""), Income!$C:$C, YEAR($AU139))</f>
        <v>0</v>
      </c>
      <c r="AX139" s="469">
        <f>SUMIFS(Income!$G:$G,Income!$H:$H, AX$2,Income!$F:$F, $AT$1, Income!$B:$B, IF($AU139&lt;&gt;"", TEXT($AU139, "MMMM"), ""), Income!$C:$C, YEAR($AU139))</f>
        <v>0</v>
      </c>
      <c r="AY139" s="469">
        <f>SUMIFS(Income!$G:$G,Income!$H:$H, AY$2,Income!$F:$F, $AT$1, Income!$B:$B, IF($AU139&lt;&gt;"", TEXT($AU139, "MMMM"), ""), Income!$C:$C, YEAR($AU139))</f>
        <v>0</v>
      </c>
      <c r="AZ139" s="464">
        <f>SUMIFS(Income!$G:$G,Income!$H:$H, AZ$2,Income!$F:$F, $AT$1, Income!$B:$B, IF($AU139&lt;&gt;"", TEXT($AU139, "MMMM"), ""), Income!$C:$C, YEAR($AU139))</f>
        <v>0</v>
      </c>
      <c r="BA139" s="471">
        <f>SUMIFS(Income!$G:$G,Income!$H:$H, BA$2,Income!$F:$F, $AT$1, Income!$B:$B, IF($AU139&lt;&gt;"", TEXT($AU139, "MMMM"), ""), Income!$C:$C, YEAR($AU139))</f>
        <v>0</v>
      </c>
      <c r="BB139" s="345"/>
      <c r="BC139" s="345"/>
      <c r="BD139" s="345"/>
      <c r="BE139" s="345"/>
    </row>
    <row r="140" ht="13.5" customHeight="1">
      <c r="A140" s="424">
        <f>'Membership Application List'!A369</f>
        <v>45532.75805</v>
      </c>
      <c r="B140" s="443" t="str">
        <f t="shared" si="6"/>
        <v>August</v>
      </c>
      <c r="C140" s="443">
        <f t="shared" si="7"/>
        <v>2024</v>
      </c>
      <c r="D140" s="426" t="str">
        <f>'Membership Application List'!E369</f>
        <v>Typhanne Vieira</v>
      </c>
      <c r="E140" s="426">
        <f>IF('Membership Application List'!J369 = "Food/Litter Donation", 0, IF('Membership Application List'!J369 = "$15 Donation, Discord Verification", IF('Membership Application List'!N369 = TRUE, 15, 0)))</f>
        <v>15</v>
      </c>
      <c r="F140" s="426">
        <f>if('Membership Application List'!K369=TRUE, 5,0)</f>
        <v>0</v>
      </c>
      <c r="G140" s="426">
        <f t="shared" si="8"/>
        <v>15</v>
      </c>
      <c r="H140" s="427" t="str">
        <f>'Membership Application List'!L369</f>
        <v>Venmo</v>
      </c>
      <c r="I140" s="447" t="s">
        <v>791</v>
      </c>
      <c r="J140" s="463">
        <v>48000.0</v>
      </c>
      <c r="K140" s="464">
        <f t="shared" ref="K140:O140" si="98">SUMIFS($G:$G, $H:$H, K$2, $B:$B, IF($J140&lt;&gt;"", TEXT($J140, "MMMM"), ""), $C:$C, YEAR($J140))</f>
        <v>0</v>
      </c>
      <c r="L140" s="464">
        <f t="shared" si="98"/>
        <v>0</v>
      </c>
      <c r="M140" s="464">
        <f t="shared" si="98"/>
        <v>0</v>
      </c>
      <c r="N140" s="464">
        <f t="shared" si="98"/>
        <v>0</v>
      </c>
      <c r="O140" s="465">
        <f t="shared" si="98"/>
        <v>0</v>
      </c>
      <c r="P140" s="414"/>
      <c r="Q140" s="414"/>
      <c r="R140" s="414"/>
      <c r="S140" s="445"/>
      <c r="T140" s="445"/>
      <c r="U140" s="445"/>
      <c r="V140" s="447" t="s">
        <v>791</v>
      </c>
      <c r="W140" s="463">
        <v>48000.0</v>
      </c>
      <c r="X140" s="469">
        <f>SUMIFS(Income!$G:$G,Income!$H:$H, X$2,Income!$F:$F, $V$1, Income!$B:$B, IF($W140&lt;&gt;"", TEXT($W140, "MMMM"), ""), Income!$C:$C, YEAR($W140))</f>
        <v>0</v>
      </c>
      <c r="Y140" s="469">
        <f>SUMIFS(Income!$G:$G,Income!$H:$H, Y$2,Income!$F:$F, $V$1, Income!$B:$B, IF($W140&lt;&gt;"", TEXT($W140, "MMMM"), ""), Income!$C:$C, YEAR($W140))</f>
        <v>0</v>
      </c>
      <c r="Z140" s="469">
        <f>SUMIFS(Income!$G:$G,Income!$H:$H, Z$2,Income!$F:$F, $V$1, Income!$B:$B, IF($W140&lt;&gt;"", TEXT($W140, "MMMM"), ""), Income!$C:$C, YEAR($W140))</f>
        <v>0</v>
      </c>
      <c r="AA140" s="469">
        <f>SUMIFS(Income!$G:$G,Income!$H:$H, AA$2,Income!$F:$F, $V$1, Income!$B:$B, IF($W140&lt;&gt;"", TEXT($W140, "MMMM"), ""), Income!$C:$C, YEAR($W140))</f>
        <v>0</v>
      </c>
      <c r="AB140" s="464">
        <f>SUMIFS(Income!$G:$G,Income!$H:$H, AB$2,Income!$F:$F, $V$1, Income!$B:$B, IF($W140&lt;&gt;"", TEXT($W140, "MMMM"), ""), Income!$C:$C, YEAR($W140))</f>
        <v>0</v>
      </c>
      <c r="AC140" s="470">
        <f>SUMIFS(Income!$G:$G,Income!$H:$H, AC$2,Income!$F:$F, $V$1, Income!$B:$B, IF($W140&lt;&gt;"", TEXT($W140, "MMMM"), ""), Income!$C:$C, YEAR($W140))</f>
        <v>0</v>
      </c>
      <c r="AD140" s="447" t="s">
        <v>791</v>
      </c>
      <c r="AE140" s="463">
        <v>48000.0</v>
      </c>
      <c r="AF140" s="469">
        <f>SUMIFS(Income!$G:$G,Income!$H:$H, AF$2,Income!$F:$F, $AD$1, Income!$B:$B, IF($AE140&lt;&gt;"", TEXT($AE140, "MMMM"), ""), Income!$C:$C, YEAR($AE140))</f>
        <v>0</v>
      </c>
      <c r="AG140" s="469">
        <f>SUMIFS(Income!$G:$G,Income!$H:$H, AG$2,Income!$F:$F, $AD$1, Income!$B:$B, IF($AE140&lt;&gt;"", TEXT($AE140, "MMMM"), ""), Income!$C:$C, YEAR($AE140))</f>
        <v>0</v>
      </c>
      <c r="AH140" s="469">
        <f>SUMIFS(Income!$G:$G,Income!$H:$H, AH$2,Income!$F:$F, $AD$1, Income!$B:$B, IF($AE140&lt;&gt;"", TEXT($AE140, "MMMM"), ""), Income!$C:$C, YEAR($AE140))</f>
        <v>0</v>
      </c>
      <c r="AI140" s="469">
        <f>SUMIFS(Income!$G:$G,Income!$H:$H, AI$2,Income!$F:$F, $AD$1, Income!$B:$B, IF($AE140&lt;&gt;"", TEXT($AE140, "MMMM"), ""), Income!$C:$C, YEAR($AE140))</f>
        <v>0</v>
      </c>
      <c r="AJ140" s="464">
        <f>SUMIFS(Income!$G:$G,Income!$H:$H, AJ$2,Income!$F:$F, $AD$1, Income!$B:$B, IF($AE140&lt;&gt;"", TEXT($AE140, "MMMM"), ""), Income!$C:$C, YEAR($AE140))</f>
        <v>0</v>
      </c>
      <c r="AK140" s="470">
        <f>SUMIFS(Income!$G:$G,Income!$H:$H, AK$2,Income!$F:$F, $AD$1, Income!$B:$B, IF($AE140&lt;&gt;"", TEXT($AE140, "MMMM"), ""), Income!$C:$C, YEAR($AE140))</f>
        <v>0</v>
      </c>
      <c r="AL140" s="447" t="s">
        <v>791</v>
      </c>
      <c r="AM140" s="463">
        <v>48000.0</v>
      </c>
      <c r="AN140" s="464">
        <f>SUMIFS(Income!$G:$G,Income!$H:$H, AN$2,Income!$F:$F, $AL$1, Income!$B:$B, IF($AM140&lt;&gt;"", TEXT($AM140, "MMMM"), ""), Income!$C:$C, YEAR($AM140))+SUMIFS($T:$T, $U:$U,AN$2,$Q:$Q,IF($AM140&lt;&gt;"", TEXT($AM140, "MMMM"), ""),$R:$R,YEAR($AM140))</f>
        <v>0</v>
      </c>
      <c r="AO140" s="464">
        <f>SUMIFS(Income!$G:$G,Income!$H:$H, AO$2,Income!$F:$F, $AL$1, Income!$B:$B, IF($AM140&lt;&gt;"", TEXT($AM140, "MMMM"), ""), Income!$C:$C, YEAR($AM140))+SUMIFS($T:$T, $U:$U,AO$2,$Q:$Q,IF($AM140&lt;&gt;"", TEXT($AM140, "MMMM"), ""),$R:$R,YEAR($AM140))</f>
        <v>0</v>
      </c>
      <c r="AP140" s="464">
        <f>SUMIFS(Income!$G:$G,Income!$H:$H, AP$2,Income!$F:$F, $AL$1, Income!$B:$B, IF($AM140&lt;&gt;"", TEXT($AM140, "MMMM"), ""), Income!$C:$C, YEAR($AM140))+SUMIFS($T:$T, $U:$U,AP$2,$Q:$Q,IF($AM140&lt;&gt;"", TEXT($AM140, "MMMM"), ""),$R:$R,YEAR($AM140))</f>
        <v>0</v>
      </c>
      <c r="AQ140" s="464">
        <f>SUMIFS(Income!$G:$G,Income!$H:$H, AQ$2,Income!$F:$F, $AL$1, Income!$B:$B, IF($AM140&lt;&gt;"", TEXT($AM140, "MMMM"), ""), Income!$C:$C, YEAR($AM140))+SUMIFS($T:$T, $U:$U,AQ$2,$Q:$Q,IF($AM140&lt;&gt;"", TEXT($AM140, "MMMM"), ""),$R:$R,YEAR($AM140))</f>
        <v>0</v>
      </c>
      <c r="AR140" s="464">
        <f>SUMIFS(Income!$G:$G,Income!$H:$H, AR$2,Income!$F:$F, $AL$1, Income!$B:$B, IF($AM140&lt;&gt;"", TEXT($AM140, "MMMM"), ""), Income!$C:$C, YEAR($AM140))+SUMIFS($T:$T, $U:$U,AR$2,$Q:$Q,IF($AM140&lt;&gt;"", TEXT($AM140, "MMMM"), ""),$R:$R,YEAR($AM140))</f>
        <v>0</v>
      </c>
      <c r="AS140" s="467">
        <f>SUMIFS(Income!$G:$G,Income!$H:$H, AS$2,Income!$F:$F, $AL$1, Income!$B:$B, IF($AM140&lt;&gt;"", TEXT($AM140, "MMMM"), ""), Income!$C:$C, YEAR($AM140))+SUMIFS($T:$T, $U:$U,AS$2,$Q:$Q,IF($AM140&lt;&gt;"", TEXT($AM140, "MMMM"), ""),$R:$R,YEAR($AM140))</f>
        <v>0</v>
      </c>
      <c r="AT140" s="447" t="s">
        <v>791</v>
      </c>
      <c r="AU140" s="463">
        <v>48000.0</v>
      </c>
      <c r="AV140" s="469">
        <f>SUMIFS(Income!$G:$G,Income!$H:$H, AV$2,Income!$F:$F, $AT$1, Income!$B:$B, IF($AU140&lt;&gt;"", TEXT($AU140, "MMMM"), ""), Income!$C:$C, YEAR($AU140))</f>
        <v>0</v>
      </c>
      <c r="AW140" s="469">
        <f>SUMIFS(Income!$G:$G,Income!$H:$H, AW$2,Income!$F:$F, $AT$1, Income!$B:$B, IF($AU140&lt;&gt;"", TEXT($AU140, "MMMM"), ""), Income!$C:$C, YEAR($AU140))</f>
        <v>0</v>
      </c>
      <c r="AX140" s="469">
        <f>SUMIFS(Income!$G:$G,Income!$H:$H, AX$2,Income!$F:$F, $AT$1, Income!$B:$B, IF($AU140&lt;&gt;"", TEXT($AU140, "MMMM"), ""), Income!$C:$C, YEAR($AU140))</f>
        <v>0</v>
      </c>
      <c r="AY140" s="469">
        <f>SUMIFS(Income!$G:$G,Income!$H:$H, AY$2,Income!$F:$F, $AT$1, Income!$B:$B, IF($AU140&lt;&gt;"", TEXT($AU140, "MMMM"), ""), Income!$C:$C, YEAR($AU140))</f>
        <v>0</v>
      </c>
      <c r="AZ140" s="464">
        <f>SUMIFS(Income!$G:$G,Income!$H:$H, AZ$2,Income!$F:$F, $AT$1, Income!$B:$B, IF($AU140&lt;&gt;"", TEXT($AU140, "MMMM"), ""), Income!$C:$C, YEAR($AU140))</f>
        <v>0</v>
      </c>
      <c r="BA140" s="471">
        <f>SUMIFS(Income!$G:$G,Income!$H:$H, BA$2,Income!$F:$F, $AT$1, Income!$B:$B, IF($AU140&lt;&gt;"", TEXT($AU140, "MMMM"), ""), Income!$C:$C, YEAR($AU140))</f>
        <v>0</v>
      </c>
      <c r="BB140" s="345"/>
      <c r="BC140" s="345"/>
      <c r="BD140" s="345"/>
      <c r="BE140" s="345"/>
    </row>
    <row r="141" ht="13.5" customHeight="1">
      <c r="A141" s="436">
        <f>'Membership Application List'!A370</f>
        <v>45532.92001</v>
      </c>
      <c r="B141" s="437" t="str">
        <f t="shared" si="6"/>
        <v>August</v>
      </c>
      <c r="C141" s="437">
        <f t="shared" si="7"/>
        <v>2024</v>
      </c>
      <c r="D141" s="438" t="str">
        <f>'Membership Application List'!E370</f>
        <v>Giselle Hernandez</v>
      </c>
      <c r="E141" s="438">
        <f>IF('Membership Application List'!J370 = "Food/Litter Donation", 0, IF('Membership Application List'!J370 = "$15 Donation, Discord Verification", IF('Membership Application List'!N370 = TRUE, 15, 0)))</f>
        <v>0</v>
      </c>
      <c r="F141" s="438">
        <f>if('Membership Application List'!K370=TRUE, 5,0)</f>
        <v>0</v>
      </c>
      <c r="G141" s="438">
        <f t="shared" si="8"/>
        <v>0</v>
      </c>
      <c r="H141" s="439" t="str">
        <f>'Membership Application List'!L370</f>
        <v>Cash</v>
      </c>
      <c r="I141" s="428"/>
      <c r="J141" s="463">
        <v>48030.0</v>
      </c>
      <c r="K141" s="464">
        <f t="shared" ref="K141:O141" si="99">SUMIFS($G:$G, $H:$H, K$2, $B:$B, IF($J141&lt;&gt;"", TEXT($J141, "MMMM"), ""), $C:$C, YEAR($J141))</f>
        <v>0</v>
      </c>
      <c r="L141" s="464">
        <f t="shared" si="99"/>
        <v>0</v>
      </c>
      <c r="M141" s="464">
        <f t="shared" si="99"/>
        <v>0</v>
      </c>
      <c r="N141" s="464">
        <f t="shared" si="99"/>
        <v>0</v>
      </c>
      <c r="O141" s="465">
        <f t="shared" si="99"/>
        <v>0</v>
      </c>
      <c r="P141" s="414"/>
      <c r="Q141" s="414"/>
      <c r="R141" s="414"/>
      <c r="S141" s="445"/>
      <c r="T141" s="445"/>
      <c r="U141" s="445"/>
      <c r="V141" s="428"/>
      <c r="W141" s="463">
        <v>48030.0</v>
      </c>
      <c r="X141" s="469">
        <f>SUMIFS(Income!$G:$G,Income!$H:$H, X$2,Income!$F:$F, $V$1, Income!$B:$B, IF($W141&lt;&gt;"", TEXT($W141, "MMMM"), ""), Income!$C:$C, YEAR($W141))</f>
        <v>0</v>
      </c>
      <c r="Y141" s="469">
        <f>SUMIFS(Income!$G:$G,Income!$H:$H, Y$2,Income!$F:$F, $V$1, Income!$B:$B, IF($W141&lt;&gt;"", TEXT($W141, "MMMM"), ""), Income!$C:$C, YEAR($W141))</f>
        <v>0</v>
      </c>
      <c r="Z141" s="469">
        <f>SUMIFS(Income!$G:$G,Income!$H:$H, Z$2,Income!$F:$F, $V$1, Income!$B:$B, IF($W141&lt;&gt;"", TEXT($W141, "MMMM"), ""), Income!$C:$C, YEAR($W141))</f>
        <v>0</v>
      </c>
      <c r="AA141" s="469">
        <f>SUMIFS(Income!$G:$G,Income!$H:$H, AA$2,Income!$F:$F, $V$1, Income!$B:$B, IF($W141&lt;&gt;"", TEXT($W141, "MMMM"), ""), Income!$C:$C, YEAR($W141))</f>
        <v>0</v>
      </c>
      <c r="AB141" s="464">
        <f>SUMIFS(Income!$G:$G,Income!$H:$H, AB$2,Income!$F:$F, $V$1, Income!$B:$B, IF($W141&lt;&gt;"", TEXT($W141, "MMMM"), ""), Income!$C:$C, YEAR($W141))</f>
        <v>0</v>
      </c>
      <c r="AC141" s="470">
        <f>SUMIFS(Income!$G:$G,Income!$H:$H, AC$2,Income!$F:$F, $V$1, Income!$B:$B, IF($W141&lt;&gt;"", TEXT($W141, "MMMM"), ""), Income!$C:$C, YEAR($W141))</f>
        <v>0</v>
      </c>
      <c r="AD141" s="428"/>
      <c r="AE141" s="463">
        <v>48030.0</v>
      </c>
      <c r="AF141" s="469">
        <f>SUMIFS(Income!$G:$G,Income!$H:$H, AF$2,Income!$F:$F, $AD$1, Income!$B:$B, IF($AE141&lt;&gt;"", TEXT($AE141, "MMMM"), ""), Income!$C:$C, YEAR($AE141))</f>
        <v>0</v>
      </c>
      <c r="AG141" s="469">
        <f>SUMIFS(Income!$G:$G,Income!$H:$H, AG$2,Income!$F:$F, $AD$1, Income!$B:$B, IF($AE141&lt;&gt;"", TEXT($AE141, "MMMM"), ""), Income!$C:$C, YEAR($AE141))</f>
        <v>0</v>
      </c>
      <c r="AH141" s="469">
        <f>SUMIFS(Income!$G:$G,Income!$H:$H, AH$2,Income!$F:$F, $AD$1, Income!$B:$B, IF($AE141&lt;&gt;"", TEXT($AE141, "MMMM"), ""), Income!$C:$C, YEAR($AE141))</f>
        <v>0</v>
      </c>
      <c r="AI141" s="469">
        <f>SUMIFS(Income!$G:$G,Income!$H:$H, AI$2,Income!$F:$F, $AD$1, Income!$B:$B, IF($AE141&lt;&gt;"", TEXT($AE141, "MMMM"), ""), Income!$C:$C, YEAR($AE141))</f>
        <v>0</v>
      </c>
      <c r="AJ141" s="464">
        <f>SUMIFS(Income!$G:$G,Income!$H:$H, AJ$2,Income!$F:$F, $AD$1, Income!$B:$B, IF($AE141&lt;&gt;"", TEXT($AE141, "MMMM"), ""), Income!$C:$C, YEAR($AE141))</f>
        <v>0</v>
      </c>
      <c r="AK141" s="470">
        <f>SUMIFS(Income!$G:$G,Income!$H:$H, AK$2,Income!$F:$F, $AD$1, Income!$B:$B, IF($AE141&lt;&gt;"", TEXT($AE141, "MMMM"), ""), Income!$C:$C, YEAR($AE141))</f>
        <v>0</v>
      </c>
      <c r="AL141" s="428"/>
      <c r="AM141" s="463">
        <v>48030.0</v>
      </c>
      <c r="AN141" s="464">
        <f>SUMIFS(Income!$G:$G,Income!$H:$H, AN$2,Income!$F:$F, $AL$1, Income!$B:$B, IF($AM141&lt;&gt;"", TEXT($AM141, "MMMM"), ""), Income!$C:$C, YEAR($AM141))+SUMIFS($T:$T, $U:$U,AN$2,$Q:$Q,IF($AM141&lt;&gt;"", TEXT($AM141, "MMMM"), ""),$R:$R,YEAR($AM141))</f>
        <v>0</v>
      </c>
      <c r="AO141" s="464">
        <f>SUMIFS(Income!$G:$G,Income!$H:$H, AO$2,Income!$F:$F, $AL$1, Income!$B:$B, IF($AM141&lt;&gt;"", TEXT($AM141, "MMMM"), ""), Income!$C:$C, YEAR($AM141))+SUMIFS($T:$T, $U:$U,AO$2,$Q:$Q,IF($AM141&lt;&gt;"", TEXT($AM141, "MMMM"), ""),$R:$R,YEAR($AM141))</f>
        <v>0</v>
      </c>
      <c r="AP141" s="464">
        <f>SUMIFS(Income!$G:$G,Income!$H:$H, AP$2,Income!$F:$F, $AL$1, Income!$B:$B, IF($AM141&lt;&gt;"", TEXT($AM141, "MMMM"), ""), Income!$C:$C, YEAR($AM141))+SUMIFS($T:$T, $U:$U,AP$2,$Q:$Q,IF($AM141&lt;&gt;"", TEXT($AM141, "MMMM"), ""),$R:$R,YEAR($AM141))</f>
        <v>0</v>
      </c>
      <c r="AQ141" s="464">
        <f>SUMIFS(Income!$G:$G,Income!$H:$H, AQ$2,Income!$F:$F, $AL$1, Income!$B:$B, IF($AM141&lt;&gt;"", TEXT($AM141, "MMMM"), ""), Income!$C:$C, YEAR($AM141))+SUMIFS($T:$T, $U:$U,AQ$2,$Q:$Q,IF($AM141&lt;&gt;"", TEXT($AM141, "MMMM"), ""),$R:$R,YEAR($AM141))</f>
        <v>0</v>
      </c>
      <c r="AR141" s="464">
        <f>SUMIFS(Income!$G:$G,Income!$H:$H, AR$2,Income!$F:$F, $AL$1, Income!$B:$B, IF($AM141&lt;&gt;"", TEXT($AM141, "MMMM"), ""), Income!$C:$C, YEAR($AM141))+SUMIFS($T:$T, $U:$U,AR$2,$Q:$Q,IF($AM141&lt;&gt;"", TEXT($AM141, "MMMM"), ""),$R:$R,YEAR($AM141))</f>
        <v>0</v>
      </c>
      <c r="AS141" s="467">
        <f>SUMIFS(Income!$G:$G,Income!$H:$H, AS$2,Income!$F:$F, $AL$1, Income!$B:$B, IF($AM141&lt;&gt;"", TEXT($AM141, "MMMM"), ""), Income!$C:$C, YEAR($AM141))+SUMIFS($T:$T, $U:$U,AS$2,$Q:$Q,IF($AM141&lt;&gt;"", TEXT($AM141, "MMMM"), ""),$R:$R,YEAR($AM141))</f>
        <v>0</v>
      </c>
      <c r="AT141" s="428"/>
      <c r="AU141" s="463">
        <v>48030.0</v>
      </c>
      <c r="AV141" s="469">
        <f>SUMIFS(Income!$G:$G,Income!$H:$H, AV$2,Income!$F:$F, $AT$1, Income!$B:$B, IF($AU141&lt;&gt;"", TEXT($AU141, "MMMM"), ""), Income!$C:$C, YEAR($AU141))</f>
        <v>0</v>
      </c>
      <c r="AW141" s="469">
        <f>SUMIFS(Income!$G:$G,Income!$H:$H, AW$2,Income!$F:$F, $AT$1, Income!$B:$B, IF($AU141&lt;&gt;"", TEXT($AU141, "MMMM"), ""), Income!$C:$C, YEAR($AU141))</f>
        <v>0</v>
      </c>
      <c r="AX141" s="469">
        <f>SUMIFS(Income!$G:$G,Income!$H:$H, AX$2,Income!$F:$F, $AT$1, Income!$B:$B, IF($AU141&lt;&gt;"", TEXT($AU141, "MMMM"), ""), Income!$C:$C, YEAR($AU141))</f>
        <v>0</v>
      </c>
      <c r="AY141" s="469">
        <f>SUMIFS(Income!$G:$G,Income!$H:$H, AY$2,Income!$F:$F, $AT$1, Income!$B:$B, IF($AU141&lt;&gt;"", TEXT($AU141, "MMMM"), ""), Income!$C:$C, YEAR($AU141))</f>
        <v>0</v>
      </c>
      <c r="AZ141" s="464">
        <f>SUMIFS(Income!$G:$G,Income!$H:$H, AZ$2,Income!$F:$F, $AT$1, Income!$B:$B, IF($AU141&lt;&gt;"", TEXT($AU141, "MMMM"), ""), Income!$C:$C, YEAR($AU141))</f>
        <v>0</v>
      </c>
      <c r="BA141" s="471">
        <f>SUMIFS(Income!$G:$G,Income!$H:$H, BA$2,Income!$F:$F, $AT$1, Income!$B:$B, IF($AU141&lt;&gt;"", TEXT($AU141, "MMMM"), ""), Income!$C:$C, YEAR($AU141))</f>
        <v>0</v>
      </c>
      <c r="BB141" s="345"/>
      <c r="BC141" s="345"/>
      <c r="BD141" s="345"/>
      <c r="BE141" s="345"/>
    </row>
    <row r="142" ht="13.5" customHeight="1">
      <c r="A142" s="424">
        <f>'Membership Application List'!A371</f>
        <v>45533.39092</v>
      </c>
      <c r="B142" s="443" t="str">
        <f t="shared" si="6"/>
        <v>August</v>
      </c>
      <c r="C142" s="443">
        <f t="shared" si="7"/>
        <v>2024</v>
      </c>
      <c r="D142" s="426" t="str">
        <f>'Membership Application List'!E371</f>
        <v>Mia Juliet Reyes</v>
      </c>
      <c r="E142" s="426">
        <f>IF('Membership Application List'!J371 = "Food/Litter Donation", 0, IF('Membership Application List'!J371 = "$15 Donation, Discord Verification", IF('Membership Application List'!N371 = TRUE, 15, 0)))</f>
        <v>0</v>
      </c>
      <c r="F142" s="426">
        <f>if('Membership Application List'!K371=TRUE, 5,0)</f>
        <v>0</v>
      </c>
      <c r="G142" s="426">
        <f t="shared" si="8"/>
        <v>0</v>
      </c>
      <c r="H142" s="427" t="str">
        <f>'Membership Application List'!L371</f>
        <v>Cash</v>
      </c>
      <c r="I142" s="428"/>
      <c r="J142" s="463">
        <v>48061.0</v>
      </c>
      <c r="K142" s="464">
        <f t="shared" ref="K142:O142" si="100">SUMIFS($G:$G, $H:$H, K$2, $B:$B, IF($J142&lt;&gt;"", TEXT($J142, "MMMM"), ""), $C:$C, YEAR($J142))</f>
        <v>0</v>
      </c>
      <c r="L142" s="464">
        <f t="shared" si="100"/>
        <v>0</v>
      </c>
      <c r="M142" s="464">
        <f t="shared" si="100"/>
        <v>0</v>
      </c>
      <c r="N142" s="464">
        <f t="shared" si="100"/>
        <v>0</v>
      </c>
      <c r="O142" s="465">
        <f t="shared" si="100"/>
        <v>0</v>
      </c>
      <c r="P142" s="414"/>
      <c r="Q142" s="414"/>
      <c r="R142" s="414"/>
      <c r="S142" s="445"/>
      <c r="T142" s="445"/>
      <c r="U142" s="445"/>
      <c r="V142" s="428"/>
      <c r="W142" s="463">
        <v>48061.0</v>
      </c>
      <c r="X142" s="469">
        <f>SUMIFS(Income!$G:$G,Income!$H:$H, X$2,Income!$F:$F, $V$1, Income!$B:$B, IF($W142&lt;&gt;"", TEXT($W142, "MMMM"), ""), Income!$C:$C, YEAR($W142))</f>
        <v>0</v>
      </c>
      <c r="Y142" s="469">
        <f>SUMIFS(Income!$G:$G,Income!$H:$H, Y$2,Income!$F:$F, $V$1, Income!$B:$B, IF($W142&lt;&gt;"", TEXT($W142, "MMMM"), ""), Income!$C:$C, YEAR($W142))</f>
        <v>0</v>
      </c>
      <c r="Z142" s="469">
        <f>SUMIFS(Income!$G:$G,Income!$H:$H, Z$2,Income!$F:$F, $V$1, Income!$B:$B, IF($W142&lt;&gt;"", TEXT($W142, "MMMM"), ""), Income!$C:$C, YEAR($W142))</f>
        <v>0</v>
      </c>
      <c r="AA142" s="469">
        <f>SUMIFS(Income!$G:$G,Income!$H:$H, AA$2,Income!$F:$F, $V$1, Income!$B:$B, IF($W142&lt;&gt;"", TEXT($W142, "MMMM"), ""), Income!$C:$C, YEAR($W142))</f>
        <v>0</v>
      </c>
      <c r="AB142" s="464">
        <f>SUMIFS(Income!$G:$G,Income!$H:$H, AB$2,Income!$F:$F, $V$1, Income!$B:$B, IF($W142&lt;&gt;"", TEXT($W142, "MMMM"), ""), Income!$C:$C, YEAR($W142))</f>
        <v>0</v>
      </c>
      <c r="AC142" s="470">
        <f>SUMIFS(Income!$G:$G,Income!$H:$H, AC$2,Income!$F:$F, $V$1, Income!$B:$B, IF($W142&lt;&gt;"", TEXT($W142, "MMMM"), ""), Income!$C:$C, YEAR($W142))</f>
        <v>0</v>
      </c>
      <c r="AD142" s="428"/>
      <c r="AE142" s="463">
        <v>48061.0</v>
      </c>
      <c r="AF142" s="469">
        <f>SUMIFS(Income!$G:$G,Income!$H:$H, AF$2,Income!$F:$F, $AD$1, Income!$B:$B, IF($AE142&lt;&gt;"", TEXT($AE142, "MMMM"), ""), Income!$C:$C, YEAR($AE142))</f>
        <v>0</v>
      </c>
      <c r="AG142" s="469">
        <f>SUMIFS(Income!$G:$G,Income!$H:$H, AG$2,Income!$F:$F, $AD$1, Income!$B:$B, IF($AE142&lt;&gt;"", TEXT($AE142, "MMMM"), ""), Income!$C:$C, YEAR($AE142))</f>
        <v>0</v>
      </c>
      <c r="AH142" s="469">
        <f>SUMIFS(Income!$G:$G,Income!$H:$H, AH$2,Income!$F:$F, $AD$1, Income!$B:$B, IF($AE142&lt;&gt;"", TEXT($AE142, "MMMM"), ""), Income!$C:$C, YEAR($AE142))</f>
        <v>0</v>
      </c>
      <c r="AI142" s="469">
        <f>SUMIFS(Income!$G:$G,Income!$H:$H, AI$2,Income!$F:$F, $AD$1, Income!$B:$B, IF($AE142&lt;&gt;"", TEXT($AE142, "MMMM"), ""), Income!$C:$C, YEAR($AE142))</f>
        <v>0</v>
      </c>
      <c r="AJ142" s="464">
        <f>SUMIFS(Income!$G:$G,Income!$H:$H, AJ$2,Income!$F:$F, $AD$1, Income!$B:$B, IF($AE142&lt;&gt;"", TEXT($AE142, "MMMM"), ""), Income!$C:$C, YEAR($AE142))</f>
        <v>0</v>
      </c>
      <c r="AK142" s="470">
        <f>SUMIFS(Income!$G:$G,Income!$H:$H, AK$2,Income!$F:$F, $AD$1, Income!$B:$B, IF($AE142&lt;&gt;"", TEXT($AE142, "MMMM"), ""), Income!$C:$C, YEAR($AE142))</f>
        <v>0</v>
      </c>
      <c r="AL142" s="428"/>
      <c r="AM142" s="463">
        <v>48061.0</v>
      </c>
      <c r="AN142" s="464">
        <f>SUMIFS(Income!$G:$G,Income!$H:$H, AN$2,Income!$F:$F, $AL$1, Income!$B:$B, IF($AM142&lt;&gt;"", TEXT($AM142, "MMMM"), ""), Income!$C:$C, YEAR($AM142))+SUMIFS($T:$T, $U:$U,AN$2,$Q:$Q,IF($AM142&lt;&gt;"", TEXT($AM142, "MMMM"), ""),$R:$R,YEAR($AM142))</f>
        <v>0</v>
      </c>
      <c r="AO142" s="464">
        <f>SUMIFS(Income!$G:$G,Income!$H:$H, AO$2,Income!$F:$F, $AL$1, Income!$B:$B, IF($AM142&lt;&gt;"", TEXT($AM142, "MMMM"), ""), Income!$C:$C, YEAR($AM142))+SUMIFS($T:$T, $U:$U,AO$2,$Q:$Q,IF($AM142&lt;&gt;"", TEXT($AM142, "MMMM"), ""),$R:$R,YEAR($AM142))</f>
        <v>0</v>
      </c>
      <c r="AP142" s="464">
        <f>SUMIFS(Income!$G:$G,Income!$H:$H, AP$2,Income!$F:$F, $AL$1, Income!$B:$B, IF($AM142&lt;&gt;"", TEXT($AM142, "MMMM"), ""), Income!$C:$C, YEAR($AM142))+SUMIFS($T:$T, $U:$U,AP$2,$Q:$Q,IF($AM142&lt;&gt;"", TEXT($AM142, "MMMM"), ""),$R:$R,YEAR($AM142))</f>
        <v>0</v>
      </c>
      <c r="AQ142" s="464">
        <f>SUMIFS(Income!$G:$G,Income!$H:$H, AQ$2,Income!$F:$F, $AL$1, Income!$B:$B, IF($AM142&lt;&gt;"", TEXT($AM142, "MMMM"), ""), Income!$C:$C, YEAR($AM142))+SUMIFS($T:$T, $U:$U,AQ$2,$Q:$Q,IF($AM142&lt;&gt;"", TEXT($AM142, "MMMM"), ""),$R:$R,YEAR($AM142))</f>
        <v>0</v>
      </c>
      <c r="AR142" s="464">
        <f>SUMIFS(Income!$G:$G,Income!$H:$H, AR$2,Income!$F:$F, $AL$1, Income!$B:$B, IF($AM142&lt;&gt;"", TEXT($AM142, "MMMM"), ""), Income!$C:$C, YEAR($AM142))+SUMIFS($T:$T, $U:$U,AR$2,$Q:$Q,IF($AM142&lt;&gt;"", TEXT($AM142, "MMMM"), ""),$R:$R,YEAR($AM142))</f>
        <v>0</v>
      </c>
      <c r="AS142" s="467">
        <f>SUMIFS(Income!$G:$G,Income!$H:$H, AS$2,Income!$F:$F, $AL$1, Income!$B:$B, IF($AM142&lt;&gt;"", TEXT($AM142, "MMMM"), ""), Income!$C:$C, YEAR($AM142))+SUMIFS($T:$T, $U:$U,AS$2,$Q:$Q,IF($AM142&lt;&gt;"", TEXT($AM142, "MMMM"), ""),$R:$R,YEAR($AM142))</f>
        <v>0</v>
      </c>
      <c r="AT142" s="428"/>
      <c r="AU142" s="463">
        <v>48061.0</v>
      </c>
      <c r="AV142" s="469">
        <f>SUMIFS(Income!$G:$G,Income!$H:$H, AV$2,Income!$F:$F, $AT$1, Income!$B:$B, IF($AU142&lt;&gt;"", TEXT($AU142, "MMMM"), ""), Income!$C:$C, YEAR($AU142))</f>
        <v>0</v>
      </c>
      <c r="AW142" s="469">
        <f>SUMIFS(Income!$G:$G,Income!$H:$H, AW$2,Income!$F:$F, $AT$1, Income!$B:$B, IF($AU142&lt;&gt;"", TEXT($AU142, "MMMM"), ""), Income!$C:$C, YEAR($AU142))</f>
        <v>0</v>
      </c>
      <c r="AX142" s="469">
        <f>SUMIFS(Income!$G:$G,Income!$H:$H, AX$2,Income!$F:$F, $AT$1, Income!$B:$B, IF($AU142&lt;&gt;"", TEXT($AU142, "MMMM"), ""), Income!$C:$C, YEAR($AU142))</f>
        <v>0</v>
      </c>
      <c r="AY142" s="469">
        <f>SUMIFS(Income!$G:$G,Income!$H:$H, AY$2,Income!$F:$F, $AT$1, Income!$B:$B, IF($AU142&lt;&gt;"", TEXT($AU142, "MMMM"), ""), Income!$C:$C, YEAR($AU142))</f>
        <v>0</v>
      </c>
      <c r="AZ142" s="464">
        <f>SUMIFS(Income!$G:$G,Income!$H:$H, AZ$2,Income!$F:$F, $AT$1, Income!$B:$B, IF($AU142&lt;&gt;"", TEXT($AU142, "MMMM"), ""), Income!$C:$C, YEAR($AU142))</f>
        <v>0</v>
      </c>
      <c r="BA142" s="471">
        <f>SUMIFS(Income!$G:$G,Income!$H:$H, BA$2,Income!$F:$F, $AT$1, Income!$B:$B, IF($AU142&lt;&gt;"", TEXT($AU142, "MMMM"), ""), Income!$C:$C, YEAR($AU142))</f>
        <v>0</v>
      </c>
      <c r="BB142" s="345"/>
      <c r="BC142" s="345"/>
      <c r="BD142" s="345"/>
      <c r="BE142" s="345"/>
    </row>
    <row r="143" ht="13.5" customHeight="1">
      <c r="A143" s="436">
        <f>'Membership Application List'!A372</f>
        <v>45533.41912</v>
      </c>
      <c r="B143" s="437" t="str">
        <f t="shared" si="6"/>
        <v>August</v>
      </c>
      <c r="C143" s="437">
        <f t="shared" si="7"/>
        <v>2024</v>
      </c>
      <c r="D143" s="438" t="str">
        <f>'Membership Application List'!E372</f>
        <v>Kelly Vong</v>
      </c>
      <c r="E143" s="438">
        <f>IF('Membership Application List'!J372 = "Food/Litter Donation", 0, IF('Membership Application List'!J372 = "$15 Donation, Discord Verification", IF('Membership Application List'!N372 = TRUE, 15, 0)))</f>
        <v>15</v>
      </c>
      <c r="F143" s="438">
        <f>if('Membership Application List'!K372=TRUE, 5,0)</f>
        <v>0</v>
      </c>
      <c r="G143" s="438">
        <f t="shared" si="8"/>
        <v>15</v>
      </c>
      <c r="H143" s="439" t="str">
        <f>'Membership Application List'!L372</f>
        <v>Paypal</v>
      </c>
      <c r="I143" s="428"/>
      <c r="J143" s="463">
        <v>48092.0</v>
      </c>
      <c r="K143" s="464">
        <f t="shared" ref="K143:O143" si="101">SUMIFS($G:$G, $H:$H, K$2, $B:$B, IF($J143&lt;&gt;"", TEXT($J143, "MMMM"), ""), $C:$C, YEAR($J143))</f>
        <v>0</v>
      </c>
      <c r="L143" s="464">
        <f t="shared" si="101"/>
        <v>0</v>
      </c>
      <c r="M143" s="464">
        <f t="shared" si="101"/>
        <v>0</v>
      </c>
      <c r="N143" s="464">
        <f t="shared" si="101"/>
        <v>0</v>
      </c>
      <c r="O143" s="465">
        <f t="shared" si="101"/>
        <v>0</v>
      </c>
      <c r="P143" s="414"/>
      <c r="Q143" s="414"/>
      <c r="R143" s="414"/>
      <c r="S143" s="445"/>
      <c r="T143" s="445"/>
      <c r="U143" s="445"/>
      <c r="V143" s="428"/>
      <c r="W143" s="463">
        <v>48092.0</v>
      </c>
      <c r="X143" s="469">
        <f>SUMIFS(Income!$G:$G,Income!$H:$H, X$2,Income!$F:$F, $V$1, Income!$B:$B, IF($W143&lt;&gt;"", TEXT($W143, "MMMM"), ""), Income!$C:$C, YEAR($W143))</f>
        <v>0</v>
      </c>
      <c r="Y143" s="469">
        <f>SUMIFS(Income!$G:$G,Income!$H:$H, Y$2,Income!$F:$F, $V$1, Income!$B:$B, IF($W143&lt;&gt;"", TEXT($W143, "MMMM"), ""), Income!$C:$C, YEAR($W143))</f>
        <v>0</v>
      </c>
      <c r="Z143" s="469">
        <f>SUMIFS(Income!$G:$G,Income!$H:$H, Z$2,Income!$F:$F, $V$1, Income!$B:$B, IF($W143&lt;&gt;"", TEXT($W143, "MMMM"), ""), Income!$C:$C, YEAR($W143))</f>
        <v>0</v>
      </c>
      <c r="AA143" s="469">
        <f>SUMIFS(Income!$G:$G,Income!$H:$H, AA$2,Income!$F:$F, $V$1, Income!$B:$B, IF($W143&lt;&gt;"", TEXT($W143, "MMMM"), ""), Income!$C:$C, YEAR($W143))</f>
        <v>0</v>
      </c>
      <c r="AB143" s="464">
        <f>SUMIFS(Income!$G:$G,Income!$H:$H, AB$2,Income!$F:$F, $V$1, Income!$B:$B, IF($W143&lt;&gt;"", TEXT($W143, "MMMM"), ""), Income!$C:$C, YEAR($W143))</f>
        <v>0</v>
      </c>
      <c r="AC143" s="470">
        <f>SUMIFS(Income!$G:$G,Income!$H:$H, AC$2,Income!$F:$F, $V$1, Income!$B:$B, IF($W143&lt;&gt;"", TEXT($W143, "MMMM"), ""), Income!$C:$C, YEAR($W143))</f>
        <v>0</v>
      </c>
      <c r="AD143" s="428"/>
      <c r="AE143" s="463">
        <v>48092.0</v>
      </c>
      <c r="AF143" s="469">
        <f>SUMIFS(Income!$G:$G,Income!$H:$H, AF$2,Income!$F:$F, $AD$1, Income!$B:$B, IF($AE143&lt;&gt;"", TEXT($AE143, "MMMM"), ""), Income!$C:$C, YEAR($AE143))</f>
        <v>0</v>
      </c>
      <c r="AG143" s="469">
        <f>SUMIFS(Income!$G:$G,Income!$H:$H, AG$2,Income!$F:$F, $AD$1, Income!$B:$B, IF($AE143&lt;&gt;"", TEXT($AE143, "MMMM"), ""), Income!$C:$C, YEAR($AE143))</f>
        <v>0</v>
      </c>
      <c r="AH143" s="469">
        <f>SUMIFS(Income!$G:$G,Income!$H:$H, AH$2,Income!$F:$F, $AD$1, Income!$B:$B, IF($AE143&lt;&gt;"", TEXT($AE143, "MMMM"), ""), Income!$C:$C, YEAR($AE143))</f>
        <v>0</v>
      </c>
      <c r="AI143" s="469">
        <f>SUMIFS(Income!$G:$G,Income!$H:$H, AI$2,Income!$F:$F, $AD$1, Income!$B:$B, IF($AE143&lt;&gt;"", TEXT($AE143, "MMMM"), ""), Income!$C:$C, YEAR($AE143))</f>
        <v>0</v>
      </c>
      <c r="AJ143" s="464">
        <f>SUMIFS(Income!$G:$G,Income!$H:$H, AJ$2,Income!$F:$F, $AD$1, Income!$B:$B, IF($AE143&lt;&gt;"", TEXT($AE143, "MMMM"), ""), Income!$C:$C, YEAR($AE143))</f>
        <v>0</v>
      </c>
      <c r="AK143" s="470">
        <f>SUMIFS(Income!$G:$G,Income!$H:$H, AK$2,Income!$F:$F, $AD$1, Income!$B:$B, IF($AE143&lt;&gt;"", TEXT($AE143, "MMMM"), ""), Income!$C:$C, YEAR($AE143))</f>
        <v>0</v>
      </c>
      <c r="AL143" s="428"/>
      <c r="AM143" s="463">
        <v>48092.0</v>
      </c>
      <c r="AN143" s="464">
        <f>SUMIFS(Income!$G:$G,Income!$H:$H, AN$2,Income!$F:$F, $AL$1, Income!$B:$B, IF($AM143&lt;&gt;"", TEXT($AM143, "MMMM"), ""), Income!$C:$C, YEAR($AM143))+SUMIFS($T:$T, $U:$U,AN$2,$Q:$Q,IF($AM143&lt;&gt;"", TEXT($AM143, "MMMM"), ""),$R:$R,YEAR($AM143))</f>
        <v>0</v>
      </c>
      <c r="AO143" s="464">
        <f>SUMIFS(Income!$G:$G,Income!$H:$H, AO$2,Income!$F:$F, $AL$1, Income!$B:$B, IF($AM143&lt;&gt;"", TEXT($AM143, "MMMM"), ""), Income!$C:$C, YEAR($AM143))+SUMIFS($T:$T, $U:$U,AO$2,$Q:$Q,IF($AM143&lt;&gt;"", TEXT($AM143, "MMMM"), ""),$R:$R,YEAR($AM143))</f>
        <v>0</v>
      </c>
      <c r="AP143" s="464">
        <f>SUMIFS(Income!$G:$G,Income!$H:$H, AP$2,Income!$F:$F, $AL$1, Income!$B:$B, IF($AM143&lt;&gt;"", TEXT($AM143, "MMMM"), ""), Income!$C:$C, YEAR($AM143))+SUMIFS($T:$T, $U:$U,AP$2,$Q:$Q,IF($AM143&lt;&gt;"", TEXT($AM143, "MMMM"), ""),$R:$R,YEAR($AM143))</f>
        <v>0</v>
      </c>
      <c r="AQ143" s="464">
        <f>SUMIFS(Income!$G:$G,Income!$H:$H, AQ$2,Income!$F:$F, $AL$1, Income!$B:$B, IF($AM143&lt;&gt;"", TEXT($AM143, "MMMM"), ""), Income!$C:$C, YEAR($AM143))+SUMIFS($T:$T, $U:$U,AQ$2,$Q:$Q,IF($AM143&lt;&gt;"", TEXT($AM143, "MMMM"), ""),$R:$R,YEAR($AM143))</f>
        <v>0</v>
      </c>
      <c r="AR143" s="464">
        <f>SUMIFS(Income!$G:$G,Income!$H:$H, AR$2,Income!$F:$F, $AL$1, Income!$B:$B, IF($AM143&lt;&gt;"", TEXT($AM143, "MMMM"), ""), Income!$C:$C, YEAR($AM143))+SUMIFS($T:$T, $U:$U,AR$2,$Q:$Q,IF($AM143&lt;&gt;"", TEXT($AM143, "MMMM"), ""),$R:$R,YEAR($AM143))</f>
        <v>0</v>
      </c>
      <c r="AS143" s="467">
        <f>SUMIFS(Income!$G:$G,Income!$H:$H, AS$2,Income!$F:$F, $AL$1, Income!$B:$B, IF($AM143&lt;&gt;"", TEXT($AM143, "MMMM"), ""), Income!$C:$C, YEAR($AM143))+SUMIFS($T:$T, $U:$U,AS$2,$Q:$Q,IF($AM143&lt;&gt;"", TEXT($AM143, "MMMM"), ""),$R:$R,YEAR($AM143))</f>
        <v>0</v>
      </c>
      <c r="AT143" s="428"/>
      <c r="AU143" s="463">
        <v>48092.0</v>
      </c>
      <c r="AV143" s="469">
        <f>SUMIFS(Income!$G:$G,Income!$H:$H, AV$2,Income!$F:$F, $AT$1, Income!$B:$B, IF($AU143&lt;&gt;"", TEXT($AU143, "MMMM"), ""), Income!$C:$C, YEAR($AU143))</f>
        <v>0</v>
      </c>
      <c r="AW143" s="469">
        <f>SUMIFS(Income!$G:$G,Income!$H:$H, AW$2,Income!$F:$F, $AT$1, Income!$B:$B, IF($AU143&lt;&gt;"", TEXT($AU143, "MMMM"), ""), Income!$C:$C, YEAR($AU143))</f>
        <v>0</v>
      </c>
      <c r="AX143" s="469">
        <f>SUMIFS(Income!$G:$G,Income!$H:$H, AX$2,Income!$F:$F, $AT$1, Income!$B:$B, IF($AU143&lt;&gt;"", TEXT($AU143, "MMMM"), ""), Income!$C:$C, YEAR($AU143))</f>
        <v>0</v>
      </c>
      <c r="AY143" s="469">
        <f>SUMIFS(Income!$G:$G,Income!$H:$H, AY$2,Income!$F:$F, $AT$1, Income!$B:$B, IF($AU143&lt;&gt;"", TEXT($AU143, "MMMM"), ""), Income!$C:$C, YEAR($AU143))</f>
        <v>0</v>
      </c>
      <c r="AZ143" s="464">
        <f>SUMIFS(Income!$G:$G,Income!$H:$H, AZ$2,Income!$F:$F, $AT$1, Income!$B:$B, IF($AU143&lt;&gt;"", TEXT($AU143, "MMMM"), ""), Income!$C:$C, YEAR($AU143))</f>
        <v>0</v>
      </c>
      <c r="BA143" s="471">
        <f>SUMIFS(Income!$G:$G,Income!$H:$H, BA$2,Income!$F:$F, $AT$1, Income!$B:$B, IF($AU143&lt;&gt;"", TEXT($AU143, "MMMM"), ""), Income!$C:$C, YEAR($AU143))</f>
        <v>0</v>
      </c>
      <c r="BB143" s="345"/>
      <c r="BC143" s="345"/>
      <c r="BD143" s="345"/>
      <c r="BE143" s="345"/>
    </row>
    <row r="144" ht="13.5" customHeight="1">
      <c r="A144" s="424">
        <f>'Membership Application List'!A373</f>
        <v>45533.52064</v>
      </c>
      <c r="B144" s="443" t="str">
        <f t="shared" si="6"/>
        <v>August</v>
      </c>
      <c r="C144" s="443">
        <f t="shared" si="7"/>
        <v>2024</v>
      </c>
      <c r="D144" s="426" t="str">
        <f>'Membership Application List'!E373</f>
        <v>Christopher Chagoya </v>
      </c>
      <c r="E144" s="426">
        <f>IF('Membership Application List'!J373 = "Food/Litter Donation", 0, IF('Membership Application List'!J373 = "$15 Donation, Discord Verification", IF('Membership Application List'!N373 = TRUE, 15, 0)))</f>
        <v>0</v>
      </c>
      <c r="F144" s="426">
        <f>if('Membership Application List'!K373=TRUE, 5,0)</f>
        <v>0</v>
      </c>
      <c r="G144" s="426">
        <f t="shared" si="8"/>
        <v>0</v>
      </c>
      <c r="H144" s="427" t="str">
        <f>'Membership Application List'!L373</f>
        <v>Cashapp</v>
      </c>
      <c r="I144" s="428"/>
      <c r="J144" s="463">
        <v>48122.0</v>
      </c>
      <c r="K144" s="464">
        <f t="shared" ref="K144:O144" si="102">SUMIFS($G:$G, $H:$H, K$2, $B:$B, IF($J144&lt;&gt;"", TEXT($J144, "MMMM"), ""), $C:$C, YEAR($J144))</f>
        <v>0</v>
      </c>
      <c r="L144" s="464">
        <f t="shared" si="102"/>
        <v>0</v>
      </c>
      <c r="M144" s="464">
        <f t="shared" si="102"/>
        <v>0</v>
      </c>
      <c r="N144" s="464">
        <f t="shared" si="102"/>
        <v>0</v>
      </c>
      <c r="O144" s="465">
        <f t="shared" si="102"/>
        <v>0</v>
      </c>
      <c r="P144" s="414"/>
      <c r="Q144" s="414"/>
      <c r="R144" s="414"/>
      <c r="S144" s="445"/>
      <c r="T144" s="445"/>
      <c r="U144" s="445"/>
      <c r="V144" s="428"/>
      <c r="W144" s="463">
        <v>48122.0</v>
      </c>
      <c r="X144" s="469">
        <f>SUMIFS(Income!$G:$G,Income!$H:$H, X$2,Income!$F:$F, $V$1, Income!$B:$B, IF($W144&lt;&gt;"", TEXT($W144, "MMMM"), ""), Income!$C:$C, YEAR($W144))</f>
        <v>0</v>
      </c>
      <c r="Y144" s="469">
        <f>SUMIFS(Income!$G:$G,Income!$H:$H, Y$2,Income!$F:$F, $V$1, Income!$B:$B, IF($W144&lt;&gt;"", TEXT($W144, "MMMM"), ""), Income!$C:$C, YEAR($W144))</f>
        <v>0</v>
      </c>
      <c r="Z144" s="469">
        <f>SUMIFS(Income!$G:$G,Income!$H:$H, Z$2,Income!$F:$F, $V$1, Income!$B:$B, IF($W144&lt;&gt;"", TEXT($W144, "MMMM"), ""), Income!$C:$C, YEAR($W144))</f>
        <v>0</v>
      </c>
      <c r="AA144" s="469">
        <f>SUMIFS(Income!$G:$G,Income!$H:$H, AA$2,Income!$F:$F, $V$1, Income!$B:$B, IF($W144&lt;&gt;"", TEXT($W144, "MMMM"), ""), Income!$C:$C, YEAR($W144))</f>
        <v>0</v>
      </c>
      <c r="AB144" s="464">
        <f>SUMIFS(Income!$G:$G,Income!$H:$H, AB$2,Income!$F:$F, $V$1, Income!$B:$B, IF($W144&lt;&gt;"", TEXT($W144, "MMMM"), ""), Income!$C:$C, YEAR($W144))</f>
        <v>0</v>
      </c>
      <c r="AC144" s="470">
        <f>SUMIFS(Income!$G:$G,Income!$H:$H, AC$2,Income!$F:$F, $V$1, Income!$B:$B, IF($W144&lt;&gt;"", TEXT($W144, "MMMM"), ""), Income!$C:$C, YEAR($W144))</f>
        <v>0</v>
      </c>
      <c r="AD144" s="428"/>
      <c r="AE144" s="463">
        <v>48122.0</v>
      </c>
      <c r="AF144" s="469">
        <f>SUMIFS(Income!$G:$G,Income!$H:$H, AF$2,Income!$F:$F, $AD$1, Income!$B:$B, IF($AE144&lt;&gt;"", TEXT($AE144, "MMMM"), ""), Income!$C:$C, YEAR($AE144))</f>
        <v>0</v>
      </c>
      <c r="AG144" s="469">
        <f>SUMIFS(Income!$G:$G,Income!$H:$H, AG$2,Income!$F:$F, $AD$1, Income!$B:$B, IF($AE144&lt;&gt;"", TEXT($AE144, "MMMM"), ""), Income!$C:$C, YEAR($AE144))</f>
        <v>0</v>
      </c>
      <c r="AH144" s="469">
        <f>SUMIFS(Income!$G:$G,Income!$H:$H, AH$2,Income!$F:$F, $AD$1, Income!$B:$B, IF($AE144&lt;&gt;"", TEXT($AE144, "MMMM"), ""), Income!$C:$C, YEAR($AE144))</f>
        <v>0</v>
      </c>
      <c r="AI144" s="469">
        <f>SUMIFS(Income!$G:$G,Income!$H:$H, AI$2,Income!$F:$F, $AD$1, Income!$B:$B, IF($AE144&lt;&gt;"", TEXT($AE144, "MMMM"), ""), Income!$C:$C, YEAR($AE144))</f>
        <v>0</v>
      </c>
      <c r="AJ144" s="464">
        <f>SUMIFS(Income!$G:$G,Income!$H:$H, AJ$2,Income!$F:$F, $AD$1, Income!$B:$B, IF($AE144&lt;&gt;"", TEXT($AE144, "MMMM"), ""), Income!$C:$C, YEAR($AE144))</f>
        <v>0</v>
      </c>
      <c r="AK144" s="470">
        <f>SUMIFS(Income!$G:$G,Income!$H:$H, AK$2,Income!$F:$F, $AD$1, Income!$B:$B, IF($AE144&lt;&gt;"", TEXT($AE144, "MMMM"), ""), Income!$C:$C, YEAR($AE144))</f>
        <v>0</v>
      </c>
      <c r="AL144" s="428"/>
      <c r="AM144" s="463">
        <v>48122.0</v>
      </c>
      <c r="AN144" s="464">
        <f>SUMIFS(Income!$G:$G,Income!$H:$H, AN$2,Income!$F:$F, $AL$1, Income!$B:$B, IF($AM144&lt;&gt;"", TEXT($AM144, "MMMM"), ""), Income!$C:$C, YEAR($AM144))+SUMIFS($T:$T, $U:$U,AN$2,$Q:$Q,IF($AM144&lt;&gt;"", TEXT($AM144, "MMMM"), ""),$R:$R,YEAR($AM144))</f>
        <v>0</v>
      </c>
      <c r="AO144" s="464">
        <f>SUMIFS(Income!$G:$G,Income!$H:$H, AO$2,Income!$F:$F, $AL$1, Income!$B:$B, IF($AM144&lt;&gt;"", TEXT($AM144, "MMMM"), ""), Income!$C:$C, YEAR($AM144))+SUMIFS($T:$T, $U:$U,AO$2,$Q:$Q,IF($AM144&lt;&gt;"", TEXT($AM144, "MMMM"), ""),$R:$R,YEAR($AM144))</f>
        <v>0</v>
      </c>
      <c r="AP144" s="464">
        <f>SUMIFS(Income!$G:$G,Income!$H:$H, AP$2,Income!$F:$F, $AL$1, Income!$B:$B, IF($AM144&lt;&gt;"", TEXT($AM144, "MMMM"), ""), Income!$C:$C, YEAR($AM144))+SUMIFS($T:$T, $U:$U,AP$2,$Q:$Q,IF($AM144&lt;&gt;"", TEXT($AM144, "MMMM"), ""),$R:$R,YEAR($AM144))</f>
        <v>0</v>
      </c>
      <c r="AQ144" s="464">
        <f>SUMIFS(Income!$G:$G,Income!$H:$H, AQ$2,Income!$F:$F, $AL$1, Income!$B:$B, IF($AM144&lt;&gt;"", TEXT($AM144, "MMMM"), ""), Income!$C:$C, YEAR($AM144))+SUMIFS($T:$T, $U:$U,AQ$2,$Q:$Q,IF($AM144&lt;&gt;"", TEXT($AM144, "MMMM"), ""),$R:$R,YEAR($AM144))</f>
        <v>0</v>
      </c>
      <c r="AR144" s="464">
        <f>SUMIFS(Income!$G:$G,Income!$H:$H, AR$2,Income!$F:$F, $AL$1, Income!$B:$B, IF($AM144&lt;&gt;"", TEXT($AM144, "MMMM"), ""), Income!$C:$C, YEAR($AM144))+SUMIFS($T:$T, $U:$U,AR$2,$Q:$Q,IF($AM144&lt;&gt;"", TEXT($AM144, "MMMM"), ""),$R:$R,YEAR($AM144))</f>
        <v>0</v>
      </c>
      <c r="AS144" s="467">
        <f>SUMIFS(Income!$G:$G,Income!$H:$H, AS$2,Income!$F:$F, $AL$1, Income!$B:$B, IF($AM144&lt;&gt;"", TEXT($AM144, "MMMM"), ""), Income!$C:$C, YEAR($AM144))+SUMIFS($T:$T, $U:$U,AS$2,$Q:$Q,IF($AM144&lt;&gt;"", TEXT($AM144, "MMMM"), ""),$R:$R,YEAR($AM144))</f>
        <v>0</v>
      </c>
      <c r="AT144" s="428"/>
      <c r="AU144" s="463">
        <v>48122.0</v>
      </c>
      <c r="AV144" s="469">
        <f>SUMIFS(Income!$G:$G,Income!$H:$H, AV$2,Income!$F:$F, $AT$1, Income!$B:$B, IF($AU144&lt;&gt;"", TEXT($AU144, "MMMM"), ""), Income!$C:$C, YEAR($AU144))</f>
        <v>0</v>
      </c>
      <c r="AW144" s="469">
        <f>SUMIFS(Income!$G:$G,Income!$H:$H, AW$2,Income!$F:$F, $AT$1, Income!$B:$B, IF($AU144&lt;&gt;"", TEXT($AU144, "MMMM"), ""), Income!$C:$C, YEAR($AU144))</f>
        <v>0</v>
      </c>
      <c r="AX144" s="469">
        <f>SUMIFS(Income!$G:$G,Income!$H:$H, AX$2,Income!$F:$F, $AT$1, Income!$B:$B, IF($AU144&lt;&gt;"", TEXT($AU144, "MMMM"), ""), Income!$C:$C, YEAR($AU144))</f>
        <v>0</v>
      </c>
      <c r="AY144" s="469">
        <f>SUMIFS(Income!$G:$G,Income!$H:$H, AY$2,Income!$F:$F, $AT$1, Income!$B:$B, IF($AU144&lt;&gt;"", TEXT($AU144, "MMMM"), ""), Income!$C:$C, YEAR($AU144))</f>
        <v>0</v>
      </c>
      <c r="AZ144" s="464">
        <f>SUMIFS(Income!$G:$G,Income!$H:$H, AZ$2,Income!$F:$F, $AT$1, Income!$B:$B, IF($AU144&lt;&gt;"", TEXT($AU144, "MMMM"), ""), Income!$C:$C, YEAR($AU144))</f>
        <v>0</v>
      </c>
      <c r="BA144" s="471">
        <f>SUMIFS(Income!$G:$G,Income!$H:$H, BA$2,Income!$F:$F, $AT$1, Income!$B:$B, IF($AU144&lt;&gt;"", TEXT($AU144, "MMMM"), ""), Income!$C:$C, YEAR($AU144))</f>
        <v>0</v>
      </c>
      <c r="BB144" s="345"/>
      <c r="BC144" s="345"/>
      <c r="BD144" s="345"/>
      <c r="BE144" s="345"/>
    </row>
    <row r="145" ht="13.5" customHeight="1">
      <c r="A145" s="436">
        <f>'Membership Application List'!A374</f>
        <v>45533.60654</v>
      </c>
      <c r="B145" s="437" t="str">
        <f t="shared" si="6"/>
        <v>August</v>
      </c>
      <c r="C145" s="437">
        <f t="shared" si="7"/>
        <v>2024</v>
      </c>
      <c r="D145" s="438" t="str">
        <f>'Membership Application List'!E374</f>
        <v>Ayla Nguyen </v>
      </c>
      <c r="E145" s="438">
        <f>IF('Membership Application List'!J374 = "Food/Litter Donation", 0, IF('Membership Application List'!J374 = "$15 Donation, Discord Verification", IF('Membership Application List'!N374 = TRUE, 15, 0)))</f>
        <v>0</v>
      </c>
      <c r="F145" s="438">
        <f>if('Membership Application List'!K374=TRUE, 5,0)</f>
        <v>0</v>
      </c>
      <c r="G145" s="438">
        <f t="shared" si="8"/>
        <v>0</v>
      </c>
      <c r="H145" s="439" t="str">
        <f>'Membership Application List'!L374</f>
        <v>Cashapp</v>
      </c>
      <c r="I145" s="428"/>
      <c r="J145" s="463">
        <v>48153.0</v>
      </c>
      <c r="K145" s="464">
        <f t="shared" ref="K145:O145" si="103">SUMIFS($G:$G, $H:$H, K$2, $B:$B, IF($J145&lt;&gt;"", TEXT($J145, "MMMM"), ""), $C:$C, YEAR($J145))</f>
        <v>0</v>
      </c>
      <c r="L145" s="464">
        <f t="shared" si="103"/>
        <v>0</v>
      </c>
      <c r="M145" s="464">
        <f t="shared" si="103"/>
        <v>0</v>
      </c>
      <c r="N145" s="464">
        <f t="shared" si="103"/>
        <v>0</v>
      </c>
      <c r="O145" s="465">
        <f t="shared" si="103"/>
        <v>0</v>
      </c>
      <c r="P145" s="414"/>
      <c r="Q145" s="414"/>
      <c r="R145" s="414"/>
      <c r="S145" s="445"/>
      <c r="T145" s="445"/>
      <c r="U145" s="445"/>
      <c r="V145" s="428"/>
      <c r="W145" s="463">
        <v>48153.0</v>
      </c>
      <c r="X145" s="469">
        <f>SUMIFS(Income!$G:$G,Income!$H:$H, X$2,Income!$F:$F, $V$1, Income!$B:$B, IF($W145&lt;&gt;"", TEXT($W145, "MMMM"), ""), Income!$C:$C, YEAR($W145))</f>
        <v>0</v>
      </c>
      <c r="Y145" s="469">
        <f>SUMIFS(Income!$G:$G,Income!$H:$H, Y$2,Income!$F:$F, $V$1, Income!$B:$B, IF($W145&lt;&gt;"", TEXT($W145, "MMMM"), ""), Income!$C:$C, YEAR($W145))</f>
        <v>0</v>
      </c>
      <c r="Z145" s="469">
        <f>SUMIFS(Income!$G:$G,Income!$H:$H, Z$2,Income!$F:$F, $V$1, Income!$B:$B, IF($W145&lt;&gt;"", TEXT($W145, "MMMM"), ""), Income!$C:$C, YEAR($W145))</f>
        <v>0</v>
      </c>
      <c r="AA145" s="469">
        <f>SUMIFS(Income!$G:$G,Income!$H:$H, AA$2,Income!$F:$F, $V$1, Income!$B:$B, IF($W145&lt;&gt;"", TEXT($W145, "MMMM"), ""), Income!$C:$C, YEAR($W145))</f>
        <v>0</v>
      </c>
      <c r="AB145" s="464">
        <f>SUMIFS(Income!$G:$G,Income!$H:$H, AB$2,Income!$F:$F, $V$1, Income!$B:$B, IF($W145&lt;&gt;"", TEXT($W145, "MMMM"), ""), Income!$C:$C, YEAR($W145))</f>
        <v>0</v>
      </c>
      <c r="AC145" s="470">
        <f>SUMIFS(Income!$G:$G,Income!$H:$H, AC$2,Income!$F:$F, $V$1, Income!$B:$B, IF($W145&lt;&gt;"", TEXT($W145, "MMMM"), ""), Income!$C:$C, YEAR($W145))</f>
        <v>0</v>
      </c>
      <c r="AD145" s="428"/>
      <c r="AE145" s="463">
        <v>48153.0</v>
      </c>
      <c r="AF145" s="469">
        <f>SUMIFS(Income!$G:$G,Income!$H:$H, AF$2,Income!$F:$F, $AD$1, Income!$B:$B, IF($AE145&lt;&gt;"", TEXT($AE145, "MMMM"), ""), Income!$C:$C, YEAR($AE145))</f>
        <v>0</v>
      </c>
      <c r="AG145" s="469">
        <f>SUMIFS(Income!$G:$G,Income!$H:$H, AG$2,Income!$F:$F, $AD$1, Income!$B:$B, IF($AE145&lt;&gt;"", TEXT($AE145, "MMMM"), ""), Income!$C:$C, YEAR($AE145))</f>
        <v>0</v>
      </c>
      <c r="AH145" s="469">
        <f>SUMIFS(Income!$G:$G,Income!$H:$H, AH$2,Income!$F:$F, $AD$1, Income!$B:$B, IF($AE145&lt;&gt;"", TEXT($AE145, "MMMM"), ""), Income!$C:$C, YEAR($AE145))</f>
        <v>0</v>
      </c>
      <c r="AI145" s="469">
        <f>SUMIFS(Income!$G:$G,Income!$H:$H, AI$2,Income!$F:$F, $AD$1, Income!$B:$B, IF($AE145&lt;&gt;"", TEXT($AE145, "MMMM"), ""), Income!$C:$C, YEAR($AE145))</f>
        <v>0</v>
      </c>
      <c r="AJ145" s="464">
        <f>SUMIFS(Income!$G:$G,Income!$H:$H, AJ$2,Income!$F:$F, $AD$1, Income!$B:$B, IF($AE145&lt;&gt;"", TEXT($AE145, "MMMM"), ""), Income!$C:$C, YEAR($AE145))</f>
        <v>0</v>
      </c>
      <c r="AK145" s="470">
        <f>SUMIFS(Income!$G:$G,Income!$H:$H, AK$2,Income!$F:$F, $AD$1, Income!$B:$B, IF($AE145&lt;&gt;"", TEXT($AE145, "MMMM"), ""), Income!$C:$C, YEAR($AE145))</f>
        <v>0</v>
      </c>
      <c r="AL145" s="428"/>
      <c r="AM145" s="463">
        <v>48153.0</v>
      </c>
      <c r="AN145" s="464">
        <f>SUMIFS(Income!$G:$G,Income!$H:$H, AN$2,Income!$F:$F, $AL$1, Income!$B:$B, IF($AM145&lt;&gt;"", TEXT($AM145, "MMMM"), ""), Income!$C:$C, YEAR($AM145))+SUMIFS($T:$T, $U:$U,AN$2,$Q:$Q,IF($AM145&lt;&gt;"", TEXT($AM145, "MMMM"), ""),$R:$R,YEAR($AM145))</f>
        <v>0</v>
      </c>
      <c r="AO145" s="464">
        <f>SUMIFS(Income!$G:$G,Income!$H:$H, AO$2,Income!$F:$F, $AL$1, Income!$B:$B, IF($AM145&lt;&gt;"", TEXT($AM145, "MMMM"), ""), Income!$C:$C, YEAR($AM145))+SUMIFS($T:$T, $U:$U,AO$2,$Q:$Q,IF($AM145&lt;&gt;"", TEXT($AM145, "MMMM"), ""),$R:$R,YEAR($AM145))</f>
        <v>0</v>
      </c>
      <c r="AP145" s="464">
        <f>SUMIFS(Income!$G:$G,Income!$H:$H, AP$2,Income!$F:$F, $AL$1, Income!$B:$B, IF($AM145&lt;&gt;"", TEXT($AM145, "MMMM"), ""), Income!$C:$C, YEAR($AM145))+SUMIFS($T:$T, $U:$U,AP$2,$Q:$Q,IF($AM145&lt;&gt;"", TEXT($AM145, "MMMM"), ""),$R:$R,YEAR($AM145))</f>
        <v>0</v>
      </c>
      <c r="AQ145" s="464">
        <f>SUMIFS(Income!$G:$G,Income!$H:$H, AQ$2,Income!$F:$F, $AL$1, Income!$B:$B, IF($AM145&lt;&gt;"", TEXT($AM145, "MMMM"), ""), Income!$C:$C, YEAR($AM145))+SUMIFS($T:$T, $U:$U,AQ$2,$Q:$Q,IF($AM145&lt;&gt;"", TEXT($AM145, "MMMM"), ""),$R:$R,YEAR($AM145))</f>
        <v>0</v>
      </c>
      <c r="AR145" s="464">
        <f>SUMIFS(Income!$G:$G,Income!$H:$H, AR$2,Income!$F:$F, $AL$1, Income!$B:$B, IF($AM145&lt;&gt;"", TEXT($AM145, "MMMM"), ""), Income!$C:$C, YEAR($AM145))+SUMIFS($T:$T, $U:$U,AR$2,$Q:$Q,IF($AM145&lt;&gt;"", TEXT($AM145, "MMMM"), ""),$R:$R,YEAR($AM145))</f>
        <v>0</v>
      </c>
      <c r="AS145" s="467">
        <f>SUMIFS(Income!$G:$G,Income!$H:$H, AS$2,Income!$F:$F, $AL$1, Income!$B:$B, IF($AM145&lt;&gt;"", TEXT($AM145, "MMMM"), ""), Income!$C:$C, YEAR($AM145))+SUMIFS($T:$T, $U:$U,AS$2,$Q:$Q,IF($AM145&lt;&gt;"", TEXT($AM145, "MMMM"), ""),$R:$R,YEAR($AM145))</f>
        <v>0</v>
      </c>
      <c r="AT145" s="428"/>
      <c r="AU145" s="463">
        <v>48153.0</v>
      </c>
      <c r="AV145" s="469">
        <f>SUMIFS(Income!$G:$G,Income!$H:$H, AV$2,Income!$F:$F, $AT$1, Income!$B:$B, IF($AU145&lt;&gt;"", TEXT($AU145, "MMMM"), ""), Income!$C:$C, YEAR($AU145))</f>
        <v>0</v>
      </c>
      <c r="AW145" s="469">
        <f>SUMIFS(Income!$G:$G,Income!$H:$H, AW$2,Income!$F:$F, $AT$1, Income!$B:$B, IF($AU145&lt;&gt;"", TEXT($AU145, "MMMM"), ""), Income!$C:$C, YEAR($AU145))</f>
        <v>0</v>
      </c>
      <c r="AX145" s="469">
        <f>SUMIFS(Income!$G:$G,Income!$H:$H, AX$2,Income!$F:$F, $AT$1, Income!$B:$B, IF($AU145&lt;&gt;"", TEXT($AU145, "MMMM"), ""), Income!$C:$C, YEAR($AU145))</f>
        <v>0</v>
      </c>
      <c r="AY145" s="469">
        <f>SUMIFS(Income!$G:$G,Income!$H:$H, AY$2,Income!$F:$F, $AT$1, Income!$B:$B, IF($AU145&lt;&gt;"", TEXT($AU145, "MMMM"), ""), Income!$C:$C, YEAR($AU145))</f>
        <v>0</v>
      </c>
      <c r="AZ145" s="464">
        <f>SUMIFS(Income!$G:$G,Income!$H:$H, AZ$2,Income!$F:$F, $AT$1, Income!$B:$B, IF($AU145&lt;&gt;"", TEXT($AU145, "MMMM"), ""), Income!$C:$C, YEAR($AU145))</f>
        <v>0</v>
      </c>
      <c r="BA145" s="471">
        <f>SUMIFS(Income!$G:$G,Income!$H:$H, BA$2,Income!$F:$F, $AT$1, Income!$B:$B, IF($AU145&lt;&gt;"", TEXT($AU145, "MMMM"), ""), Income!$C:$C, YEAR($AU145))</f>
        <v>0</v>
      </c>
      <c r="BB145" s="345"/>
      <c r="BC145" s="345"/>
      <c r="BD145" s="345"/>
      <c r="BE145" s="345"/>
    </row>
    <row r="146" ht="13.5" customHeight="1">
      <c r="A146" s="424">
        <f>'Membership Application List'!A375</f>
        <v>45533.65529</v>
      </c>
      <c r="B146" s="443" t="str">
        <f t="shared" si="6"/>
        <v>August</v>
      </c>
      <c r="C146" s="443">
        <f t="shared" si="7"/>
        <v>2024</v>
      </c>
      <c r="D146" s="426" t="str">
        <f>'Membership Application List'!E375</f>
        <v>Arman Rahimzadeh</v>
      </c>
      <c r="E146" s="426">
        <f>IF('Membership Application List'!J375 = "Food/Litter Donation", 0, IF('Membership Application List'!J375 = "$15 Donation, Discord Verification", IF('Membership Application List'!N375 = TRUE, 15, 0)))</f>
        <v>15</v>
      </c>
      <c r="F146" s="426">
        <f>if('Membership Application List'!K375=TRUE, 5,0)</f>
        <v>0</v>
      </c>
      <c r="G146" s="426">
        <f t="shared" si="8"/>
        <v>15</v>
      </c>
      <c r="H146" s="427" t="str">
        <f>'Membership Application List'!L375</f>
        <v>Venmo</v>
      </c>
      <c r="I146" s="428"/>
      <c r="J146" s="463">
        <v>48183.0</v>
      </c>
      <c r="K146" s="464">
        <f t="shared" ref="K146:O146" si="104">SUMIFS($G:$G, $H:$H, K$2, $B:$B, IF($J146&lt;&gt;"", TEXT($J146, "MMMM"), ""), $C:$C, YEAR($J146))</f>
        <v>0</v>
      </c>
      <c r="L146" s="464">
        <f t="shared" si="104"/>
        <v>0</v>
      </c>
      <c r="M146" s="464">
        <f t="shared" si="104"/>
        <v>0</v>
      </c>
      <c r="N146" s="464">
        <f t="shared" si="104"/>
        <v>0</v>
      </c>
      <c r="O146" s="465">
        <f t="shared" si="104"/>
        <v>0</v>
      </c>
      <c r="P146" s="414"/>
      <c r="Q146" s="414"/>
      <c r="R146" s="414"/>
      <c r="S146" s="445"/>
      <c r="T146" s="445"/>
      <c r="U146" s="445"/>
      <c r="V146" s="428"/>
      <c r="W146" s="463">
        <v>48183.0</v>
      </c>
      <c r="X146" s="469">
        <f>SUMIFS(Income!$G:$G,Income!$H:$H, X$2,Income!$F:$F, $V$1, Income!$B:$B, IF($W146&lt;&gt;"", TEXT($W146, "MMMM"), ""), Income!$C:$C, YEAR($W146))</f>
        <v>0</v>
      </c>
      <c r="Y146" s="469">
        <f>SUMIFS(Income!$G:$G,Income!$H:$H, Y$2,Income!$F:$F, $V$1, Income!$B:$B, IF($W146&lt;&gt;"", TEXT($W146, "MMMM"), ""), Income!$C:$C, YEAR($W146))</f>
        <v>0</v>
      </c>
      <c r="Z146" s="469">
        <f>SUMIFS(Income!$G:$G,Income!$H:$H, Z$2,Income!$F:$F, $V$1, Income!$B:$B, IF($W146&lt;&gt;"", TEXT($W146, "MMMM"), ""), Income!$C:$C, YEAR($W146))</f>
        <v>0</v>
      </c>
      <c r="AA146" s="469">
        <f>SUMIFS(Income!$G:$G,Income!$H:$H, AA$2,Income!$F:$F, $V$1, Income!$B:$B, IF($W146&lt;&gt;"", TEXT($W146, "MMMM"), ""), Income!$C:$C, YEAR($W146))</f>
        <v>0</v>
      </c>
      <c r="AB146" s="464">
        <f>SUMIFS(Income!$G:$G,Income!$H:$H, AB$2,Income!$F:$F, $V$1, Income!$B:$B, IF($W146&lt;&gt;"", TEXT($W146, "MMMM"), ""), Income!$C:$C, YEAR($W146))</f>
        <v>0</v>
      </c>
      <c r="AC146" s="470">
        <f>SUMIFS(Income!$G:$G,Income!$H:$H, AC$2,Income!$F:$F, $V$1, Income!$B:$B, IF($W146&lt;&gt;"", TEXT($W146, "MMMM"), ""), Income!$C:$C, YEAR($W146))</f>
        <v>0</v>
      </c>
      <c r="AD146" s="428"/>
      <c r="AE146" s="463">
        <v>48183.0</v>
      </c>
      <c r="AF146" s="469">
        <f>SUMIFS(Income!$G:$G,Income!$H:$H, AF$2,Income!$F:$F, $AD$1, Income!$B:$B, IF($AE146&lt;&gt;"", TEXT($AE146, "MMMM"), ""), Income!$C:$C, YEAR($AE146))</f>
        <v>0</v>
      </c>
      <c r="AG146" s="469">
        <f>SUMIFS(Income!$G:$G,Income!$H:$H, AG$2,Income!$F:$F, $AD$1, Income!$B:$B, IF($AE146&lt;&gt;"", TEXT($AE146, "MMMM"), ""), Income!$C:$C, YEAR($AE146))</f>
        <v>0</v>
      </c>
      <c r="AH146" s="469">
        <f>SUMIFS(Income!$G:$G,Income!$H:$H, AH$2,Income!$F:$F, $AD$1, Income!$B:$B, IF($AE146&lt;&gt;"", TEXT($AE146, "MMMM"), ""), Income!$C:$C, YEAR($AE146))</f>
        <v>0</v>
      </c>
      <c r="AI146" s="469">
        <f>SUMIFS(Income!$G:$G,Income!$H:$H, AI$2,Income!$F:$F, $AD$1, Income!$B:$B, IF($AE146&lt;&gt;"", TEXT($AE146, "MMMM"), ""), Income!$C:$C, YEAR($AE146))</f>
        <v>0</v>
      </c>
      <c r="AJ146" s="464">
        <f>SUMIFS(Income!$G:$G,Income!$H:$H, AJ$2,Income!$F:$F, $AD$1, Income!$B:$B, IF($AE146&lt;&gt;"", TEXT($AE146, "MMMM"), ""), Income!$C:$C, YEAR($AE146))</f>
        <v>0</v>
      </c>
      <c r="AK146" s="470">
        <f>SUMIFS(Income!$G:$G,Income!$H:$H, AK$2,Income!$F:$F, $AD$1, Income!$B:$B, IF($AE146&lt;&gt;"", TEXT($AE146, "MMMM"), ""), Income!$C:$C, YEAR($AE146))</f>
        <v>0</v>
      </c>
      <c r="AL146" s="428"/>
      <c r="AM146" s="463">
        <v>48183.0</v>
      </c>
      <c r="AN146" s="464">
        <f>SUMIFS(Income!$G:$G,Income!$H:$H, AN$2,Income!$F:$F, $AL$1, Income!$B:$B, IF($AM146&lt;&gt;"", TEXT($AM146, "MMMM"), ""), Income!$C:$C, YEAR($AM146))+SUMIFS($T:$T, $U:$U,AN$2,$Q:$Q,IF($AM146&lt;&gt;"", TEXT($AM146, "MMMM"), ""),$R:$R,YEAR($AM146))</f>
        <v>0</v>
      </c>
      <c r="AO146" s="464">
        <f>SUMIFS(Income!$G:$G,Income!$H:$H, AO$2,Income!$F:$F, $AL$1, Income!$B:$B, IF($AM146&lt;&gt;"", TEXT($AM146, "MMMM"), ""), Income!$C:$C, YEAR($AM146))+SUMIFS($T:$T, $U:$U,AO$2,$Q:$Q,IF($AM146&lt;&gt;"", TEXT($AM146, "MMMM"), ""),$R:$R,YEAR($AM146))</f>
        <v>0</v>
      </c>
      <c r="AP146" s="464">
        <f>SUMIFS(Income!$G:$G,Income!$H:$H, AP$2,Income!$F:$F, $AL$1, Income!$B:$B, IF($AM146&lt;&gt;"", TEXT($AM146, "MMMM"), ""), Income!$C:$C, YEAR($AM146))+SUMIFS($T:$T, $U:$U,AP$2,$Q:$Q,IF($AM146&lt;&gt;"", TEXT($AM146, "MMMM"), ""),$R:$R,YEAR($AM146))</f>
        <v>0</v>
      </c>
      <c r="AQ146" s="464">
        <f>SUMIFS(Income!$G:$G,Income!$H:$H, AQ$2,Income!$F:$F, $AL$1, Income!$B:$B, IF($AM146&lt;&gt;"", TEXT($AM146, "MMMM"), ""), Income!$C:$C, YEAR($AM146))+SUMIFS($T:$T, $U:$U,AQ$2,$Q:$Q,IF($AM146&lt;&gt;"", TEXT($AM146, "MMMM"), ""),$R:$R,YEAR($AM146))</f>
        <v>0</v>
      </c>
      <c r="AR146" s="464">
        <f>SUMIFS(Income!$G:$G,Income!$H:$H, AR$2,Income!$F:$F, $AL$1, Income!$B:$B, IF($AM146&lt;&gt;"", TEXT($AM146, "MMMM"), ""), Income!$C:$C, YEAR($AM146))+SUMIFS($T:$T, $U:$U,AR$2,$Q:$Q,IF($AM146&lt;&gt;"", TEXT($AM146, "MMMM"), ""),$R:$R,YEAR($AM146))</f>
        <v>0</v>
      </c>
      <c r="AS146" s="467">
        <f>SUMIFS(Income!$G:$G,Income!$H:$H, AS$2,Income!$F:$F, $AL$1, Income!$B:$B, IF($AM146&lt;&gt;"", TEXT($AM146, "MMMM"), ""), Income!$C:$C, YEAR($AM146))+SUMIFS($T:$T, $U:$U,AS$2,$Q:$Q,IF($AM146&lt;&gt;"", TEXT($AM146, "MMMM"), ""),$R:$R,YEAR($AM146))</f>
        <v>0</v>
      </c>
      <c r="AT146" s="428"/>
      <c r="AU146" s="463">
        <v>48183.0</v>
      </c>
      <c r="AV146" s="469">
        <f>SUMIFS(Income!$G:$G,Income!$H:$H, AV$2,Income!$F:$F, $AT$1, Income!$B:$B, IF($AU146&lt;&gt;"", TEXT($AU146, "MMMM"), ""), Income!$C:$C, YEAR($AU146))</f>
        <v>0</v>
      </c>
      <c r="AW146" s="469">
        <f>SUMIFS(Income!$G:$G,Income!$H:$H, AW$2,Income!$F:$F, $AT$1, Income!$B:$B, IF($AU146&lt;&gt;"", TEXT($AU146, "MMMM"), ""), Income!$C:$C, YEAR($AU146))</f>
        <v>0</v>
      </c>
      <c r="AX146" s="469">
        <f>SUMIFS(Income!$G:$G,Income!$H:$H, AX$2,Income!$F:$F, $AT$1, Income!$B:$B, IF($AU146&lt;&gt;"", TEXT($AU146, "MMMM"), ""), Income!$C:$C, YEAR($AU146))</f>
        <v>0</v>
      </c>
      <c r="AY146" s="469">
        <f>SUMIFS(Income!$G:$G,Income!$H:$H, AY$2,Income!$F:$F, $AT$1, Income!$B:$B, IF($AU146&lt;&gt;"", TEXT($AU146, "MMMM"), ""), Income!$C:$C, YEAR($AU146))</f>
        <v>0</v>
      </c>
      <c r="AZ146" s="464">
        <f>SUMIFS(Income!$G:$G,Income!$H:$H, AZ$2,Income!$F:$F, $AT$1, Income!$B:$B, IF($AU146&lt;&gt;"", TEXT($AU146, "MMMM"), ""), Income!$C:$C, YEAR($AU146))</f>
        <v>0</v>
      </c>
      <c r="BA146" s="471">
        <f>SUMIFS(Income!$G:$G,Income!$H:$H, BA$2,Income!$F:$F, $AT$1, Income!$B:$B, IF($AU146&lt;&gt;"", TEXT($AU146, "MMMM"), ""), Income!$C:$C, YEAR($AU146))</f>
        <v>0</v>
      </c>
      <c r="BB146" s="345"/>
      <c r="BC146" s="345"/>
      <c r="BD146" s="345"/>
      <c r="BE146" s="345"/>
    </row>
    <row r="147" ht="13.5" customHeight="1">
      <c r="A147" s="436">
        <f>'Membership Application List'!A376</f>
        <v>45533.76594</v>
      </c>
      <c r="B147" s="437" t="str">
        <f t="shared" si="6"/>
        <v>August</v>
      </c>
      <c r="C147" s="437">
        <f t="shared" si="7"/>
        <v>2024</v>
      </c>
      <c r="D147" s="438" t="str">
        <f>'Membership Application List'!E376</f>
        <v>Marco Alejandro Mendoza</v>
      </c>
      <c r="E147" s="438">
        <f>IF('Membership Application List'!J376 = "Food/Litter Donation", 0, IF('Membership Application List'!J376 = "$15 Donation, Discord Verification", IF('Membership Application List'!N376 = TRUE, 15, 0)))</f>
        <v>15</v>
      </c>
      <c r="F147" s="438">
        <f>if('Membership Application List'!K376=TRUE, 5,0)</f>
        <v>0</v>
      </c>
      <c r="G147" s="438">
        <f t="shared" si="8"/>
        <v>15</v>
      </c>
      <c r="H147" s="439" t="str">
        <f>'Membership Application List'!L376</f>
        <v>Paypal</v>
      </c>
      <c r="I147" s="407" t="s">
        <v>792</v>
      </c>
      <c r="J147" s="463">
        <v>48214.0</v>
      </c>
      <c r="K147" s="464">
        <f t="shared" ref="K147:O147" si="105">SUMIFS($G:$G, $H:$H, K$2, $B:$B, IF($J147&lt;&gt;"", TEXT($J147, "MMMM"), ""), $C:$C, YEAR($J147))</f>
        <v>0</v>
      </c>
      <c r="L147" s="464">
        <f t="shared" si="105"/>
        <v>0</v>
      </c>
      <c r="M147" s="464">
        <f t="shared" si="105"/>
        <v>0</v>
      </c>
      <c r="N147" s="464">
        <f t="shared" si="105"/>
        <v>0</v>
      </c>
      <c r="O147" s="465">
        <f t="shared" si="105"/>
        <v>0</v>
      </c>
      <c r="P147" s="414"/>
      <c r="Q147" s="414"/>
      <c r="R147" s="414"/>
      <c r="S147" s="445"/>
      <c r="T147" s="445"/>
      <c r="U147" s="445"/>
      <c r="V147" s="407" t="s">
        <v>792</v>
      </c>
      <c r="W147" s="463">
        <v>48214.0</v>
      </c>
      <c r="X147" s="469">
        <f>SUMIFS(Income!$G:$G,Income!$H:$H, X$2,Income!$F:$F, $V$1, Income!$B:$B, IF($W147&lt;&gt;"", TEXT($W147, "MMMM"), ""), Income!$C:$C, YEAR($W147))</f>
        <v>0</v>
      </c>
      <c r="Y147" s="469">
        <f>SUMIFS(Income!$G:$G,Income!$H:$H, Y$2,Income!$F:$F, $V$1, Income!$B:$B, IF($W147&lt;&gt;"", TEXT($W147, "MMMM"), ""), Income!$C:$C, YEAR($W147))</f>
        <v>0</v>
      </c>
      <c r="Z147" s="469">
        <f>SUMIFS(Income!$G:$G,Income!$H:$H, Z$2,Income!$F:$F, $V$1, Income!$B:$B, IF($W147&lt;&gt;"", TEXT($W147, "MMMM"), ""), Income!$C:$C, YEAR($W147))</f>
        <v>0</v>
      </c>
      <c r="AA147" s="469">
        <f>SUMIFS(Income!$G:$G,Income!$H:$H, AA$2,Income!$F:$F, $V$1, Income!$B:$B, IF($W147&lt;&gt;"", TEXT($W147, "MMMM"), ""), Income!$C:$C, YEAR($W147))</f>
        <v>0</v>
      </c>
      <c r="AB147" s="464">
        <f>SUMIFS(Income!$G:$G,Income!$H:$H, AB$2,Income!$F:$F, $V$1, Income!$B:$B, IF($W147&lt;&gt;"", TEXT($W147, "MMMM"), ""), Income!$C:$C, YEAR($W147))</f>
        <v>0</v>
      </c>
      <c r="AC147" s="470">
        <f>SUMIFS(Income!$G:$G,Income!$H:$H, AC$2,Income!$F:$F, $V$1, Income!$B:$B, IF($W147&lt;&gt;"", TEXT($W147, "MMMM"), ""), Income!$C:$C, YEAR($W147))</f>
        <v>0</v>
      </c>
      <c r="AD147" s="407" t="s">
        <v>792</v>
      </c>
      <c r="AE147" s="463">
        <v>48214.0</v>
      </c>
      <c r="AF147" s="469">
        <f>SUMIFS(Income!$G:$G,Income!$H:$H, AF$2,Income!$F:$F, $AD$1, Income!$B:$B, IF($AE147&lt;&gt;"", TEXT($AE147, "MMMM"), ""), Income!$C:$C, YEAR($AE147))</f>
        <v>0</v>
      </c>
      <c r="AG147" s="469">
        <f>SUMIFS(Income!$G:$G,Income!$H:$H, AG$2,Income!$F:$F, $AD$1, Income!$B:$B, IF($AE147&lt;&gt;"", TEXT($AE147, "MMMM"), ""), Income!$C:$C, YEAR($AE147))</f>
        <v>0</v>
      </c>
      <c r="AH147" s="469">
        <f>SUMIFS(Income!$G:$G,Income!$H:$H, AH$2,Income!$F:$F, $AD$1, Income!$B:$B, IF($AE147&lt;&gt;"", TEXT($AE147, "MMMM"), ""), Income!$C:$C, YEAR($AE147))</f>
        <v>0</v>
      </c>
      <c r="AI147" s="469">
        <f>SUMIFS(Income!$G:$G,Income!$H:$H, AI$2,Income!$F:$F, $AD$1, Income!$B:$B, IF($AE147&lt;&gt;"", TEXT($AE147, "MMMM"), ""), Income!$C:$C, YEAR($AE147))</f>
        <v>0</v>
      </c>
      <c r="AJ147" s="464">
        <f>SUMIFS(Income!$G:$G,Income!$H:$H, AJ$2,Income!$F:$F, $AD$1, Income!$B:$B, IF($AE147&lt;&gt;"", TEXT($AE147, "MMMM"), ""), Income!$C:$C, YEAR($AE147))</f>
        <v>0</v>
      </c>
      <c r="AK147" s="470">
        <f>SUMIFS(Income!$G:$G,Income!$H:$H, AK$2,Income!$F:$F, $AD$1, Income!$B:$B, IF($AE147&lt;&gt;"", TEXT($AE147, "MMMM"), ""), Income!$C:$C, YEAR($AE147))</f>
        <v>0</v>
      </c>
      <c r="AL147" s="407" t="s">
        <v>792</v>
      </c>
      <c r="AM147" s="463">
        <v>48214.0</v>
      </c>
      <c r="AN147" s="464">
        <f>SUMIFS(Income!$G:$G,Income!$H:$H, AN$2,Income!$F:$F, $AL$1, Income!$B:$B, IF($AM147&lt;&gt;"", TEXT($AM147, "MMMM"), ""), Income!$C:$C, YEAR($AM147))+SUMIFS($T:$T, $U:$U,AN$2,$Q:$Q,IF($AM147&lt;&gt;"", TEXT($AM147, "MMMM"), ""),$R:$R,YEAR($AM147))</f>
        <v>0</v>
      </c>
      <c r="AO147" s="464">
        <f>SUMIFS(Income!$G:$G,Income!$H:$H, AO$2,Income!$F:$F, $AL$1, Income!$B:$B, IF($AM147&lt;&gt;"", TEXT($AM147, "MMMM"), ""), Income!$C:$C, YEAR($AM147))+SUMIFS($T:$T, $U:$U,AO$2,$Q:$Q,IF($AM147&lt;&gt;"", TEXT($AM147, "MMMM"), ""),$R:$R,YEAR($AM147))</f>
        <v>0</v>
      </c>
      <c r="AP147" s="464">
        <f>SUMIFS(Income!$G:$G,Income!$H:$H, AP$2,Income!$F:$F, $AL$1, Income!$B:$B, IF($AM147&lt;&gt;"", TEXT($AM147, "MMMM"), ""), Income!$C:$C, YEAR($AM147))+SUMIFS($T:$T, $U:$U,AP$2,$Q:$Q,IF($AM147&lt;&gt;"", TEXT($AM147, "MMMM"), ""),$R:$R,YEAR($AM147))</f>
        <v>0</v>
      </c>
      <c r="AQ147" s="464">
        <f>SUMIFS(Income!$G:$G,Income!$H:$H, AQ$2,Income!$F:$F, $AL$1, Income!$B:$B, IF($AM147&lt;&gt;"", TEXT($AM147, "MMMM"), ""), Income!$C:$C, YEAR($AM147))+SUMIFS($T:$T, $U:$U,AQ$2,$Q:$Q,IF($AM147&lt;&gt;"", TEXT($AM147, "MMMM"), ""),$R:$R,YEAR($AM147))</f>
        <v>0</v>
      </c>
      <c r="AR147" s="464">
        <f>SUMIFS(Income!$G:$G,Income!$H:$H, AR$2,Income!$F:$F, $AL$1, Income!$B:$B, IF($AM147&lt;&gt;"", TEXT($AM147, "MMMM"), ""), Income!$C:$C, YEAR($AM147))+SUMIFS($T:$T, $U:$U,AR$2,$Q:$Q,IF($AM147&lt;&gt;"", TEXT($AM147, "MMMM"), ""),$R:$R,YEAR($AM147))</f>
        <v>0</v>
      </c>
      <c r="AS147" s="467">
        <f>SUMIFS(Income!$G:$G,Income!$H:$H, AS$2,Income!$F:$F, $AL$1, Income!$B:$B, IF($AM147&lt;&gt;"", TEXT($AM147, "MMMM"), ""), Income!$C:$C, YEAR($AM147))+SUMIFS($T:$T, $U:$U,AS$2,$Q:$Q,IF($AM147&lt;&gt;"", TEXT($AM147, "MMMM"), ""),$R:$R,YEAR($AM147))</f>
        <v>0</v>
      </c>
      <c r="AT147" s="407" t="s">
        <v>792</v>
      </c>
      <c r="AU147" s="463">
        <v>48214.0</v>
      </c>
      <c r="AV147" s="469">
        <f>SUMIFS(Income!$G:$G,Income!$H:$H, AV$2,Income!$F:$F, $AT$1, Income!$B:$B, IF($AU147&lt;&gt;"", TEXT($AU147, "MMMM"), ""), Income!$C:$C, YEAR($AU147))</f>
        <v>0</v>
      </c>
      <c r="AW147" s="469">
        <f>SUMIFS(Income!$G:$G,Income!$H:$H, AW$2,Income!$F:$F, $AT$1, Income!$B:$B, IF($AU147&lt;&gt;"", TEXT($AU147, "MMMM"), ""), Income!$C:$C, YEAR($AU147))</f>
        <v>0</v>
      </c>
      <c r="AX147" s="469">
        <f>SUMIFS(Income!$G:$G,Income!$H:$H, AX$2,Income!$F:$F, $AT$1, Income!$B:$B, IF($AU147&lt;&gt;"", TEXT($AU147, "MMMM"), ""), Income!$C:$C, YEAR($AU147))</f>
        <v>0</v>
      </c>
      <c r="AY147" s="469">
        <f>SUMIFS(Income!$G:$G,Income!$H:$H, AY$2,Income!$F:$F, $AT$1, Income!$B:$B, IF($AU147&lt;&gt;"", TEXT($AU147, "MMMM"), ""), Income!$C:$C, YEAR($AU147))</f>
        <v>0</v>
      </c>
      <c r="AZ147" s="464">
        <f>SUMIFS(Income!$G:$G,Income!$H:$H, AZ$2,Income!$F:$F, $AT$1, Income!$B:$B, IF($AU147&lt;&gt;"", TEXT($AU147, "MMMM"), ""), Income!$C:$C, YEAR($AU147))</f>
        <v>0</v>
      </c>
      <c r="BA147" s="471">
        <f>SUMIFS(Income!$G:$G,Income!$H:$H, BA$2,Income!$F:$F, $AT$1, Income!$B:$B, IF($AU147&lt;&gt;"", TEXT($AU147, "MMMM"), ""), Income!$C:$C, YEAR($AU147))</f>
        <v>0</v>
      </c>
      <c r="BB147" s="345"/>
      <c r="BC147" s="345"/>
      <c r="BD147" s="345"/>
      <c r="BE147" s="345"/>
    </row>
    <row r="148" ht="13.5" customHeight="1">
      <c r="A148" s="424">
        <f>'Membership Application List'!A377</f>
        <v>45533.8459</v>
      </c>
      <c r="B148" s="443" t="str">
        <f t="shared" si="6"/>
        <v>August</v>
      </c>
      <c r="C148" s="443">
        <f t="shared" si="7"/>
        <v>2024</v>
      </c>
      <c r="D148" s="426" t="str">
        <f>'Membership Application List'!E377</f>
        <v>Johana Laird</v>
      </c>
      <c r="E148" s="426">
        <f>IF('Membership Application List'!J377 = "Food/Litter Donation", 0, IF('Membership Application List'!J377 = "$15 Donation, Discord Verification", IF('Membership Application List'!N377 = TRUE, 15, 0)))</f>
        <v>0</v>
      </c>
      <c r="F148" s="426">
        <f>if('Membership Application List'!K377=TRUE, 5,0)</f>
        <v>0</v>
      </c>
      <c r="G148" s="426">
        <f t="shared" si="8"/>
        <v>0</v>
      </c>
      <c r="H148" s="427" t="str">
        <f>'Membership Application List'!L377</f>
        <v/>
      </c>
      <c r="I148" s="428"/>
      <c r="J148" s="463">
        <v>48245.0</v>
      </c>
      <c r="K148" s="464">
        <f t="shared" ref="K148:O148" si="106">SUMIFS($G:$G, $H:$H, K$2, $B:$B, IF($J148&lt;&gt;"", TEXT($J148, "MMMM"), ""), $C:$C, YEAR($J148))</f>
        <v>0</v>
      </c>
      <c r="L148" s="464">
        <f t="shared" si="106"/>
        <v>0</v>
      </c>
      <c r="M148" s="464">
        <f t="shared" si="106"/>
        <v>0</v>
      </c>
      <c r="N148" s="464">
        <f t="shared" si="106"/>
        <v>0</v>
      </c>
      <c r="O148" s="465">
        <f t="shared" si="106"/>
        <v>0</v>
      </c>
      <c r="P148" s="414"/>
      <c r="Q148" s="414"/>
      <c r="R148" s="414"/>
      <c r="S148" s="445"/>
      <c r="T148" s="445"/>
      <c r="U148" s="445"/>
      <c r="V148" s="428"/>
      <c r="W148" s="463">
        <v>48245.0</v>
      </c>
      <c r="X148" s="469">
        <f>SUMIFS(Income!$G:$G,Income!$H:$H, X$2,Income!$F:$F, $V$1, Income!$B:$B, IF($W148&lt;&gt;"", TEXT($W148, "MMMM"), ""), Income!$C:$C, YEAR($W148))</f>
        <v>0</v>
      </c>
      <c r="Y148" s="469">
        <f>SUMIFS(Income!$G:$G,Income!$H:$H, Y$2,Income!$F:$F, $V$1, Income!$B:$B, IF($W148&lt;&gt;"", TEXT($W148, "MMMM"), ""), Income!$C:$C, YEAR($W148))</f>
        <v>0</v>
      </c>
      <c r="Z148" s="469">
        <f>SUMIFS(Income!$G:$G,Income!$H:$H, Z$2,Income!$F:$F, $V$1, Income!$B:$B, IF($W148&lt;&gt;"", TEXT($W148, "MMMM"), ""), Income!$C:$C, YEAR($W148))</f>
        <v>0</v>
      </c>
      <c r="AA148" s="469">
        <f>SUMIFS(Income!$G:$G,Income!$H:$H, AA$2,Income!$F:$F, $V$1, Income!$B:$B, IF($W148&lt;&gt;"", TEXT($W148, "MMMM"), ""), Income!$C:$C, YEAR($W148))</f>
        <v>0</v>
      </c>
      <c r="AB148" s="464">
        <f>SUMIFS(Income!$G:$G,Income!$H:$H, AB$2,Income!$F:$F, $V$1, Income!$B:$B, IF($W148&lt;&gt;"", TEXT($W148, "MMMM"), ""), Income!$C:$C, YEAR($W148))</f>
        <v>0</v>
      </c>
      <c r="AC148" s="470">
        <f>SUMIFS(Income!$G:$G,Income!$H:$H, AC$2,Income!$F:$F, $V$1, Income!$B:$B, IF($W148&lt;&gt;"", TEXT($W148, "MMMM"), ""), Income!$C:$C, YEAR($W148))</f>
        <v>0</v>
      </c>
      <c r="AD148" s="428"/>
      <c r="AE148" s="463">
        <v>48245.0</v>
      </c>
      <c r="AF148" s="469">
        <f>SUMIFS(Income!$G:$G,Income!$H:$H, AF$2,Income!$F:$F, $AD$1, Income!$B:$B, IF($AE148&lt;&gt;"", TEXT($AE148, "MMMM"), ""), Income!$C:$C, YEAR($AE148))</f>
        <v>0</v>
      </c>
      <c r="AG148" s="469">
        <f>SUMIFS(Income!$G:$G,Income!$H:$H, AG$2,Income!$F:$F, $AD$1, Income!$B:$B, IF($AE148&lt;&gt;"", TEXT($AE148, "MMMM"), ""), Income!$C:$C, YEAR($AE148))</f>
        <v>0</v>
      </c>
      <c r="AH148" s="469">
        <f>SUMIFS(Income!$G:$G,Income!$H:$H, AH$2,Income!$F:$F, $AD$1, Income!$B:$B, IF($AE148&lt;&gt;"", TEXT($AE148, "MMMM"), ""), Income!$C:$C, YEAR($AE148))</f>
        <v>0</v>
      </c>
      <c r="AI148" s="469">
        <f>SUMIFS(Income!$G:$G,Income!$H:$H, AI$2,Income!$F:$F, $AD$1, Income!$B:$B, IF($AE148&lt;&gt;"", TEXT($AE148, "MMMM"), ""), Income!$C:$C, YEAR($AE148))</f>
        <v>0</v>
      </c>
      <c r="AJ148" s="464">
        <f>SUMIFS(Income!$G:$G,Income!$H:$H, AJ$2,Income!$F:$F, $AD$1, Income!$B:$B, IF($AE148&lt;&gt;"", TEXT($AE148, "MMMM"), ""), Income!$C:$C, YEAR($AE148))</f>
        <v>0</v>
      </c>
      <c r="AK148" s="470">
        <f>SUMIFS(Income!$G:$G,Income!$H:$H, AK$2,Income!$F:$F, $AD$1, Income!$B:$B, IF($AE148&lt;&gt;"", TEXT($AE148, "MMMM"), ""), Income!$C:$C, YEAR($AE148))</f>
        <v>0</v>
      </c>
      <c r="AL148" s="428"/>
      <c r="AM148" s="463">
        <v>48245.0</v>
      </c>
      <c r="AN148" s="464">
        <f>SUMIFS(Income!$G:$G,Income!$H:$H, AN$2,Income!$F:$F, $AL$1, Income!$B:$B, IF($AM148&lt;&gt;"", TEXT($AM148, "MMMM"), ""), Income!$C:$C, YEAR($AM148))+SUMIFS($T:$T, $U:$U,AN$2,$Q:$Q,IF($AM148&lt;&gt;"", TEXT($AM148, "MMMM"), ""),$R:$R,YEAR($AM148))</f>
        <v>0</v>
      </c>
      <c r="AO148" s="464">
        <f>SUMIFS(Income!$G:$G,Income!$H:$H, AO$2,Income!$F:$F, $AL$1, Income!$B:$B, IF($AM148&lt;&gt;"", TEXT($AM148, "MMMM"), ""), Income!$C:$C, YEAR($AM148))+SUMIFS($T:$T, $U:$U,AO$2,$Q:$Q,IF($AM148&lt;&gt;"", TEXT($AM148, "MMMM"), ""),$R:$R,YEAR($AM148))</f>
        <v>0</v>
      </c>
      <c r="AP148" s="464">
        <f>SUMIFS(Income!$G:$G,Income!$H:$H, AP$2,Income!$F:$F, $AL$1, Income!$B:$B, IF($AM148&lt;&gt;"", TEXT($AM148, "MMMM"), ""), Income!$C:$C, YEAR($AM148))+SUMIFS($T:$T, $U:$U,AP$2,$Q:$Q,IF($AM148&lt;&gt;"", TEXT($AM148, "MMMM"), ""),$R:$R,YEAR($AM148))</f>
        <v>0</v>
      </c>
      <c r="AQ148" s="464">
        <f>SUMIFS(Income!$G:$G,Income!$H:$H, AQ$2,Income!$F:$F, $AL$1, Income!$B:$B, IF($AM148&lt;&gt;"", TEXT($AM148, "MMMM"), ""), Income!$C:$C, YEAR($AM148))+SUMIFS($T:$T, $U:$U,AQ$2,$Q:$Q,IF($AM148&lt;&gt;"", TEXT($AM148, "MMMM"), ""),$R:$R,YEAR($AM148))</f>
        <v>0</v>
      </c>
      <c r="AR148" s="464">
        <f>SUMIFS(Income!$G:$G,Income!$H:$H, AR$2,Income!$F:$F, $AL$1, Income!$B:$B, IF($AM148&lt;&gt;"", TEXT($AM148, "MMMM"), ""), Income!$C:$C, YEAR($AM148))+SUMIFS($T:$T, $U:$U,AR$2,$Q:$Q,IF($AM148&lt;&gt;"", TEXT($AM148, "MMMM"), ""),$R:$R,YEAR($AM148))</f>
        <v>0</v>
      </c>
      <c r="AS148" s="467">
        <f>SUMIFS(Income!$G:$G,Income!$H:$H, AS$2,Income!$F:$F, $AL$1, Income!$B:$B, IF($AM148&lt;&gt;"", TEXT($AM148, "MMMM"), ""), Income!$C:$C, YEAR($AM148))+SUMIFS($T:$T, $U:$U,AS$2,$Q:$Q,IF($AM148&lt;&gt;"", TEXT($AM148, "MMMM"), ""),$R:$R,YEAR($AM148))</f>
        <v>0</v>
      </c>
      <c r="AT148" s="428"/>
      <c r="AU148" s="463">
        <v>48245.0</v>
      </c>
      <c r="AV148" s="469">
        <f>SUMIFS(Income!$G:$G,Income!$H:$H, AV$2,Income!$F:$F, $AT$1, Income!$B:$B, IF($AU148&lt;&gt;"", TEXT($AU148, "MMMM"), ""), Income!$C:$C, YEAR($AU148))</f>
        <v>0</v>
      </c>
      <c r="AW148" s="469">
        <f>SUMIFS(Income!$G:$G,Income!$H:$H, AW$2,Income!$F:$F, $AT$1, Income!$B:$B, IF($AU148&lt;&gt;"", TEXT($AU148, "MMMM"), ""), Income!$C:$C, YEAR($AU148))</f>
        <v>0</v>
      </c>
      <c r="AX148" s="469">
        <f>SUMIFS(Income!$G:$G,Income!$H:$H, AX$2,Income!$F:$F, $AT$1, Income!$B:$B, IF($AU148&lt;&gt;"", TEXT($AU148, "MMMM"), ""), Income!$C:$C, YEAR($AU148))</f>
        <v>0</v>
      </c>
      <c r="AY148" s="469">
        <f>SUMIFS(Income!$G:$G,Income!$H:$H, AY$2,Income!$F:$F, $AT$1, Income!$B:$B, IF($AU148&lt;&gt;"", TEXT($AU148, "MMMM"), ""), Income!$C:$C, YEAR($AU148))</f>
        <v>0</v>
      </c>
      <c r="AZ148" s="464">
        <f>SUMIFS(Income!$G:$G,Income!$H:$H, AZ$2,Income!$F:$F, $AT$1, Income!$B:$B, IF($AU148&lt;&gt;"", TEXT($AU148, "MMMM"), ""), Income!$C:$C, YEAR($AU148))</f>
        <v>0</v>
      </c>
      <c r="BA148" s="471">
        <f>SUMIFS(Income!$G:$G,Income!$H:$H, BA$2,Income!$F:$F, $AT$1, Income!$B:$B, IF($AU148&lt;&gt;"", TEXT($AU148, "MMMM"), ""), Income!$C:$C, YEAR($AU148))</f>
        <v>0</v>
      </c>
      <c r="BB148" s="345"/>
      <c r="BC148" s="345"/>
      <c r="BD148" s="345"/>
      <c r="BE148" s="345"/>
    </row>
    <row r="149" ht="13.5" customHeight="1">
      <c r="A149" s="436">
        <f>'Membership Application List'!A378</f>
        <v>45533.87759</v>
      </c>
      <c r="B149" s="437" t="str">
        <f t="shared" si="6"/>
        <v>August</v>
      </c>
      <c r="C149" s="437">
        <f t="shared" si="7"/>
        <v>2024</v>
      </c>
      <c r="D149" s="438" t="str">
        <f>'Membership Application List'!E378</f>
        <v>Alexander Cusano </v>
      </c>
      <c r="E149" s="438">
        <f>IF('Membership Application List'!J378 = "Food/Litter Donation", 0, IF('Membership Application List'!J378 = "$15 Donation, Discord Verification", IF('Membership Application List'!N378 = TRUE, 15, 0)))</f>
        <v>15</v>
      </c>
      <c r="F149" s="438">
        <f>if('Membership Application List'!K378=TRUE, 5,0)</f>
        <v>0</v>
      </c>
      <c r="G149" s="438">
        <f t="shared" si="8"/>
        <v>15</v>
      </c>
      <c r="H149" s="439" t="str">
        <f>'Membership Application List'!L378</f>
        <v>Paypal</v>
      </c>
      <c r="I149" s="428"/>
      <c r="J149" s="463">
        <v>48274.0</v>
      </c>
      <c r="K149" s="464">
        <f t="shared" ref="K149:O149" si="107">SUMIFS($G:$G, $H:$H, K$2, $B:$B, IF($J149&lt;&gt;"", TEXT($J149, "MMMM"), ""), $C:$C, YEAR($J149))</f>
        <v>0</v>
      </c>
      <c r="L149" s="464">
        <f t="shared" si="107"/>
        <v>0</v>
      </c>
      <c r="M149" s="464">
        <f t="shared" si="107"/>
        <v>0</v>
      </c>
      <c r="N149" s="464">
        <f t="shared" si="107"/>
        <v>0</v>
      </c>
      <c r="O149" s="465">
        <f t="shared" si="107"/>
        <v>0</v>
      </c>
      <c r="P149" s="414"/>
      <c r="Q149" s="414"/>
      <c r="R149" s="414"/>
      <c r="S149" s="445"/>
      <c r="T149" s="445"/>
      <c r="U149" s="445"/>
      <c r="V149" s="428"/>
      <c r="W149" s="463">
        <v>48274.0</v>
      </c>
      <c r="X149" s="469">
        <f>SUMIFS(Income!$G:$G,Income!$H:$H, X$2,Income!$F:$F, $V$1, Income!$B:$B, IF($W149&lt;&gt;"", TEXT($W149, "MMMM"), ""), Income!$C:$C, YEAR($W149))</f>
        <v>0</v>
      </c>
      <c r="Y149" s="469">
        <f>SUMIFS(Income!$G:$G,Income!$H:$H, Y$2,Income!$F:$F, $V$1, Income!$B:$B, IF($W149&lt;&gt;"", TEXT($W149, "MMMM"), ""), Income!$C:$C, YEAR($W149))</f>
        <v>0</v>
      </c>
      <c r="Z149" s="469">
        <f>SUMIFS(Income!$G:$G,Income!$H:$H, Z$2,Income!$F:$F, $V$1, Income!$B:$B, IF($W149&lt;&gt;"", TEXT($W149, "MMMM"), ""), Income!$C:$C, YEAR($W149))</f>
        <v>0</v>
      </c>
      <c r="AA149" s="469">
        <f>SUMIFS(Income!$G:$G,Income!$H:$H, AA$2,Income!$F:$F, $V$1, Income!$B:$B, IF($W149&lt;&gt;"", TEXT($W149, "MMMM"), ""), Income!$C:$C, YEAR($W149))</f>
        <v>0</v>
      </c>
      <c r="AB149" s="464">
        <f>SUMIFS(Income!$G:$G,Income!$H:$H, AB$2,Income!$F:$F, $V$1, Income!$B:$B, IF($W149&lt;&gt;"", TEXT($W149, "MMMM"), ""), Income!$C:$C, YEAR($W149))</f>
        <v>0</v>
      </c>
      <c r="AC149" s="470">
        <f>SUMIFS(Income!$G:$G,Income!$H:$H, AC$2,Income!$F:$F, $V$1, Income!$B:$B, IF($W149&lt;&gt;"", TEXT($W149, "MMMM"), ""), Income!$C:$C, YEAR($W149))</f>
        <v>0</v>
      </c>
      <c r="AD149" s="428"/>
      <c r="AE149" s="463">
        <v>48274.0</v>
      </c>
      <c r="AF149" s="469">
        <f>SUMIFS(Income!$G:$G,Income!$H:$H, AF$2,Income!$F:$F, $AD$1, Income!$B:$B, IF($AE149&lt;&gt;"", TEXT($AE149, "MMMM"), ""), Income!$C:$C, YEAR($AE149))</f>
        <v>0</v>
      </c>
      <c r="AG149" s="469">
        <f>SUMIFS(Income!$G:$G,Income!$H:$H, AG$2,Income!$F:$F, $AD$1, Income!$B:$B, IF($AE149&lt;&gt;"", TEXT($AE149, "MMMM"), ""), Income!$C:$C, YEAR($AE149))</f>
        <v>0</v>
      </c>
      <c r="AH149" s="469">
        <f>SUMIFS(Income!$G:$G,Income!$H:$H, AH$2,Income!$F:$F, $AD$1, Income!$B:$B, IF($AE149&lt;&gt;"", TEXT($AE149, "MMMM"), ""), Income!$C:$C, YEAR($AE149))</f>
        <v>0</v>
      </c>
      <c r="AI149" s="469">
        <f>SUMIFS(Income!$G:$G,Income!$H:$H, AI$2,Income!$F:$F, $AD$1, Income!$B:$B, IF($AE149&lt;&gt;"", TEXT($AE149, "MMMM"), ""), Income!$C:$C, YEAR($AE149))</f>
        <v>0</v>
      </c>
      <c r="AJ149" s="464">
        <f>SUMIFS(Income!$G:$G,Income!$H:$H, AJ$2,Income!$F:$F, $AD$1, Income!$B:$B, IF($AE149&lt;&gt;"", TEXT($AE149, "MMMM"), ""), Income!$C:$C, YEAR($AE149))</f>
        <v>0</v>
      </c>
      <c r="AK149" s="470">
        <f>SUMIFS(Income!$G:$G,Income!$H:$H, AK$2,Income!$F:$F, $AD$1, Income!$B:$B, IF($AE149&lt;&gt;"", TEXT($AE149, "MMMM"), ""), Income!$C:$C, YEAR($AE149))</f>
        <v>0</v>
      </c>
      <c r="AL149" s="428"/>
      <c r="AM149" s="463">
        <v>48274.0</v>
      </c>
      <c r="AN149" s="464">
        <f>SUMIFS(Income!$G:$G,Income!$H:$H, AN$2,Income!$F:$F, $AL$1, Income!$B:$B, IF($AM149&lt;&gt;"", TEXT($AM149, "MMMM"), ""), Income!$C:$C, YEAR($AM149))+SUMIFS($T:$T, $U:$U,AN$2,$Q:$Q,IF($AM149&lt;&gt;"", TEXT($AM149, "MMMM"), ""),$R:$R,YEAR($AM149))</f>
        <v>0</v>
      </c>
      <c r="AO149" s="464">
        <f>SUMIFS(Income!$G:$G,Income!$H:$H, AO$2,Income!$F:$F, $AL$1, Income!$B:$B, IF($AM149&lt;&gt;"", TEXT($AM149, "MMMM"), ""), Income!$C:$C, YEAR($AM149))+SUMIFS($T:$T, $U:$U,AO$2,$Q:$Q,IF($AM149&lt;&gt;"", TEXT($AM149, "MMMM"), ""),$R:$R,YEAR($AM149))</f>
        <v>0</v>
      </c>
      <c r="AP149" s="464">
        <f>SUMIFS(Income!$G:$G,Income!$H:$H, AP$2,Income!$F:$F, $AL$1, Income!$B:$B, IF($AM149&lt;&gt;"", TEXT($AM149, "MMMM"), ""), Income!$C:$C, YEAR($AM149))+SUMIFS($T:$T, $U:$U,AP$2,$Q:$Q,IF($AM149&lt;&gt;"", TEXT($AM149, "MMMM"), ""),$R:$R,YEAR($AM149))</f>
        <v>0</v>
      </c>
      <c r="AQ149" s="464">
        <f>SUMIFS(Income!$G:$G,Income!$H:$H, AQ$2,Income!$F:$F, $AL$1, Income!$B:$B, IF($AM149&lt;&gt;"", TEXT($AM149, "MMMM"), ""), Income!$C:$C, YEAR($AM149))+SUMIFS($T:$T, $U:$U,AQ$2,$Q:$Q,IF($AM149&lt;&gt;"", TEXT($AM149, "MMMM"), ""),$R:$R,YEAR($AM149))</f>
        <v>0</v>
      </c>
      <c r="AR149" s="464">
        <f>SUMIFS(Income!$G:$G,Income!$H:$H, AR$2,Income!$F:$F, $AL$1, Income!$B:$B, IF($AM149&lt;&gt;"", TEXT($AM149, "MMMM"), ""), Income!$C:$C, YEAR($AM149))+SUMIFS($T:$T, $U:$U,AR$2,$Q:$Q,IF($AM149&lt;&gt;"", TEXT($AM149, "MMMM"), ""),$R:$R,YEAR($AM149))</f>
        <v>0</v>
      </c>
      <c r="AS149" s="467">
        <f>SUMIFS(Income!$G:$G,Income!$H:$H, AS$2,Income!$F:$F, $AL$1, Income!$B:$B, IF($AM149&lt;&gt;"", TEXT($AM149, "MMMM"), ""), Income!$C:$C, YEAR($AM149))+SUMIFS($T:$T, $U:$U,AS$2,$Q:$Q,IF($AM149&lt;&gt;"", TEXT($AM149, "MMMM"), ""),$R:$R,YEAR($AM149))</f>
        <v>0</v>
      </c>
      <c r="AT149" s="428"/>
      <c r="AU149" s="463">
        <v>48274.0</v>
      </c>
      <c r="AV149" s="469">
        <f>SUMIFS(Income!$G:$G,Income!$H:$H, AV$2,Income!$F:$F, $AT$1, Income!$B:$B, IF($AU149&lt;&gt;"", TEXT($AU149, "MMMM"), ""), Income!$C:$C, YEAR($AU149))</f>
        <v>0</v>
      </c>
      <c r="AW149" s="469">
        <f>SUMIFS(Income!$G:$G,Income!$H:$H, AW$2,Income!$F:$F, $AT$1, Income!$B:$B, IF($AU149&lt;&gt;"", TEXT($AU149, "MMMM"), ""), Income!$C:$C, YEAR($AU149))</f>
        <v>0</v>
      </c>
      <c r="AX149" s="469">
        <f>SUMIFS(Income!$G:$G,Income!$H:$H, AX$2,Income!$F:$F, $AT$1, Income!$B:$B, IF($AU149&lt;&gt;"", TEXT($AU149, "MMMM"), ""), Income!$C:$C, YEAR($AU149))</f>
        <v>0</v>
      </c>
      <c r="AY149" s="469">
        <f>SUMIFS(Income!$G:$G,Income!$H:$H, AY$2,Income!$F:$F, $AT$1, Income!$B:$B, IF($AU149&lt;&gt;"", TEXT($AU149, "MMMM"), ""), Income!$C:$C, YEAR($AU149))</f>
        <v>0</v>
      </c>
      <c r="AZ149" s="464">
        <f>SUMIFS(Income!$G:$G,Income!$H:$H, AZ$2,Income!$F:$F, $AT$1, Income!$B:$B, IF($AU149&lt;&gt;"", TEXT($AU149, "MMMM"), ""), Income!$C:$C, YEAR($AU149))</f>
        <v>0</v>
      </c>
      <c r="BA149" s="471">
        <f>SUMIFS(Income!$G:$G,Income!$H:$H, BA$2,Income!$F:$F, $AT$1, Income!$B:$B, IF($AU149&lt;&gt;"", TEXT($AU149, "MMMM"), ""), Income!$C:$C, YEAR($AU149))</f>
        <v>0</v>
      </c>
      <c r="BB149" s="345"/>
      <c r="BC149" s="345"/>
      <c r="BD149" s="345"/>
      <c r="BE149" s="345"/>
    </row>
    <row r="150" ht="13.5" customHeight="1">
      <c r="A150" s="424">
        <f>'Membership Application List'!A379</f>
        <v>45534.67116</v>
      </c>
      <c r="B150" s="443" t="str">
        <f t="shared" si="6"/>
        <v>August</v>
      </c>
      <c r="C150" s="443">
        <f t="shared" si="7"/>
        <v>2024</v>
      </c>
      <c r="D150" s="426" t="str">
        <f>'Membership Application List'!E379</f>
        <v>Vithin Reddy Sandadi</v>
      </c>
      <c r="E150" s="426">
        <f>IF('Membership Application List'!J379 = "Food/Litter Donation", 0, IF('Membership Application List'!J379 = "$15 Donation, Discord Verification", IF('Membership Application List'!N379 = TRUE, 15, 0)))</f>
        <v>0</v>
      </c>
      <c r="F150" s="426">
        <f>if('Membership Application List'!K379=TRUE, 5,0)</f>
        <v>0</v>
      </c>
      <c r="G150" s="426">
        <f t="shared" si="8"/>
        <v>0</v>
      </c>
      <c r="H150" s="427" t="str">
        <f>'Membership Application List'!L379</f>
        <v>Cash</v>
      </c>
      <c r="I150" s="428"/>
      <c r="J150" s="463">
        <v>48305.0</v>
      </c>
      <c r="K150" s="464">
        <f t="shared" ref="K150:O150" si="108">SUMIFS($G:$G, $H:$H, K$2, $B:$B, IF($J150&lt;&gt;"", TEXT($J150, "MMMM"), ""), $C:$C, YEAR($J150))</f>
        <v>0</v>
      </c>
      <c r="L150" s="464">
        <f t="shared" si="108"/>
        <v>0</v>
      </c>
      <c r="M150" s="464">
        <f t="shared" si="108"/>
        <v>0</v>
      </c>
      <c r="N150" s="464">
        <f t="shared" si="108"/>
        <v>0</v>
      </c>
      <c r="O150" s="465">
        <f t="shared" si="108"/>
        <v>0</v>
      </c>
      <c r="P150" s="414"/>
      <c r="Q150" s="414"/>
      <c r="R150" s="414"/>
      <c r="S150" s="445"/>
      <c r="T150" s="445"/>
      <c r="U150" s="445"/>
      <c r="V150" s="428"/>
      <c r="W150" s="463">
        <v>48305.0</v>
      </c>
      <c r="X150" s="469">
        <f>SUMIFS(Income!$G:$G,Income!$H:$H, X$2,Income!$F:$F, $V$1, Income!$B:$B, IF($W150&lt;&gt;"", TEXT($W150, "MMMM"), ""), Income!$C:$C, YEAR($W150))</f>
        <v>0</v>
      </c>
      <c r="Y150" s="469">
        <f>SUMIFS(Income!$G:$G,Income!$H:$H, Y$2,Income!$F:$F, $V$1, Income!$B:$B, IF($W150&lt;&gt;"", TEXT($W150, "MMMM"), ""), Income!$C:$C, YEAR($W150))</f>
        <v>0</v>
      </c>
      <c r="Z150" s="469">
        <f>SUMIFS(Income!$G:$G,Income!$H:$H, Z$2,Income!$F:$F, $V$1, Income!$B:$B, IF($W150&lt;&gt;"", TEXT($W150, "MMMM"), ""), Income!$C:$C, YEAR($W150))</f>
        <v>0</v>
      </c>
      <c r="AA150" s="469">
        <f>SUMIFS(Income!$G:$G,Income!$H:$H, AA$2,Income!$F:$F, $V$1, Income!$B:$B, IF($W150&lt;&gt;"", TEXT($W150, "MMMM"), ""), Income!$C:$C, YEAR($W150))</f>
        <v>0</v>
      </c>
      <c r="AB150" s="464">
        <f>SUMIFS(Income!$G:$G,Income!$H:$H, AB$2,Income!$F:$F, $V$1, Income!$B:$B, IF($W150&lt;&gt;"", TEXT($W150, "MMMM"), ""), Income!$C:$C, YEAR($W150))</f>
        <v>0</v>
      </c>
      <c r="AC150" s="470">
        <f>SUMIFS(Income!$G:$G,Income!$H:$H, AC$2,Income!$F:$F, $V$1, Income!$B:$B, IF($W150&lt;&gt;"", TEXT($W150, "MMMM"), ""), Income!$C:$C, YEAR($W150))</f>
        <v>0</v>
      </c>
      <c r="AD150" s="428"/>
      <c r="AE150" s="463">
        <v>48305.0</v>
      </c>
      <c r="AF150" s="469">
        <f>SUMIFS(Income!$G:$G,Income!$H:$H, AF$2,Income!$F:$F, $AD$1, Income!$B:$B, IF($AE150&lt;&gt;"", TEXT($AE150, "MMMM"), ""), Income!$C:$C, YEAR($AE150))</f>
        <v>0</v>
      </c>
      <c r="AG150" s="469">
        <f>SUMIFS(Income!$G:$G,Income!$H:$H, AG$2,Income!$F:$F, $AD$1, Income!$B:$B, IF($AE150&lt;&gt;"", TEXT($AE150, "MMMM"), ""), Income!$C:$C, YEAR($AE150))</f>
        <v>0</v>
      </c>
      <c r="AH150" s="469">
        <f>SUMIFS(Income!$G:$G,Income!$H:$H, AH$2,Income!$F:$F, $AD$1, Income!$B:$B, IF($AE150&lt;&gt;"", TEXT($AE150, "MMMM"), ""), Income!$C:$C, YEAR($AE150))</f>
        <v>0</v>
      </c>
      <c r="AI150" s="469">
        <f>SUMIFS(Income!$G:$G,Income!$H:$H, AI$2,Income!$F:$F, $AD$1, Income!$B:$B, IF($AE150&lt;&gt;"", TEXT($AE150, "MMMM"), ""), Income!$C:$C, YEAR($AE150))</f>
        <v>0</v>
      </c>
      <c r="AJ150" s="464">
        <f>SUMIFS(Income!$G:$G,Income!$H:$H, AJ$2,Income!$F:$F, $AD$1, Income!$B:$B, IF($AE150&lt;&gt;"", TEXT($AE150, "MMMM"), ""), Income!$C:$C, YEAR($AE150))</f>
        <v>0</v>
      </c>
      <c r="AK150" s="470">
        <f>SUMIFS(Income!$G:$G,Income!$H:$H, AK$2,Income!$F:$F, $AD$1, Income!$B:$B, IF($AE150&lt;&gt;"", TEXT($AE150, "MMMM"), ""), Income!$C:$C, YEAR($AE150))</f>
        <v>0</v>
      </c>
      <c r="AL150" s="428"/>
      <c r="AM150" s="463">
        <v>48305.0</v>
      </c>
      <c r="AN150" s="464">
        <f>SUMIFS(Income!$G:$G,Income!$H:$H, AN$2,Income!$F:$F, $AL$1, Income!$B:$B, IF($AM150&lt;&gt;"", TEXT($AM150, "MMMM"), ""), Income!$C:$C, YEAR($AM150))+SUMIFS($T:$T, $U:$U,AN$2,$Q:$Q,IF($AM150&lt;&gt;"", TEXT($AM150, "MMMM"), ""),$R:$R,YEAR($AM150))</f>
        <v>0</v>
      </c>
      <c r="AO150" s="464">
        <f>SUMIFS(Income!$G:$G,Income!$H:$H, AO$2,Income!$F:$F, $AL$1, Income!$B:$B, IF($AM150&lt;&gt;"", TEXT($AM150, "MMMM"), ""), Income!$C:$C, YEAR($AM150))+SUMIFS($T:$T, $U:$U,AO$2,$Q:$Q,IF($AM150&lt;&gt;"", TEXT($AM150, "MMMM"), ""),$R:$R,YEAR($AM150))</f>
        <v>0</v>
      </c>
      <c r="AP150" s="464">
        <f>SUMIFS(Income!$G:$G,Income!$H:$H, AP$2,Income!$F:$F, $AL$1, Income!$B:$B, IF($AM150&lt;&gt;"", TEXT($AM150, "MMMM"), ""), Income!$C:$C, YEAR($AM150))+SUMIFS($T:$T, $U:$U,AP$2,$Q:$Q,IF($AM150&lt;&gt;"", TEXT($AM150, "MMMM"), ""),$R:$R,YEAR($AM150))</f>
        <v>0</v>
      </c>
      <c r="AQ150" s="464">
        <f>SUMIFS(Income!$G:$G,Income!$H:$H, AQ$2,Income!$F:$F, $AL$1, Income!$B:$B, IF($AM150&lt;&gt;"", TEXT($AM150, "MMMM"), ""), Income!$C:$C, YEAR($AM150))+SUMIFS($T:$T, $U:$U,AQ$2,$Q:$Q,IF($AM150&lt;&gt;"", TEXT($AM150, "MMMM"), ""),$R:$R,YEAR($AM150))</f>
        <v>0</v>
      </c>
      <c r="AR150" s="464">
        <f>SUMIFS(Income!$G:$G,Income!$H:$H, AR$2,Income!$F:$F, $AL$1, Income!$B:$B, IF($AM150&lt;&gt;"", TEXT($AM150, "MMMM"), ""), Income!$C:$C, YEAR($AM150))+SUMIFS($T:$T, $U:$U,AR$2,$Q:$Q,IF($AM150&lt;&gt;"", TEXT($AM150, "MMMM"), ""),$R:$R,YEAR($AM150))</f>
        <v>0</v>
      </c>
      <c r="AS150" s="467">
        <f>SUMIFS(Income!$G:$G,Income!$H:$H, AS$2,Income!$F:$F, $AL$1, Income!$B:$B, IF($AM150&lt;&gt;"", TEXT($AM150, "MMMM"), ""), Income!$C:$C, YEAR($AM150))+SUMIFS($T:$T, $U:$U,AS$2,$Q:$Q,IF($AM150&lt;&gt;"", TEXT($AM150, "MMMM"), ""),$R:$R,YEAR($AM150))</f>
        <v>0</v>
      </c>
      <c r="AT150" s="428"/>
      <c r="AU150" s="463">
        <v>48305.0</v>
      </c>
      <c r="AV150" s="469">
        <f>SUMIFS(Income!$G:$G,Income!$H:$H, AV$2,Income!$F:$F, $AT$1, Income!$B:$B, IF($AU150&lt;&gt;"", TEXT($AU150, "MMMM"), ""), Income!$C:$C, YEAR($AU150))</f>
        <v>0</v>
      </c>
      <c r="AW150" s="469">
        <f>SUMIFS(Income!$G:$G,Income!$H:$H, AW$2,Income!$F:$F, $AT$1, Income!$B:$B, IF($AU150&lt;&gt;"", TEXT($AU150, "MMMM"), ""), Income!$C:$C, YEAR($AU150))</f>
        <v>0</v>
      </c>
      <c r="AX150" s="469">
        <f>SUMIFS(Income!$G:$G,Income!$H:$H, AX$2,Income!$F:$F, $AT$1, Income!$B:$B, IF($AU150&lt;&gt;"", TEXT($AU150, "MMMM"), ""), Income!$C:$C, YEAR($AU150))</f>
        <v>0</v>
      </c>
      <c r="AY150" s="469">
        <f>SUMIFS(Income!$G:$G,Income!$H:$H, AY$2,Income!$F:$F, $AT$1, Income!$B:$B, IF($AU150&lt;&gt;"", TEXT($AU150, "MMMM"), ""), Income!$C:$C, YEAR($AU150))</f>
        <v>0</v>
      </c>
      <c r="AZ150" s="464">
        <f>SUMIFS(Income!$G:$G,Income!$H:$H, AZ$2,Income!$F:$F, $AT$1, Income!$B:$B, IF($AU150&lt;&gt;"", TEXT($AU150, "MMMM"), ""), Income!$C:$C, YEAR($AU150))</f>
        <v>0</v>
      </c>
      <c r="BA150" s="471">
        <f>SUMIFS(Income!$G:$G,Income!$H:$H, BA$2,Income!$F:$F, $AT$1, Income!$B:$B, IF($AU150&lt;&gt;"", TEXT($AU150, "MMMM"), ""), Income!$C:$C, YEAR($AU150))</f>
        <v>0</v>
      </c>
      <c r="BB150" s="345"/>
      <c r="BC150" s="345"/>
      <c r="BD150" s="345"/>
      <c r="BE150" s="345"/>
    </row>
    <row r="151" ht="13.5" customHeight="1">
      <c r="A151" s="436">
        <f>'Membership Application List'!A380</f>
        <v>45534.98203</v>
      </c>
      <c r="B151" s="437" t="str">
        <f t="shared" si="6"/>
        <v>August</v>
      </c>
      <c r="C151" s="437">
        <f t="shared" si="7"/>
        <v>2024</v>
      </c>
      <c r="D151" s="438" t="str">
        <f>'Membership Application List'!E380</f>
        <v>Hi</v>
      </c>
      <c r="E151" s="438">
        <f>IF('Membership Application List'!J380 = "Food/Litter Donation", 0, IF('Membership Application List'!J380 = "$15 Donation, Discord Verification", IF('Membership Application List'!N380 = TRUE, 15, 0)))</f>
        <v>0</v>
      </c>
      <c r="F151" s="438">
        <f>if('Membership Application List'!K380=TRUE, 5,0)</f>
        <v>0</v>
      </c>
      <c r="G151" s="438">
        <f t="shared" si="8"/>
        <v>0</v>
      </c>
      <c r="H151" s="439" t="str">
        <f>'Membership Application List'!L380</f>
        <v>Paypal</v>
      </c>
      <c r="I151" s="428"/>
      <c r="J151" s="463">
        <v>48335.0</v>
      </c>
      <c r="K151" s="464">
        <f t="shared" ref="K151:O151" si="109">SUMIFS($G:$G, $H:$H, K$2, $B:$B, IF($J151&lt;&gt;"", TEXT($J151, "MMMM"), ""), $C:$C, YEAR($J151))</f>
        <v>0</v>
      </c>
      <c r="L151" s="464">
        <f t="shared" si="109"/>
        <v>0</v>
      </c>
      <c r="M151" s="464">
        <f t="shared" si="109"/>
        <v>0</v>
      </c>
      <c r="N151" s="464">
        <f t="shared" si="109"/>
        <v>0</v>
      </c>
      <c r="O151" s="465">
        <f t="shared" si="109"/>
        <v>0</v>
      </c>
      <c r="P151" s="414"/>
      <c r="Q151" s="414"/>
      <c r="R151" s="414"/>
      <c r="S151" s="445"/>
      <c r="T151" s="445"/>
      <c r="U151" s="445"/>
      <c r="V151" s="428"/>
      <c r="W151" s="463">
        <v>48335.0</v>
      </c>
      <c r="X151" s="469">
        <f>SUMIFS(Income!$G:$G,Income!$H:$H, X$2,Income!$F:$F, $V$1, Income!$B:$B, IF($W151&lt;&gt;"", TEXT($W151, "MMMM"), ""), Income!$C:$C, YEAR($W151))</f>
        <v>0</v>
      </c>
      <c r="Y151" s="469">
        <f>SUMIFS(Income!$G:$G,Income!$H:$H, Y$2,Income!$F:$F, $V$1, Income!$B:$B, IF($W151&lt;&gt;"", TEXT($W151, "MMMM"), ""), Income!$C:$C, YEAR($W151))</f>
        <v>0</v>
      </c>
      <c r="Z151" s="469">
        <f>SUMIFS(Income!$G:$G,Income!$H:$H, Z$2,Income!$F:$F, $V$1, Income!$B:$B, IF($W151&lt;&gt;"", TEXT($W151, "MMMM"), ""), Income!$C:$C, YEAR($W151))</f>
        <v>0</v>
      </c>
      <c r="AA151" s="469">
        <f>SUMIFS(Income!$G:$G,Income!$H:$H, AA$2,Income!$F:$F, $V$1, Income!$B:$B, IF($W151&lt;&gt;"", TEXT($W151, "MMMM"), ""), Income!$C:$C, YEAR($W151))</f>
        <v>0</v>
      </c>
      <c r="AB151" s="464">
        <f>SUMIFS(Income!$G:$G,Income!$H:$H, AB$2,Income!$F:$F, $V$1, Income!$B:$B, IF($W151&lt;&gt;"", TEXT($W151, "MMMM"), ""), Income!$C:$C, YEAR($W151))</f>
        <v>0</v>
      </c>
      <c r="AC151" s="470">
        <f>SUMIFS(Income!$G:$G,Income!$H:$H, AC$2,Income!$F:$F, $V$1, Income!$B:$B, IF($W151&lt;&gt;"", TEXT($W151, "MMMM"), ""), Income!$C:$C, YEAR($W151))</f>
        <v>0</v>
      </c>
      <c r="AD151" s="428"/>
      <c r="AE151" s="463">
        <v>48335.0</v>
      </c>
      <c r="AF151" s="469">
        <f>SUMIFS(Income!$G:$G,Income!$H:$H, AF$2,Income!$F:$F, $AD$1, Income!$B:$B, IF($AE151&lt;&gt;"", TEXT($AE151, "MMMM"), ""), Income!$C:$C, YEAR($AE151))</f>
        <v>0</v>
      </c>
      <c r="AG151" s="469">
        <f>SUMIFS(Income!$G:$G,Income!$H:$H, AG$2,Income!$F:$F, $AD$1, Income!$B:$B, IF($AE151&lt;&gt;"", TEXT($AE151, "MMMM"), ""), Income!$C:$C, YEAR($AE151))</f>
        <v>0</v>
      </c>
      <c r="AH151" s="469">
        <f>SUMIFS(Income!$G:$G,Income!$H:$H, AH$2,Income!$F:$F, $AD$1, Income!$B:$B, IF($AE151&lt;&gt;"", TEXT($AE151, "MMMM"), ""), Income!$C:$C, YEAR($AE151))</f>
        <v>0</v>
      </c>
      <c r="AI151" s="469">
        <f>SUMIFS(Income!$G:$G,Income!$H:$H, AI$2,Income!$F:$F, $AD$1, Income!$B:$B, IF($AE151&lt;&gt;"", TEXT($AE151, "MMMM"), ""), Income!$C:$C, YEAR($AE151))</f>
        <v>0</v>
      </c>
      <c r="AJ151" s="464">
        <f>SUMIFS(Income!$G:$G,Income!$H:$H, AJ$2,Income!$F:$F, $AD$1, Income!$B:$B, IF($AE151&lt;&gt;"", TEXT($AE151, "MMMM"), ""), Income!$C:$C, YEAR($AE151))</f>
        <v>0</v>
      </c>
      <c r="AK151" s="470">
        <f>SUMIFS(Income!$G:$G,Income!$H:$H, AK$2,Income!$F:$F, $AD$1, Income!$B:$B, IF($AE151&lt;&gt;"", TEXT($AE151, "MMMM"), ""), Income!$C:$C, YEAR($AE151))</f>
        <v>0</v>
      </c>
      <c r="AL151" s="428"/>
      <c r="AM151" s="463">
        <v>48335.0</v>
      </c>
      <c r="AN151" s="464">
        <f>SUMIFS(Income!$G:$G,Income!$H:$H, AN$2,Income!$F:$F, $AL$1, Income!$B:$B, IF($AM151&lt;&gt;"", TEXT($AM151, "MMMM"), ""), Income!$C:$C, YEAR($AM151))+SUMIFS($T:$T, $U:$U,AN$2,$Q:$Q,IF($AM151&lt;&gt;"", TEXT($AM151, "MMMM"), ""),$R:$R,YEAR($AM151))</f>
        <v>0</v>
      </c>
      <c r="AO151" s="464">
        <f>SUMIFS(Income!$G:$G,Income!$H:$H, AO$2,Income!$F:$F, $AL$1, Income!$B:$B, IF($AM151&lt;&gt;"", TEXT($AM151, "MMMM"), ""), Income!$C:$C, YEAR($AM151))+SUMIFS($T:$T, $U:$U,AO$2,$Q:$Q,IF($AM151&lt;&gt;"", TEXT($AM151, "MMMM"), ""),$R:$R,YEAR($AM151))</f>
        <v>0</v>
      </c>
      <c r="AP151" s="464">
        <f>SUMIFS(Income!$G:$G,Income!$H:$H, AP$2,Income!$F:$F, $AL$1, Income!$B:$B, IF($AM151&lt;&gt;"", TEXT($AM151, "MMMM"), ""), Income!$C:$C, YEAR($AM151))+SUMIFS($T:$T, $U:$U,AP$2,$Q:$Q,IF($AM151&lt;&gt;"", TEXT($AM151, "MMMM"), ""),$R:$R,YEAR($AM151))</f>
        <v>0</v>
      </c>
      <c r="AQ151" s="464">
        <f>SUMIFS(Income!$G:$G,Income!$H:$H, AQ$2,Income!$F:$F, $AL$1, Income!$B:$B, IF($AM151&lt;&gt;"", TEXT($AM151, "MMMM"), ""), Income!$C:$C, YEAR($AM151))+SUMIFS($T:$T, $U:$U,AQ$2,$Q:$Q,IF($AM151&lt;&gt;"", TEXT($AM151, "MMMM"), ""),$R:$R,YEAR($AM151))</f>
        <v>0</v>
      </c>
      <c r="AR151" s="464">
        <f>SUMIFS(Income!$G:$G,Income!$H:$H, AR$2,Income!$F:$F, $AL$1, Income!$B:$B, IF($AM151&lt;&gt;"", TEXT($AM151, "MMMM"), ""), Income!$C:$C, YEAR($AM151))+SUMIFS($T:$T, $U:$U,AR$2,$Q:$Q,IF($AM151&lt;&gt;"", TEXT($AM151, "MMMM"), ""),$R:$R,YEAR($AM151))</f>
        <v>0</v>
      </c>
      <c r="AS151" s="467">
        <f>SUMIFS(Income!$G:$G,Income!$H:$H, AS$2,Income!$F:$F, $AL$1, Income!$B:$B, IF($AM151&lt;&gt;"", TEXT($AM151, "MMMM"), ""), Income!$C:$C, YEAR($AM151))+SUMIFS($T:$T, $U:$U,AS$2,$Q:$Q,IF($AM151&lt;&gt;"", TEXT($AM151, "MMMM"), ""),$R:$R,YEAR($AM151))</f>
        <v>0</v>
      </c>
      <c r="AT151" s="428"/>
      <c r="AU151" s="463">
        <v>48335.0</v>
      </c>
      <c r="AV151" s="469">
        <f>SUMIFS(Income!$G:$G,Income!$H:$H, AV$2,Income!$F:$F, $AT$1, Income!$B:$B, IF($AU151&lt;&gt;"", TEXT($AU151, "MMMM"), ""), Income!$C:$C, YEAR($AU151))</f>
        <v>0</v>
      </c>
      <c r="AW151" s="469">
        <f>SUMIFS(Income!$G:$G,Income!$H:$H, AW$2,Income!$F:$F, $AT$1, Income!$B:$B, IF($AU151&lt;&gt;"", TEXT($AU151, "MMMM"), ""), Income!$C:$C, YEAR($AU151))</f>
        <v>0</v>
      </c>
      <c r="AX151" s="469">
        <f>SUMIFS(Income!$G:$G,Income!$H:$H, AX$2,Income!$F:$F, $AT$1, Income!$B:$B, IF($AU151&lt;&gt;"", TEXT($AU151, "MMMM"), ""), Income!$C:$C, YEAR($AU151))</f>
        <v>0</v>
      </c>
      <c r="AY151" s="469">
        <f>SUMIFS(Income!$G:$G,Income!$H:$H, AY$2,Income!$F:$F, $AT$1, Income!$B:$B, IF($AU151&lt;&gt;"", TEXT($AU151, "MMMM"), ""), Income!$C:$C, YEAR($AU151))</f>
        <v>0</v>
      </c>
      <c r="AZ151" s="464">
        <f>SUMIFS(Income!$G:$G,Income!$H:$H, AZ$2,Income!$F:$F, $AT$1, Income!$B:$B, IF($AU151&lt;&gt;"", TEXT($AU151, "MMMM"), ""), Income!$C:$C, YEAR($AU151))</f>
        <v>0</v>
      </c>
      <c r="BA151" s="471">
        <f>SUMIFS(Income!$G:$G,Income!$H:$H, BA$2,Income!$F:$F, $AT$1, Income!$B:$B, IF($AU151&lt;&gt;"", TEXT($AU151, "MMMM"), ""), Income!$C:$C, YEAR($AU151))</f>
        <v>0</v>
      </c>
      <c r="BB151" s="345"/>
      <c r="BC151" s="345"/>
      <c r="BD151" s="345"/>
      <c r="BE151" s="345"/>
    </row>
    <row r="152" ht="13.5" customHeight="1">
      <c r="A152" s="424">
        <f>'Membership Application List'!A381</f>
        <v>45534.99058</v>
      </c>
      <c r="B152" s="443" t="str">
        <f t="shared" si="6"/>
        <v>August</v>
      </c>
      <c r="C152" s="443">
        <f t="shared" si="7"/>
        <v>2024</v>
      </c>
      <c r="D152" s="426" t="str">
        <f>'Membership Application List'!E381</f>
        <v>Ayva Black</v>
      </c>
      <c r="E152" s="426">
        <f>IF('Membership Application List'!J381 = "Food/Litter Donation", 0, IF('Membership Application List'!J381 = "$15 Donation, Discord Verification", IF('Membership Application List'!N381 = TRUE, 15, 0)))</f>
        <v>15</v>
      </c>
      <c r="F152" s="426">
        <f>if('Membership Application List'!K381=TRUE, 5,0)</f>
        <v>0</v>
      </c>
      <c r="G152" s="426">
        <f t="shared" si="8"/>
        <v>15</v>
      </c>
      <c r="H152" s="427" t="str">
        <f>'Membership Application List'!L381</f>
        <v>Venmo</v>
      </c>
      <c r="I152" s="447" t="s">
        <v>793</v>
      </c>
      <c r="J152" s="463">
        <v>48366.0</v>
      </c>
      <c r="K152" s="464">
        <f t="shared" ref="K152:O152" si="110">SUMIFS($G:$G, $H:$H, K$2, $B:$B, IF($J152&lt;&gt;"", TEXT($J152, "MMMM"), ""), $C:$C, YEAR($J152))</f>
        <v>0</v>
      </c>
      <c r="L152" s="464">
        <f t="shared" si="110"/>
        <v>0</v>
      </c>
      <c r="M152" s="464">
        <f t="shared" si="110"/>
        <v>0</v>
      </c>
      <c r="N152" s="464">
        <f t="shared" si="110"/>
        <v>0</v>
      </c>
      <c r="O152" s="465">
        <f t="shared" si="110"/>
        <v>0</v>
      </c>
      <c r="P152" s="414"/>
      <c r="Q152" s="414"/>
      <c r="R152" s="414"/>
      <c r="S152" s="445"/>
      <c r="T152" s="445"/>
      <c r="U152" s="445"/>
      <c r="V152" s="447" t="s">
        <v>793</v>
      </c>
      <c r="W152" s="463">
        <v>48366.0</v>
      </c>
      <c r="X152" s="469">
        <f>SUMIFS(Income!$G:$G,Income!$H:$H, X$2,Income!$F:$F, $V$1, Income!$B:$B, IF($W152&lt;&gt;"", TEXT($W152, "MMMM"), ""), Income!$C:$C, YEAR($W152))</f>
        <v>0</v>
      </c>
      <c r="Y152" s="469">
        <f>SUMIFS(Income!$G:$G,Income!$H:$H, Y$2,Income!$F:$F, $V$1, Income!$B:$B, IF($W152&lt;&gt;"", TEXT($W152, "MMMM"), ""), Income!$C:$C, YEAR($W152))</f>
        <v>0</v>
      </c>
      <c r="Z152" s="469">
        <f>SUMIFS(Income!$G:$G,Income!$H:$H, Z$2,Income!$F:$F, $V$1, Income!$B:$B, IF($W152&lt;&gt;"", TEXT($W152, "MMMM"), ""), Income!$C:$C, YEAR($W152))</f>
        <v>0</v>
      </c>
      <c r="AA152" s="469">
        <f>SUMIFS(Income!$G:$G,Income!$H:$H, AA$2,Income!$F:$F, $V$1, Income!$B:$B, IF($W152&lt;&gt;"", TEXT($W152, "MMMM"), ""), Income!$C:$C, YEAR($W152))</f>
        <v>0</v>
      </c>
      <c r="AB152" s="464">
        <f>SUMIFS(Income!$G:$G,Income!$H:$H, AB$2,Income!$F:$F, $V$1, Income!$B:$B, IF($W152&lt;&gt;"", TEXT($W152, "MMMM"), ""), Income!$C:$C, YEAR($W152))</f>
        <v>0</v>
      </c>
      <c r="AC152" s="470">
        <f>SUMIFS(Income!$G:$G,Income!$H:$H, AC$2,Income!$F:$F, $V$1, Income!$B:$B, IF($W152&lt;&gt;"", TEXT($W152, "MMMM"), ""), Income!$C:$C, YEAR($W152))</f>
        <v>0</v>
      </c>
      <c r="AD152" s="447" t="s">
        <v>793</v>
      </c>
      <c r="AE152" s="463">
        <v>48366.0</v>
      </c>
      <c r="AF152" s="469">
        <f>SUMIFS(Income!$G:$G,Income!$H:$H, AF$2,Income!$F:$F, $AD$1, Income!$B:$B, IF($AE152&lt;&gt;"", TEXT($AE152, "MMMM"), ""), Income!$C:$C, YEAR($AE152))</f>
        <v>0</v>
      </c>
      <c r="AG152" s="469">
        <f>SUMIFS(Income!$G:$G,Income!$H:$H, AG$2,Income!$F:$F, $AD$1, Income!$B:$B, IF($AE152&lt;&gt;"", TEXT($AE152, "MMMM"), ""), Income!$C:$C, YEAR($AE152))</f>
        <v>0</v>
      </c>
      <c r="AH152" s="469">
        <f>SUMIFS(Income!$G:$G,Income!$H:$H, AH$2,Income!$F:$F, $AD$1, Income!$B:$B, IF($AE152&lt;&gt;"", TEXT($AE152, "MMMM"), ""), Income!$C:$C, YEAR($AE152))</f>
        <v>0</v>
      </c>
      <c r="AI152" s="469">
        <f>SUMIFS(Income!$G:$G,Income!$H:$H, AI$2,Income!$F:$F, $AD$1, Income!$B:$B, IF($AE152&lt;&gt;"", TEXT($AE152, "MMMM"), ""), Income!$C:$C, YEAR($AE152))</f>
        <v>0</v>
      </c>
      <c r="AJ152" s="464">
        <f>SUMIFS(Income!$G:$G,Income!$H:$H, AJ$2,Income!$F:$F, $AD$1, Income!$B:$B, IF($AE152&lt;&gt;"", TEXT($AE152, "MMMM"), ""), Income!$C:$C, YEAR($AE152))</f>
        <v>0</v>
      </c>
      <c r="AK152" s="470">
        <f>SUMIFS(Income!$G:$G,Income!$H:$H, AK$2,Income!$F:$F, $AD$1, Income!$B:$B, IF($AE152&lt;&gt;"", TEXT($AE152, "MMMM"), ""), Income!$C:$C, YEAR($AE152))</f>
        <v>0</v>
      </c>
      <c r="AL152" s="447" t="s">
        <v>793</v>
      </c>
      <c r="AM152" s="463">
        <v>48366.0</v>
      </c>
      <c r="AN152" s="464">
        <f>SUMIFS(Income!$G:$G,Income!$H:$H, AN$2,Income!$F:$F, $AL$1, Income!$B:$B, IF($AM152&lt;&gt;"", TEXT($AM152, "MMMM"), ""), Income!$C:$C, YEAR($AM152))+SUMIFS($T:$T, $U:$U,AN$2,$Q:$Q,IF($AM152&lt;&gt;"", TEXT($AM152, "MMMM"), ""),$R:$R,YEAR($AM152))</f>
        <v>0</v>
      </c>
      <c r="AO152" s="464">
        <f>SUMIFS(Income!$G:$G,Income!$H:$H, AO$2,Income!$F:$F, $AL$1, Income!$B:$B, IF($AM152&lt;&gt;"", TEXT($AM152, "MMMM"), ""), Income!$C:$C, YEAR($AM152))+SUMIFS($T:$T, $U:$U,AO$2,$Q:$Q,IF($AM152&lt;&gt;"", TEXT($AM152, "MMMM"), ""),$R:$R,YEAR($AM152))</f>
        <v>0</v>
      </c>
      <c r="AP152" s="464">
        <f>SUMIFS(Income!$G:$G,Income!$H:$H, AP$2,Income!$F:$F, $AL$1, Income!$B:$B, IF($AM152&lt;&gt;"", TEXT($AM152, "MMMM"), ""), Income!$C:$C, YEAR($AM152))+SUMIFS($T:$T, $U:$U,AP$2,$Q:$Q,IF($AM152&lt;&gt;"", TEXT($AM152, "MMMM"), ""),$R:$R,YEAR($AM152))</f>
        <v>0</v>
      </c>
      <c r="AQ152" s="464">
        <f>SUMIFS(Income!$G:$G,Income!$H:$H, AQ$2,Income!$F:$F, $AL$1, Income!$B:$B, IF($AM152&lt;&gt;"", TEXT($AM152, "MMMM"), ""), Income!$C:$C, YEAR($AM152))+SUMIFS($T:$T, $U:$U,AQ$2,$Q:$Q,IF($AM152&lt;&gt;"", TEXT($AM152, "MMMM"), ""),$R:$R,YEAR($AM152))</f>
        <v>0</v>
      </c>
      <c r="AR152" s="464">
        <f>SUMIFS(Income!$G:$G,Income!$H:$H, AR$2,Income!$F:$F, $AL$1, Income!$B:$B, IF($AM152&lt;&gt;"", TEXT($AM152, "MMMM"), ""), Income!$C:$C, YEAR($AM152))+SUMIFS($T:$T, $U:$U,AR$2,$Q:$Q,IF($AM152&lt;&gt;"", TEXT($AM152, "MMMM"), ""),$R:$R,YEAR($AM152))</f>
        <v>0</v>
      </c>
      <c r="AS152" s="467">
        <f>SUMIFS(Income!$G:$G,Income!$H:$H, AS$2,Income!$F:$F, $AL$1, Income!$B:$B, IF($AM152&lt;&gt;"", TEXT($AM152, "MMMM"), ""), Income!$C:$C, YEAR($AM152))+SUMIFS($T:$T, $U:$U,AS$2,$Q:$Q,IF($AM152&lt;&gt;"", TEXT($AM152, "MMMM"), ""),$R:$R,YEAR($AM152))</f>
        <v>0</v>
      </c>
      <c r="AT152" s="447" t="s">
        <v>793</v>
      </c>
      <c r="AU152" s="463">
        <v>48366.0</v>
      </c>
      <c r="AV152" s="469">
        <f>SUMIFS(Income!$G:$G,Income!$H:$H, AV$2,Income!$F:$F, $AT$1, Income!$B:$B, IF($AU152&lt;&gt;"", TEXT($AU152, "MMMM"), ""), Income!$C:$C, YEAR($AU152))</f>
        <v>0</v>
      </c>
      <c r="AW152" s="469">
        <f>SUMIFS(Income!$G:$G,Income!$H:$H, AW$2,Income!$F:$F, $AT$1, Income!$B:$B, IF($AU152&lt;&gt;"", TEXT($AU152, "MMMM"), ""), Income!$C:$C, YEAR($AU152))</f>
        <v>0</v>
      </c>
      <c r="AX152" s="469">
        <f>SUMIFS(Income!$G:$G,Income!$H:$H, AX$2,Income!$F:$F, $AT$1, Income!$B:$B, IF($AU152&lt;&gt;"", TEXT($AU152, "MMMM"), ""), Income!$C:$C, YEAR($AU152))</f>
        <v>0</v>
      </c>
      <c r="AY152" s="469">
        <f>SUMIFS(Income!$G:$G,Income!$H:$H, AY$2,Income!$F:$F, $AT$1, Income!$B:$B, IF($AU152&lt;&gt;"", TEXT($AU152, "MMMM"), ""), Income!$C:$C, YEAR($AU152))</f>
        <v>0</v>
      </c>
      <c r="AZ152" s="464">
        <f>SUMIFS(Income!$G:$G,Income!$H:$H, AZ$2,Income!$F:$F, $AT$1, Income!$B:$B, IF($AU152&lt;&gt;"", TEXT($AU152, "MMMM"), ""), Income!$C:$C, YEAR($AU152))</f>
        <v>0</v>
      </c>
      <c r="BA152" s="471">
        <f>SUMIFS(Income!$G:$G,Income!$H:$H, BA$2,Income!$F:$F, $AT$1, Income!$B:$B, IF($AU152&lt;&gt;"", TEXT($AU152, "MMMM"), ""), Income!$C:$C, YEAR($AU152))</f>
        <v>0</v>
      </c>
      <c r="BB152" s="345"/>
      <c r="BC152" s="345"/>
      <c r="BD152" s="345"/>
      <c r="BE152" s="345"/>
    </row>
    <row r="153" ht="13.5" customHeight="1">
      <c r="A153" s="436">
        <f>'Membership Application List'!A382</f>
        <v>45535.80286</v>
      </c>
      <c r="B153" s="437" t="str">
        <f t="shared" si="6"/>
        <v>August</v>
      </c>
      <c r="C153" s="437">
        <f t="shared" si="7"/>
        <v>2024</v>
      </c>
      <c r="D153" s="438" t="str">
        <f>'Membership Application List'!E382</f>
        <v>Annabelle Delpin</v>
      </c>
      <c r="E153" s="438">
        <f>IF('Membership Application List'!J382 = "Food/Litter Donation", 0, IF('Membership Application List'!J382 = "$15 Donation, Discord Verification", IF('Membership Application List'!N382 = TRUE, 15, 0)))</f>
        <v>15</v>
      </c>
      <c r="F153" s="438">
        <f>if('Membership Application List'!K382=TRUE, 5,0)</f>
        <v>0</v>
      </c>
      <c r="G153" s="438">
        <f t="shared" si="8"/>
        <v>15</v>
      </c>
      <c r="H153" s="439" t="str">
        <f>'Membership Application List'!L382</f>
        <v>Paypal</v>
      </c>
      <c r="I153" s="428"/>
      <c r="J153" s="463">
        <v>48396.0</v>
      </c>
      <c r="K153" s="464">
        <f t="shared" ref="K153:O153" si="111">SUMIFS($G:$G, $H:$H, K$2, $B:$B, IF($J153&lt;&gt;"", TEXT($J153, "MMMM"), ""), $C:$C, YEAR($J153))</f>
        <v>0</v>
      </c>
      <c r="L153" s="464">
        <f t="shared" si="111"/>
        <v>0</v>
      </c>
      <c r="M153" s="464">
        <f t="shared" si="111"/>
        <v>0</v>
      </c>
      <c r="N153" s="464">
        <f t="shared" si="111"/>
        <v>0</v>
      </c>
      <c r="O153" s="465">
        <f t="shared" si="111"/>
        <v>0</v>
      </c>
      <c r="P153" s="414"/>
      <c r="Q153" s="414"/>
      <c r="R153" s="414"/>
      <c r="S153" s="445"/>
      <c r="T153" s="445"/>
      <c r="U153" s="445"/>
      <c r="V153" s="428"/>
      <c r="W153" s="463">
        <v>48396.0</v>
      </c>
      <c r="X153" s="469">
        <f>SUMIFS(Income!$G:$G,Income!$H:$H, X$2,Income!$F:$F, $V$1, Income!$B:$B, IF($W153&lt;&gt;"", TEXT($W153, "MMMM"), ""), Income!$C:$C, YEAR($W153))</f>
        <v>0</v>
      </c>
      <c r="Y153" s="469">
        <f>SUMIFS(Income!$G:$G,Income!$H:$H, Y$2,Income!$F:$F, $V$1, Income!$B:$B, IF($W153&lt;&gt;"", TEXT($W153, "MMMM"), ""), Income!$C:$C, YEAR($W153))</f>
        <v>0</v>
      </c>
      <c r="Z153" s="469">
        <f>SUMIFS(Income!$G:$G,Income!$H:$H, Z$2,Income!$F:$F, $V$1, Income!$B:$B, IF($W153&lt;&gt;"", TEXT($W153, "MMMM"), ""), Income!$C:$C, YEAR($W153))</f>
        <v>0</v>
      </c>
      <c r="AA153" s="469">
        <f>SUMIFS(Income!$G:$G,Income!$H:$H, AA$2,Income!$F:$F, $V$1, Income!$B:$B, IF($W153&lt;&gt;"", TEXT($W153, "MMMM"), ""), Income!$C:$C, YEAR($W153))</f>
        <v>0</v>
      </c>
      <c r="AB153" s="464">
        <f>SUMIFS(Income!$G:$G,Income!$H:$H, AB$2,Income!$F:$F, $V$1, Income!$B:$B, IF($W153&lt;&gt;"", TEXT($W153, "MMMM"), ""), Income!$C:$C, YEAR($W153))</f>
        <v>0</v>
      </c>
      <c r="AC153" s="470">
        <f>SUMIFS(Income!$G:$G,Income!$H:$H, AC$2,Income!$F:$F, $V$1, Income!$B:$B, IF($W153&lt;&gt;"", TEXT($W153, "MMMM"), ""), Income!$C:$C, YEAR($W153))</f>
        <v>0</v>
      </c>
      <c r="AD153" s="428"/>
      <c r="AE153" s="463">
        <v>48396.0</v>
      </c>
      <c r="AF153" s="469">
        <f>SUMIFS(Income!$G:$G,Income!$H:$H, AF$2,Income!$F:$F, $AD$1, Income!$B:$B, IF($AE153&lt;&gt;"", TEXT($AE153, "MMMM"), ""), Income!$C:$C, YEAR($AE153))</f>
        <v>0</v>
      </c>
      <c r="AG153" s="469">
        <f>SUMIFS(Income!$G:$G,Income!$H:$H, AG$2,Income!$F:$F, $AD$1, Income!$B:$B, IF($AE153&lt;&gt;"", TEXT($AE153, "MMMM"), ""), Income!$C:$C, YEAR($AE153))</f>
        <v>0</v>
      </c>
      <c r="AH153" s="469">
        <f>SUMIFS(Income!$G:$G,Income!$H:$H, AH$2,Income!$F:$F, $AD$1, Income!$B:$B, IF($AE153&lt;&gt;"", TEXT($AE153, "MMMM"), ""), Income!$C:$C, YEAR($AE153))</f>
        <v>0</v>
      </c>
      <c r="AI153" s="469">
        <f>SUMIFS(Income!$G:$G,Income!$H:$H, AI$2,Income!$F:$F, $AD$1, Income!$B:$B, IF($AE153&lt;&gt;"", TEXT($AE153, "MMMM"), ""), Income!$C:$C, YEAR($AE153))</f>
        <v>0</v>
      </c>
      <c r="AJ153" s="464">
        <f>SUMIFS(Income!$G:$G,Income!$H:$H, AJ$2,Income!$F:$F, $AD$1, Income!$B:$B, IF($AE153&lt;&gt;"", TEXT($AE153, "MMMM"), ""), Income!$C:$C, YEAR($AE153))</f>
        <v>0</v>
      </c>
      <c r="AK153" s="470">
        <f>SUMIFS(Income!$G:$G,Income!$H:$H, AK$2,Income!$F:$F, $AD$1, Income!$B:$B, IF($AE153&lt;&gt;"", TEXT($AE153, "MMMM"), ""), Income!$C:$C, YEAR($AE153))</f>
        <v>0</v>
      </c>
      <c r="AL153" s="428"/>
      <c r="AM153" s="463">
        <v>48396.0</v>
      </c>
      <c r="AN153" s="464">
        <f>SUMIFS(Income!$G:$G,Income!$H:$H, AN$2,Income!$F:$F, $AL$1, Income!$B:$B, IF($AM153&lt;&gt;"", TEXT($AM153, "MMMM"), ""), Income!$C:$C, YEAR($AM153))+SUMIFS($T:$T, $U:$U,AN$2,$Q:$Q,IF($AM153&lt;&gt;"", TEXT($AM153, "MMMM"), ""),$R:$R,YEAR($AM153))</f>
        <v>0</v>
      </c>
      <c r="AO153" s="464">
        <f>SUMIFS(Income!$G:$G,Income!$H:$H, AO$2,Income!$F:$F, $AL$1, Income!$B:$B, IF($AM153&lt;&gt;"", TEXT($AM153, "MMMM"), ""), Income!$C:$C, YEAR($AM153))+SUMIFS($T:$T, $U:$U,AO$2,$Q:$Q,IF($AM153&lt;&gt;"", TEXT($AM153, "MMMM"), ""),$R:$R,YEAR($AM153))</f>
        <v>0</v>
      </c>
      <c r="AP153" s="464">
        <f>SUMIFS(Income!$G:$G,Income!$H:$H, AP$2,Income!$F:$F, $AL$1, Income!$B:$B, IF($AM153&lt;&gt;"", TEXT($AM153, "MMMM"), ""), Income!$C:$C, YEAR($AM153))+SUMIFS($T:$T, $U:$U,AP$2,$Q:$Q,IF($AM153&lt;&gt;"", TEXT($AM153, "MMMM"), ""),$R:$R,YEAR($AM153))</f>
        <v>0</v>
      </c>
      <c r="AQ153" s="464">
        <f>SUMIFS(Income!$G:$G,Income!$H:$H, AQ$2,Income!$F:$F, $AL$1, Income!$B:$B, IF($AM153&lt;&gt;"", TEXT($AM153, "MMMM"), ""), Income!$C:$C, YEAR($AM153))+SUMIFS($T:$T, $U:$U,AQ$2,$Q:$Q,IF($AM153&lt;&gt;"", TEXT($AM153, "MMMM"), ""),$R:$R,YEAR($AM153))</f>
        <v>0</v>
      </c>
      <c r="AR153" s="464">
        <f>SUMIFS(Income!$G:$G,Income!$H:$H, AR$2,Income!$F:$F, $AL$1, Income!$B:$B, IF($AM153&lt;&gt;"", TEXT($AM153, "MMMM"), ""), Income!$C:$C, YEAR($AM153))+SUMIFS($T:$T, $U:$U,AR$2,$Q:$Q,IF($AM153&lt;&gt;"", TEXT($AM153, "MMMM"), ""),$R:$R,YEAR($AM153))</f>
        <v>0</v>
      </c>
      <c r="AS153" s="467">
        <f>SUMIFS(Income!$G:$G,Income!$H:$H, AS$2,Income!$F:$F, $AL$1, Income!$B:$B, IF($AM153&lt;&gt;"", TEXT($AM153, "MMMM"), ""), Income!$C:$C, YEAR($AM153))+SUMIFS($T:$T, $U:$U,AS$2,$Q:$Q,IF($AM153&lt;&gt;"", TEXT($AM153, "MMMM"), ""),$R:$R,YEAR($AM153))</f>
        <v>0</v>
      </c>
      <c r="AT153" s="428"/>
      <c r="AU153" s="463">
        <v>48396.0</v>
      </c>
      <c r="AV153" s="469">
        <f>SUMIFS(Income!$G:$G,Income!$H:$H, AV$2,Income!$F:$F, $AT$1, Income!$B:$B, IF($AU153&lt;&gt;"", TEXT($AU153, "MMMM"), ""), Income!$C:$C, YEAR($AU153))</f>
        <v>0</v>
      </c>
      <c r="AW153" s="469">
        <f>SUMIFS(Income!$G:$G,Income!$H:$H, AW$2,Income!$F:$F, $AT$1, Income!$B:$B, IF($AU153&lt;&gt;"", TEXT($AU153, "MMMM"), ""), Income!$C:$C, YEAR($AU153))</f>
        <v>0</v>
      </c>
      <c r="AX153" s="469">
        <f>SUMIFS(Income!$G:$G,Income!$H:$H, AX$2,Income!$F:$F, $AT$1, Income!$B:$B, IF($AU153&lt;&gt;"", TEXT($AU153, "MMMM"), ""), Income!$C:$C, YEAR($AU153))</f>
        <v>0</v>
      </c>
      <c r="AY153" s="469">
        <f>SUMIFS(Income!$G:$G,Income!$H:$H, AY$2,Income!$F:$F, $AT$1, Income!$B:$B, IF($AU153&lt;&gt;"", TEXT($AU153, "MMMM"), ""), Income!$C:$C, YEAR($AU153))</f>
        <v>0</v>
      </c>
      <c r="AZ153" s="464">
        <f>SUMIFS(Income!$G:$G,Income!$H:$H, AZ$2,Income!$F:$F, $AT$1, Income!$B:$B, IF($AU153&lt;&gt;"", TEXT($AU153, "MMMM"), ""), Income!$C:$C, YEAR($AU153))</f>
        <v>0</v>
      </c>
      <c r="BA153" s="471">
        <f>SUMIFS(Income!$G:$G,Income!$H:$H, BA$2,Income!$F:$F, $AT$1, Income!$B:$B, IF($AU153&lt;&gt;"", TEXT($AU153, "MMMM"), ""), Income!$C:$C, YEAR($AU153))</f>
        <v>0</v>
      </c>
      <c r="BB153" s="345"/>
      <c r="BC153" s="345"/>
      <c r="BD153" s="345"/>
      <c r="BE153" s="345"/>
    </row>
    <row r="154" ht="13.5" customHeight="1">
      <c r="A154" s="424">
        <f>'Membership Application List'!A383</f>
        <v>45536.38623</v>
      </c>
      <c r="B154" s="443" t="str">
        <f t="shared" si="6"/>
        <v>September</v>
      </c>
      <c r="C154" s="443">
        <f t="shared" si="7"/>
        <v>2024</v>
      </c>
      <c r="D154" s="426" t="str">
        <f>'Membership Application List'!E383</f>
        <v>Megan DiGiovanni</v>
      </c>
      <c r="E154" s="426">
        <f>IF('Membership Application List'!J383 = "Food/Litter Donation", 0, IF('Membership Application List'!J383 = "$15 Donation, Discord Verification", IF('Membership Application List'!N383 = TRUE, 15, 0)))</f>
        <v>15</v>
      </c>
      <c r="F154" s="426">
        <f>if('Membership Application List'!K383=TRUE, 5,0)</f>
        <v>0</v>
      </c>
      <c r="G154" s="426">
        <f t="shared" si="8"/>
        <v>15</v>
      </c>
      <c r="H154" s="427" t="str">
        <f>'Membership Application List'!L383</f>
        <v>Venmo</v>
      </c>
      <c r="I154" s="428"/>
      <c r="J154" s="463">
        <v>48427.0</v>
      </c>
      <c r="K154" s="464">
        <f t="shared" ref="K154:O154" si="112">SUMIFS($G:$G, $H:$H, K$2, $B:$B, IF($J154&lt;&gt;"", TEXT($J154, "MMMM"), ""), $C:$C, YEAR($J154))</f>
        <v>0</v>
      </c>
      <c r="L154" s="464">
        <f t="shared" si="112"/>
        <v>0</v>
      </c>
      <c r="M154" s="464">
        <f t="shared" si="112"/>
        <v>0</v>
      </c>
      <c r="N154" s="464">
        <f t="shared" si="112"/>
        <v>0</v>
      </c>
      <c r="O154" s="465">
        <f t="shared" si="112"/>
        <v>0</v>
      </c>
      <c r="P154" s="414"/>
      <c r="Q154" s="414"/>
      <c r="R154" s="414"/>
      <c r="S154" s="445"/>
      <c r="T154" s="445"/>
      <c r="U154" s="445"/>
      <c r="V154" s="428"/>
      <c r="W154" s="463">
        <v>48427.0</v>
      </c>
      <c r="X154" s="469">
        <f>SUMIFS(Income!$G:$G,Income!$H:$H, X$2,Income!$F:$F, $V$1, Income!$B:$B, IF($W154&lt;&gt;"", TEXT($W154, "MMMM"), ""), Income!$C:$C, YEAR($W154))</f>
        <v>0</v>
      </c>
      <c r="Y154" s="469">
        <f>SUMIFS(Income!$G:$G,Income!$H:$H, Y$2,Income!$F:$F, $V$1, Income!$B:$B, IF($W154&lt;&gt;"", TEXT($W154, "MMMM"), ""), Income!$C:$C, YEAR($W154))</f>
        <v>0</v>
      </c>
      <c r="Z154" s="469">
        <f>SUMIFS(Income!$G:$G,Income!$H:$H, Z$2,Income!$F:$F, $V$1, Income!$B:$B, IF($W154&lt;&gt;"", TEXT($W154, "MMMM"), ""), Income!$C:$C, YEAR($W154))</f>
        <v>0</v>
      </c>
      <c r="AA154" s="469">
        <f>SUMIFS(Income!$G:$G,Income!$H:$H, AA$2,Income!$F:$F, $V$1, Income!$B:$B, IF($W154&lt;&gt;"", TEXT($W154, "MMMM"), ""), Income!$C:$C, YEAR($W154))</f>
        <v>0</v>
      </c>
      <c r="AB154" s="464">
        <f>SUMIFS(Income!$G:$G,Income!$H:$H, AB$2,Income!$F:$F, $V$1, Income!$B:$B, IF($W154&lt;&gt;"", TEXT($W154, "MMMM"), ""), Income!$C:$C, YEAR($W154))</f>
        <v>0</v>
      </c>
      <c r="AC154" s="470">
        <f>SUMIFS(Income!$G:$G,Income!$H:$H, AC$2,Income!$F:$F, $V$1, Income!$B:$B, IF($W154&lt;&gt;"", TEXT($W154, "MMMM"), ""), Income!$C:$C, YEAR($W154))</f>
        <v>0</v>
      </c>
      <c r="AD154" s="428"/>
      <c r="AE154" s="463">
        <v>48427.0</v>
      </c>
      <c r="AF154" s="469">
        <f>SUMIFS(Income!$G:$G,Income!$H:$H, AF$2,Income!$F:$F, $AD$1, Income!$B:$B, IF($AE154&lt;&gt;"", TEXT($AE154, "MMMM"), ""), Income!$C:$C, YEAR($AE154))</f>
        <v>0</v>
      </c>
      <c r="AG154" s="469">
        <f>SUMIFS(Income!$G:$G,Income!$H:$H, AG$2,Income!$F:$F, $AD$1, Income!$B:$B, IF($AE154&lt;&gt;"", TEXT($AE154, "MMMM"), ""), Income!$C:$C, YEAR($AE154))</f>
        <v>0</v>
      </c>
      <c r="AH154" s="469">
        <f>SUMIFS(Income!$G:$G,Income!$H:$H, AH$2,Income!$F:$F, $AD$1, Income!$B:$B, IF($AE154&lt;&gt;"", TEXT($AE154, "MMMM"), ""), Income!$C:$C, YEAR($AE154))</f>
        <v>0</v>
      </c>
      <c r="AI154" s="469">
        <f>SUMIFS(Income!$G:$G,Income!$H:$H, AI$2,Income!$F:$F, $AD$1, Income!$B:$B, IF($AE154&lt;&gt;"", TEXT($AE154, "MMMM"), ""), Income!$C:$C, YEAR($AE154))</f>
        <v>0</v>
      </c>
      <c r="AJ154" s="464">
        <f>SUMIFS(Income!$G:$G,Income!$H:$H, AJ$2,Income!$F:$F, $AD$1, Income!$B:$B, IF($AE154&lt;&gt;"", TEXT($AE154, "MMMM"), ""), Income!$C:$C, YEAR($AE154))</f>
        <v>0</v>
      </c>
      <c r="AK154" s="470">
        <f>SUMIFS(Income!$G:$G,Income!$H:$H, AK$2,Income!$F:$F, $AD$1, Income!$B:$B, IF($AE154&lt;&gt;"", TEXT($AE154, "MMMM"), ""), Income!$C:$C, YEAR($AE154))</f>
        <v>0</v>
      </c>
      <c r="AL154" s="428"/>
      <c r="AM154" s="463">
        <v>48427.0</v>
      </c>
      <c r="AN154" s="464">
        <f>SUMIFS(Income!$G:$G,Income!$H:$H, AN$2,Income!$F:$F, $AL$1, Income!$B:$B, IF($AM154&lt;&gt;"", TEXT($AM154, "MMMM"), ""), Income!$C:$C, YEAR($AM154))+SUMIFS($T:$T, $U:$U,AN$2,$Q:$Q,IF($AM154&lt;&gt;"", TEXT($AM154, "MMMM"), ""),$R:$R,YEAR($AM154))</f>
        <v>0</v>
      </c>
      <c r="AO154" s="464">
        <f>SUMIFS(Income!$G:$G,Income!$H:$H, AO$2,Income!$F:$F, $AL$1, Income!$B:$B, IF($AM154&lt;&gt;"", TEXT($AM154, "MMMM"), ""), Income!$C:$C, YEAR($AM154))+SUMIFS($T:$T, $U:$U,AO$2,$Q:$Q,IF($AM154&lt;&gt;"", TEXT($AM154, "MMMM"), ""),$R:$R,YEAR($AM154))</f>
        <v>0</v>
      </c>
      <c r="AP154" s="464">
        <f>SUMIFS(Income!$G:$G,Income!$H:$H, AP$2,Income!$F:$F, $AL$1, Income!$B:$B, IF($AM154&lt;&gt;"", TEXT($AM154, "MMMM"), ""), Income!$C:$C, YEAR($AM154))+SUMIFS($T:$T, $U:$U,AP$2,$Q:$Q,IF($AM154&lt;&gt;"", TEXT($AM154, "MMMM"), ""),$R:$R,YEAR($AM154))</f>
        <v>0</v>
      </c>
      <c r="AQ154" s="464">
        <f>SUMIFS(Income!$G:$G,Income!$H:$H, AQ$2,Income!$F:$F, $AL$1, Income!$B:$B, IF($AM154&lt;&gt;"", TEXT($AM154, "MMMM"), ""), Income!$C:$C, YEAR($AM154))+SUMIFS($T:$T, $U:$U,AQ$2,$Q:$Q,IF($AM154&lt;&gt;"", TEXT($AM154, "MMMM"), ""),$R:$R,YEAR($AM154))</f>
        <v>0</v>
      </c>
      <c r="AR154" s="464">
        <f>SUMIFS(Income!$G:$G,Income!$H:$H, AR$2,Income!$F:$F, $AL$1, Income!$B:$B, IF($AM154&lt;&gt;"", TEXT($AM154, "MMMM"), ""), Income!$C:$C, YEAR($AM154))+SUMIFS($T:$T, $U:$U,AR$2,$Q:$Q,IF($AM154&lt;&gt;"", TEXT($AM154, "MMMM"), ""),$R:$R,YEAR($AM154))</f>
        <v>0</v>
      </c>
      <c r="AS154" s="467">
        <f>SUMIFS(Income!$G:$G,Income!$H:$H, AS$2,Income!$F:$F, $AL$1, Income!$B:$B, IF($AM154&lt;&gt;"", TEXT($AM154, "MMMM"), ""), Income!$C:$C, YEAR($AM154))+SUMIFS($T:$T, $U:$U,AS$2,$Q:$Q,IF($AM154&lt;&gt;"", TEXT($AM154, "MMMM"), ""),$R:$R,YEAR($AM154))</f>
        <v>0</v>
      </c>
      <c r="AT154" s="428"/>
      <c r="AU154" s="463">
        <v>48427.0</v>
      </c>
      <c r="AV154" s="469">
        <f>SUMIFS(Income!$G:$G,Income!$H:$H, AV$2,Income!$F:$F, $AT$1, Income!$B:$B, IF($AU154&lt;&gt;"", TEXT($AU154, "MMMM"), ""), Income!$C:$C, YEAR($AU154))</f>
        <v>0</v>
      </c>
      <c r="AW154" s="469">
        <f>SUMIFS(Income!$G:$G,Income!$H:$H, AW$2,Income!$F:$F, $AT$1, Income!$B:$B, IF($AU154&lt;&gt;"", TEXT($AU154, "MMMM"), ""), Income!$C:$C, YEAR($AU154))</f>
        <v>0</v>
      </c>
      <c r="AX154" s="469">
        <f>SUMIFS(Income!$G:$G,Income!$H:$H, AX$2,Income!$F:$F, $AT$1, Income!$B:$B, IF($AU154&lt;&gt;"", TEXT($AU154, "MMMM"), ""), Income!$C:$C, YEAR($AU154))</f>
        <v>0</v>
      </c>
      <c r="AY154" s="469">
        <f>SUMIFS(Income!$G:$G,Income!$H:$H, AY$2,Income!$F:$F, $AT$1, Income!$B:$B, IF($AU154&lt;&gt;"", TEXT($AU154, "MMMM"), ""), Income!$C:$C, YEAR($AU154))</f>
        <v>0</v>
      </c>
      <c r="AZ154" s="464">
        <f>SUMIFS(Income!$G:$G,Income!$H:$H, AZ$2,Income!$F:$F, $AT$1, Income!$B:$B, IF($AU154&lt;&gt;"", TEXT($AU154, "MMMM"), ""), Income!$C:$C, YEAR($AU154))</f>
        <v>0</v>
      </c>
      <c r="BA154" s="471">
        <f>SUMIFS(Income!$G:$G,Income!$H:$H, BA$2,Income!$F:$F, $AT$1, Income!$B:$B, IF($AU154&lt;&gt;"", TEXT($AU154, "MMMM"), ""), Income!$C:$C, YEAR($AU154))</f>
        <v>0</v>
      </c>
      <c r="BB154" s="345"/>
      <c r="BC154" s="345"/>
      <c r="BD154" s="345"/>
      <c r="BE154" s="345"/>
    </row>
    <row r="155" ht="13.5" customHeight="1">
      <c r="A155" s="436">
        <f>'Membership Application List'!A384</f>
        <v>45538.48728</v>
      </c>
      <c r="B155" s="437" t="str">
        <f t="shared" si="6"/>
        <v>September</v>
      </c>
      <c r="C155" s="437">
        <f t="shared" si="7"/>
        <v>2024</v>
      </c>
      <c r="D155" s="438" t="str">
        <f>'Membership Application List'!E384</f>
        <v>Natalie Ramirez </v>
      </c>
      <c r="E155" s="438">
        <f>IF('Membership Application List'!J384 = "Food/Litter Donation", 0, IF('Membership Application List'!J384 = "$15 Donation, Discord Verification", IF('Membership Application List'!N384 = TRUE, 15, 0)))</f>
        <v>0</v>
      </c>
      <c r="F155" s="438">
        <f>if('Membership Application List'!K384=TRUE, 5,0)</f>
        <v>0</v>
      </c>
      <c r="G155" s="438">
        <f t="shared" si="8"/>
        <v>0</v>
      </c>
      <c r="H155" s="439" t="str">
        <f>'Membership Application List'!L384</f>
        <v/>
      </c>
      <c r="I155" s="428"/>
      <c r="J155" s="463">
        <v>48458.0</v>
      </c>
      <c r="K155" s="464">
        <f t="shared" ref="K155:O155" si="113">SUMIFS($G:$G, $H:$H, K$2, $B:$B, IF($J155&lt;&gt;"", TEXT($J155, "MMMM"), ""), $C:$C, YEAR($J155))</f>
        <v>0</v>
      </c>
      <c r="L155" s="464">
        <f t="shared" si="113"/>
        <v>0</v>
      </c>
      <c r="M155" s="464">
        <f t="shared" si="113"/>
        <v>0</v>
      </c>
      <c r="N155" s="464">
        <f t="shared" si="113"/>
        <v>0</v>
      </c>
      <c r="O155" s="465">
        <f t="shared" si="113"/>
        <v>0</v>
      </c>
      <c r="P155" s="414"/>
      <c r="Q155" s="414"/>
      <c r="R155" s="414"/>
      <c r="S155" s="445"/>
      <c r="T155" s="445"/>
      <c r="U155" s="445"/>
      <c r="V155" s="428"/>
      <c r="W155" s="463">
        <v>48458.0</v>
      </c>
      <c r="X155" s="469">
        <f>SUMIFS(Income!$G:$G,Income!$H:$H, X$2,Income!$F:$F, $V$1, Income!$B:$B, IF($W155&lt;&gt;"", TEXT($W155, "MMMM"), ""), Income!$C:$C, YEAR($W155))</f>
        <v>0</v>
      </c>
      <c r="Y155" s="469">
        <f>SUMIFS(Income!$G:$G,Income!$H:$H, Y$2,Income!$F:$F, $V$1, Income!$B:$B, IF($W155&lt;&gt;"", TEXT($W155, "MMMM"), ""), Income!$C:$C, YEAR($W155))</f>
        <v>0</v>
      </c>
      <c r="Z155" s="469">
        <f>SUMIFS(Income!$G:$G,Income!$H:$H, Z$2,Income!$F:$F, $V$1, Income!$B:$B, IF($W155&lt;&gt;"", TEXT($W155, "MMMM"), ""), Income!$C:$C, YEAR($W155))</f>
        <v>0</v>
      </c>
      <c r="AA155" s="469">
        <f>SUMIFS(Income!$G:$G,Income!$H:$H, AA$2,Income!$F:$F, $V$1, Income!$B:$B, IF($W155&lt;&gt;"", TEXT($W155, "MMMM"), ""), Income!$C:$C, YEAR($W155))</f>
        <v>0</v>
      </c>
      <c r="AB155" s="464">
        <f>SUMIFS(Income!$G:$G,Income!$H:$H, AB$2,Income!$F:$F, $V$1, Income!$B:$B, IF($W155&lt;&gt;"", TEXT($W155, "MMMM"), ""), Income!$C:$C, YEAR($W155))</f>
        <v>0</v>
      </c>
      <c r="AC155" s="470">
        <f>SUMIFS(Income!$G:$G,Income!$H:$H, AC$2,Income!$F:$F, $V$1, Income!$B:$B, IF($W155&lt;&gt;"", TEXT($W155, "MMMM"), ""), Income!$C:$C, YEAR($W155))</f>
        <v>0</v>
      </c>
      <c r="AD155" s="428"/>
      <c r="AE155" s="463">
        <v>48458.0</v>
      </c>
      <c r="AF155" s="469">
        <f>SUMIFS(Income!$G:$G,Income!$H:$H, AF$2,Income!$F:$F, $AD$1, Income!$B:$B, IF($AE155&lt;&gt;"", TEXT($AE155, "MMMM"), ""), Income!$C:$C, YEAR($AE155))</f>
        <v>0</v>
      </c>
      <c r="AG155" s="469">
        <f>SUMIFS(Income!$G:$G,Income!$H:$H, AG$2,Income!$F:$F, $AD$1, Income!$B:$B, IF($AE155&lt;&gt;"", TEXT($AE155, "MMMM"), ""), Income!$C:$C, YEAR($AE155))</f>
        <v>0</v>
      </c>
      <c r="AH155" s="469">
        <f>SUMIFS(Income!$G:$G,Income!$H:$H, AH$2,Income!$F:$F, $AD$1, Income!$B:$B, IF($AE155&lt;&gt;"", TEXT($AE155, "MMMM"), ""), Income!$C:$C, YEAR($AE155))</f>
        <v>0</v>
      </c>
      <c r="AI155" s="469">
        <f>SUMIFS(Income!$G:$G,Income!$H:$H, AI$2,Income!$F:$F, $AD$1, Income!$B:$B, IF($AE155&lt;&gt;"", TEXT($AE155, "MMMM"), ""), Income!$C:$C, YEAR($AE155))</f>
        <v>0</v>
      </c>
      <c r="AJ155" s="464">
        <f>SUMIFS(Income!$G:$G,Income!$H:$H, AJ$2,Income!$F:$F, $AD$1, Income!$B:$B, IF($AE155&lt;&gt;"", TEXT($AE155, "MMMM"), ""), Income!$C:$C, YEAR($AE155))</f>
        <v>0</v>
      </c>
      <c r="AK155" s="470">
        <f>SUMIFS(Income!$G:$G,Income!$H:$H, AK$2,Income!$F:$F, $AD$1, Income!$B:$B, IF($AE155&lt;&gt;"", TEXT($AE155, "MMMM"), ""), Income!$C:$C, YEAR($AE155))</f>
        <v>0</v>
      </c>
      <c r="AL155" s="428"/>
      <c r="AM155" s="463">
        <v>48458.0</v>
      </c>
      <c r="AN155" s="464">
        <f>SUMIFS(Income!$G:$G,Income!$H:$H, AN$2,Income!$F:$F, $AL$1, Income!$B:$B, IF($AM155&lt;&gt;"", TEXT($AM155, "MMMM"), ""), Income!$C:$C, YEAR($AM155))+SUMIFS($T:$T, $U:$U,AN$2,$Q:$Q,IF($AM155&lt;&gt;"", TEXT($AM155, "MMMM"), ""),$R:$R,YEAR($AM155))</f>
        <v>0</v>
      </c>
      <c r="AO155" s="464">
        <f>SUMIFS(Income!$G:$G,Income!$H:$H, AO$2,Income!$F:$F, $AL$1, Income!$B:$B, IF($AM155&lt;&gt;"", TEXT($AM155, "MMMM"), ""), Income!$C:$C, YEAR($AM155))+SUMIFS($T:$T, $U:$U,AO$2,$Q:$Q,IF($AM155&lt;&gt;"", TEXT($AM155, "MMMM"), ""),$R:$R,YEAR($AM155))</f>
        <v>0</v>
      </c>
      <c r="AP155" s="464">
        <f>SUMIFS(Income!$G:$G,Income!$H:$H, AP$2,Income!$F:$F, $AL$1, Income!$B:$B, IF($AM155&lt;&gt;"", TEXT($AM155, "MMMM"), ""), Income!$C:$C, YEAR($AM155))+SUMIFS($T:$T, $U:$U,AP$2,$Q:$Q,IF($AM155&lt;&gt;"", TEXT($AM155, "MMMM"), ""),$R:$R,YEAR($AM155))</f>
        <v>0</v>
      </c>
      <c r="AQ155" s="464">
        <f>SUMIFS(Income!$G:$G,Income!$H:$H, AQ$2,Income!$F:$F, $AL$1, Income!$B:$B, IF($AM155&lt;&gt;"", TEXT($AM155, "MMMM"), ""), Income!$C:$C, YEAR($AM155))+SUMIFS($T:$T, $U:$U,AQ$2,$Q:$Q,IF($AM155&lt;&gt;"", TEXT($AM155, "MMMM"), ""),$R:$R,YEAR($AM155))</f>
        <v>0</v>
      </c>
      <c r="AR155" s="464">
        <f>SUMIFS(Income!$G:$G,Income!$H:$H, AR$2,Income!$F:$F, $AL$1, Income!$B:$B, IF($AM155&lt;&gt;"", TEXT($AM155, "MMMM"), ""), Income!$C:$C, YEAR($AM155))+SUMIFS($T:$T, $U:$U,AR$2,$Q:$Q,IF($AM155&lt;&gt;"", TEXT($AM155, "MMMM"), ""),$R:$R,YEAR($AM155))</f>
        <v>0</v>
      </c>
      <c r="AS155" s="467">
        <f>SUMIFS(Income!$G:$G,Income!$H:$H, AS$2,Income!$F:$F, $AL$1, Income!$B:$B, IF($AM155&lt;&gt;"", TEXT($AM155, "MMMM"), ""), Income!$C:$C, YEAR($AM155))+SUMIFS($T:$T, $U:$U,AS$2,$Q:$Q,IF($AM155&lt;&gt;"", TEXT($AM155, "MMMM"), ""),$R:$R,YEAR($AM155))</f>
        <v>0</v>
      </c>
      <c r="AT155" s="428"/>
      <c r="AU155" s="463">
        <v>48458.0</v>
      </c>
      <c r="AV155" s="469">
        <f>SUMIFS(Income!$G:$G,Income!$H:$H, AV$2,Income!$F:$F, $AT$1, Income!$B:$B, IF($AU155&lt;&gt;"", TEXT($AU155, "MMMM"), ""), Income!$C:$C, YEAR($AU155))</f>
        <v>0</v>
      </c>
      <c r="AW155" s="469">
        <f>SUMIFS(Income!$G:$G,Income!$H:$H, AW$2,Income!$F:$F, $AT$1, Income!$B:$B, IF($AU155&lt;&gt;"", TEXT($AU155, "MMMM"), ""), Income!$C:$C, YEAR($AU155))</f>
        <v>0</v>
      </c>
      <c r="AX155" s="469">
        <f>SUMIFS(Income!$G:$G,Income!$H:$H, AX$2,Income!$F:$F, $AT$1, Income!$B:$B, IF($AU155&lt;&gt;"", TEXT($AU155, "MMMM"), ""), Income!$C:$C, YEAR($AU155))</f>
        <v>0</v>
      </c>
      <c r="AY155" s="469">
        <f>SUMIFS(Income!$G:$G,Income!$H:$H, AY$2,Income!$F:$F, $AT$1, Income!$B:$B, IF($AU155&lt;&gt;"", TEXT($AU155, "MMMM"), ""), Income!$C:$C, YEAR($AU155))</f>
        <v>0</v>
      </c>
      <c r="AZ155" s="464">
        <f>SUMIFS(Income!$G:$G,Income!$H:$H, AZ$2,Income!$F:$F, $AT$1, Income!$B:$B, IF($AU155&lt;&gt;"", TEXT($AU155, "MMMM"), ""), Income!$C:$C, YEAR($AU155))</f>
        <v>0</v>
      </c>
      <c r="BA155" s="471">
        <f>SUMIFS(Income!$G:$G,Income!$H:$H, BA$2,Income!$F:$F, $AT$1, Income!$B:$B, IF($AU155&lt;&gt;"", TEXT($AU155, "MMMM"), ""), Income!$C:$C, YEAR($AU155))</f>
        <v>0</v>
      </c>
      <c r="BB155" s="345"/>
      <c r="BC155" s="345"/>
      <c r="BD155" s="345"/>
      <c r="BE155" s="345"/>
    </row>
    <row r="156" ht="13.5" customHeight="1">
      <c r="A156" s="424">
        <f>'Membership Application List'!A385</f>
        <v>45538.57108</v>
      </c>
      <c r="B156" s="443" t="str">
        <f t="shared" si="6"/>
        <v>September</v>
      </c>
      <c r="C156" s="443">
        <f t="shared" si="7"/>
        <v>2024</v>
      </c>
      <c r="D156" s="426" t="str">
        <f>'Membership Application List'!E385</f>
        <v>Jesus A Gandara</v>
      </c>
      <c r="E156" s="426">
        <f>IF('Membership Application List'!J385 = "Food/Litter Donation", 0, IF('Membership Application List'!J385 = "$15 Donation, Discord Verification", IF('Membership Application List'!N385 = TRUE, 15, 0)))</f>
        <v>0</v>
      </c>
      <c r="F156" s="426">
        <f>if('Membership Application List'!K385=TRUE, 5,0)</f>
        <v>0</v>
      </c>
      <c r="G156" s="426">
        <f t="shared" si="8"/>
        <v>0</v>
      </c>
      <c r="H156" s="427" t="str">
        <f>'Membership Application List'!L385</f>
        <v>Cash</v>
      </c>
      <c r="I156" s="428"/>
      <c r="J156" s="463">
        <v>48488.0</v>
      </c>
      <c r="K156" s="464">
        <f t="shared" ref="K156:O156" si="114">SUMIFS($G:$G, $H:$H, K$2, $B:$B, IF($J156&lt;&gt;"", TEXT($J156, "MMMM"), ""), $C:$C, YEAR($J156))</f>
        <v>0</v>
      </c>
      <c r="L156" s="464">
        <f t="shared" si="114"/>
        <v>0</v>
      </c>
      <c r="M156" s="464">
        <f t="shared" si="114"/>
        <v>0</v>
      </c>
      <c r="N156" s="464">
        <f t="shared" si="114"/>
        <v>0</v>
      </c>
      <c r="O156" s="465">
        <f t="shared" si="114"/>
        <v>0</v>
      </c>
      <c r="P156" s="414"/>
      <c r="Q156" s="414"/>
      <c r="R156" s="414"/>
      <c r="S156" s="445"/>
      <c r="T156" s="445"/>
      <c r="U156" s="445"/>
      <c r="V156" s="428"/>
      <c r="W156" s="463">
        <v>48488.0</v>
      </c>
      <c r="X156" s="469">
        <f>SUMIFS(Income!$G:$G,Income!$H:$H, X$2,Income!$F:$F, $V$1, Income!$B:$B, IF($W156&lt;&gt;"", TEXT($W156, "MMMM"), ""), Income!$C:$C, YEAR($W156))</f>
        <v>0</v>
      </c>
      <c r="Y156" s="469">
        <f>SUMIFS(Income!$G:$G,Income!$H:$H, Y$2,Income!$F:$F, $V$1, Income!$B:$B, IF($W156&lt;&gt;"", TEXT($W156, "MMMM"), ""), Income!$C:$C, YEAR($W156))</f>
        <v>0</v>
      </c>
      <c r="Z156" s="469">
        <f>SUMIFS(Income!$G:$G,Income!$H:$H, Z$2,Income!$F:$F, $V$1, Income!$B:$B, IF($W156&lt;&gt;"", TEXT($W156, "MMMM"), ""), Income!$C:$C, YEAR($W156))</f>
        <v>0</v>
      </c>
      <c r="AA156" s="469">
        <f>SUMIFS(Income!$G:$G,Income!$H:$H, AA$2,Income!$F:$F, $V$1, Income!$B:$B, IF($W156&lt;&gt;"", TEXT($W156, "MMMM"), ""), Income!$C:$C, YEAR($W156))</f>
        <v>0</v>
      </c>
      <c r="AB156" s="464">
        <f>SUMIFS(Income!$G:$G,Income!$H:$H, AB$2,Income!$F:$F, $V$1, Income!$B:$B, IF($W156&lt;&gt;"", TEXT($W156, "MMMM"), ""), Income!$C:$C, YEAR($W156))</f>
        <v>0</v>
      </c>
      <c r="AC156" s="470">
        <f>SUMIFS(Income!$G:$G,Income!$H:$H, AC$2,Income!$F:$F, $V$1, Income!$B:$B, IF($W156&lt;&gt;"", TEXT($W156, "MMMM"), ""), Income!$C:$C, YEAR($W156))</f>
        <v>0</v>
      </c>
      <c r="AD156" s="428"/>
      <c r="AE156" s="463">
        <v>48488.0</v>
      </c>
      <c r="AF156" s="469">
        <f>SUMIFS(Income!$G:$G,Income!$H:$H, AF$2,Income!$F:$F, $AD$1, Income!$B:$B, IF($AE156&lt;&gt;"", TEXT($AE156, "MMMM"), ""), Income!$C:$C, YEAR($AE156))</f>
        <v>0</v>
      </c>
      <c r="AG156" s="469">
        <f>SUMIFS(Income!$G:$G,Income!$H:$H, AG$2,Income!$F:$F, $AD$1, Income!$B:$B, IF($AE156&lt;&gt;"", TEXT($AE156, "MMMM"), ""), Income!$C:$C, YEAR($AE156))</f>
        <v>0</v>
      </c>
      <c r="AH156" s="469">
        <f>SUMIFS(Income!$G:$G,Income!$H:$H, AH$2,Income!$F:$F, $AD$1, Income!$B:$B, IF($AE156&lt;&gt;"", TEXT($AE156, "MMMM"), ""), Income!$C:$C, YEAR($AE156))</f>
        <v>0</v>
      </c>
      <c r="AI156" s="469">
        <f>SUMIFS(Income!$G:$G,Income!$H:$H, AI$2,Income!$F:$F, $AD$1, Income!$B:$B, IF($AE156&lt;&gt;"", TEXT($AE156, "MMMM"), ""), Income!$C:$C, YEAR($AE156))</f>
        <v>0</v>
      </c>
      <c r="AJ156" s="464">
        <f>SUMIFS(Income!$G:$G,Income!$H:$H, AJ$2,Income!$F:$F, $AD$1, Income!$B:$B, IF($AE156&lt;&gt;"", TEXT($AE156, "MMMM"), ""), Income!$C:$C, YEAR($AE156))</f>
        <v>0</v>
      </c>
      <c r="AK156" s="470">
        <f>SUMIFS(Income!$G:$G,Income!$H:$H, AK$2,Income!$F:$F, $AD$1, Income!$B:$B, IF($AE156&lt;&gt;"", TEXT($AE156, "MMMM"), ""), Income!$C:$C, YEAR($AE156))</f>
        <v>0</v>
      </c>
      <c r="AL156" s="428"/>
      <c r="AM156" s="463">
        <v>48488.0</v>
      </c>
      <c r="AN156" s="464">
        <f>SUMIFS(Income!$G:$G,Income!$H:$H, AN$2,Income!$F:$F, $AL$1, Income!$B:$B, IF($AM156&lt;&gt;"", TEXT($AM156, "MMMM"), ""), Income!$C:$C, YEAR($AM156))+SUMIFS($T:$T, $U:$U,AN$2,$Q:$Q,IF($AM156&lt;&gt;"", TEXT($AM156, "MMMM"), ""),$R:$R,YEAR($AM156))</f>
        <v>0</v>
      </c>
      <c r="AO156" s="464">
        <f>SUMIFS(Income!$G:$G,Income!$H:$H, AO$2,Income!$F:$F, $AL$1, Income!$B:$B, IF($AM156&lt;&gt;"", TEXT($AM156, "MMMM"), ""), Income!$C:$C, YEAR($AM156))+SUMIFS($T:$T, $U:$U,AO$2,$Q:$Q,IF($AM156&lt;&gt;"", TEXT($AM156, "MMMM"), ""),$R:$R,YEAR($AM156))</f>
        <v>0</v>
      </c>
      <c r="AP156" s="464">
        <f>SUMIFS(Income!$G:$G,Income!$H:$H, AP$2,Income!$F:$F, $AL$1, Income!$B:$B, IF($AM156&lt;&gt;"", TEXT($AM156, "MMMM"), ""), Income!$C:$C, YEAR($AM156))+SUMIFS($T:$T, $U:$U,AP$2,$Q:$Q,IF($AM156&lt;&gt;"", TEXT($AM156, "MMMM"), ""),$R:$R,YEAR($AM156))</f>
        <v>0</v>
      </c>
      <c r="AQ156" s="464">
        <f>SUMIFS(Income!$G:$G,Income!$H:$H, AQ$2,Income!$F:$F, $AL$1, Income!$B:$B, IF($AM156&lt;&gt;"", TEXT($AM156, "MMMM"), ""), Income!$C:$C, YEAR($AM156))+SUMIFS($T:$T, $U:$U,AQ$2,$Q:$Q,IF($AM156&lt;&gt;"", TEXT($AM156, "MMMM"), ""),$R:$R,YEAR($AM156))</f>
        <v>0</v>
      </c>
      <c r="AR156" s="464">
        <f>SUMIFS(Income!$G:$G,Income!$H:$H, AR$2,Income!$F:$F, $AL$1, Income!$B:$B, IF($AM156&lt;&gt;"", TEXT($AM156, "MMMM"), ""), Income!$C:$C, YEAR($AM156))+SUMIFS($T:$T, $U:$U,AR$2,$Q:$Q,IF($AM156&lt;&gt;"", TEXT($AM156, "MMMM"), ""),$R:$R,YEAR($AM156))</f>
        <v>0</v>
      </c>
      <c r="AS156" s="467">
        <f>SUMIFS(Income!$G:$G,Income!$H:$H, AS$2,Income!$F:$F, $AL$1, Income!$B:$B, IF($AM156&lt;&gt;"", TEXT($AM156, "MMMM"), ""), Income!$C:$C, YEAR($AM156))+SUMIFS($T:$T, $U:$U,AS$2,$Q:$Q,IF($AM156&lt;&gt;"", TEXT($AM156, "MMMM"), ""),$R:$R,YEAR($AM156))</f>
        <v>0</v>
      </c>
      <c r="AT156" s="428"/>
      <c r="AU156" s="463">
        <v>48488.0</v>
      </c>
      <c r="AV156" s="469">
        <f>SUMIFS(Income!$G:$G,Income!$H:$H, AV$2,Income!$F:$F, $AT$1, Income!$B:$B, IF($AU156&lt;&gt;"", TEXT($AU156, "MMMM"), ""), Income!$C:$C, YEAR($AU156))</f>
        <v>0</v>
      </c>
      <c r="AW156" s="469">
        <f>SUMIFS(Income!$G:$G,Income!$H:$H, AW$2,Income!$F:$F, $AT$1, Income!$B:$B, IF($AU156&lt;&gt;"", TEXT($AU156, "MMMM"), ""), Income!$C:$C, YEAR($AU156))</f>
        <v>0</v>
      </c>
      <c r="AX156" s="469">
        <f>SUMIFS(Income!$G:$G,Income!$H:$H, AX$2,Income!$F:$F, $AT$1, Income!$B:$B, IF($AU156&lt;&gt;"", TEXT($AU156, "MMMM"), ""), Income!$C:$C, YEAR($AU156))</f>
        <v>0</v>
      </c>
      <c r="AY156" s="469">
        <f>SUMIFS(Income!$G:$G,Income!$H:$H, AY$2,Income!$F:$F, $AT$1, Income!$B:$B, IF($AU156&lt;&gt;"", TEXT($AU156, "MMMM"), ""), Income!$C:$C, YEAR($AU156))</f>
        <v>0</v>
      </c>
      <c r="AZ156" s="464">
        <f>SUMIFS(Income!$G:$G,Income!$H:$H, AZ$2,Income!$F:$F, $AT$1, Income!$B:$B, IF($AU156&lt;&gt;"", TEXT($AU156, "MMMM"), ""), Income!$C:$C, YEAR($AU156))</f>
        <v>0</v>
      </c>
      <c r="BA156" s="471">
        <f>SUMIFS(Income!$G:$G,Income!$H:$H, BA$2,Income!$F:$F, $AT$1, Income!$B:$B, IF($AU156&lt;&gt;"", TEXT($AU156, "MMMM"), ""), Income!$C:$C, YEAR($AU156))</f>
        <v>0</v>
      </c>
      <c r="BB156" s="345"/>
      <c r="BC156" s="345"/>
      <c r="BD156" s="345"/>
      <c r="BE156" s="345"/>
    </row>
    <row r="157" ht="13.5" customHeight="1">
      <c r="A157" s="436">
        <f>'Membership Application List'!A386</f>
        <v>45539.42521</v>
      </c>
      <c r="B157" s="437" t="str">
        <f t="shared" si="6"/>
        <v>September</v>
      </c>
      <c r="C157" s="437">
        <f t="shared" si="7"/>
        <v>2024</v>
      </c>
      <c r="D157" s="438" t="str">
        <f>'Membership Application List'!E386</f>
        <v>Matt Carroll</v>
      </c>
      <c r="E157" s="438">
        <f>IF('Membership Application List'!J386 = "Food/Litter Donation", 0, IF('Membership Application List'!J386 = "$15 Donation, Discord Verification", IF('Membership Application List'!N386 = TRUE, 15, 0)))</f>
        <v>15</v>
      </c>
      <c r="F157" s="438">
        <f>if('Membership Application List'!K386=TRUE, 5,0)</f>
        <v>0</v>
      </c>
      <c r="G157" s="438">
        <f t="shared" si="8"/>
        <v>15</v>
      </c>
      <c r="H157" s="439" t="str">
        <f>'Membership Application List'!L386</f>
        <v>Paypal</v>
      </c>
      <c r="I157" s="428"/>
      <c r="J157" s="463">
        <v>48519.0</v>
      </c>
      <c r="K157" s="464">
        <f t="shared" ref="K157:O157" si="115">SUMIFS($G:$G, $H:$H, K$2, $B:$B, IF($J157&lt;&gt;"", TEXT($J157, "MMMM"), ""), $C:$C, YEAR($J157))</f>
        <v>0</v>
      </c>
      <c r="L157" s="464">
        <f t="shared" si="115"/>
        <v>0</v>
      </c>
      <c r="M157" s="464">
        <f t="shared" si="115"/>
        <v>0</v>
      </c>
      <c r="N157" s="464">
        <f t="shared" si="115"/>
        <v>0</v>
      </c>
      <c r="O157" s="465">
        <f t="shared" si="115"/>
        <v>0</v>
      </c>
      <c r="P157" s="414"/>
      <c r="Q157" s="414"/>
      <c r="R157" s="414"/>
      <c r="S157" s="445"/>
      <c r="T157" s="445"/>
      <c r="U157" s="445"/>
      <c r="V157" s="428"/>
      <c r="W157" s="463">
        <v>48519.0</v>
      </c>
      <c r="X157" s="469">
        <f>SUMIFS(Income!$G:$G,Income!$H:$H, X$2,Income!$F:$F, $V$1, Income!$B:$B, IF($W157&lt;&gt;"", TEXT($W157, "MMMM"), ""), Income!$C:$C, YEAR($W157))</f>
        <v>0</v>
      </c>
      <c r="Y157" s="469">
        <f>SUMIFS(Income!$G:$G,Income!$H:$H, Y$2,Income!$F:$F, $V$1, Income!$B:$B, IF($W157&lt;&gt;"", TEXT($W157, "MMMM"), ""), Income!$C:$C, YEAR($W157))</f>
        <v>0</v>
      </c>
      <c r="Z157" s="469">
        <f>SUMIFS(Income!$G:$G,Income!$H:$H, Z$2,Income!$F:$F, $V$1, Income!$B:$B, IF($W157&lt;&gt;"", TEXT($W157, "MMMM"), ""), Income!$C:$C, YEAR($W157))</f>
        <v>0</v>
      </c>
      <c r="AA157" s="469">
        <f>SUMIFS(Income!$G:$G,Income!$H:$H, AA$2,Income!$F:$F, $V$1, Income!$B:$B, IF($W157&lt;&gt;"", TEXT($W157, "MMMM"), ""), Income!$C:$C, YEAR($W157))</f>
        <v>0</v>
      </c>
      <c r="AB157" s="464">
        <f>SUMIFS(Income!$G:$G,Income!$H:$H, AB$2,Income!$F:$F, $V$1, Income!$B:$B, IF($W157&lt;&gt;"", TEXT($W157, "MMMM"), ""), Income!$C:$C, YEAR($W157))</f>
        <v>0</v>
      </c>
      <c r="AC157" s="470">
        <f>SUMIFS(Income!$G:$G,Income!$H:$H, AC$2,Income!$F:$F, $V$1, Income!$B:$B, IF($W157&lt;&gt;"", TEXT($W157, "MMMM"), ""), Income!$C:$C, YEAR($W157))</f>
        <v>0</v>
      </c>
      <c r="AD157" s="428"/>
      <c r="AE157" s="463">
        <v>48519.0</v>
      </c>
      <c r="AF157" s="469">
        <f>SUMIFS(Income!$G:$G,Income!$H:$H, AF$2,Income!$F:$F, $AD$1, Income!$B:$B, IF($AE157&lt;&gt;"", TEXT($AE157, "MMMM"), ""), Income!$C:$C, YEAR($AE157))</f>
        <v>0</v>
      </c>
      <c r="AG157" s="469">
        <f>SUMIFS(Income!$G:$G,Income!$H:$H, AG$2,Income!$F:$F, $AD$1, Income!$B:$B, IF($AE157&lt;&gt;"", TEXT($AE157, "MMMM"), ""), Income!$C:$C, YEAR($AE157))</f>
        <v>0</v>
      </c>
      <c r="AH157" s="469">
        <f>SUMIFS(Income!$G:$G,Income!$H:$H, AH$2,Income!$F:$F, $AD$1, Income!$B:$B, IF($AE157&lt;&gt;"", TEXT($AE157, "MMMM"), ""), Income!$C:$C, YEAR($AE157))</f>
        <v>0</v>
      </c>
      <c r="AI157" s="469">
        <f>SUMIFS(Income!$G:$G,Income!$H:$H, AI$2,Income!$F:$F, $AD$1, Income!$B:$B, IF($AE157&lt;&gt;"", TEXT($AE157, "MMMM"), ""), Income!$C:$C, YEAR($AE157))</f>
        <v>0</v>
      </c>
      <c r="AJ157" s="464">
        <f>SUMIFS(Income!$G:$G,Income!$H:$H, AJ$2,Income!$F:$F, $AD$1, Income!$B:$B, IF($AE157&lt;&gt;"", TEXT($AE157, "MMMM"), ""), Income!$C:$C, YEAR($AE157))</f>
        <v>0</v>
      </c>
      <c r="AK157" s="470">
        <f>SUMIFS(Income!$G:$G,Income!$H:$H, AK$2,Income!$F:$F, $AD$1, Income!$B:$B, IF($AE157&lt;&gt;"", TEXT($AE157, "MMMM"), ""), Income!$C:$C, YEAR($AE157))</f>
        <v>0</v>
      </c>
      <c r="AL157" s="428"/>
      <c r="AM157" s="463">
        <v>48519.0</v>
      </c>
      <c r="AN157" s="464">
        <f>SUMIFS(Income!$G:$G,Income!$H:$H, AN$2,Income!$F:$F, $AL$1, Income!$B:$B, IF($AM157&lt;&gt;"", TEXT($AM157, "MMMM"), ""), Income!$C:$C, YEAR($AM157))+SUMIFS($T:$T, $U:$U,AN$2,$Q:$Q,IF($AM157&lt;&gt;"", TEXT($AM157, "MMMM"), ""),$R:$R,YEAR($AM157))</f>
        <v>0</v>
      </c>
      <c r="AO157" s="464">
        <f>SUMIFS(Income!$G:$G,Income!$H:$H, AO$2,Income!$F:$F, $AL$1, Income!$B:$B, IF($AM157&lt;&gt;"", TEXT($AM157, "MMMM"), ""), Income!$C:$C, YEAR($AM157))+SUMIFS($T:$T, $U:$U,AO$2,$Q:$Q,IF($AM157&lt;&gt;"", TEXT($AM157, "MMMM"), ""),$R:$R,YEAR($AM157))</f>
        <v>0</v>
      </c>
      <c r="AP157" s="464">
        <f>SUMIFS(Income!$G:$G,Income!$H:$H, AP$2,Income!$F:$F, $AL$1, Income!$B:$B, IF($AM157&lt;&gt;"", TEXT($AM157, "MMMM"), ""), Income!$C:$C, YEAR($AM157))+SUMIFS($T:$T, $U:$U,AP$2,$Q:$Q,IF($AM157&lt;&gt;"", TEXT($AM157, "MMMM"), ""),$R:$R,YEAR($AM157))</f>
        <v>0</v>
      </c>
      <c r="AQ157" s="464">
        <f>SUMIFS(Income!$G:$G,Income!$H:$H, AQ$2,Income!$F:$F, $AL$1, Income!$B:$B, IF($AM157&lt;&gt;"", TEXT($AM157, "MMMM"), ""), Income!$C:$C, YEAR($AM157))+SUMIFS($T:$T, $U:$U,AQ$2,$Q:$Q,IF($AM157&lt;&gt;"", TEXT($AM157, "MMMM"), ""),$R:$R,YEAR($AM157))</f>
        <v>0</v>
      </c>
      <c r="AR157" s="464">
        <f>SUMIFS(Income!$G:$G,Income!$H:$H, AR$2,Income!$F:$F, $AL$1, Income!$B:$B, IF($AM157&lt;&gt;"", TEXT($AM157, "MMMM"), ""), Income!$C:$C, YEAR($AM157))+SUMIFS($T:$T, $U:$U,AR$2,$Q:$Q,IF($AM157&lt;&gt;"", TEXT($AM157, "MMMM"), ""),$R:$R,YEAR($AM157))</f>
        <v>0</v>
      </c>
      <c r="AS157" s="467">
        <f>SUMIFS(Income!$G:$G,Income!$H:$H, AS$2,Income!$F:$F, $AL$1, Income!$B:$B, IF($AM157&lt;&gt;"", TEXT($AM157, "MMMM"), ""), Income!$C:$C, YEAR($AM157))+SUMIFS($T:$T, $U:$U,AS$2,$Q:$Q,IF($AM157&lt;&gt;"", TEXT($AM157, "MMMM"), ""),$R:$R,YEAR($AM157))</f>
        <v>0</v>
      </c>
      <c r="AT157" s="428"/>
      <c r="AU157" s="463">
        <v>48519.0</v>
      </c>
      <c r="AV157" s="469">
        <f>SUMIFS(Income!$G:$G,Income!$H:$H, AV$2,Income!$F:$F, $AT$1, Income!$B:$B, IF($AU157&lt;&gt;"", TEXT($AU157, "MMMM"), ""), Income!$C:$C, YEAR($AU157))</f>
        <v>0</v>
      </c>
      <c r="AW157" s="469">
        <f>SUMIFS(Income!$G:$G,Income!$H:$H, AW$2,Income!$F:$F, $AT$1, Income!$B:$B, IF($AU157&lt;&gt;"", TEXT($AU157, "MMMM"), ""), Income!$C:$C, YEAR($AU157))</f>
        <v>0</v>
      </c>
      <c r="AX157" s="469">
        <f>SUMIFS(Income!$G:$G,Income!$H:$H, AX$2,Income!$F:$F, $AT$1, Income!$B:$B, IF($AU157&lt;&gt;"", TEXT($AU157, "MMMM"), ""), Income!$C:$C, YEAR($AU157))</f>
        <v>0</v>
      </c>
      <c r="AY157" s="469">
        <f>SUMIFS(Income!$G:$G,Income!$H:$H, AY$2,Income!$F:$F, $AT$1, Income!$B:$B, IF($AU157&lt;&gt;"", TEXT($AU157, "MMMM"), ""), Income!$C:$C, YEAR($AU157))</f>
        <v>0</v>
      </c>
      <c r="AZ157" s="464">
        <f>SUMIFS(Income!$G:$G,Income!$H:$H, AZ$2,Income!$F:$F, $AT$1, Income!$B:$B, IF($AU157&lt;&gt;"", TEXT($AU157, "MMMM"), ""), Income!$C:$C, YEAR($AU157))</f>
        <v>0</v>
      </c>
      <c r="BA157" s="471">
        <f>SUMIFS(Income!$G:$G,Income!$H:$H, BA$2,Income!$F:$F, $AT$1, Income!$B:$B, IF($AU157&lt;&gt;"", TEXT($AU157, "MMMM"), ""), Income!$C:$C, YEAR($AU157))</f>
        <v>0</v>
      </c>
      <c r="BB157" s="345"/>
      <c r="BC157" s="345"/>
      <c r="BD157" s="345"/>
      <c r="BE157" s="345"/>
    </row>
    <row r="158" ht="13.5" customHeight="1">
      <c r="A158" s="424">
        <f>'Membership Application List'!A387</f>
        <v>45539.43954</v>
      </c>
      <c r="B158" s="443" t="str">
        <f t="shared" si="6"/>
        <v>September</v>
      </c>
      <c r="C158" s="443">
        <f t="shared" si="7"/>
        <v>2024</v>
      </c>
      <c r="D158" s="426" t="str">
        <f>'Membership Application List'!E387</f>
        <v>Diana Kaurin</v>
      </c>
      <c r="E158" s="426">
        <f>IF('Membership Application List'!J387 = "Food/Litter Donation", 0, IF('Membership Application List'!J387 = "$15 Donation, Discord Verification", IF('Membership Application List'!N387 = TRUE, 15, 0)))</f>
        <v>15</v>
      </c>
      <c r="F158" s="426">
        <f>if('Membership Application List'!K387=TRUE, 5,0)</f>
        <v>0</v>
      </c>
      <c r="G158" s="426">
        <f t="shared" si="8"/>
        <v>15</v>
      </c>
      <c r="H158" s="427" t="str">
        <f>'Membership Application List'!L387</f>
        <v>Venmo</v>
      </c>
      <c r="I158" s="428"/>
      <c r="J158" s="463">
        <v>48549.0</v>
      </c>
      <c r="K158" s="464">
        <f t="shared" ref="K158:O158" si="116">SUMIFS($G:$G, $H:$H, K$2, $B:$B, IF($J158&lt;&gt;"", TEXT($J158, "MMMM"), ""), $C:$C, YEAR($J158))</f>
        <v>0</v>
      </c>
      <c r="L158" s="464">
        <f t="shared" si="116"/>
        <v>0</v>
      </c>
      <c r="M158" s="464">
        <f t="shared" si="116"/>
        <v>0</v>
      </c>
      <c r="N158" s="464">
        <f t="shared" si="116"/>
        <v>0</v>
      </c>
      <c r="O158" s="465">
        <f t="shared" si="116"/>
        <v>0</v>
      </c>
      <c r="P158" s="414"/>
      <c r="Q158" s="414"/>
      <c r="R158" s="414"/>
      <c r="S158" s="445"/>
      <c r="T158" s="445"/>
      <c r="U158" s="445"/>
      <c r="V158" s="428"/>
      <c r="W158" s="463">
        <v>48549.0</v>
      </c>
      <c r="X158" s="469">
        <f>SUMIFS(Income!$G:$G,Income!$H:$H, X$2,Income!$F:$F, $V$1, Income!$B:$B, IF($W158&lt;&gt;"", TEXT($W158, "MMMM"), ""), Income!$C:$C, YEAR($W158))</f>
        <v>0</v>
      </c>
      <c r="Y158" s="469">
        <f>SUMIFS(Income!$G:$G,Income!$H:$H, Y$2,Income!$F:$F, $V$1, Income!$B:$B, IF($W158&lt;&gt;"", TEXT($W158, "MMMM"), ""), Income!$C:$C, YEAR($W158))</f>
        <v>0</v>
      </c>
      <c r="Z158" s="469">
        <f>SUMIFS(Income!$G:$G,Income!$H:$H, Z$2,Income!$F:$F, $V$1, Income!$B:$B, IF($W158&lt;&gt;"", TEXT($W158, "MMMM"), ""), Income!$C:$C, YEAR($W158))</f>
        <v>0</v>
      </c>
      <c r="AA158" s="469">
        <f>SUMIFS(Income!$G:$G,Income!$H:$H, AA$2,Income!$F:$F, $V$1, Income!$B:$B, IF($W158&lt;&gt;"", TEXT($W158, "MMMM"), ""), Income!$C:$C, YEAR($W158))</f>
        <v>0</v>
      </c>
      <c r="AB158" s="464">
        <f>SUMIFS(Income!$G:$G,Income!$H:$H, AB$2,Income!$F:$F, $V$1, Income!$B:$B, IF($W158&lt;&gt;"", TEXT($W158, "MMMM"), ""), Income!$C:$C, YEAR($W158))</f>
        <v>0</v>
      </c>
      <c r="AC158" s="470">
        <f>SUMIFS(Income!$G:$G,Income!$H:$H, AC$2,Income!$F:$F, $V$1, Income!$B:$B, IF($W158&lt;&gt;"", TEXT($W158, "MMMM"), ""), Income!$C:$C, YEAR($W158))</f>
        <v>0</v>
      </c>
      <c r="AD158" s="428"/>
      <c r="AE158" s="463">
        <v>48549.0</v>
      </c>
      <c r="AF158" s="469">
        <f>SUMIFS(Income!$G:$G,Income!$H:$H, AF$2,Income!$F:$F, $AD$1, Income!$B:$B, IF($AE158&lt;&gt;"", TEXT($AE158, "MMMM"), ""), Income!$C:$C, YEAR($AE158))</f>
        <v>0</v>
      </c>
      <c r="AG158" s="469">
        <f>SUMIFS(Income!$G:$G,Income!$H:$H, AG$2,Income!$F:$F, $AD$1, Income!$B:$B, IF($AE158&lt;&gt;"", TEXT($AE158, "MMMM"), ""), Income!$C:$C, YEAR($AE158))</f>
        <v>0</v>
      </c>
      <c r="AH158" s="469">
        <f>SUMIFS(Income!$G:$G,Income!$H:$H, AH$2,Income!$F:$F, $AD$1, Income!$B:$B, IF($AE158&lt;&gt;"", TEXT($AE158, "MMMM"), ""), Income!$C:$C, YEAR($AE158))</f>
        <v>0</v>
      </c>
      <c r="AI158" s="469">
        <f>SUMIFS(Income!$G:$G,Income!$H:$H, AI$2,Income!$F:$F, $AD$1, Income!$B:$B, IF($AE158&lt;&gt;"", TEXT($AE158, "MMMM"), ""), Income!$C:$C, YEAR($AE158))</f>
        <v>0</v>
      </c>
      <c r="AJ158" s="464">
        <f>SUMIFS(Income!$G:$G,Income!$H:$H, AJ$2,Income!$F:$F, $AD$1, Income!$B:$B, IF($AE158&lt;&gt;"", TEXT($AE158, "MMMM"), ""), Income!$C:$C, YEAR($AE158))</f>
        <v>0</v>
      </c>
      <c r="AK158" s="470">
        <f>SUMIFS(Income!$G:$G,Income!$H:$H, AK$2,Income!$F:$F, $AD$1, Income!$B:$B, IF($AE158&lt;&gt;"", TEXT($AE158, "MMMM"), ""), Income!$C:$C, YEAR($AE158))</f>
        <v>0</v>
      </c>
      <c r="AL158" s="428"/>
      <c r="AM158" s="463">
        <v>48549.0</v>
      </c>
      <c r="AN158" s="464">
        <f>SUMIFS(Income!$G:$G,Income!$H:$H, AN$2,Income!$F:$F, $AL$1, Income!$B:$B, IF($AM158&lt;&gt;"", TEXT($AM158, "MMMM"), ""), Income!$C:$C, YEAR($AM158))+SUMIFS($T:$T, $U:$U,AN$2,$Q:$Q,IF($AM158&lt;&gt;"", TEXT($AM158, "MMMM"), ""),$R:$R,YEAR($AM158))</f>
        <v>0</v>
      </c>
      <c r="AO158" s="464">
        <f>SUMIFS(Income!$G:$G,Income!$H:$H, AO$2,Income!$F:$F, $AL$1, Income!$B:$B, IF($AM158&lt;&gt;"", TEXT($AM158, "MMMM"), ""), Income!$C:$C, YEAR($AM158))+SUMIFS($T:$T, $U:$U,AO$2,$Q:$Q,IF($AM158&lt;&gt;"", TEXT($AM158, "MMMM"), ""),$R:$R,YEAR($AM158))</f>
        <v>0</v>
      </c>
      <c r="AP158" s="464">
        <f>SUMIFS(Income!$G:$G,Income!$H:$H, AP$2,Income!$F:$F, $AL$1, Income!$B:$B, IF($AM158&lt;&gt;"", TEXT($AM158, "MMMM"), ""), Income!$C:$C, YEAR($AM158))+SUMIFS($T:$T, $U:$U,AP$2,$Q:$Q,IF($AM158&lt;&gt;"", TEXT($AM158, "MMMM"), ""),$R:$R,YEAR($AM158))</f>
        <v>0</v>
      </c>
      <c r="AQ158" s="464">
        <f>SUMIFS(Income!$G:$G,Income!$H:$H, AQ$2,Income!$F:$F, $AL$1, Income!$B:$B, IF($AM158&lt;&gt;"", TEXT($AM158, "MMMM"), ""), Income!$C:$C, YEAR($AM158))+SUMIFS($T:$T, $U:$U,AQ$2,$Q:$Q,IF($AM158&lt;&gt;"", TEXT($AM158, "MMMM"), ""),$R:$R,YEAR($AM158))</f>
        <v>0</v>
      </c>
      <c r="AR158" s="464">
        <f>SUMIFS(Income!$G:$G,Income!$H:$H, AR$2,Income!$F:$F, $AL$1, Income!$B:$B, IF($AM158&lt;&gt;"", TEXT($AM158, "MMMM"), ""), Income!$C:$C, YEAR($AM158))+SUMIFS($T:$T, $U:$U,AR$2,$Q:$Q,IF($AM158&lt;&gt;"", TEXT($AM158, "MMMM"), ""),$R:$R,YEAR($AM158))</f>
        <v>0</v>
      </c>
      <c r="AS158" s="467">
        <f>SUMIFS(Income!$G:$G,Income!$H:$H, AS$2,Income!$F:$F, $AL$1, Income!$B:$B, IF($AM158&lt;&gt;"", TEXT($AM158, "MMMM"), ""), Income!$C:$C, YEAR($AM158))+SUMIFS($T:$T, $U:$U,AS$2,$Q:$Q,IF($AM158&lt;&gt;"", TEXT($AM158, "MMMM"), ""),$R:$R,YEAR($AM158))</f>
        <v>0</v>
      </c>
      <c r="AT158" s="428"/>
      <c r="AU158" s="463">
        <v>48549.0</v>
      </c>
      <c r="AV158" s="469">
        <f>SUMIFS(Income!$G:$G,Income!$H:$H, AV$2,Income!$F:$F, $AT$1, Income!$B:$B, IF($AU158&lt;&gt;"", TEXT($AU158, "MMMM"), ""), Income!$C:$C, YEAR($AU158))</f>
        <v>0</v>
      </c>
      <c r="AW158" s="469">
        <f>SUMIFS(Income!$G:$G,Income!$H:$H, AW$2,Income!$F:$F, $AT$1, Income!$B:$B, IF($AU158&lt;&gt;"", TEXT($AU158, "MMMM"), ""), Income!$C:$C, YEAR($AU158))</f>
        <v>0</v>
      </c>
      <c r="AX158" s="469">
        <f>SUMIFS(Income!$G:$G,Income!$H:$H, AX$2,Income!$F:$F, $AT$1, Income!$B:$B, IF($AU158&lt;&gt;"", TEXT($AU158, "MMMM"), ""), Income!$C:$C, YEAR($AU158))</f>
        <v>0</v>
      </c>
      <c r="AY158" s="469">
        <f>SUMIFS(Income!$G:$G,Income!$H:$H, AY$2,Income!$F:$F, $AT$1, Income!$B:$B, IF($AU158&lt;&gt;"", TEXT($AU158, "MMMM"), ""), Income!$C:$C, YEAR($AU158))</f>
        <v>0</v>
      </c>
      <c r="AZ158" s="464">
        <f>SUMIFS(Income!$G:$G,Income!$H:$H, AZ$2,Income!$F:$F, $AT$1, Income!$B:$B, IF($AU158&lt;&gt;"", TEXT($AU158, "MMMM"), ""), Income!$C:$C, YEAR($AU158))</f>
        <v>0</v>
      </c>
      <c r="BA158" s="471">
        <f>SUMIFS(Income!$G:$G,Income!$H:$H, BA$2,Income!$F:$F, $AT$1, Income!$B:$B, IF($AU158&lt;&gt;"", TEXT($AU158, "MMMM"), ""), Income!$C:$C, YEAR($AU158))</f>
        <v>0</v>
      </c>
      <c r="BB158" s="345"/>
      <c r="BC158" s="345"/>
      <c r="BD158" s="345"/>
      <c r="BE158" s="345"/>
    </row>
    <row r="159" ht="13.5" customHeight="1">
      <c r="A159" s="436">
        <f>'Membership Application List'!A388</f>
        <v>45539.44468</v>
      </c>
      <c r="B159" s="437" t="str">
        <f t="shared" si="6"/>
        <v>September</v>
      </c>
      <c r="C159" s="437">
        <f t="shared" si="7"/>
        <v>2024</v>
      </c>
      <c r="D159" s="438" t="str">
        <f>'Membership Application List'!E388</f>
        <v>Angel Campos</v>
      </c>
      <c r="E159" s="438">
        <f>IF('Membership Application List'!J388 = "Food/Litter Donation", 0, IF('Membership Application List'!J388 = "$15 Donation, Discord Verification", IF('Membership Application List'!N388 = TRUE, 15, 0)))</f>
        <v>15</v>
      </c>
      <c r="F159" s="438">
        <f>if('Membership Application List'!K388=TRUE, 5,0)</f>
        <v>0</v>
      </c>
      <c r="G159" s="438">
        <f t="shared" si="8"/>
        <v>15</v>
      </c>
      <c r="H159" s="439" t="str">
        <f>'Membership Application List'!L388</f>
        <v>Paypal</v>
      </c>
      <c r="I159" s="407" t="s">
        <v>794</v>
      </c>
      <c r="J159" s="463">
        <v>48580.0</v>
      </c>
      <c r="K159" s="464">
        <f t="shared" ref="K159:O159" si="117">SUMIFS($G:$G, $H:$H, K$2, $B:$B, IF($J159&lt;&gt;"", TEXT($J159, "MMMM"), ""), $C:$C, YEAR($J159))</f>
        <v>0</v>
      </c>
      <c r="L159" s="464">
        <f t="shared" si="117"/>
        <v>0</v>
      </c>
      <c r="M159" s="464">
        <f t="shared" si="117"/>
        <v>0</v>
      </c>
      <c r="N159" s="464">
        <f t="shared" si="117"/>
        <v>0</v>
      </c>
      <c r="O159" s="465">
        <f t="shared" si="117"/>
        <v>0</v>
      </c>
      <c r="P159" s="414"/>
      <c r="Q159" s="414"/>
      <c r="R159" s="414"/>
      <c r="S159" s="445"/>
      <c r="T159" s="445"/>
      <c r="U159" s="445"/>
      <c r="V159" s="407" t="s">
        <v>794</v>
      </c>
      <c r="W159" s="463">
        <v>48580.0</v>
      </c>
      <c r="X159" s="469">
        <f>SUMIFS(Income!$G:$G,Income!$H:$H, X$2,Income!$F:$F, $V$1, Income!$B:$B, IF($W159&lt;&gt;"", TEXT($W159, "MMMM"), ""), Income!$C:$C, YEAR($W159))</f>
        <v>0</v>
      </c>
      <c r="Y159" s="469">
        <f>SUMIFS(Income!$G:$G,Income!$H:$H, Y$2,Income!$F:$F, $V$1, Income!$B:$B, IF($W159&lt;&gt;"", TEXT($W159, "MMMM"), ""), Income!$C:$C, YEAR($W159))</f>
        <v>0</v>
      </c>
      <c r="Z159" s="469">
        <f>SUMIFS(Income!$G:$G,Income!$H:$H, Z$2,Income!$F:$F, $V$1, Income!$B:$B, IF($W159&lt;&gt;"", TEXT($W159, "MMMM"), ""), Income!$C:$C, YEAR($W159))</f>
        <v>0</v>
      </c>
      <c r="AA159" s="469">
        <f>SUMIFS(Income!$G:$G,Income!$H:$H, AA$2,Income!$F:$F, $V$1, Income!$B:$B, IF($W159&lt;&gt;"", TEXT($W159, "MMMM"), ""), Income!$C:$C, YEAR($W159))</f>
        <v>0</v>
      </c>
      <c r="AB159" s="464">
        <f>SUMIFS(Income!$G:$G,Income!$H:$H, AB$2,Income!$F:$F, $V$1, Income!$B:$B, IF($W159&lt;&gt;"", TEXT($W159, "MMMM"), ""), Income!$C:$C, YEAR($W159))</f>
        <v>0</v>
      </c>
      <c r="AC159" s="470">
        <f>SUMIFS(Income!$G:$G,Income!$H:$H, AC$2,Income!$F:$F, $V$1, Income!$B:$B, IF($W159&lt;&gt;"", TEXT($W159, "MMMM"), ""), Income!$C:$C, YEAR($W159))</f>
        <v>0</v>
      </c>
      <c r="AD159" s="407" t="s">
        <v>794</v>
      </c>
      <c r="AE159" s="463">
        <v>48580.0</v>
      </c>
      <c r="AF159" s="469">
        <f>SUMIFS(Income!$G:$G,Income!$H:$H, AF$2,Income!$F:$F, $AD$1, Income!$B:$B, IF($AE159&lt;&gt;"", TEXT($AE159, "MMMM"), ""), Income!$C:$C, YEAR($AE159))</f>
        <v>0</v>
      </c>
      <c r="AG159" s="469">
        <f>SUMIFS(Income!$G:$G,Income!$H:$H, AG$2,Income!$F:$F, $AD$1, Income!$B:$B, IF($AE159&lt;&gt;"", TEXT($AE159, "MMMM"), ""), Income!$C:$C, YEAR($AE159))</f>
        <v>0</v>
      </c>
      <c r="AH159" s="469">
        <f>SUMIFS(Income!$G:$G,Income!$H:$H, AH$2,Income!$F:$F, $AD$1, Income!$B:$B, IF($AE159&lt;&gt;"", TEXT($AE159, "MMMM"), ""), Income!$C:$C, YEAR($AE159))</f>
        <v>0</v>
      </c>
      <c r="AI159" s="469">
        <f>SUMIFS(Income!$G:$G,Income!$H:$H, AI$2,Income!$F:$F, $AD$1, Income!$B:$B, IF($AE159&lt;&gt;"", TEXT($AE159, "MMMM"), ""), Income!$C:$C, YEAR($AE159))</f>
        <v>0</v>
      </c>
      <c r="AJ159" s="464">
        <f>SUMIFS(Income!$G:$G,Income!$H:$H, AJ$2,Income!$F:$F, $AD$1, Income!$B:$B, IF($AE159&lt;&gt;"", TEXT($AE159, "MMMM"), ""), Income!$C:$C, YEAR($AE159))</f>
        <v>0</v>
      </c>
      <c r="AK159" s="470">
        <f>SUMIFS(Income!$G:$G,Income!$H:$H, AK$2,Income!$F:$F, $AD$1, Income!$B:$B, IF($AE159&lt;&gt;"", TEXT($AE159, "MMMM"), ""), Income!$C:$C, YEAR($AE159))</f>
        <v>0</v>
      </c>
      <c r="AL159" s="407" t="s">
        <v>794</v>
      </c>
      <c r="AM159" s="463">
        <v>48580.0</v>
      </c>
      <c r="AN159" s="464">
        <f>SUMIFS(Income!$G:$G,Income!$H:$H, AN$2,Income!$F:$F, $AL$1, Income!$B:$B, IF($AM159&lt;&gt;"", TEXT($AM159, "MMMM"), ""), Income!$C:$C, YEAR($AM159))+SUMIFS($T:$T, $U:$U,AN$2,$Q:$Q,IF($AM159&lt;&gt;"", TEXT($AM159, "MMMM"), ""),$R:$R,YEAR($AM159))</f>
        <v>0</v>
      </c>
      <c r="AO159" s="464">
        <f>SUMIFS(Income!$G:$G,Income!$H:$H, AO$2,Income!$F:$F, $AL$1, Income!$B:$B, IF($AM159&lt;&gt;"", TEXT($AM159, "MMMM"), ""), Income!$C:$C, YEAR($AM159))+SUMIFS($T:$T, $U:$U,AO$2,$Q:$Q,IF($AM159&lt;&gt;"", TEXT($AM159, "MMMM"), ""),$R:$R,YEAR($AM159))</f>
        <v>0</v>
      </c>
      <c r="AP159" s="464">
        <f>SUMIFS(Income!$G:$G,Income!$H:$H, AP$2,Income!$F:$F, $AL$1, Income!$B:$B, IF($AM159&lt;&gt;"", TEXT($AM159, "MMMM"), ""), Income!$C:$C, YEAR($AM159))+SUMIFS($T:$T, $U:$U,AP$2,$Q:$Q,IF($AM159&lt;&gt;"", TEXT($AM159, "MMMM"), ""),$R:$R,YEAR($AM159))</f>
        <v>0</v>
      </c>
      <c r="AQ159" s="464">
        <f>SUMIFS(Income!$G:$G,Income!$H:$H, AQ$2,Income!$F:$F, $AL$1, Income!$B:$B, IF($AM159&lt;&gt;"", TEXT($AM159, "MMMM"), ""), Income!$C:$C, YEAR($AM159))+SUMIFS($T:$T, $U:$U,AQ$2,$Q:$Q,IF($AM159&lt;&gt;"", TEXT($AM159, "MMMM"), ""),$R:$R,YEAR($AM159))</f>
        <v>0</v>
      </c>
      <c r="AR159" s="464">
        <f>SUMIFS(Income!$G:$G,Income!$H:$H, AR$2,Income!$F:$F, $AL$1, Income!$B:$B, IF($AM159&lt;&gt;"", TEXT($AM159, "MMMM"), ""), Income!$C:$C, YEAR($AM159))+SUMIFS($T:$T, $U:$U,AR$2,$Q:$Q,IF($AM159&lt;&gt;"", TEXT($AM159, "MMMM"), ""),$R:$R,YEAR($AM159))</f>
        <v>0</v>
      </c>
      <c r="AS159" s="467">
        <f>SUMIFS(Income!$G:$G,Income!$H:$H, AS$2,Income!$F:$F, $AL$1, Income!$B:$B, IF($AM159&lt;&gt;"", TEXT($AM159, "MMMM"), ""), Income!$C:$C, YEAR($AM159))+SUMIFS($T:$T, $U:$U,AS$2,$Q:$Q,IF($AM159&lt;&gt;"", TEXT($AM159, "MMMM"), ""),$R:$R,YEAR($AM159))</f>
        <v>0</v>
      </c>
      <c r="AT159" s="407" t="s">
        <v>794</v>
      </c>
      <c r="AU159" s="463">
        <v>48580.0</v>
      </c>
      <c r="AV159" s="469">
        <f>SUMIFS(Income!$G:$G,Income!$H:$H, AV$2,Income!$F:$F, $AT$1, Income!$B:$B, IF($AU159&lt;&gt;"", TEXT($AU159, "MMMM"), ""), Income!$C:$C, YEAR($AU159))</f>
        <v>0</v>
      </c>
      <c r="AW159" s="469">
        <f>SUMIFS(Income!$G:$G,Income!$H:$H, AW$2,Income!$F:$F, $AT$1, Income!$B:$B, IF($AU159&lt;&gt;"", TEXT($AU159, "MMMM"), ""), Income!$C:$C, YEAR($AU159))</f>
        <v>0</v>
      </c>
      <c r="AX159" s="469">
        <f>SUMIFS(Income!$G:$G,Income!$H:$H, AX$2,Income!$F:$F, $AT$1, Income!$B:$B, IF($AU159&lt;&gt;"", TEXT($AU159, "MMMM"), ""), Income!$C:$C, YEAR($AU159))</f>
        <v>0</v>
      </c>
      <c r="AY159" s="469">
        <f>SUMIFS(Income!$G:$G,Income!$H:$H, AY$2,Income!$F:$F, $AT$1, Income!$B:$B, IF($AU159&lt;&gt;"", TEXT($AU159, "MMMM"), ""), Income!$C:$C, YEAR($AU159))</f>
        <v>0</v>
      </c>
      <c r="AZ159" s="464">
        <f>SUMIFS(Income!$G:$G,Income!$H:$H, AZ$2,Income!$F:$F, $AT$1, Income!$B:$B, IF($AU159&lt;&gt;"", TEXT($AU159, "MMMM"), ""), Income!$C:$C, YEAR($AU159))</f>
        <v>0</v>
      </c>
      <c r="BA159" s="471">
        <f>SUMIFS(Income!$G:$G,Income!$H:$H, BA$2,Income!$F:$F, $AT$1, Income!$B:$B, IF($AU159&lt;&gt;"", TEXT($AU159, "MMMM"), ""), Income!$C:$C, YEAR($AU159))</f>
        <v>0</v>
      </c>
      <c r="BB159" s="345"/>
      <c r="BC159" s="345"/>
      <c r="BD159" s="345"/>
      <c r="BE159" s="345"/>
    </row>
    <row r="160" ht="13.5" customHeight="1">
      <c r="A160" s="424">
        <f>'Membership Application List'!A389</f>
        <v>45540.41001</v>
      </c>
      <c r="B160" s="443" t="str">
        <f t="shared" si="6"/>
        <v>September</v>
      </c>
      <c r="C160" s="443">
        <f t="shared" si="7"/>
        <v>2024</v>
      </c>
      <c r="D160" s="426" t="str">
        <f>'Membership Application List'!E389</f>
        <v>Cecelia Murphy</v>
      </c>
      <c r="E160" s="426">
        <f>IF('Membership Application List'!J389 = "Food/Litter Donation", 0, IF('Membership Application List'!J389 = "$15 Donation, Discord Verification", IF('Membership Application List'!N389 = TRUE, 15, 0)))</f>
        <v>15</v>
      </c>
      <c r="F160" s="426">
        <f>if('Membership Application List'!K389=TRUE, 5,0)</f>
        <v>0</v>
      </c>
      <c r="G160" s="426">
        <f t="shared" si="8"/>
        <v>15</v>
      </c>
      <c r="H160" s="427" t="str">
        <f>'Membership Application List'!L389</f>
        <v>Venmo</v>
      </c>
      <c r="I160" s="428"/>
      <c r="J160" s="463">
        <v>48611.0</v>
      </c>
      <c r="K160" s="464">
        <f t="shared" ref="K160:O160" si="118">SUMIFS($G:$G, $H:$H, K$2, $B:$B, IF($J160&lt;&gt;"", TEXT($J160, "MMMM"), ""), $C:$C, YEAR($J160))</f>
        <v>0</v>
      </c>
      <c r="L160" s="464">
        <f t="shared" si="118"/>
        <v>0</v>
      </c>
      <c r="M160" s="464">
        <f t="shared" si="118"/>
        <v>0</v>
      </c>
      <c r="N160" s="464">
        <f t="shared" si="118"/>
        <v>0</v>
      </c>
      <c r="O160" s="465">
        <f t="shared" si="118"/>
        <v>0</v>
      </c>
      <c r="P160" s="414"/>
      <c r="Q160" s="414"/>
      <c r="R160" s="414"/>
      <c r="S160" s="445"/>
      <c r="T160" s="445"/>
      <c r="U160" s="445"/>
      <c r="V160" s="428"/>
      <c r="W160" s="463">
        <v>48611.0</v>
      </c>
      <c r="X160" s="469">
        <f>SUMIFS(Income!$G:$G,Income!$H:$H, X$2,Income!$F:$F, $V$1, Income!$B:$B, IF($W160&lt;&gt;"", TEXT($W160, "MMMM"), ""), Income!$C:$C, YEAR($W160))</f>
        <v>0</v>
      </c>
      <c r="Y160" s="469">
        <f>SUMIFS(Income!$G:$G,Income!$H:$H, Y$2,Income!$F:$F, $V$1, Income!$B:$B, IF($W160&lt;&gt;"", TEXT($W160, "MMMM"), ""), Income!$C:$C, YEAR($W160))</f>
        <v>0</v>
      </c>
      <c r="Z160" s="469">
        <f>SUMIFS(Income!$G:$G,Income!$H:$H, Z$2,Income!$F:$F, $V$1, Income!$B:$B, IF($W160&lt;&gt;"", TEXT($W160, "MMMM"), ""), Income!$C:$C, YEAR($W160))</f>
        <v>0</v>
      </c>
      <c r="AA160" s="469">
        <f>SUMIFS(Income!$G:$G,Income!$H:$H, AA$2,Income!$F:$F, $V$1, Income!$B:$B, IF($W160&lt;&gt;"", TEXT($W160, "MMMM"), ""), Income!$C:$C, YEAR($W160))</f>
        <v>0</v>
      </c>
      <c r="AB160" s="464">
        <f>SUMIFS(Income!$G:$G,Income!$H:$H, AB$2,Income!$F:$F, $V$1, Income!$B:$B, IF($W160&lt;&gt;"", TEXT($W160, "MMMM"), ""), Income!$C:$C, YEAR($W160))</f>
        <v>0</v>
      </c>
      <c r="AC160" s="470">
        <f>SUMIFS(Income!$G:$G,Income!$H:$H, AC$2,Income!$F:$F, $V$1, Income!$B:$B, IF($W160&lt;&gt;"", TEXT($W160, "MMMM"), ""), Income!$C:$C, YEAR($W160))</f>
        <v>0</v>
      </c>
      <c r="AD160" s="428"/>
      <c r="AE160" s="463">
        <v>48611.0</v>
      </c>
      <c r="AF160" s="469">
        <f>SUMIFS(Income!$G:$G,Income!$H:$H, AF$2,Income!$F:$F, $AD$1, Income!$B:$B, IF($AE160&lt;&gt;"", TEXT($AE160, "MMMM"), ""), Income!$C:$C, YEAR($AE160))</f>
        <v>0</v>
      </c>
      <c r="AG160" s="469">
        <f>SUMIFS(Income!$G:$G,Income!$H:$H, AG$2,Income!$F:$F, $AD$1, Income!$B:$B, IF($AE160&lt;&gt;"", TEXT($AE160, "MMMM"), ""), Income!$C:$C, YEAR($AE160))</f>
        <v>0</v>
      </c>
      <c r="AH160" s="469">
        <f>SUMIFS(Income!$G:$G,Income!$H:$H, AH$2,Income!$F:$F, $AD$1, Income!$B:$B, IF($AE160&lt;&gt;"", TEXT($AE160, "MMMM"), ""), Income!$C:$C, YEAR($AE160))</f>
        <v>0</v>
      </c>
      <c r="AI160" s="469">
        <f>SUMIFS(Income!$G:$G,Income!$H:$H, AI$2,Income!$F:$F, $AD$1, Income!$B:$B, IF($AE160&lt;&gt;"", TEXT($AE160, "MMMM"), ""), Income!$C:$C, YEAR($AE160))</f>
        <v>0</v>
      </c>
      <c r="AJ160" s="464">
        <f>SUMIFS(Income!$G:$G,Income!$H:$H, AJ$2,Income!$F:$F, $AD$1, Income!$B:$B, IF($AE160&lt;&gt;"", TEXT($AE160, "MMMM"), ""), Income!$C:$C, YEAR($AE160))</f>
        <v>0</v>
      </c>
      <c r="AK160" s="470">
        <f>SUMIFS(Income!$G:$G,Income!$H:$H, AK$2,Income!$F:$F, $AD$1, Income!$B:$B, IF($AE160&lt;&gt;"", TEXT($AE160, "MMMM"), ""), Income!$C:$C, YEAR($AE160))</f>
        <v>0</v>
      </c>
      <c r="AL160" s="428"/>
      <c r="AM160" s="463">
        <v>48611.0</v>
      </c>
      <c r="AN160" s="464">
        <f>SUMIFS(Income!$G:$G,Income!$H:$H, AN$2,Income!$F:$F, $AL$1, Income!$B:$B, IF($AM160&lt;&gt;"", TEXT($AM160, "MMMM"), ""), Income!$C:$C, YEAR($AM160))+SUMIFS($T:$T, $U:$U,AN$2,$Q:$Q,IF($AM160&lt;&gt;"", TEXT($AM160, "MMMM"), ""),$R:$R,YEAR($AM160))</f>
        <v>0</v>
      </c>
      <c r="AO160" s="464">
        <f>SUMIFS(Income!$G:$G,Income!$H:$H, AO$2,Income!$F:$F, $AL$1, Income!$B:$B, IF($AM160&lt;&gt;"", TEXT($AM160, "MMMM"), ""), Income!$C:$C, YEAR($AM160))+SUMIFS($T:$T, $U:$U,AO$2,$Q:$Q,IF($AM160&lt;&gt;"", TEXT($AM160, "MMMM"), ""),$R:$R,YEAR($AM160))</f>
        <v>0</v>
      </c>
      <c r="AP160" s="464">
        <f>SUMIFS(Income!$G:$G,Income!$H:$H, AP$2,Income!$F:$F, $AL$1, Income!$B:$B, IF($AM160&lt;&gt;"", TEXT($AM160, "MMMM"), ""), Income!$C:$C, YEAR($AM160))+SUMIFS($T:$T, $U:$U,AP$2,$Q:$Q,IF($AM160&lt;&gt;"", TEXT($AM160, "MMMM"), ""),$R:$R,YEAR($AM160))</f>
        <v>0</v>
      </c>
      <c r="AQ160" s="464">
        <f>SUMIFS(Income!$G:$G,Income!$H:$H, AQ$2,Income!$F:$F, $AL$1, Income!$B:$B, IF($AM160&lt;&gt;"", TEXT($AM160, "MMMM"), ""), Income!$C:$C, YEAR($AM160))+SUMIFS($T:$T, $U:$U,AQ$2,$Q:$Q,IF($AM160&lt;&gt;"", TEXT($AM160, "MMMM"), ""),$R:$R,YEAR($AM160))</f>
        <v>0</v>
      </c>
      <c r="AR160" s="464">
        <f>SUMIFS(Income!$G:$G,Income!$H:$H, AR$2,Income!$F:$F, $AL$1, Income!$B:$B, IF($AM160&lt;&gt;"", TEXT($AM160, "MMMM"), ""), Income!$C:$C, YEAR($AM160))+SUMIFS($T:$T, $U:$U,AR$2,$Q:$Q,IF($AM160&lt;&gt;"", TEXT($AM160, "MMMM"), ""),$R:$R,YEAR($AM160))</f>
        <v>0</v>
      </c>
      <c r="AS160" s="467">
        <f>SUMIFS(Income!$G:$G,Income!$H:$H, AS$2,Income!$F:$F, $AL$1, Income!$B:$B, IF($AM160&lt;&gt;"", TEXT($AM160, "MMMM"), ""), Income!$C:$C, YEAR($AM160))+SUMIFS($T:$T, $U:$U,AS$2,$Q:$Q,IF($AM160&lt;&gt;"", TEXT($AM160, "MMMM"), ""),$R:$R,YEAR($AM160))</f>
        <v>0</v>
      </c>
      <c r="AT160" s="428"/>
      <c r="AU160" s="463">
        <v>48611.0</v>
      </c>
      <c r="AV160" s="469">
        <f>SUMIFS(Income!$G:$G,Income!$H:$H, AV$2,Income!$F:$F, $AT$1, Income!$B:$B, IF($AU160&lt;&gt;"", TEXT($AU160, "MMMM"), ""), Income!$C:$C, YEAR($AU160))</f>
        <v>0</v>
      </c>
      <c r="AW160" s="469">
        <f>SUMIFS(Income!$G:$G,Income!$H:$H, AW$2,Income!$F:$F, $AT$1, Income!$B:$B, IF($AU160&lt;&gt;"", TEXT($AU160, "MMMM"), ""), Income!$C:$C, YEAR($AU160))</f>
        <v>0</v>
      </c>
      <c r="AX160" s="469">
        <f>SUMIFS(Income!$G:$G,Income!$H:$H, AX$2,Income!$F:$F, $AT$1, Income!$B:$B, IF($AU160&lt;&gt;"", TEXT($AU160, "MMMM"), ""), Income!$C:$C, YEAR($AU160))</f>
        <v>0</v>
      </c>
      <c r="AY160" s="469">
        <f>SUMIFS(Income!$G:$G,Income!$H:$H, AY$2,Income!$F:$F, $AT$1, Income!$B:$B, IF($AU160&lt;&gt;"", TEXT($AU160, "MMMM"), ""), Income!$C:$C, YEAR($AU160))</f>
        <v>0</v>
      </c>
      <c r="AZ160" s="464">
        <f>SUMIFS(Income!$G:$G,Income!$H:$H, AZ$2,Income!$F:$F, $AT$1, Income!$B:$B, IF($AU160&lt;&gt;"", TEXT($AU160, "MMMM"), ""), Income!$C:$C, YEAR($AU160))</f>
        <v>0</v>
      </c>
      <c r="BA160" s="471">
        <f>SUMIFS(Income!$G:$G,Income!$H:$H, BA$2,Income!$F:$F, $AT$1, Income!$B:$B, IF($AU160&lt;&gt;"", TEXT($AU160, "MMMM"), ""), Income!$C:$C, YEAR($AU160))</f>
        <v>0</v>
      </c>
      <c r="BB160" s="345"/>
      <c r="BC160" s="345"/>
      <c r="BD160" s="345"/>
      <c r="BE160" s="345"/>
    </row>
    <row r="161" ht="13.5" customHeight="1">
      <c r="A161" s="436">
        <f>'Membership Application List'!A390</f>
        <v>45540.69404</v>
      </c>
      <c r="B161" s="437" t="str">
        <f t="shared" si="6"/>
        <v>September</v>
      </c>
      <c r="C161" s="437">
        <f t="shared" si="7"/>
        <v>2024</v>
      </c>
      <c r="D161" s="438" t="str">
        <f>'Membership Application List'!E390</f>
        <v>Anabelle Garcia</v>
      </c>
      <c r="E161" s="438">
        <f>IF('Membership Application List'!J390 = "Food/Litter Donation", 0, IF('Membership Application List'!J390 = "$15 Donation, Discord Verification", IF('Membership Application List'!N390 = TRUE, 15, 0)))</f>
        <v>15</v>
      </c>
      <c r="F161" s="438">
        <f>if('Membership Application List'!K390=TRUE, 5,0)</f>
        <v>0</v>
      </c>
      <c r="G161" s="438">
        <f t="shared" si="8"/>
        <v>15</v>
      </c>
      <c r="H161" s="439" t="str">
        <f>'Membership Application List'!L390</f>
        <v>Cash</v>
      </c>
      <c r="I161" s="428"/>
      <c r="J161" s="463">
        <v>48639.0</v>
      </c>
      <c r="K161" s="464">
        <f t="shared" ref="K161:O161" si="119">SUMIFS($G:$G, $H:$H, K$2, $B:$B, IF($J161&lt;&gt;"", TEXT($J161, "MMMM"), ""), $C:$C, YEAR($J161))</f>
        <v>0</v>
      </c>
      <c r="L161" s="464">
        <f t="shared" si="119"/>
        <v>0</v>
      </c>
      <c r="M161" s="464">
        <f t="shared" si="119"/>
        <v>0</v>
      </c>
      <c r="N161" s="464">
        <f t="shared" si="119"/>
        <v>0</v>
      </c>
      <c r="O161" s="465">
        <f t="shared" si="119"/>
        <v>0</v>
      </c>
      <c r="P161" s="414"/>
      <c r="Q161" s="414"/>
      <c r="R161" s="414"/>
      <c r="S161" s="445"/>
      <c r="T161" s="445"/>
      <c r="U161" s="445"/>
      <c r="V161" s="428"/>
      <c r="W161" s="463">
        <v>48639.0</v>
      </c>
      <c r="X161" s="469">
        <f>SUMIFS(Income!$G:$G,Income!$H:$H, X$2,Income!$F:$F, $V$1, Income!$B:$B, IF($W161&lt;&gt;"", TEXT($W161, "MMMM"), ""), Income!$C:$C, YEAR($W161))</f>
        <v>0</v>
      </c>
      <c r="Y161" s="469">
        <f>SUMIFS(Income!$G:$G,Income!$H:$H, Y$2,Income!$F:$F, $V$1, Income!$B:$B, IF($W161&lt;&gt;"", TEXT($W161, "MMMM"), ""), Income!$C:$C, YEAR($W161))</f>
        <v>0</v>
      </c>
      <c r="Z161" s="469">
        <f>SUMIFS(Income!$G:$G,Income!$H:$H, Z$2,Income!$F:$F, $V$1, Income!$B:$B, IF($W161&lt;&gt;"", TEXT($W161, "MMMM"), ""), Income!$C:$C, YEAR($W161))</f>
        <v>0</v>
      </c>
      <c r="AA161" s="469">
        <f>SUMIFS(Income!$G:$G,Income!$H:$H, AA$2,Income!$F:$F, $V$1, Income!$B:$B, IF($W161&lt;&gt;"", TEXT($W161, "MMMM"), ""), Income!$C:$C, YEAR($W161))</f>
        <v>0</v>
      </c>
      <c r="AB161" s="464">
        <f>SUMIFS(Income!$G:$G,Income!$H:$H, AB$2,Income!$F:$F, $V$1, Income!$B:$B, IF($W161&lt;&gt;"", TEXT($W161, "MMMM"), ""), Income!$C:$C, YEAR($W161))</f>
        <v>0</v>
      </c>
      <c r="AC161" s="470">
        <f>SUMIFS(Income!$G:$G,Income!$H:$H, AC$2,Income!$F:$F, $V$1, Income!$B:$B, IF($W161&lt;&gt;"", TEXT($W161, "MMMM"), ""), Income!$C:$C, YEAR($W161))</f>
        <v>0</v>
      </c>
      <c r="AD161" s="428"/>
      <c r="AE161" s="463">
        <v>48639.0</v>
      </c>
      <c r="AF161" s="469">
        <f>SUMIFS(Income!$G:$G,Income!$H:$H, AF$2,Income!$F:$F, $AD$1, Income!$B:$B, IF($AE161&lt;&gt;"", TEXT($AE161, "MMMM"), ""), Income!$C:$C, YEAR($AE161))</f>
        <v>0</v>
      </c>
      <c r="AG161" s="469">
        <f>SUMIFS(Income!$G:$G,Income!$H:$H, AG$2,Income!$F:$F, $AD$1, Income!$B:$B, IF($AE161&lt;&gt;"", TEXT($AE161, "MMMM"), ""), Income!$C:$C, YEAR($AE161))</f>
        <v>0</v>
      </c>
      <c r="AH161" s="469">
        <f>SUMIFS(Income!$G:$G,Income!$H:$H, AH$2,Income!$F:$F, $AD$1, Income!$B:$B, IF($AE161&lt;&gt;"", TEXT($AE161, "MMMM"), ""), Income!$C:$C, YEAR($AE161))</f>
        <v>0</v>
      </c>
      <c r="AI161" s="469">
        <f>SUMIFS(Income!$G:$G,Income!$H:$H, AI$2,Income!$F:$F, $AD$1, Income!$B:$B, IF($AE161&lt;&gt;"", TEXT($AE161, "MMMM"), ""), Income!$C:$C, YEAR($AE161))</f>
        <v>0</v>
      </c>
      <c r="AJ161" s="464">
        <f>SUMIFS(Income!$G:$G,Income!$H:$H, AJ$2,Income!$F:$F, $AD$1, Income!$B:$B, IF($AE161&lt;&gt;"", TEXT($AE161, "MMMM"), ""), Income!$C:$C, YEAR($AE161))</f>
        <v>0</v>
      </c>
      <c r="AK161" s="470">
        <f>SUMIFS(Income!$G:$G,Income!$H:$H, AK$2,Income!$F:$F, $AD$1, Income!$B:$B, IF($AE161&lt;&gt;"", TEXT($AE161, "MMMM"), ""), Income!$C:$C, YEAR($AE161))</f>
        <v>0</v>
      </c>
      <c r="AL161" s="428"/>
      <c r="AM161" s="463">
        <v>48639.0</v>
      </c>
      <c r="AN161" s="464">
        <f>SUMIFS(Income!$G:$G,Income!$H:$H, AN$2,Income!$F:$F, $AL$1, Income!$B:$B, IF($AM161&lt;&gt;"", TEXT($AM161, "MMMM"), ""), Income!$C:$C, YEAR($AM161))+SUMIFS($T:$T, $U:$U,AN$2,$Q:$Q,IF($AM161&lt;&gt;"", TEXT($AM161, "MMMM"), ""),$R:$R,YEAR($AM161))</f>
        <v>0</v>
      </c>
      <c r="AO161" s="464">
        <f>SUMIFS(Income!$G:$G,Income!$H:$H, AO$2,Income!$F:$F, $AL$1, Income!$B:$B, IF($AM161&lt;&gt;"", TEXT($AM161, "MMMM"), ""), Income!$C:$C, YEAR($AM161))+SUMIFS($T:$T, $U:$U,AO$2,$Q:$Q,IF($AM161&lt;&gt;"", TEXT($AM161, "MMMM"), ""),$R:$R,YEAR($AM161))</f>
        <v>0</v>
      </c>
      <c r="AP161" s="464">
        <f>SUMIFS(Income!$G:$G,Income!$H:$H, AP$2,Income!$F:$F, $AL$1, Income!$B:$B, IF($AM161&lt;&gt;"", TEXT($AM161, "MMMM"), ""), Income!$C:$C, YEAR($AM161))+SUMIFS($T:$T, $U:$U,AP$2,$Q:$Q,IF($AM161&lt;&gt;"", TEXT($AM161, "MMMM"), ""),$R:$R,YEAR($AM161))</f>
        <v>0</v>
      </c>
      <c r="AQ161" s="464">
        <f>SUMIFS(Income!$G:$G,Income!$H:$H, AQ$2,Income!$F:$F, $AL$1, Income!$B:$B, IF($AM161&lt;&gt;"", TEXT($AM161, "MMMM"), ""), Income!$C:$C, YEAR($AM161))+SUMIFS($T:$T, $U:$U,AQ$2,$Q:$Q,IF($AM161&lt;&gt;"", TEXT($AM161, "MMMM"), ""),$R:$R,YEAR($AM161))</f>
        <v>0</v>
      </c>
      <c r="AR161" s="464">
        <f>SUMIFS(Income!$G:$G,Income!$H:$H, AR$2,Income!$F:$F, $AL$1, Income!$B:$B, IF($AM161&lt;&gt;"", TEXT($AM161, "MMMM"), ""), Income!$C:$C, YEAR($AM161))+SUMIFS($T:$T, $U:$U,AR$2,$Q:$Q,IF($AM161&lt;&gt;"", TEXT($AM161, "MMMM"), ""),$R:$R,YEAR($AM161))</f>
        <v>0</v>
      </c>
      <c r="AS161" s="467">
        <f>SUMIFS(Income!$G:$G,Income!$H:$H, AS$2,Income!$F:$F, $AL$1, Income!$B:$B, IF($AM161&lt;&gt;"", TEXT($AM161, "MMMM"), ""), Income!$C:$C, YEAR($AM161))+SUMIFS($T:$T, $U:$U,AS$2,$Q:$Q,IF($AM161&lt;&gt;"", TEXT($AM161, "MMMM"), ""),$R:$R,YEAR($AM161))</f>
        <v>0</v>
      </c>
      <c r="AT161" s="428"/>
      <c r="AU161" s="463">
        <v>48639.0</v>
      </c>
      <c r="AV161" s="469">
        <f>SUMIFS(Income!$G:$G,Income!$H:$H, AV$2,Income!$F:$F, $AT$1, Income!$B:$B, IF($AU161&lt;&gt;"", TEXT($AU161, "MMMM"), ""), Income!$C:$C, YEAR($AU161))</f>
        <v>0</v>
      </c>
      <c r="AW161" s="469">
        <f>SUMIFS(Income!$G:$G,Income!$H:$H, AW$2,Income!$F:$F, $AT$1, Income!$B:$B, IF($AU161&lt;&gt;"", TEXT($AU161, "MMMM"), ""), Income!$C:$C, YEAR($AU161))</f>
        <v>0</v>
      </c>
      <c r="AX161" s="469">
        <f>SUMIFS(Income!$G:$G,Income!$H:$H, AX$2,Income!$F:$F, $AT$1, Income!$B:$B, IF($AU161&lt;&gt;"", TEXT($AU161, "MMMM"), ""), Income!$C:$C, YEAR($AU161))</f>
        <v>0</v>
      </c>
      <c r="AY161" s="469">
        <f>SUMIFS(Income!$G:$G,Income!$H:$H, AY$2,Income!$F:$F, $AT$1, Income!$B:$B, IF($AU161&lt;&gt;"", TEXT($AU161, "MMMM"), ""), Income!$C:$C, YEAR($AU161))</f>
        <v>0</v>
      </c>
      <c r="AZ161" s="464">
        <f>SUMIFS(Income!$G:$G,Income!$H:$H, AZ$2,Income!$F:$F, $AT$1, Income!$B:$B, IF($AU161&lt;&gt;"", TEXT($AU161, "MMMM"), ""), Income!$C:$C, YEAR($AU161))</f>
        <v>0</v>
      </c>
      <c r="BA161" s="471">
        <f>SUMIFS(Income!$G:$G,Income!$H:$H, BA$2,Income!$F:$F, $AT$1, Income!$B:$B, IF($AU161&lt;&gt;"", TEXT($AU161, "MMMM"), ""), Income!$C:$C, YEAR($AU161))</f>
        <v>0</v>
      </c>
      <c r="BB161" s="345"/>
      <c r="BC161" s="345"/>
      <c r="BD161" s="345"/>
      <c r="BE161" s="345"/>
    </row>
    <row r="162" ht="13.5" customHeight="1">
      <c r="A162" s="424">
        <f>'Membership Application List'!A391</f>
        <v>45540.81944</v>
      </c>
      <c r="B162" s="443" t="str">
        <f t="shared" si="6"/>
        <v>September</v>
      </c>
      <c r="C162" s="443">
        <f t="shared" si="7"/>
        <v>2024</v>
      </c>
      <c r="D162" s="426" t="str">
        <f>'Membership Application List'!E391</f>
        <v>Akshita Joshi</v>
      </c>
      <c r="E162" s="426">
        <f>IF('Membership Application List'!J391 = "Food/Litter Donation", 0, IF('Membership Application List'!J391 = "$15 Donation, Discord Verification", IF('Membership Application List'!N391 = TRUE, 15, 0)))</f>
        <v>15</v>
      </c>
      <c r="F162" s="426">
        <f>if('Membership Application List'!K391=TRUE, 5,0)</f>
        <v>0</v>
      </c>
      <c r="G162" s="426">
        <f t="shared" si="8"/>
        <v>15</v>
      </c>
      <c r="H162" s="427" t="str">
        <f>'Membership Application List'!L391</f>
        <v>Paypal</v>
      </c>
      <c r="I162" s="428"/>
      <c r="J162" s="463">
        <v>48670.0</v>
      </c>
      <c r="K162" s="464">
        <f t="shared" ref="K162:O162" si="120">SUMIFS($G:$G, $H:$H, K$2, $B:$B, IF($J162&lt;&gt;"", TEXT($J162, "MMMM"), ""), $C:$C, YEAR($J162))</f>
        <v>0</v>
      </c>
      <c r="L162" s="464">
        <f t="shared" si="120"/>
        <v>0</v>
      </c>
      <c r="M162" s="464">
        <f t="shared" si="120"/>
        <v>0</v>
      </c>
      <c r="N162" s="464">
        <f t="shared" si="120"/>
        <v>0</v>
      </c>
      <c r="O162" s="465">
        <f t="shared" si="120"/>
        <v>0</v>
      </c>
      <c r="P162" s="414"/>
      <c r="Q162" s="414"/>
      <c r="R162" s="414"/>
      <c r="S162" s="445"/>
      <c r="T162" s="445"/>
      <c r="U162" s="445"/>
      <c r="V162" s="428"/>
      <c r="W162" s="463">
        <v>48670.0</v>
      </c>
      <c r="X162" s="469">
        <f>SUMIFS(Income!$G:$G,Income!$H:$H, X$2,Income!$F:$F, $V$1, Income!$B:$B, IF($W162&lt;&gt;"", TEXT($W162, "MMMM"), ""), Income!$C:$C, YEAR($W162))</f>
        <v>0</v>
      </c>
      <c r="Y162" s="469">
        <f>SUMIFS(Income!$G:$G,Income!$H:$H, Y$2,Income!$F:$F, $V$1, Income!$B:$B, IF($W162&lt;&gt;"", TEXT($W162, "MMMM"), ""), Income!$C:$C, YEAR($W162))</f>
        <v>0</v>
      </c>
      <c r="Z162" s="469">
        <f>SUMIFS(Income!$G:$G,Income!$H:$H, Z$2,Income!$F:$F, $V$1, Income!$B:$B, IF($W162&lt;&gt;"", TEXT($W162, "MMMM"), ""), Income!$C:$C, YEAR($W162))</f>
        <v>0</v>
      </c>
      <c r="AA162" s="469">
        <f>SUMIFS(Income!$G:$G,Income!$H:$H, AA$2,Income!$F:$F, $V$1, Income!$B:$B, IF($W162&lt;&gt;"", TEXT($W162, "MMMM"), ""), Income!$C:$C, YEAR($W162))</f>
        <v>0</v>
      </c>
      <c r="AB162" s="464">
        <f>SUMIFS(Income!$G:$G,Income!$H:$H, AB$2,Income!$F:$F, $V$1, Income!$B:$B, IF($W162&lt;&gt;"", TEXT($W162, "MMMM"), ""), Income!$C:$C, YEAR($W162))</f>
        <v>0</v>
      </c>
      <c r="AC162" s="470">
        <f>SUMIFS(Income!$G:$G,Income!$H:$H, AC$2,Income!$F:$F, $V$1, Income!$B:$B, IF($W162&lt;&gt;"", TEXT($W162, "MMMM"), ""), Income!$C:$C, YEAR($W162))</f>
        <v>0</v>
      </c>
      <c r="AD162" s="428"/>
      <c r="AE162" s="463">
        <v>48670.0</v>
      </c>
      <c r="AF162" s="469">
        <f>SUMIFS(Income!$G:$G,Income!$H:$H, AF$2,Income!$F:$F, $AD$1, Income!$B:$B, IF($AE162&lt;&gt;"", TEXT($AE162, "MMMM"), ""), Income!$C:$C, YEAR($AE162))</f>
        <v>0</v>
      </c>
      <c r="AG162" s="469">
        <f>SUMIFS(Income!$G:$G,Income!$H:$H, AG$2,Income!$F:$F, $AD$1, Income!$B:$B, IF($AE162&lt;&gt;"", TEXT($AE162, "MMMM"), ""), Income!$C:$C, YEAR($AE162))</f>
        <v>0</v>
      </c>
      <c r="AH162" s="469">
        <f>SUMIFS(Income!$G:$G,Income!$H:$H, AH$2,Income!$F:$F, $AD$1, Income!$B:$B, IF($AE162&lt;&gt;"", TEXT($AE162, "MMMM"), ""), Income!$C:$C, YEAR($AE162))</f>
        <v>0</v>
      </c>
      <c r="AI162" s="469">
        <f>SUMIFS(Income!$G:$G,Income!$H:$H, AI$2,Income!$F:$F, $AD$1, Income!$B:$B, IF($AE162&lt;&gt;"", TEXT($AE162, "MMMM"), ""), Income!$C:$C, YEAR($AE162))</f>
        <v>0</v>
      </c>
      <c r="AJ162" s="464">
        <f>SUMIFS(Income!$G:$G,Income!$H:$H, AJ$2,Income!$F:$F, $AD$1, Income!$B:$B, IF($AE162&lt;&gt;"", TEXT($AE162, "MMMM"), ""), Income!$C:$C, YEAR($AE162))</f>
        <v>0</v>
      </c>
      <c r="AK162" s="470">
        <f>SUMIFS(Income!$G:$G,Income!$H:$H, AK$2,Income!$F:$F, $AD$1, Income!$B:$B, IF($AE162&lt;&gt;"", TEXT($AE162, "MMMM"), ""), Income!$C:$C, YEAR($AE162))</f>
        <v>0</v>
      </c>
      <c r="AL162" s="428"/>
      <c r="AM162" s="463">
        <v>48670.0</v>
      </c>
      <c r="AN162" s="464">
        <f>SUMIFS(Income!$G:$G,Income!$H:$H, AN$2,Income!$F:$F, $AL$1, Income!$B:$B, IF($AM162&lt;&gt;"", TEXT($AM162, "MMMM"), ""), Income!$C:$C, YEAR($AM162))+SUMIFS($T:$T, $U:$U,AN$2,$Q:$Q,IF($AM162&lt;&gt;"", TEXT($AM162, "MMMM"), ""),$R:$R,YEAR($AM162))</f>
        <v>0</v>
      </c>
      <c r="AO162" s="464">
        <f>SUMIFS(Income!$G:$G,Income!$H:$H, AO$2,Income!$F:$F, $AL$1, Income!$B:$B, IF($AM162&lt;&gt;"", TEXT($AM162, "MMMM"), ""), Income!$C:$C, YEAR($AM162))+SUMIFS($T:$T, $U:$U,AO$2,$Q:$Q,IF($AM162&lt;&gt;"", TEXT($AM162, "MMMM"), ""),$R:$R,YEAR($AM162))</f>
        <v>0</v>
      </c>
      <c r="AP162" s="464">
        <f>SUMIFS(Income!$G:$G,Income!$H:$H, AP$2,Income!$F:$F, $AL$1, Income!$B:$B, IF($AM162&lt;&gt;"", TEXT($AM162, "MMMM"), ""), Income!$C:$C, YEAR($AM162))+SUMIFS($T:$T, $U:$U,AP$2,$Q:$Q,IF($AM162&lt;&gt;"", TEXT($AM162, "MMMM"), ""),$R:$R,YEAR($AM162))</f>
        <v>0</v>
      </c>
      <c r="AQ162" s="464">
        <f>SUMIFS(Income!$G:$G,Income!$H:$H, AQ$2,Income!$F:$F, $AL$1, Income!$B:$B, IF($AM162&lt;&gt;"", TEXT($AM162, "MMMM"), ""), Income!$C:$C, YEAR($AM162))+SUMIFS($T:$T, $U:$U,AQ$2,$Q:$Q,IF($AM162&lt;&gt;"", TEXT($AM162, "MMMM"), ""),$R:$R,YEAR($AM162))</f>
        <v>0</v>
      </c>
      <c r="AR162" s="464">
        <f>SUMIFS(Income!$G:$G,Income!$H:$H, AR$2,Income!$F:$F, $AL$1, Income!$B:$B, IF($AM162&lt;&gt;"", TEXT($AM162, "MMMM"), ""), Income!$C:$C, YEAR($AM162))+SUMIFS($T:$T, $U:$U,AR$2,$Q:$Q,IF($AM162&lt;&gt;"", TEXT($AM162, "MMMM"), ""),$R:$R,YEAR($AM162))</f>
        <v>0</v>
      </c>
      <c r="AS162" s="467">
        <f>SUMIFS(Income!$G:$G,Income!$H:$H, AS$2,Income!$F:$F, $AL$1, Income!$B:$B, IF($AM162&lt;&gt;"", TEXT($AM162, "MMMM"), ""), Income!$C:$C, YEAR($AM162))+SUMIFS($T:$T, $U:$U,AS$2,$Q:$Q,IF($AM162&lt;&gt;"", TEXT($AM162, "MMMM"), ""),$R:$R,YEAR($AM162))</f>
        <v>0</v>
      </c>
      <c r="AT162" s="428"/>
      <c r="AU162" s="463">
        <v>48670.0</v>
      </c>
      <c r="AV162" s="469">
        <f>SUMIFS(Income!$G:$G,Income!$H:$H, AV$2,Income!$F:$F, $AT$1, Income!$B:$B, IF($AU162&lt;&gt;"", TEXT($AU162, "MMMM"), ""), Income!$C:$C, YEAR($AU162))</f>
        <v>0</v>
      </c>
      <c r="AW162" s="469">
        <f>SUMIFS(Income!$G:$G,Income!$H:$H, AW$2,Income!$F:$F, $AT$1, Income!$B:$B, IF($AU162&lt;&gt;"", TEXT($AU162, "MMMM"), ""), Income!$C:$C, YEAR($AU162))</f>
        <v>0</v>
      </c>
      <c r="AX162" s="469">
        <f>SUMIFS(Income!$G:$G,Income!$H:$H, AX$2,Income!$F:$F, $AT$1, Income!$B:$B, IF($AU162&lt;&gt;"", TEXT($AU162, "MMMM"), ""), Income!$C:$C, YEAR($AU162))</f>
        <v>0</v>
      </c>
      <c r="AY162" s="469">
        <f>SUMIFS(Income!$G:$G,Income!$H:$H, AY$2,Income!$F:$F, $AT$1, Income!$B:$B, IF($AU162&lt;&gt;"", TEXT($AU162, "MMMM"), ""), Income!$C:$C, YEAR($AU162))</f>
        <v>0</v>
      </c>
      <c r="AZ162" s="464">
        <f>SUMIFS(Income!$G:$G,Income!$H:$H, AZ$2,Income!$F:$F, $AT$1, Income!$B:$B, IF($AU162&lt;&gt;"", TEXT($AU162, "MMMM"), ""), Income!$C:$C, YEAR($AU162))</f>
        <v>0</v>
      </c>
      <c r="BA162" s="471">
        <f>SUMIFS(Income!$G:$G,Income!$H:$H, BA$2,Income!$F:$F, $AT$1, Income!$B:$B, IF($AU162&lt;&gt;"", TEXT($AU162, "MMMM"), ""), Income!$C:$C, YEAR($AU162))</f>
        <v>0</v>
      </c>
      <c r="BB162" s="345"/>
      <c r="BC162" s="345"/>
      <c r="BD162" s="345"/>
      <c r="BE162" s="345"/>
    </row>
    <row r="163" ht="13.5" customHeight="1">
      <c r="A163" s="436">
        <f>'Membership Application List'!A392</f>
        <v>45541.42057</v>
      </c>
      <c r="B163" s="437" t="str">
        <f t="shared" si="6"/>
        <v>September</v>
      </c>
      <c r="C163" s="437">
        <f t="shared" si="7"/>
        <v>2024</v>
      </c>
      <c r="D163" s="438" t="str">
        <f>'Membership Application List'!E392</f>
        <v>John Joseph Sanchez</v>
      </c>
      <c r="E163" s="438">
        <f>IF('Membership Application List'!J392 = "Food/Litter Donation", 0, IF('Membership Application List'!J392 = "$15 Donation, Discord Verification", IF('Membership Application List'!N392 = TRUE, 15, 0)))</f>
        <v>15</v>
      </c>
      <c r="F163" s="438">
        <f>if('Membership Application List'!K392=TRUE, 5,0)</f>
        <v>0</v>
      </c>
      <c r="G163" s="438">
        <f t="shared" si="8"/>
        <v>15</v>
      </c>
      <c r="H163" s="439" t="str">
        <f>'Membership Application List'!L392</f>
        <v>Cashapp</v>
      </c>
      <c r="I163" s="428"/>
      <c r="J163" s="463">
        <v>48700.0</v>
      </c>
      <c r="K163" s="464">
        <f t="shared" ref="K163:O163" si="121">SUMIFS($G:$G, $H:$H, K$2, $B:$B, IF($J163&lt;&gt;"", TEXT($J163, "MMMM"), ""), $C:$C, YEAR($J163))</f>
        <v>0</v>
      </c>
      <c r="L163" s="464">
        <f t="shared" si="121"/>
        <v>0</v>
      </c>
      <c r="M163" s="464">
        <f t="shared" si="121"/>
        <v>0</v>
      </c>
      <c r="N163" s="464">
        <f t="shared" si="121"/>
        <v>0</v>
      </c>
      <c r="O163" s="465">
        <f t="shared" si="121"/>
        <v>0</v>
      </c>
      <c r="P163" s="414"/>
      <c r="Q163" s="414"/>
      <c r="R163" s="414"/>
      <c r="S163" s="445"/>
      <c r="T163" s="445"/>
      <c r="U163" s="445"/>
      <c r="V163" s="428"/>
      <c r="W163" s="463">
        <v>48700.0</v>
      </c>
      <c r="X163" s="469">
        <f>SUMIFS(Income!$G:$G,Income!$H:$H, X$2,Income!$F:$F, $V$1, Income!$B:$B, IF($W163&lt;&gt;"", TEXT($W163, "MMMM"), ""), Income!$C:$C, YEAR($W163))</f>
        <v>0</v>
      </c>
      <c r="Y163" s="469">
        <f>SUMIFS(Income!$G:$G,Income!$H:$H, Y$2,Income!$F:$F, $V$1, Income!$B:$B, IF($W163&lt;&gt;"", TEXT($W163, "MMMM"), ""), Income!$C:$C, YEAR($W163))</f>
        <v>0</v>
      </c>
      <c r="Z163" s="469">
        <f>SUMIFS(Income!$G:$G,Income!$H:$H, Z$2,Income!$F:$F, $V$1, Income!$B:$B, IF($W163&lt;&gt;"", TEXT($W163, "MMMM"), ""), Income!$C:$C, YEAR($W163))</f>
        <v>0</v>
      </c>
      <c r="AA163" s="469">
        <f>SUMIFS(Income!$G:$G,Income!$H:$H, AA$2,Income!$F:$F, $V$1, Income!$B:$B, IF($W163&lt;&gt;"", TEXT($W163, "MMMM"), ""), Income!$C:$C, YEAR($W163))</f>
        <v>0</v>
      </c>
      <c r="AB163" s="464">
        <f>SUMIFS(Income!$G:$G,Income!$H:$H, AB$2,Income!$F:$F, $V$1, Income!$B:$B, IF($W163&lt;&gt;"", TEXT($W163, "MMMM"), ""), Income!$C:$C, YEAR($W163))</f>
        <v>0</v>
      </c>
      <c r="AC163" s="470">
        <f>SUMIFS(Income!$G:$G,Income!$H:$H, AC$2,Income!$F:$F, $V$1, Income!$B:$B, IF($W163&lt;&gt;"", TEXT($W163, "MMMM"), ""), Income!$C:$C, YEAR($W163))</f>
        <v>0</v>
      </c>
      <c r="AD163" s="428"/>
      <c r="AE163" s="463">
        <v>48700.0</v>
      </c>
      <c r="AF163" s="469">
        <f>SUMIFS(Income!$G:$G,Income!$H:$H, AF$2,Income!$F:$F, $AD$1, Income!$B:$B, IF($AE163&lt;&gt;"", TEXT($AE163, "MMMM"), ""), Income!$C:$C, YEAR($AE163))</f>
        <v>0</v>
      </c>
      <c r="AG163" s="469">
        <f>SUMIFS(Income!$G:$G,Income!$H:$H, AG$2,Income!$F:$F, $AD$1, Income!$B:$B, IF($AE163&lt;&gt;"", TEXT($AE163, "MMMM"), ""), Income!$C:$C, YEAR($AE163))</f>
        <v>0</v>
      </c>
      <c r="AH163" s="469">
        <f>SUMIFS(Income!$G:$G,Income!$H:$H, AH$2,Income!$F:$F, $AD$1, Income!$B:$B, IF($AE163&lt;&gt;"", TEXT($AE163, "MMMM"), ""), Income!$C:$C, YEAR($AE163))</f>
        <v>0</v>
      </c>
      <c r="AI163" s="469">
        <f>SUMIFS(Income!$G:$G,Income!$H:$H, AI$2,Income!$F:$F, $AD$1, Income!$B:$B, IF($AE163&lt;&gt;"", TEXT($AE163, "MMMM"), ""), Income!$C:$C, YEAR($AE163))</f>
        <v>0</v>
      </c>
      <c r="AJ163" s="464">
        <f>SUMIFS(Income!$G:$G,Income!$H:$H, AJ$2,Income!$F:$F, $AD$1, Income!$B:$B, IF($AE163&lt;&gt;"", TEXT($AE163, "MMMM"), ""), Income!$C:$C, YEAR($AE163))</f>
        <v>0</v>
      </c>
      <c r="AK163" s="470">
        <f>SUMIFS(Income!$G:$G,Income!$H:$H, AK$2,Income!$F:$F, $AD$1, Income!$B:$B, IF($AE163&lt;&gt;"", TEXT($AE163, "MMMM"), ""), Income!$C:$C, YEAR($AE163))</f>
        <v>0</v>
      </c>
      <c r="AL163" s="428"/>
      <c r="AM163" s="463">
        <v>48700.0</v>
      </c>
      <c r="AN163" s="464">
        <f>SUMIFS(Income!$G:$G,Income!$H:$H, AN$2,Income!$F:$F, $AL$1, Income!$B:$B, IF($AM163&lt;&gt;"", TEXT($AM163, "MMMM"), ""), Income!$C:$C, YEAR($AM163))+SUMIFS($T:$T, $U:$U,AN$2,$Q:$Q,IF($AM163&lt;&gt;"", TEXT($AM163, "MMMM"), ""),$R:$R,YEAR($AM163))</f>
        <v>0</v>
      </c>
      <c r="AO163" s="464">
        <f>SUMIFS(Income!$G:$G,Income!$H:$H, AO$2,Income!$F:$F, $AL$1, Income!$B:$B, IF($AM163&lt;&gt;"", TEXT($AM163, "MMMM"), ""), Income!$C:$C, YEAR($AM163))+SUMIFS($T:$T, $U:$U,AO$2,$Q:$Q,IF($AM163&lt;&gt;"", TEXT($AM163, "MMMM"), ""),$R:$R,YEAR($AM163))</f>
        <v>0</v>
      </c>
      <c r="AP163" s="464">
        <f>SUMIFS(Income!$G:$G,Income!$H:$H, AP$2,Income!$F:$F, $AL$1, Income!$B:$B, IF($AM163&lt;&gt;"", TEXT($AM163, "MMMM"), ""), Income!$C:$C, YEAR($AM163))+SUMIFS($T:$T, $U:$U,AP$2,$Q:$Q,IF($AM163&lt;&gt;"", TEXT($AM163, "MMMM"), ""),$R:$R,YEAR($AM163))</f>
        <v>0</v>
      </c>
      <c r="AQ163" s="464">
        <f>SUMIFS(Income!$G:$G,Income!$H:$H, AQ$2,Income!$F:$F, $AL$1, Income!$B:$B, IF($AM163&lt;&gt;"", TEXT($AM163, "MMMM"), ""), Income!$C:$C, YEAR($AM163))+SUMIFS($T:$T, $U:$U,AQ$2,$Q:$Q,IF($AM163&lt;&gt;"", TEXT($AM163, "MMMM"), ""),$R:$R,YEAR($AM163))</f>
        <v>0</v>
      </c>
      <c r="AR163" s="464">
        <f>SUMIFS(Income!$G:$G,Income!$H:$H, AR$2,Income!$F:$F, $AL$1, Income!$B:$B, IF($AM163&lt;&gt;"", TEXT($AM163, "MMMM"), ""), Income!$C:$C, YEAR($AM163))+SUMIFS($T:$T, $U:$U,AR$2,$Q:$Q,IF($AM163&lt;&gt;"", TEXT($AM163, "MMMM"), ""),$R:$R,YEAR($AM163))</f>
        <v>0</v>
      </c>
      <c r="AS163" s="467">
        <f>SUMIFS(Income!$G:$G,Income!$H:$H, AS$2,Income!$F:$F, $AL$1, Income!$B:$B, IF($AM163&lt;&gt;"", TEXT($AM163, "MMMM"), ""), Income!$C:$C, YEAR($AM163))+SUMIFS($T:$T, $U:$U,AS$2,$Q:$Q,IF($AM163&lt;&gt;"", TEXT($AM163, "MMMM"), ""),$R:$R,YEAR($AM163))</f>
        <v>0</v>
      </c>
      <c r="AT163" s="428"/>
      <c r="AU163" s="463">
        <v>48700.0</v>
      </c>
      <c r="AV163" s="469">
        <f>SUMIFS(Income!$G:$G,Income!$H:$H, AV$2,Income!$F:$F, $AT$1, Income!$B:$B, IF($AU163&lt;&gt;"", TEXT($AU163, "MMMM"), ""), Income!$C:$C, YEAR($AU163))</f>
        <v>0</v>
      </c>
      <c r="AW163" s="469">
        <f>SUMIFS(Income!$G:$G,Income!$H:$H, AW$2,Income!$F:$F, $AT$1, Income!$B:$B, IF($AU163&lt;&gt;"", TEXT($AU163, "MMMM"), ""), Income!$C:$C, YEAR($AU163))</f>
        <v>0</v>
      </c>
      <c r="AX163" s="469">
        <f>SUMIFS(Income!$G:$G,Income!$H:$H, AX$2,Income!$F:$F, $AT$1, Income!$B:$B, IF($AU163&lt;&gt;"", TEXT($AU163, "MMMM"), ""), Income!$C:$C, YEAR($AU163))</f>
        <v>0</v>
      </c>
      <c r="AY163" s="469">
        <f>SUMIFS(Income!$G:$G,Income!$H:$H, AY$2,Income!$F:$F, $AT$1, Income!$B:$B, IF($AU163&lt;&gt;"", TEXT($AU163, "MMMM"), ""), Income!$C:$C, YEAR($AU163))</f>
        <v>0</v>
      </c>
      <c r="AZ163" s="464">
        <f>SUMIFS(Income!$G:$G,Income!$H:$H, AZ$2,Income!$F:$F, $AT$1, Income!$B:$B, IF($AU163&lt;&gt;"", TEXT($AU163, "MMMM"), ""), Income!$C:$C, YEAR($AU163))</f>
        <v>0</v>
      </c>
      <c r="BA163" s="471">
        <f>SUMIFS(Income!$G:$G,Income!$H:$H, BA$2,Income!$F:$F, $AT$1, Income!$B:$B, IF($AU163&lt;&gt;"", TEXT($AU163, "MMMM"), ""), Income!$C:$C, YEAR($AU163))</f>
        <v>0</v>
      </c>
      <c r="BB163" s="345"/>
      <c r="BC163" s="345"/>
      <c r="BD163" s="345"/>
      <c r="BE163" s="345"/>
    </row>
    <row r="164" ht="13.5" customHeight="1">
      <c r="A164" s="424">
        <f>'Membership Application List'!A393</f>
        <v>45541.48286</v>
      </c>
      <c r="B164" s="443" t="str">
        <f t="shared" si="6"/>
        <v>September</v>
      </c>
      <c r="C164" s="443">
        <f t="shared" si="7"/>
        <v>2024</v>
      </c>
      <c r="D164" s="426" t="str">
        <f>'Membership Application List'!E393</f>
        <v>Ryan Johnson</v>
      </c>
      <c r="E164" s="426">
        <f>IF('Membership Application List'!J393 = "Food/Litter Donation", 0, IF('Membership Application List'!J393 = "$15 Donation, Discord Verification", IF('Membership Application List'!N393 = TRUE, 15, 0)))</f>
        <v>15</v>
      </c>
      <c r="F164" s="426">
        <f>if('Membership Application List'!K393=TRUE, 5,0)</f>
        <v>0</v>
      </c>
      <c r="G164" s="426">
        <f t="shared" si="8"/>
        <v>15</v>
      </c>
      <c r="H164" s="427" t="str">
        <f>'Membership Application List'!L393</f>
        <v>Cashapp</v>
      </c>
      <c r="I164" s="447" t="s">
        <v>795</v>
      </c>
      <c r="J164" s="463">
        <v>48731.0</v>
      </c>
      <c r="K164" s="464">
        <f t="shared" ref="K164:O164" si="122">SUMIFS($G:$G, $H:$H, K$2, $B:$B, IF($J164&lt;&gt;"", TEXT($J164, "MMMM"), ""), $C:$C, YEAR($J164))</f>
        <v>0</v>
      </c>
      <c r="L164" s="464">
        <f t="shared" si="122"/>
        <v>0</v>
      </c>
      <c r="M164" s="464">
        <f t="shared" si="122"/>
        <v>0</v>
      </c>
      <c r="N164" s="464">
        <f t="shared" si="122"/>
        <v>0</v>
      </c>
      <c r="O164" s="465">
        <f t="shared" si="122"/>
        <v>0</v>
      </c>
      <c r="P164" s="414"/>
      <c r="Q164" s="414"/>
      <c r="R164" s="414"/>
      <c r="S164" s="445"/>
      <c r="T164" s="445"/>
      <c r="U164" s="445"/>
      <c r="V164" s="447" t="s">
        <v>795</v>
      </c>
      <c r="W164" s="463">
        <v>48731.0</v>
      </c>
      <c r="X164" s="469">
        <f>SUMIFS(Income!$G:$G,Income!$H:$H, X$2,Income!$F:$F, $V$1, Income!$B:$B, IF($W164&lt;&gt;"", TEXT($W164, "MMMM"), ""), Income!$C:$C, YEAR($W164))</f>
        <v>0</v>
      </c>
      <c r="Y164" s="469">
        <f>SUMIFS(Income!$G:$G,Income!$H:$H, Y$2,Income!$F:$F, $V$1, Income!$B:$B, IF($W164&lt;&gt;"", TEXT($W164, "MMMM"), ""), Income!$C:$C, YEAR($W164))</f>
        <v>0</v>
      </c>
      <c r="Z164" s="469">
        <f>SUMIFS(Income!$G:$G,Income!$H:$H, Z$2,Income!$F:$F, $V$1, Income!$B:$B, IF($W164&lt;&gt;"", TEXT($W164, "MMMM"), ""), Income!$C:$C, YEAR($W164))</f>
        <v>0</v>
      </c>
      <c r="AA164" s="469">
        <f>SUMIFS(Income!$G:$G,Income!$H:$H, AA$2,Income!$F:$F, $V$1, Income!$B:$B, IF($W164&lt;&gt;"", TEXT($W164, "MMMM"), ""), Income!$C:$C, YEAR($W164))</f>
        <v>0</v>
      </c>
      <c r="AB164" s="464">
        <f>SUMIFS(Income!$G:$G,Income!$H:$H, AB$2,Income!$F:$F, $V$1, Income!$B:$B, IF($W164&lt;&gt;"", TEXT($W164, "MMMM"), ""), Income!$C:$C, YEAR($W164))</f>
        <v>0</v>
      </c>
      <c r="AC164" s="470">
        <f>SUMIFS(Income!$G:$G,Income!$H:$H, AC$2,Income!$F:$F, $V$1, Income!$B:$B, IF($W164&lt;&gt;"", TEXT($W164, "MMMM"), ""), Income!$C:$C, YEAR($W164))</f>
        <v>0</v>
      </c>
      <c r="AD164" s="447" t="s">
        <v>795</v>
      </c>
      <c r="AE164" s="463">
        <v>48731.0</v>
      </c>
      <c r="AF164" s="469">
        <f>SUMIFS(Income!$G:$G,Income!$H:$H, AF$2,Income!$F:$F, $AD$1, Income!$B:$B, IF($AE164&lt;&gt;"", TEXT($AE164, "MMMM"), ""), Income!$C:$C, YEAR($AE164))</f>
        <v>0</v>
      </c>
      <c r="AG164" s="469">
        <f>SUMIFS(Income!$G:$G,Income!$H:$H, AG$2,Income!$F:$F, $AD$1, Income!$B:$B, IF($AE164&lt;&gt;"", TEXT($AE164, "MMMM"), ""), Income!$C:$C, YEAR($AE164))</f>
        <v>0</v>
      </c>
      <c r="AH164" s="469">
        <f>SUMIFS(Income!$G:$G,Income!$H:$H, AH$2,Income!$F:$F, $AD$1, Income!$B:$B, IF($AE164&lt;&gt;"", TEXT($AE164, "MMMM"), ""), Income!$C:$C, YEAR($AE164))</f>
        <v>0</v>
      </c>
      <c r="AI164" s="469">
        <f>SUMIFS(Income!$G:$G,Income!$H:$H, AI$2,Income!$F:$F, $AD$1, Income!$B:$B, IF($AE164&lt;&gt;"", TEXT($AE164, "MMMM"), ""), Income!$C:$C, YEAR($AE164))</f>
        <v>0</v>
      </c>
      <c r="AJ164" s="464">
        <f>SUMIFS(Income!$G:$G,Income!$H:$H, AJ$2,Income!$F:$F, $AD$1, Income!$B:$B, IF($AE164&lt;&gt;"", TEXT($AE164, "MMMM"), ""), Income!$C:$C, YEAR($AE164))</f>
        <v>0</v>
      </c>
      <c r="AK164" s="470">
        <f>SUMIFS(Income!$G:$G,Income!$H:$H, AK$2,Income!$F:$F, $AD$1, Income!$B:$B, IF($AE164&lt;&gt;"", TEXT($AE164, "MMMM"), ""), Income!$C:$C, YEAR($AE164))</f>
        <v>0</v>
      </c>
      <c r="AL164" s="447" t="s">
        <v>795</v>
      </c>
      <c r="AM164" s="463">
        <v>48731.0</v>
      </c>
      <c r="AN164" s="464">
        <f>SUMIFS(Income!$G:$G,Income!$H:$H, AN$2,Income!$F:$F, $AL$1, Income!$B:$B, IF($AM164&lt;&gt;"", TEXT($AM164, "MMMM"), ""), Income!$C:$C, YEAR($AM164))+SUMIFS($T:$T, $U:$U,AN$2,$Q:$Q,IF($AM164&lt;&gt;"", TEXT($AM164, "MMMM"), ""),$R:$R,YEAR($AM164))</f>
        <v>0</v>
      </c>
      <c r="AO164" s="464">
        <f>SUMIFS(Income!$G:$G,Income!$H:$H, AO$2,Income!$F:$F, $AL$1, Income!$B:$B, IF($AM164&lt;&gt;"", TEXT($AM164, "MMMM"), ""), Income!$C:$C, YEAR($AM164))+SUMIFS($T:$T, $U:$U,AO$2,$Q:$Q,IF($AM164&lt;&gt;"", TEXT($AM164, "MMMM"), ""),$R:$R,YEAR($AM164))</f>
        <v>0</v>
      </c>
      <c r="AP164" s="464">
        <f>SUMIFS(Income!$G:$G,Income!$H:$H, AP$2,Income!$F:$F, $AL$1, Income!$B:$B, IF($AM164&lt;&gt;"", TEXT($AM164, "MMMM"), ""), Income!$C:$C, YEAR($AM164))+SUMIFS($T:$T, $U:$U,AP$2,$Q:$Q,IF($AM164&lt;&gt;"", TEXT($AM164, "MMMM"), ""),$R:$R,YEAR($AM164))</f>
        <v>0</v>
      </c>
      <c r="AQ164" s="464">
        <f>SUMIFS(Income!$G:$G,Income!$H:$H, AQ$2,Income!$F:$F, $AL$1, Income!$B:$B, IF($AM164&lt;&gt;"", TEXT($AM164, "MMMM"), ""), Income!$C:$C, YEAR($AM164))+SUMIFS($T:$T, $U:$U,AQ$2,$Q:$Q,IF($AM164&lt;&gt;"", TEXT($AM164, "MMMM"), ""),$R:$R,YEAR($AM164))</f>
        <v>0</v>
      </c>
      <c r="AR164" s="464">
        <f>SUMIFS(Income!$G:$G,Income!$H:$H, AR$2,Income!$F:$F, $AL$1, Income!$B:$B, IF($AM164&lt;&gt;"", TEXT($AM164, "MMMM"), ""), Income!$C:$C, YEAR($AM164))+SUMIFS($T:$T, $U:$U,AR$2,$Q:$Q,IF($AM164&lt;&gt;"", TEXT($AM164, "MMMM"), ""),$R:$R,YEAR($AM164))</f>
        <v>0</v>
      </c>
      <c r="AS164" s="467">
        <f>SUMIFS(Income!$G:$G,Income!$H:$H, AS$2,Income!$F:$F, $AL$1, Income!$B:$B, IF($AM164&lt;&gt;"", TEXT($AM164, "MMMM"), ""), Income!$C:$C, YEAR($AM164))+SUMIFS($T:$T, $U:$U,AS$2,$Q:$Q,IF($AM164&lt;&gt;"", TEXT($AM164, "MMMM"), ""),$R:$R,YEAR($AM164))</f>
        <v>0</v>
      </c>
      <c r="AT164" s="447" t="s">
        <v>795</v>
      </c>
      <c r="AU164" s="463">
        <v>48731.0</v>
      </c>
      <c r="AV164" s="469">
        <f>SUMIFS(Income!$G:$G,Income!$H:$H, AV$2,Income!$F:$F, $AT$1, Income!$B:$B, IF($AU164&lt;&gt;"", TEXT($AU164, "MMMM"), ""), Income!$C:$C, YEAR($AU164))</f>
        <v>0</v>
      </c>
      <c r="AW164" s="469">
        <f>SUMIFS(Income!$G:$G,Income!$H:$H, AW$2,Income!$F:$F, $AT$1, Income!$B:$B, IF($AU164&lt;&gt;"", TEXT($AU164, "MMMM"), ""), Income!$C:$C, YEAR($AU164))</f>
        <v>0</v>
      </c>
      <c r="AX164" s="469">
        <f>SUMIFS(Income!$G:$G,Income!$H:$H, AX$2,Income!$F:$F, $AT$1, Income!$B:$B, IF($AU164&lt;&gt;"", TEXT($AU164, "MMMM"), ""), Income!$C:$C, YEAR($AU164))</f>
        <v>0</v>
      </c>
      <c r="AY164" s="469">
        <f>SUMIFS(Income!$G:$G,Income!$H:$H, AY$2,Income!$F:$F, $AT$1, Income!$B:$B, IF($AU164&lt;&gt;"", TEXT($AU164, "MMMM"), ""), Income!$C:$C, YEAR($AU164))</f>
        <v>0</v>
      </c>
      <c r="AZ164" s="464">
        <f>SUMIFS(Income!$G:$G,Income!$H:$H, AZ$2,Income!$F:$F, $AT$1, Income!$B:$B, IF($AU164&lt;&gt;"", TEXT($AU164, "MMMM"), ""), Income!$C:$C, YEAR($AU164))</f>
        <v>0</v>
      </c>
      <c r="BA164" s="471">
        <f>SUMIFS(Income!$G:$G,Income!$H:$H, BA$2,Income!$F:$F, $AT$1, Income!$B:$B, IF($AU164&lt;&gt;"", TEXT($AU164, "MMMM"), ""), Income!$C:$C, YEAR($AU164))</f>
        <v>0</v>
      </c>
      <c r="BB164" s="345"/>
      <c r="BC164" s="345"/>
      <c r="BD164" s="345"/>
      <c r="BE164" s="345"/>
    </row>
    <row r="165" ht="13.5" customHeight="1">
      <c r="A165" s="436">
        <f>'Membership Application List'!A394</f>
        <v>45541.57676</v>
      </c>
      <c r="B165" s="437" t="str">
        <f t="shared" si="6"/>
        <v>September</v>
      </c>
      <c r="C165" s="437">
        <f t="shared" si="7"/>
        <v>2024</v>
      </c>
      <c r="D165" s="438" t="str">
        <f>'Membership Application List'!E394</f>
        <v>Aileen Sengupta</v>
      </c>
      <c r="E165" s="438">
        <f>IF('Membership Application List'!J394 = "Food/Litter Donation", 0, IF('Membership Application List'!J394 = "$15 Donation, Discord Verification", IF('Membership Application List'!N394 = TRUE, 15, 0)))</f>
        <v>15</v>
      </c>
      <c r="F165" s="438">
        <f>if('Membership Application List'!K394=TRUE, 5,0)</f>
        <v>0</v>
      </c>
      <c r="G165" s="438">
        <f t="shared" si="8"/>
        <v>15</v>
      </c>
      <c r="H165" s="439" t="str">
        <f>'Membership Application List'!L394</f>
        <v>Cash</v>
      </c>
      <c r="I165" s="428"/>
      <c r="J165" s="463">
        <v>48761.0</v>
      </c>
      <c r="K165" s="464">
        <f t="shared" ref="K165:O165" si="123">SUMIFS($G:$G, $H:$H, K$2, $B:$B, IF($J165&lt;&gt;"", TEXT($J165, "MMMM"), ""), $C:$C, YEAR($J165))</f>
        <v>0</v>
      </c>
      <c r="L165" s="464">
        <f t="shared" si="123"/>
        <v>0</v>
      </c>
      <c r="M165" s="464">
        <f t="shared" si="123"/>
        <v>0</v>
      </c>
      <c r="N165" s="464">
        <f t="shared" si="123"/>
        <v>0</v>
      </c>
      <c r="O165" s="465">
        <f t="shared" si="123"/>
        <v>0</v>
      </c>
      <c r="P165" s="414"/>
      <c r="Q165" s="414"/>
      <c r="R165" s="414"/>
      <c r="S165" s="445"/>
      <c r="T165" s="445"/>
      <c r="U165" s="445"/>
      <c r="V165" s="428"/>
      <c r="W165" s="463">
        <v>48761.0</v>
      </c>
      <c r="X165" s="469">
        <f>SUMIFS(Income!$G:$G,Income!$H:$H, X$2,Income!$F:$F, $V$1, Income!$B:$B, IF($W165&lt;&gt;"", TEXT($W165, "MMMM"), ""), Income!$C:$C, YEAR($W165))</f>
        <v>0</v>
      </c>
      <c r="Y165" s="469">
        <f>SUMIFS(Income!$G:$G,Income!$H:$H, Y$2,Income!$F:$F, $V$1, Income!$B:$B, IF($W165&lt;&gt;"", TEXT($W165, "MMMM"), ""), Income!$C:$C, YEAR($W165))</f>
        <v>0</v>
      </c>
      <c r="Z165" s="469">
        <f>SUMIFS(Income!$G:$G,Income!$H:$H, Z$2,Income!$F:$F, $V$1, Income!$B:$B, IF($W165&lt;&gt;"", TEXT($W165, "MMMM"), ""), Income!$C:$C, YEAR($W165))</f>
        <v>0</v>
      </c>
      <c r="AA165" s="469">
        <f>SUMIFS(Income!$G:$G,Income!$H:$H, AA$2,Income!$F:$F, $V$1, Income!$B:$B, IF($W165&lt;&gt;"", TEXT($W165, "MMMM"), ""), Income!$C:$C, YEAR($W165))</f>
        <v>0</v>
      </c>
      <c r="AB165" s="464">
        <f>SUMIFS(Income!$G:$G,Income!$H:$H, AB$2,Income!$F:$F, $V$1, Income!$B:$B, IF($W165&lt;&gt;"", TEXT($W165, "MMMM"), ""), Income!$C:$C, YEAR($W165))</f>
        <v>0</v>
      </c>
      <c r="AC165" s="470">
        <f>SUMIFS(Income!$G:$G,Income!$H:$H, AC$2,Income!$F:$F, $V$1, Income!$B:$B, IF($W165&lt;&gt;"", TEXT($W165, "MMMM"), ""), Income!$C:$C, YEAR($W165))</f>
        <v>0</v>
      </c>
      <c r="AD165" s="428"/>
      <c r="AE165" s="463">
        <v>48761.0</v>
      </c>
      <c r="AF165" s="469">
        <f>SUMIFS(Income!$G:$G,Income!$H:$H, AF$2,Income!$F:$F, $AD$1, Income!$B:$B, IF($AE165&lt;&gt;"", TEXT($AE165, "MMMM"), ""), Income!$C:$C, YEAR($AE165))</f>
        <v>0</v>
      </c>
      <c r="AG165" s="469">
        <f>SUMIFS(Income!$G:$G,Income!$H:$H, AG$2,Income!$F:$F, $AD$1, Income!$B:$B, IF($AE165&lt;&gt;"", TEXT($AE165, "MMMM"), ""), Income!$C:$C, YEAR($AE165))</f>
        <v>0</v>
      </c>
      <c r="AH165" s="469">
        <f>SUMIFS(Income!$G:$G,Income!$H:$H, AH$2,Income!$F:$F, $AD$1, Income!$B:$B, IF($AE165&lt;&gt;"", TEXT($AE165, "MMMM"), ""), Income!$C:$C, YEAR($AE165))</f>
        <v>0</v>
      </c>
      <c r="AI165" s="469">
        <f>SUMIFS(Income!$G:$G,Income!$H:$H, AI$2,Income!$F:$F, $AD$1, Income!$B:$B, IF($AE165&lt;&gt;"", TEXT($AE165, "MMMM"), ""), Income!$C:$C, YEAR($AE165))</f>
        <v>0</v>
      </c>
      <c r="AJ165" s="464">
        <f>SUMIFS(Income!$G:$G,Income!$H:$H, AJ$2,Income!$F:$F, $AD$1, Income!$B:$B, IF($AE165&lt;&gt;"", TEXT($AE165, "MMMM"), ""), Income!$C:$C, YEAR($AE165))</f>
        <v>0</v>
      </c>
      <c r="AK165" s="470">
        <f>SUMIFS(Income!$G:$G,Income!$H:$H, AK$2,Income!$F:$F, $AD$1, Income!$B:$B, IF($AE165&lt;&gt;"", TEXT($AE165, "MMMM"), ""), Income!$C:$C, YEAR($AE165))</f>
        <v>0</v>
      </c>
      <c r="AL165" s="428"/>
      <c r="AM165" s="463">
        <v>48761.0</v>
      </c>
      <c r="AN165" s="464">
        <f>SUMIFS(Income!$G:$G,Income!$H:$H, AN$2,Income!$F:$F, $AL$1, Income!$B:$B, IF($AM165&lt;&gt;"", TEXT($AM165, "MMMM"), ""), Income!$C:$C, YEAR($AM165))+SUMIFS($T:$T, $U:$U,AN$2,$Q:$Q,IF($AM165&lt;&gt;"", TEXT($AM165, "MMMM"), ""),$R:$R,YEAR($AM165))</f>
        <v>0</v>
      </c>
      <c r="AO165" s="464">
        <f>SUMIFS(Income!$G:$G,Income!$H:$H, AO$2,Income!$F:$F, $AL$1, Income!$B:$B, IF($AM165&lt;&gt;"", TEXT($AM165, "MMMM"), ""), Income!$C:$C, YEAR($AM165))+SUMIFS($T:$T, $U:$U,AO$2,$Q:$Q,IF($AM165&lt;&gt;"", TEXT($AM165, "MMMM"), ""),$R:$R,YEAR($AM165))</f>
        <v>0</v>
      </c>
      <c r="AP165" s="464">
        <f>SUMIFS(Income!$G:$G,Income!$H:$H, AP$2,Income!$F:$F, $AL$1, Income!$B:$B, IF($AM165&lt;&gt;"", TEXT($AM165, "MMMM"), ""), Income!$C:$C, YEAR($AM165))+SUMIFS($T:$T, $U:$U,AP$2,$Q:$Q,IF($AM165&lt;&gt;"", TEXT($AM165, "MMMM"), ""),$R:$R,YEAR($AM165))</f>
        <v>0</v>
      </c>
      <c r="AQ165" s="464">
        <f>SUMIFS(Income!$G:$G,Income!$H:$H, AQ$2,Income!$F:$F, $AL$1, Income!$B:$B, IF($AM165&lt;&gt;"", TEXT($AM165, "MMMM"), ""), Income!$C:$C, YEAR($AM165))+SUMIFS($T:$T, $U:$U,AQ$2,$Q:$Q,IF($AM165&lt;&gt;"", TEXT($AM165, "MMMM"), ""),$R:$R,YEAR($AM165))</f>
        <v>0</v>
      </c>
      <c r="AR165" s="464">
        <f>SUMIFS(Income!$G:$G,Income!$H:$H, AR$2,Income!$F:$F, $AL$1, Income!$B:$B, IF($AM165&lt;&gt;"", TEXT($AM165, "MMMM"), ""), Income!$C:$C, YEAR($AM165))+SUMIFS($T:$T, $U:$U,AR$2,$Q:$Q,IF($AM165&lt;&gt;"", TEXT($AM165, "MMMM"), ""),$R:$R,YEAR($AM165))</f>
        <v>0</v>
      </c>
      <c r="AS165" s="467">
        <f>SUMIFS(Income!$G:$G,Income!$H:$H, AS$2,Income!$F:$F, $AL$1, Income!$B:$B, IF($AM165&lt;&gt;"", TEXT($AM165, "MMMM"), ""), Income!$C:$C, YEAR($AM165))+SUMIFS($T:$T, $U:$U,AS$2,$Q:$Q,IF($AM165&lt;&gt;"", TEXT($AM165, "MMMM"), ""),$R:$R,YEAR($AM165))</f>
        <v>0</v>
      </c>
      <c r="AT165" s="428"/>
      <c r="AU165" s="463">
        <v>48761.0</v>
      </c>
      <c r="AV165" s="469">
        <f>SUMIFS(Income!$G:$G,Income!$H:$H, AV$2,Income!$F:$F, $AT$1, Income!$B:$B, IF($AU165&lt;&gt;"", TEXT($AU165, "MMMM"), ""), Income!$C:$C, YEAR($AU165))</f>
        <v>0</v>
      </c>
      <c r="AW165" s="469">
        <f>SUMIFS(Income!$G:$G,Income!$H:$H, AW$2,Income!$F:$F, $AT$1, Income!$B:$B, IF($AU165&lt;&gt;"", TEXT($AU165, "MMMM"), ""), Income!$C:$C, YEAR($AU165))</f>
        <v>0</v>
      </c>
      <c r="AX165" s="469">
        <f>SUMIFS(Income!$G:$G,Income!$H:$H, AX$2,Income!$F:$F, $AT$1, Income!$B:$B, IF($AU165&lt;&gt;"", TEXT($AU165, "MMMM"), ""), Income!$C:$C, YEAR($AU165))</f>
        <v>0</v>
      </c>
      <c r="AY165" s="469">
        <f>SUMIFS(Income!$G:$G,Income!$H:$H, AY$2,Income!$F:$F, $AT$1, Income!$B:$B, IF($AU165&lt;&gt;"", TEXT($AU165, "MMMM"), ""), Income!$C:$C, YEAR($AU165))</f>
        <v>0</v>
      </c>
      <c r="AZ165" s="464">
        <f>SUMIFS(Income!$G:$G,Income!$H:$H, AZ$2,Income!$F:$F, $AT$1, Income!$B:$B, IF($AU165&lt;&gt;"", TEXT($AU165, "MMMM"), ""), Income!$C:$C, YEAR($AU165))</f>
        <v>0</v>
      </c>
      <c r="BA165" s="471">
        <f>SUMIFS(Income!$G:$G,Income!$H:$H, BA$2,Income!$F:$F, $AT$1, Income!$B:$B, IF($AU165&lt;&gt;"", TEXT($AU165, "MMMM"), ""), Income!$C:$C, YEAR($AU165))</f>
        <v>0</v>
      </c>
      <c r="BB165" s="345"/>
      <c r="BC165" s="345"/>
      <c r="BD165" s="345"/>
      <c r="BE165" s="345"/>
    </row>
    <row r="166" ht="13.5" customHeight="1">
      <c r="A166" s="424">
        <f>'Membership Application List'!A395</f>
        <v>45542.67866</v>
      </c>
      <c r="B166" s="443" t="str">
        <f t="shared" si="6"/>
        <v>September</v>
      </c>
      <c r="C166" s="443">
        <f t="shared" si="7"/>
        <v>2024</v>
      </c>
      <c r="D166" s="426" t="str">
        <f>'Membership Application List'!E395</f>
        <v>Jaeden Sizelove </v>
      </c>
      <c r="E166" s="426">
        <f>IF('Membership Application List'!J395 = "Food/Litter Donation", 0, IF('Membership Application List'!J395 = "$15 Donation, Discord Verification", IF('Membership Application List'!N395 = TRUE, 15, 0)))</f>
        <v>0</v>
      </c>
      <c r="F166" s="426">
        <f>if('Membership Application List'!K395=TRUE, 5,0)</f>
        <v>0</v>
      </c>
      <c r="G166" s="426">
        <f t="shared" si="8"/>
        <v>0</v>
      </c>
      <c r="H166" s="427" t="str">
        <f>'Membership Application List'!L395</f>
        <v/>
      </c>
      <c r="I166" s="428"/>
      <c r="J166" s="463">
        <v>48792.0</v>
      </c>
      <c r="K166" s="464">
        <f t="shared" ref="K166:O166" si="124">SUMIFS($G:$G, $H:$H, K$2, $B:$B, IF($J166&lt;&gt;"", TEXT($J166, "MMMM"), ""), $C:$C, YEAR($J166))</f>
        <v>0</v>
      </c>
      <c r="L166" s="464">
        <f t="shared" si="124"/>
        <v>0</v>
      </c>
      <c r="M166" s="464">
        <f t="shared" si="124"/>
        <v>0</v>
      </c>
      <c r="N166" s="464">
        <f t="shared" si="124"/>
        <v>0</v>
      </c>
      <c r="O166" s="465">
        <f t="shared" si="124"/>
        <v>0</v>
      </c>
      <c r="P166" s="414"/>
      <c r="Q166" s="414"/>
      <c r="R166" s="414"/>
      <c r="S166" s="445"/>
      <c r="T166" s="445"/>
      <c r="U166" s="445"/>
      <c r="V166" s="428"/>
      <c r="W166" s="463">
        <v>48792.0</v>
      </c>
      <c r="X166" s="469">
        <f>SUMIFS(Income!$G:$G,Income!$H:$H, X$2,Income!$F:$F, $V$1, Income!$B:$B, IF($W166&lt;&gt;"", TEXT($W166, "MMMM"), ""), Income!$C:$C, YEAR($W166))</f>
        <v>0</v>
      </c>
      <c r="Y166" s="469">
        <f>SUMIFS(Income!$G:$G,Income!$H:$H, Y$2,Income!$F:$F, $V$1, Income!$B:$B, IF($W166&lt;&gt;"", TEXT($W166, "MMMM"), ""), Income!$C:$C, YEAR($W166))</f>
        <v>0</v>
      </c>
      <c r="Z166" s="469">
        <f>SUMIFS(Income!$G:$G,Income!$H:$H, Z$2,Income!$F:$F, $V$1, Income!$B:$B, IF($W166&lt;&gt;"", TEXT($W166, "MMMM"), ""), Income!$C:$C, YEAR($W166))</f>
        <v>0</v>
      </c>
      <c r="AA166" s="469">
        <f>SUMIFS(Income!$G:$G,Income!$H:$H, AA$2,Income!$F:$F, $V$1, Income!$B:$B, IF($W166&lt;&gt;"", TEXT($W166, "MMMM"), ""), Income!$C:$C, YEAR($W166))</f>
        <v>0</v>
      </c>
      <c r="AB166" s="464">
        <f>SUMIFS(Income!$G:$G,Income!$H:$H, AB$2,Income!$F:$F, $V$1, Income!$B:$B, IF($W166&lt;&gt;"", TEXT($W166, "MMMM"), ""), Income!$C:$C, YEAR($W166))</f>
        <v>0</v>
      </c>
      <c r="AC166" s="470">
        <f>SUMIFS(Income!$G:$G,Income!$H:$H, AC$2,Income!$F:$F, $V$1, Income!$B:$B, IF($W166&lt;&gt;"", TEXT($W166, "MMMM"), ""), Income!$C:$C, YEAR($W166))</f>
        <v>0</v>
      </c>
      <c r="AD166" s="428"/>
      <c r="AE166" s="463">
        <v>48792.0</v>
      </c>
      <c r="AF166" s="469">
        <f>SUMIFS(Income!$G:$G,Income!$H:$H, AF$2,Income!$F:$F, $AD$1, Income!$B:$B, IF($AE166&lt;&gt;"", TEXT($AE166, "MMMM"), ""), Income!$C:$C, YEAR($AE166))</f>
        <v>0</v>
      </c>
      <c r="AG166" s="469">
        <f>SUMIFS(Income!$G:$G,Income!$H:$H, AG$2,Income!$F:$F, $AD$1, Income!$B:$B, IF($AE166&lt;&gt;"", TEXT($AE166, "MMMM"), ""), Income!$C:$C, YEAR($AE166))</f>
        <v>0</v>
      </c>
      <c r="AH166" s="469">
        <f>SUMIFS(Income!$G:$G,Income!$H:$H, AH$2,Income!$F:$F, $AD$1, Income!$B:$B, IF($AE166&lt;&gt;"", TEXT($AE166, "MMMM"), ""), Income!$C:$C, YEAR($AE166))</f>
        <v>0</v>
      </c>
      <c r="AI166" s="469">
        <f>SUMIFS(Income!$G:$G,Income!$H:$H, AI$2,Income!$F:$F, $AD$1, Income!$B:$B, IF($AE166&lt;&gt;"", TEXT($AE166, "MMMM"), ""), Income!$C:$C, YEAR($AE166))</f>
        <v>0</v>
      </c>
      <c r="AJ166" s="464">
        <f>SUMIFS(Income!$G:$G,Income!$H:$H, AJ$2,Income!$F:$F, $AD$1, Income!$B:$B, IF($AE166&lt;&gt;"", TEXT($AE166, "MMMM"), ""), Income!$C:$C, YEAR($AE166))</f>
        <v>0</v>
      </c>
      <c r="AK166" s="470">
        <f>SUMIFS(Income!$G:$G,Income!$H:$H, AK$2,Income!$F:$F, $AD$1, Income!$B:$B, IF($AE166&lt;&gt;"", TEXT($AE166, "MMMM"), ""), Income!$C:$C, YEAR($AE166))</f>
        <v>0</v>
      </c>
      <c r="AL166" s="428"/>
      <c r="AM166" s="463">
        <v>48792.0</v>
      </c>
      <c r="AN166" s="464">
        <f>SUMIFS(Income!$G:$G,Income!$H:$H, AN$2,Income!$F:$F, $AL$1, Income!$B:$B, IF($AM166&lt;&gt;"", TEXT($AM166, "MMMM"), ""), Income!$C:$C, YEAR($AM166))+SUMIFS($T:$T, $U:$U,AN$2,$Q:$Q,IF($AM166&lt;&gt;"", TEXT($AM166, "MMMM"), ""),$R:$R,YEAR($AM166))</f>
        <v>0</v>
      </c>
      <c r="AO166" s="464">
        <f>SUMIFS(Income!$G:$G,Income!$H:$H, AO$2,Income!$F:$F, $AL$1, Income!$B:$B, IF($AM166&lt;&gt;"", TEXT($AM166, "MMMM"), ""), Income!$C:$C, YEAR($AM166))+SUMIFS($T:$T, $U:$U,AO$2,$Q:$Q,IF($AM166&lt;&gt;"", TEXT($AM166, "MMMM"), ""),$R:$R,YEAR($AM166))</f>
        <v>0</v>
      </c>
      <c r="AP166" s="464">
        <f>SUMIFS(Income!$G:$G,Income!$H:$H, AP$2,Income!$F:$F, $AL$1, Income!$B:$B, IF($AM166&lt;&gt;"", TEXT($AM166, "MMMM"), ""), Income!$C:$C, YEAR($AM166))+SUMIFS($T:$T, $U:$U,AP$2,$Q:$Q,IF($AM166&lt;&gt;"", TEXT($AM166, "MMMM"), ""),$R:$R,YEAR($AM166))</f>
        <v>0</v>
      </c>
      <c r="AQ166" s="464">
        <f>SUMIFS(Income!$G:$G,Income!$H:$H, AQ$2,Income!$F:$F, $AL$1, Income!$B:$B, IF($AM166&lt;&gt;"", TEXT($AM166, "MMMM"), ""), Income!$C:$C, YEAR($AM166))+SUMIFS($T:$T, $U:$U,AQ$2,$Q:$Q,IF($AM166&lt;&gt;"", TEXT($AM166, "MMMM"), ""),$R:$R,YEAR($AM166))</f>
        <v>0</v>
      </c>
      <c r="AR166" s="464">
        <f>SUMIFS(Income!$G:$G,Income!$H:$H, AR$2,Income!$F:$F, $AL$1, Income!$B:$B, IF($AM166&lt;&gt;"", TEXT($AM166, "MMMM"), ""), Income!$C:$C, YEAR($AM166))+SUMIFS($T:$T, $U:$U,AR$2,$Q:$Q,IF($AM166&lt;&gt;"", TEXT($AM166, "MMMM"), ""),$R:$R,YEAR($AM166))</f>
        <v>0</v>
      </c>
      <c r="AS166" s="467">
        <f>SUMIFS(Income!$G:$G,Income!$H:$H, AS$2,Income!$F:$F, $AL$1, Income!$B:$B, IF($AM166&lt;&gt;"", TEXT($AM166, "MMMM"), ""), Income!$C:$C, YEAR($AM166))+SUMIFS($T:$T, $U:$U,AS$2,$Q:$Q,IF($AM166&lt;&gt;"", TEXT($AM166, "MMMM"), ""),$R:$R,YEAR($AM166))</f>
        <v>0</v>
      </c>
      <c r="AT166" s="428"/>
      <c r="AU166" s="463">
        <v>48792.0</v>
      </c>
      <c r="AV166" s="469">
        <f>SUMIFS(Income!$G:$G,Income!$H:$H, AV$2,Income!$F:$F, $AT$1, Income!$B:$B, IF($AU166&lt;&gt;"", TEXT($AU166, "MMMM"), ""), Income!$C:$C, YEAR($AU166))</f>
        <v>0</v>
      </c>
      <c r="AW166" s="469">
        <f>SUMIFS(Income!$G:$G,Income!$H:$H, AW$2,Income!$F:$F, $AT$1, Income!$B:$B, IF($AU166&lt;&gt;"", TEXT($AU166, "MMMM"), ""), Income!$C:$C, YEAR($AU166))</f>
        <v>0</v>
      </c>
      <c r="AX166" s="469">
        <f>SUMIFS(Income!$G:$G,Income!$H:$H, AX$2,Income!$F:$F, $AT$1, Income!$B:$B, IF($AU166&lt;&gt;"", TEXT($AU166, "MMMM"), ""), Income!$C:$C, YEAR($AU166))</f>
        <v>0</v>
      </c>
      <c r="AY166" s="469">
        <f>SUMIFS(Income!$G:$G,Income!$H:$H, AY$2,Income!$F:$F, $AT$1, Income!$B:$B, IF($AU166&lt;&gt;"", TEXT($AU166, "MMMM"), ""), Income!$C:$C, YEAR($AU166))</f>
        <v>0</v>
      </c>
      <c r="AZ166" s="464">
        <f>SUMIFS(Income!$G:$G,Income!$H:$H, AZ$2,Income!$F:$F, $AT$1, Income!$B:$B, IF($AU166&lt;&gt;"", TEXT($AU166, "MMMM"), ""), Income!$C:$C, YEAR($AU166))</f>
        <v>0</v>
      </c>
      <c r="BA166" s="471">
        <f>SUMIFS(Income!$G:$G,Income!$H:$H, BA$2,Income!$F:$F, $AT$1, Income!$B:$B, IF($AU166&lt;&gt;"", TEXT($AU166, "MMMM"), ""), Income!$C:$C, YEAR($AU166))</f>
        <v>0</v>
      </c>
      <c r="BB166" s="345"/>
      <c r="BC166" s="345"/>
      <c r="BD166" s="345"/>
      <c r="BE166" s="345"/>
    </row>
    <row r="167" ht="13.5" customHeight="1">
      <c r="A167" s="436">
        <f>'Membership Application List'!A396</f>
        <v>45542.72734</v>
      </c>
      <c r="B167" s="437" t="str">
        <f t="shared" si="6"/>
        <v>September</v>
      </c>
      <c r="C167" s="437">
        <f t="shared" si="7"/>
        <v>2024</v>
      </c>
      <c r="D167" s="438" t="str">
        <f>'Membership Application List'!E396</f>
        <v>Jaeden Sizelove </v>
      </c>
      <c r="E167" s="438">
        <f>IF('Membership Application List'!J396 = "Food/Litter Donation", 0, IF('Membership Application List'!J396 = "$15 Donation, Discord Verification", IF('Membership Application List'!N396 = TRUE, 15, 0)))</f>
        <v>0</v>
      </c>
      <c r="F167" s="438">
        <f>if('Membership Application List'!K396=TRUE, 5,0)</f>
        <v>0</v>
      </c>
      <c r="G167" s="438">
        <f t="shared" si="8"/>
        <v>0</v>
      </c>
      <c r="H167" s="439" t="str">
        <f>'Membership Application List'!L396</f>
        <v/>
      </c>
      <c r="I167" s="428"/>
      <c r="J167" s="463">
        <v>48823.0</v>
      </c>
      <c r="K167" s="464">
        <f t="shared" ref="K167:O167" si="125">SUMIFS($G:$G, $H:$H, K$2, $B:$B, IF($J167&lt;&gt;"", TEXT($J167, "MMMM"), ""), $C:$C, YEAR($J167))</f>
        <v>0</v>
      </c>
      <c r="L167" s="464">
        <f t="shared" si="125"/>
        <v>0</v>
      </c>
      <c r="M167" s="464">
        <f t="shared" si="125"/>
        <v>0</v>
      </c>
      <c r="N167" s="464">
        <f t="shared" si="125"/>
        <v>0</v>
      </c>
      <c r="O167" s="465">
        <f t="shared" si="125"/>
        <v>0</v>
      </c>
      <c r="P167" s="414"/>
      <c r="Q167" s="414"/>
      <c r="R167" s="414"/>
      <c r="S167" s="445"/>
      <c r="T167" s="445"/>
      <c r="U167" s="445"/>
      <c r="V167" s="428"/>
      <c r="W167" s="463">
        <v>48823.0</v>
      </c>
      <c r="X167" s="469">
        <f>SUMIFS(Income!$G:$G,Income!$H:$H, X$2,Income!$F:$F, $V$1, Income!$B:$B, IF($W167&lt;&gt;"", TEXT($W167, "MMMM"), ""), Income!$C:$C, YEAR($W167))</f>
        <v>0</v>
      </c>
      <c r="Y167" s="469">
        <f>SUMIFS(Income!$G:$G,Income!$H:$H, Y$2,Income!$F:$F, $V$1, Income!$B:$B, IF($W167&lt;&gt;"", TEXT($W167, "MMMM"), ""), Income!$C:$C, YEAR($W167))</f>
        <v>0</v>
      </c>
      <c r="Z167" s="469">
        <f>SUMIFS(Income!$G:$G,Income!$H:$H, Z$2,Income!$F:$F, $V$1, Income!$B:$B, IF($W167&lt;&gt;"", TEXT($W167, "MMMM"), ""), Income!$C:$C, YEAR($W167))</f>
        <v>0</v>
      </c>
      <c r="AA167" s="469">
        <f>SUMIFS(Income!$G:$G,Income!$H:$H, AA$2,Income!$F:$F, $V$1, Income!$B:$B, IF($W167&lt;&gt;"", TEXT($W167, "MMMM"), ""), Income!$C:$C, YEAR($W167))</f>
        <v>0</v>
      </c>
      <c r="AB167" s="464">
        <f>SUMIFS(Income!$G:$G,Income!$H:$H, AB$2,Income!$F:$F, $V$1, Income!$B:$B, IF($W167&lt;&gt;"", TEXT($W167, "MMMM"), ""), Income!$C:$C, YEAR($W167))</f>
        <v>0</v>
      </c>
      <c r="AC167" s="470">
        <f>SUMIFS(Income!$G:$G,Income!$H:$H, AC$2,Income!$F:$F, $V$1, Income!$B:$B, IF($W167&lt;&gt;"", TEXT($W167, "MMMM"), ""), Income!$C:$C, YEAR($W167))</f>
        <v>0</v>
      </c>
      <c r="AD167" s="428"/>
      <c r="AE167" s="463">
        <v>48823.0</v>
      </c>
      <c r="AF167" s="469">
        <f>SUMIFS(Income!$G:$G,Income!$H:$H, AF$2,Income!$F:$F, $AD$1, Income!$B:$B, IF($AE167&lt;&gt;"", TEXT($AE167, "MMMM"), ""), Income!$C:$C, YEAR($AE167))</f>
        <v>0</v>
      </c>
      <c r="AG167" s="469">
        <f>SUMIFS(Income!$G:$G,Income!$H:$H, AG$2,Income!$F:$F, $AD$1, Income!$B:$B, IF($AE167&lt;&gt;"", TEXT($AE167, "MMMM"), ""), Income!$C:$C, YEAR($AE167))</f>
        <v>0</v>
      </c>
      <c r="AH167" s="469">
        <f>SUMIFS(Income!$G:$G,Income!$H:$H, AH$2,Income!$F:$F, $AD$1, Income!$B:$B, IF($AE167&lt;&gt;"", TEXT($AE167, "MMMM"), ""), Income!$C:$C, YEAR($AE167))</f>
        <v>0</v>
      </c>
      <c r="AI167" s="469">
        <f>SUMIFS(Income!$G:$G,Income!$H:$H, AI$2,Income!$F:$F, $AD$1, Income!$B:$B, IF($AE167&lt;&gt;"", TEXT($AE167, "MMMM"), ""), Income!$C:$C, YEAR($AE167))</f>
        <v>0</v>
      </c>
      <c r="AJ167" s="464">
        <f>SUMIFS(Income!$G:$G,Income!$H:$H, AJ$2,Income!$F:$F, $AD$1, Income!$B:$B, IF($AE167&lt;&gt;"", TEXT($AE167, "MMMM"), ""), Income!$C:$C, YEAR($AE167))</f>
        <v>0</v>
      </c>
      <c r="AK167" s="470">
        <f>SUMIFS(Income!$G:$G,Income!$H:$H, AK$2,Income!$F:$F, $AD$1, Income!$B:$B, IF($AE167&lt;&gt;"", TEXT($AE167, "MMMM"), ""), Income!$C:$C, YEAR($AE167))</f>
        <v>0</v>
      </c>
      <c r="AL167" s="428"/>
      <c r="AM167" s="463">
        <v>48823.0</v>
      </c>
      <c r="AN167" s="464">
        <f>SUMIFS(Income!$G:$G,Income!$H:$H, AN$2,Income!$F:$F, $AL$1, Income!$B:$B, IF($AM167&lt;&gt;"", TEXT($AM167, "MMMM"), ""), Income!$C:$C, YEAR($AM167))+SUMIFS($T:$T, $U:$U,AN$2,$Q:$Q,IF($AM167&lt;&gt;"", TEXT($AM167, "MMMM"), ""),$R:$R,YEAR($AM167))</f>
        <v>0</v>
      </c>
      <c r="AO167" s="464">
        <f>SUMIFS(Income!$G:$G,Income!$H:$H, AO$2,Income!$F:$F, $AL$1, Income!$B:$B, IF($AM167&lt;&gt;"", TEXT($AM167, "MMMM"), ""), Income!$C:$C, YEAR($AM167))+SUMIFS($T:$T, $U:$U,AO$2,$Q:$Q,IF($AM167&lt;&gt;"", TEXT($AM167, "MMMM"), ""),$R:$R,YEAR($AM167))</f>
        <v>0</v>
      </c>
      <c r="AP167" s="464">
        <f>SUMIFS(Income!$G:$G,Income!$H:$H, AP$2,Income!$F:$F, $AL$1, Income!$B:$B, IF($AM167&lt;&gt;"", TEXT($AM167, "MMMM"), ""), Income!$C:$C, YEAR($AM167))+SUMIFS($T:$T, $U:$U,AP$2,$Q:$Q,IF($AM167&lt;&gt;"", TEXT($AM167, "MMMM"), ""),$R:$R,YEAR($AM167))</f>
        <v>0</v>
      </c>
      <c r="AQ167" s="464">
        <f>SUMIFS(Income!$G:$G,Income!$H:$H, AQ$2,Income!$F:$F, $AL$1, Income!$B:$B, IF($AM167&lt;&gt;"", TEXT($AM167, "MMMM"), ""), Income!$C:$C, YEAR($AM167))+SUMIFS($T:$T, $U:$U,AQ$2,$Q:$Q,IF($AM167&lt;&gt;"", TEXT($AM167, "MMMM"), ""),$R:$R,YEAR($AM167))</f>
        <v>0</v>
      </c>
      <c r="AR167" s="464">
        <f>SUMIFS(Income!$G:$G,Income!$H:$H, AR$2,Income!$F:$F, $AL$1, Income!$B:$B, IF($AM167&lt;&gt;"", TEXT($AM167, "MMMM"), ""), Income!$C:$C, YEAR($AM167))+SUMIFS($T:$T, $U:$U,AR$2,$Q:$Q,IF($AM167&lt;&gt;"", TEXT($AM167, "MMMM"), ""),$R:$R,YEAR($AM167))</f>
        <v>0</v>
      </c>
      <c r="AS167" s="467">
        <f>SUMIFS(Income!$G:$G,Income!$H:$H, AS$2,Income!$F:$F, $AL$1, Income!$B:$B, IF($AM167&lt;&gt;"", TEXT($AM167, "MMMM"), ""), Income!$C:$C, YEAR($AM167))+SUMIFS($T:$T, $U:$U,AS$2,$Q:$Q,IF($AM167&lt;&gt;"", TEXT($AM167, "MMMM"), ""),$R:$R,YEAR($AM167))</f>
        <v>0</v>
      </c>
      <c r="AT167" s="428"/>
      <c r="AU167" s="463">
        <v>48823.0</v>
      </c>
      <c r="AV167" s="469">
        <f>SUMIFS(Income!$G:$G,Income!$H:$H, AV$2,Income!$F:$F, $AT$1, Income!$B:$B, IF($AU167&lt;&gt;"", TEXT($AU167, "MMMM"), ""), Income!$C:$C, YEAR($AU167))</f>
        <v>0</v>
      </c>
      <c r="AW167" s="469">
        <f>SUMIFS(Income!$G:$G,Income!$H:$H, AW$2,Income!$F:$F, $AT$1, Income!$B:$B, IF($AU167&lt;&gt;"", TEXT($AU167, "MMMM"), ""), Income!$C:$C, YEAR($AU167))</f>
        <v>0</v>
      </c>
      <c r="AX167" s="469">
        <f>SUMIFS(Income!$G:$G,Income!$H:$H, AX$2,Income!$F:$F, $AT$1, Income!$B:$B, IF($AU167&lt;&gt;"", TEXT($AU167, "MMMM"), ""), Income!$C:$C, YEAR($AU167))</f>
        <v>0</v>
      </c>
      <c r="AY167" s="469">
        <f>SUMIFS(Income!$G:$G,Income!$H:$H, AY$2,Income!$F:$F, $AT$1, Income!$B:$B, IF($AU167&lt;&gt;"", TEXT($AU167, "MMMM"), ""), Income!$C:$C, YEAR($AU167))</f>
        <v>0</v>
      </c>
      <c r="AZ167" s="464">
        <f>SUMIFS(Income!$G:$G,Income!$H:$H, AZ$2,Income!$F:$F, $AT$1, Income!$B:$B, IF($AU167&lt;&gt;"", TEXT($AU167, "MMMM"), ""), Income!$C:$C, YEAR($AU167))</f>
        <v>0</v>
      </c>
      <c r="BA167" s="471">
        <f>SUMIFS(Income!$G:$G,Income!$H:$H, BA$2,Income!$F:$F, $AT$1, Income!$B:$B, IF($AU167&lt;&gt;"", TEXT($AU167, "MMMM"), ""), Income!$C:$C, YEAR($AU167))</f>
        <v>0</v>
      </c>
      <c r="BB167" s="345"/>
      <c r="BC167" s="345"/>
      <c r="BD167" s="345"/>
      <c r="BE167" s="345"/>
    </row>
    <row r="168" ht="13.5" customHeight="1">
      <c r="A168" s="424">
        <f>'Membership Application List'!A397</f>
        <v>45542.73226</v>
      </c>
      <c r="B168" s="443" t="str">
        <f t="shared" si="6"/>
        <v>September</v>
      </c>
      <c r="C168" s="443">
        <f t="shared" si="7"/>
        <v>2024</v>
      </c>
      <c r="D168" s="426" t="str">
        <f>'Membership Application List'!E397</f>
        <v>Brett Boggs</v>
      </c>
      <c r="E168" s="426">
        <f>IF('Membership Application List'!J397 = "Food/Litter Donation", 0, IF('Membership Application List'!J397 = "$15 Donation, Discord Verification", IF('Membership Application List'!N397 = TRUE, 15, 0)))</f>
        <v>15</v>
      </c>
      <c r="F168" s="426">
        <f>if('Membership Application List'!K397=TRUE, 5,0)</f>
        <v>0</v>
      </c>
      <c r="G168" s="426">
        <f t="shared" si="8"/>
        <v>15</v>
      </c>
      <c r="H168" s="427" t="str">
        <f>'Membership Application List'!L397</f>
        <v>Venmo</v>
      </c>
      <c r="I168" s="428"/>
      <c r="J168" s="463">
        <v>48853.0</v>
      </c>
      <c r="K168" s="464">
        <f t="shared" ref="K168:O168" si="126">SUMIFS($G:$G, $H:$H, K$2, $B:$B, IF($J168&lt;&gt;"", TEXT($J168, "MMMM"), ""), $C:$C, YEAR($J168))</f>
        <v>0</v>
      </c>
      <c r="L168" s="464">
        <f t="shared" si="126"/>
        <v>0</v>
      </c>
      <c r="M168" s="464">
        <f t="shared" si="126"/>
        <v>0</v>
      </c>
      <c r="N168" s="464">
        <f t="shared" si="126"/>
        <v>0</v>
      </c>
      <c r="O168" s="465">
        <f t="shared" si="126"/>
        <v>0</v>
      </c>
      <c r="P168" s="414"/>
      <c r="Q168" s="414"/>
      <c r="R168" s="414"/>
      <c r="S168" s="445"/>
      <c r="T168" s="445"/>
      <c r="U168" s="445"/>
      <c r="V168" s="428"/>
      <c r="W168" s="463">
        <v>48853.0</v>
      </c>
      <c r="X168" s="469">
        <f>SUMIFS(Income!$G:$G,Income!$H:$H, X$2,Income!$F:$F, $V$1, Income!$B:$B, IF($W168&lt;&gt;"", TEXT($W168, "MMMM"), ""), Income!$C:$C, YEAR($W168))</f>
        <v>0</v>
      </c>
      <c r="Y168" s="469">
        <f>SUMIFS(Income!$G:$G,Income!$H:$H, Y$2,Income!$F:$F, $V$1, Income!$B:$B, IF($W168&lt;&gt;"", TEXT($W168, "MMMM"), ""), Income!$C:$C, YEAR($W168))</f>
        <v>0</v>
      </c>
      <c r="Z168" s="469">
        <f>SUMIFS(Income!$G:$G,Income!$H:$H, Z$2,Income!$F:$F, $V$1, Income!$B:$B, IF($W168&lt;&gt;"", TEXT($W168, "MMMM"), ""), Income!$C:$C, YEAR($W168))</f>
        <v>0</v>
      </c>
      <c r="AA168" s="469">
        <f>SUMIFS(Income!$G:$G,Income!$H:$H, AA$2,Income!$F:$F, $V$1, Income!$B:$B, IF($W168&lt;&gt;"", TEXT($W168, "MMMM"), ""), Income!$C:$C, YEAR($W168))</f>
        <v>0</v>
      </c>
      <c r="AB168" s="464">
        <f>SUMIFS(Income!$G:$G,Income!$H:$H, AB$2,Income!$F:$F, $V$1, Income!$B:$B, IF($W168&lt;&gt;"", TEXT($W168, "MMMM"), ""), Income!$C:$C, YEAR($W168))</f>
        <v>0</v>
      </c>
      <c r="AC168" s="470">
        <f>SUMIFS(Income!$G:$G,Income!$H:$H, AC$2,Income!$F:$F, $V$1, Income!$B:$B, IF($W168&lt;&gt;"", TEXT($W168, "MMMM"), ""), Income!$C:$C, YEAR($W168))</f>
        <v>0</v>
      </c>
      <c r="AD168" s="428"/>
      <c r="AE168" s="463">
        <v>48853.0</v>
      </c>
      <c r="AF168" s="469">
        <f>SUMIFS(Income!$G:$G,Income!$H:$H, AF$2,Income!$F:$F, $AD$1, Income!$B:$B, IF($AE168&lt;&gt;"", TEXT($AE168, "MMMM"), ""), Income!$C:$C, YEAR($AE168))</f>
        <v>0</v>
      </c>
      <c r="AG168" s="469">
        <f>SUMIFS(Income!$G:$G,Income!$H:$H, AG$2,Income!$F:$F, $AD$1, Income!$B:$B, IF($AE168&lt;&gt;"", TEXT($AE168, "MMMM"), ""), Income!$C:$C, YEAR($AE168))</f>
        <v>0</v>
      </c>
      <c r="AH168" s="469">
        <f>SUMIFS(Income!$G:$G,Income!$H:$H, AH$2,Income!$F:$F, $AD$1, Income!$B:$B, IF($AE168&lt;&gt;"", TEXT($AE168, "MMMM"), ""), Income!$C:$C, YEAR($AE168))</f>
        <v>0</v>
      </c>
      <c r="AI168" s="469">
        <f>SUMIFS(Income!$G:$G,Income!$H:$H, AI$2,Income!$F:$F, $AD$1, Income!$B:$B, IF($AE168&lt;&gt;"", TEXT($AE168, "MMMM"), ""), Income!$C:$C, YEAR($AE168))</f>
        <v>0</v>
      </c>
      <c r="AJ168" s="464">
        <f>SUMIFS(Income!$G:$G,Income!$H:$H, AJ$2,Income!$F:$F, $AD$1, Income!$B:$B, IF($AE168&lt;&gt;"", TEXT($AE168, "MMMM"), ""), Income!$C:$C, YEAR($AE168))</f>
        <v>0</v>
      </c>
      <c r="AK168" s="470">
        <f>SUMIFS(Income!$G:$G,Income!$H:$H, AK$2,Income!$F:$F, $AD$1, Income!$B:$B, IF($AE168&lt;&gt;"", TEXT($AE168, "MMMM"), ""), Income!$C:$C, YEAR($AE168))</f>
        <v>0</v>
      </c>
      <c r="AL168" s="428"/>
      <c r="AM168" s="463">
        <v>48853.0</v>
      </c>
      <c r="AN168" s="464">
        <f>SUMIFS(Income!$G:$G,Income!$H:$H, AN$2,Income!$F:$F, $AL$1, Income!$B:$B, IF($AM168&lt;&gt;"", TEXT($AM168, "MMMM"), ""), Income!$C:$C, YEAR($AM168))+SUMIFS($T:$T, $U:$U,AN$2,$Q:$Q,IF($AM168&lt;&gt;"", TEXT($AM168, "MMMM"), ""),$R:$R,YEAR($AM168))</f>
        <v>0</v>
      </c>
      <c r="AO168" s="464">
        <f>SUMIFS(Income!$G:$G,Income!$H:$H, AO$2,Income!$F:$F, $AL$1, Income!$B:$B, IF($AM168&lt;&gt;"", TEXT($AM168, "MMMM"), ""), Income!$C:$C, YEAR($AM168))+SUMIFS($T:$T, $U:$U,AO$2,$Q:$Q,IF($AM168&lt;&gt;"", TEXT($AM168, "MMMM"), ""),$R:$R,YEAR($AM168))</f>
        <v>0</v>
      </c>
      <c r="AP168" s="464">
        <f>SUMIFS(Income!$G:$G,Income!$H:$H, AP$2,Income!$F:$F, $AL$1, Income!$B:$B, IF($AM168&lt;&gt;"", TEXT($AM168, "MMMM"), ""), Income!$C:$C, YEAR($AM168))+SUMIFS($T:$T, $U:$U,AP$2,$Q:$Q,IF($AM168&lt;&gt;"", TEXT($AM168, "MMMM"), ""),$R:$R,YEAR($AM168))</f>
        <v>0</v>
      </c>
      <c r="AQ168" s="464">
        <f>SUMIFS(Income!$G:$G,Income!$H:$H, AQ$2,Income!$F:$F, $AL$1, Income!$B:$B, IF($AM168&lt;&gt;"", TEXT($AM168, "MMMM"), ""), Income!$C:$C, YEAR($AM168))+SUMIFS($T:$T, $U:$U,AQ$2,$Q:$Q,IF($AM168&lt;&gt;"", TEXT($AM168, "MMMM"), ""),$R:$R,YEAR($AM168))</f>
        <v>0</v>
      </c>
      <c r="AR168" s="464">
        <f>SUMIFS(Income!$G:$G,Income!$H:$H, AR$2,Income!$F:$F, $AL$1, Income!$B:$B, IF($AM168&lt;&gt;"", TEXT($AM168, "MMMM"), ""), Income!$C:$C, YEAR($AM168))+SUMIFS($T:$T, $U:$U,AR$2,$Q:$Q,IF($AM168&lt;&gt;"", TEXT($AM168, "MMMM"), ""),$R:$R,YEAR($AM168))</f>
        <v>0</v>
      </c>
      <c r="AS168" s="467">
        <f>SUMIFS(Income!$G:$G,Income!$H:$H, AS$2,Income!$F:$F, $AL$1, Income!$B:$B, IF($AM168&lt;&gt;"", TEXT($AM168, "MMMM"), ""), Income!$C:$C, YEAR($AM168))+SUMIFS($T:$T, $U:$U,AS$2,$Q:$Q,IF($AM168&lt;&gt;"", TEXT($AM168, "MMMM"), ""),$R:$R,YEAR($AM168))</f>
        <v>0</v>
      </c>
      <c r="AT168" s="428"/>
      <c r="AU168" s="463">
        <v>48853.0</v>
      </c>
      <c r="AV168" s="469">
        <f>SUMIFS(Income!$G:$G,Income!$H:$H, AV$2,Income!$F:$F, $AT$1, Income!$B:$B, IF($AU168&lt;&gt;"", TEXT($AU168, "MMMM"), ""), Income!$C:$C, YEAR($AU168))</f>
        <v>0</v>
      </c>
      <c r="AW168" s="469">
        <f>SUMIFS(Income!$G:$G,Income!$H:$H, AW$2,Income!$F:$F, $AT$1, Income!$B:$B, IF($AU168&lt;&gt;"", TEXT($AU168, "MMMM"), ""), Income!$C:$C, YEAR($AU168))</f>
        <v>0</v>
      </c>
      <c r="AX168" s="469">
        <f>SUMIFS(Income!$G:$G,Income!$H:$H, AX$2,Income!$F:$F, $AT$1, Income!$B:$B, IF($AU168&lt;&gt;"", TEXT($AU168, "MMMM"), ""), Income!$C:$C, YEAR($AU168))</f>
        <v>0</v>
      </c>
      <c r="AY168" s="469">
        <f>SUMIFS(Income!$G:$G,Income!$H:$H, AY$2,Income!$F:$F, $AT$1, Income!$B:$B, IF($AU168&lt;&gt;"", TEXT($AU168, "MMMM"), ""), Income!$C:$C, YEAR($AU168))</f>
        <v>0</v>
      </c>
      <c r="AZ168" s="464">
        <f>SUMIFS(Income!$G:$G,Income!$H:$H, AZ$2,Income!$F:$F, $AT$1, Income!$B:$B, IF($AU168&lt;&gt;"", TEXT($AU168, "MMMM"), ""), Income!$C:$C, YEAR($AU168))</f>
        <v>0</v>
      </c>
      <c r="BA168" s="471">
        <f>SUMIFS(Income!$G:$G,Income!$H:$H, BA$2,Income!$F:$F, $AT$1, Income!$B:$B, IF($AU168&lt;&gt;"", TEXT($AU168, "MMMM"), ""), Income!$C:$C, YEAR($AU168))</f>
        <v>0</v>
      </c>
      <c r="BB168" s="345"/>
      <c r="BC168" s="345"/>
      <c r="BD168" s="345"/>
      <c r="BE168" s="345"/>
    </row>
    <row r="169" ht="13.5" customHeight="1">
      <c r="A169" s="436">
        <f>'Membership Application List'!A398</f>
        <v>45543.74043</v>
      </c>
      <c r="B169" s="437" t="str">
        <f t="shared" si="6"/>
        <v>September</v>
      </c>
      <c r="C169" s="437">
        <f t="shared" si="7"/>
        <v>2024</v>
      </c>
      <c r="D169" s="438" t="str">
        <f>'Membership Application List'!E398</f>
        <v>Jude Wright</v>
      </c>
      <c r="E169" s="438">
        <f>IF('Membership Application List'!J398 = "Food/Litter Donation", 0, IF('Membership Application List'!J398 = "$15 Donation, Discord Verification", IF('Membership Application List'!N398 = TRUE, 15, 0)))</f>
        <v>15</v>
      </c>
      <c r="F169" s="438">
        <f>if('Membership Application List'!K398=TRUE, 5,0)</f>
        <v>0</v>
      </c>
      <c r="G169" s="438">
        <f t="shared" si="8"/>
        <v>15</v>
      </c>
      <c r="H169" s="439" t="str">
        <f>'Membership Application List'!L398</f>
        <v>Venmo</v>
      </c>
      <c r="I169" s="428"/>
      <c r="J169" s="463">
        <v>48884.0</v>
      </c>
      <c r="K169" s="464">
        <f t="shared" ref="K169:O169" si="127">SUMIFS($G:$G, $H:$H, K$2, $B:$B, IF($J169&lt;&gt;"", TEXT($J169, "MMMM"), ""), $C:$C, YEAR($J169))</f>
        <v>0</v>
      </c>
      <c r="L169" s="464">
        <f t="shared" si="127"/>
        <v>0</v>
      </c>
      <c r="M169" s="464">
        <f t="shared" si="127"/>
        <v>0</v>
      </c>
      <c r="N169" s="464">
        <f t="shared" si="127"/>
        <v>0</v>
      </c>
      <c r="O169" s="465">
        <f t="shared" si="127"/>
        <v>0</v>
      </c>
      <c r="P169" s="414"/>
      <c r="Q169" s="414"/>
      <c r="R169" s="414"/>
      <c r="S169" s="445"/>
      <c r="T169" s="445"/>
      <c r="U169" s="445"/>
      <c r="V169" s="428"/>
      <c r="W169" s="463">
        <v>48884.0</v>
      </c>
      <c r="X169" s="469">
        <f>SUMIFS(Income!$G:$G,Income!$H:$H, X$2,Income!$F:$F, $V$1, Income!$B:$B, IF($W169&lt;&gt;"", TEXT($W169, "MMMM"), ""), Income!$C:$C, YEAR($W169))</f>
        <v>0</v>
      </c>
      <c r="Y169" s="469">
        <f>SUMIFS(Income!$G:$G,Income!$H:$H, Y$2,Income!$F:$F, $V$1, Income!$B:$B, IF($W169&lt;&gt;"", TEXT($W169, "MMMM"), ""), Income!$C:$C, YEAR($W169))</f>
        <v>0</v>
      </c>
      <c r="Z169" s="469">
        <f>SUMIFS(Income!$G:$G,Income!$H:$H, Z$2,Income!$F:$F, $V$1, Income!$B:$B, IF($W169&lt;&gt;"", TEXT($W169, "MMMM"), ""), Income!$C:$C, YEAR($W169))</f>
        <v>0</v>
      </c>
      <c r="AA169" s="469">
        <f>SUMIFS(Income!$G:$G,Income!$H:$H, AA$2,Income!$F:$F, $V$1, Income!$B:$B, IF($W169&lt;&gt;"", TEXT($W169, "MMMM"), ""), Income!$C:$C, YEAR($W169))</f>
        <v>0</v>
      </c>
      <c r="AB169" s="464">
        <f>SUMIFS(Income!$G:$G,Income!$H:$H, AB$2,Income!$F:$F, $V$1, Income!$B:$B, IF($W169&lt;&gt;"", TEXT($W169, "MMMM"), ""), Income!$C:$C, YEAR($W169))</f>
        <v>0</v>
      </c>
      <c r="AC169" s="470">
        <f>SUMIFS(Income!$G:$G,Income!$H:$H, AC$2,Income!$F:$F, $V$1, Income!$B:$B, IF($W169&lt;&gt;"", TEXT($W169, "MMMM"), ""), Income!$C:$C, YEAR($W169))</f>
        <v>0</v>
      </c>
      <c r="AD169" s="428"/>
      <c r="AE169" s="463">
        <v>48884.0</v>
      </c>
      <c r="AF169" s="469">
        <f>SUMIFS(Income!$G:$G,Income!$H:$H, AF$2,Income!$F:$F, $AD$1, Income!$B:$B, IF($AE169&lt;&gt;"", TEXT($AE169, "MMMM"), ""), Income!$C:$C, YEAR($AE169))</f>
        <v>0</v>
      </c>
      <c r="AG169" s="469">
        <f>SUMIFS(Income!$G:$G,Income!$H:$H, AG$2,Income!$F:$F, $AD$1, Income!$B:$B, IF($AE169&lt;&gt;"", TEXT($AE169, "MMMM"), ""), Income!$C:$C, YEAR($AE169))</f>
        <v>0</v>
      </c>
      <c r="AH169" s="469">
        <f>SUMIFS(Income!$G:$G,Income!$H:$H, AH$2,Income!$F:$F, $AD$1, Income!$B:$B, IF($AE169&lt;&gt;"", TEXT($AE169, "MMMM"), ""), Income!$C:$C, YEAR($AE169))</f>
        <v>0</v>
      </c>
      <c r="AI169" s="469">
        <f>SUMIFS(Income!$G:$G,Income!$H:$H, AI$2,Income!$F:$F, $AD$1, Income!$B:$B, IF($AE169&lt;&gt;"", TEXT($AE169, "MMMM"), ""), Income!$C:$C, YEAR($AE169))</f>
        <v>0</v>
      </c>
      <c r="AJ169" s="464">
        <f>SUMIFS(Income!$G:$G,Income!$H:$H, AJ$2,Income!$F:$F, $AD$1, Income!$B:$B, IF($AE169&lt;&gt;"", TEXT($AE169, "MMMM"), ""), Income!$C:$C, YEAR($AE169))</f>
        <v>0</v>
      </c>
      <c r="AK169" s="470">
        <f>SUMIFS(Income!$G:$G,Income!$H:$H, AK$2,Income!$F:$F, $AD$1, Income!$B:$B, IF($AE169&lt;&gt;"", TEXT($AE169, "MMMM"), ""), Income!$C:$C, YEAR($AE169))</f>
        <v>0</v>
      </c>
      <c r="AL169" s="428"/>
      <c r="AM169" s="463">
        <v>48884.0</v>
      </c>
      <c r="AN169" s="464">
        <f>SUMIFS(Income!$G:$G,Income!$H:$H, AN$2,Income!$F:$F, $AL$1, Income!$B:$B, IF($AM169&lt;&gt;"", TEXT($AM169, "MMMM"), ""), Income!$C:$C, YEAR($AM169))+SUMIFS($T:$T, $U:$U,AN$2,$Q:$Q,IF($AM169&lt;&gt;"", TEXT($AM169, "MMMM"), ""),$R:$R,YEAR($AM169))</f>
        <v>0</v>
      </c>
      <c r="AO169" s="464">
        <f>SUMIFS(Income!$G:$G,Income!$H:$H, AO$2,Income!$F:$F, $AL$1, Income!$B:$B, IF($AM169&lt;&gt;"", TEXT($AM169, "MMMM"), ""), Income!$C:$C, YEAR($AM169))+SUMIFS($T:$T, $U:$U,AO$2,$Q:$Q,IF($AM169&lt;&gt;"", TEXT($AM169, "MMMM"), ""),$R:$R,YEAR($AM169))</f>
        <v>0</v>
      </c>
      <c r="AP169" s="464">
        <f>SUMIFS(Income!$G:$G,Income!$H:$H, AP$2,Income!$F:$F, $AL$1, Income!$B:$B, IF($AM169&lt;&gt;"", TEXT($AM169, "MMMM"), ""), Income!$C:$C, YEAR($AM169))+SUMIFS($T:$T, $U:$U,AP$2,$Q:$Q,IF($AM169&lt;&gt;"", TEXT($AM169, "MMMM"), ""),$R:$R,YEAR($AM169))</f>
        <v>0</v>
      </c>
      <c r="AQ169" s="464">
        <f>SUMIFS(Income!$G:$G,Income!$H:$H, AQ$2,Income!$F:$F, $AL$1, Income!$B:$B, IF($AM169&lt;&gt;"", TEXT($AM169, "MMMM"), ""), Income!$C:$C, YEAR($AM169))+SUMIFS($T:$T, $U:$U,AQ$2,$Q:$Q,IF($AM169&lt;&gt;"", TEXT($AM169, "MMMM"), ""),$R:$R,YEAR($AM169))</f>
        <v>0</v>
      </c>
      <c r="AR169" s="464">
        <f>SUMIFS(Income!$G:$G,Income!$H:$H, AR$2,Income!$F:$F, $AL$1, Income!$B:$B, IF($AM169&lt;&gt;"", TEXT($AM169, "MMMM"), ""), Income!$C:$C, YEAR($AM169))+SUMIFS($T:$T, $U:$U,AR$2,$Q:$Q,IF($AM169&lt;&gt;"", TEXT($AM169, "MMMM"), ""),$R:$R,YEAR($AM169))</f>
        <v>0</v>
      </c>
      <c r="AS169" s="467">
        <f>SUMIFS(Income!$G:$G,Income!$H:$H, AS$2,Income!$F:$F, $AL$1, Income!$B:$B, IF($AM169&lt;&gt;"", TEXT($AM169, "MMMM"), ""), Income!$C:$C, YEAR($AM169))+SUMIFS($T:$T, $U:$U,AS$2,$Q:$Q,IF($AM169&lt;&gt;"", TEXT($AM169, "MMMM"), ""),$R:$R,YEAR($AM169))</f>
        <v>0</v>
      </c>
      <c r="AT169" s="428"/>
      <c r="AU169" s="463">
        <v>48884.0</v>
      </c>
      <c r="AV169" s="469">
        <f>SUMIFS(Income!$G:$G,Income!$H:$H, AV$2,Income!$F:$F, $AT$1, Income!$B:$B, IF($AU169&lt;&gt;"", TEXT($AU169, "MMMM"), ""), Income!$C:$C, YEAR($AU169))</f>
        <v>0</v>
      </c>
      <c r="AW169" s="469">
        <f>SUMIFS(Income!$G:$G,Income!$H:$H, AW$2,Income!$F:$F, $AT$1, Income!$B:$B, IF($AU169&lt;&gt;"", TEXT($AU169, "MMMM"), ""), Income!$C:$C, YEAR($AU169))</f>
        <v>0</v>
      </c>
      <c r="AX169" s="469">
        <f>SUMIFS(Income!$G:$G,Income!$H:$H, AX$2,Income!$F:$F, $AT$1, Income!$B:$B, IF($AU169&lt;&gt;"", TEXT($AU169, "MMMM"), ""), Income!$C:$C, YEAR($AU169))</f>
        <v>0</v>
      </c>
      <c r="AY169" s="469">
        <f>SUMIFS(Income!$G:$G,Income!$H:$H, AY$2,Income!$F:$F, $AT$1, Income!$B:$B, IF($AU169&lt;&gt;"", TEXT($AU169, "MMMM"), ""), Income!$C:$C, YEAR($AU169))</f>
        <v>0</v>
      </c>
      <c r="AZ169" s="464">
        <f>SUMIFS(Income!$G:$G,Income!$H:$H, AZ$2,Income!$F:$F, $AT$1, Income!$B:$B, IF($AU169&lt;&gt;"", TEXT($AU169, "MMMM"), ""), Income!$C:$C, YEAR($AU169))</f>
        <v>0</v>
      </c>
      <c r="BA169" s="471">
        <f>SUMIFS(Income!$G:$G,Income!$H:$H, BA$2,Income!$F:$F, $AT$1, Income!$B:$B, IF($AU169&lt;&gt;"", TEXT($AU169, "MMMM"), ""), Income!$C:$C, YEAR($AU169))</f>
        <v>0</v>
      </c>
      <c r="BB169" s="345"/>
      <c r="BC169" s="345"/>
      <c r="BD169" s="345"/>
      <c r="BE169" s="345"/>
    </row>
    <row r="170" ht="13.5" customHeight="1">
      <c r="A170" s="424">
        <f>'Membership Application List'!A399</f>
        <v>45543.86712</v>
      </c>
      <c r="B170" s="443" t="str">
        <f t="shared" si="6"/>
        <v>September</v>
      </c>
      <c r="C170" s="443">
        <f t="shared" si="7"/>
        <v>2024</v>
      </c>
      <c r="D170" s="426" t="str">
        <f>'Membership Application List'!E399</f>
        <v>Axel Torres</v>
      </c>
      <c r="E170" s="426">
        <f>IF('Membership Application List'!J399 = "Food/Litter Donation", 0, IF('Membership Application List'!J399 = "$15 Donation, Discord Verification", IF('Membership Application List'!N399 = TRUE, 15, 0)))</f>
        <v>15</v>
      </c>
      <c r="F170" s="426">
        <f>if('Membership Application List'!K399=TRUE, 5,0)</f>
        <v>0</v>
      </c>
      <c r="G170" s="426">
        <f t="shared" si="8"/>
        <v>15</v>
      </c>
      <c r="H170" s="427" t="str">
        <f>'Membership Application List'!L399</f>
        <v>Paypal</v>
      </c>
      <c r="I170" s="428"/>
      <c r="J170" s="463">
        <v>48914.0</v>
      </c>
      <c r="K170" s="464">
        <f t="shared" ref="K170:O170" si="128">SUMIFS($G:$G, $H:$H, K$2, $B:$B, IF($J170&lt;&gt;"", TEXT($J170, "MMMM"), ""), $C:$C, YEAR($J170))</f>
        <v>0</v>
      </c>
      <c r="L170" s="464">
        <f t="shared" si="128"/>
        <v>0</v>
      </c>
      <c r="M170" s="464">
        <f t="shared" si="128"/>
        <v>0</v>
      </c>
      <c r="N170" s="464">
        <f t="shared" si="128"/>
        <v>0</v>
      </c>
      <c r="O170" s="465">
        <f t="shared" si="128"/>
        <v>0</v>
      </c>
      <c r="P170" s="414"/>
      <c r="Q170" s="414"/>
      <c r="R170" s="414"/>
      <c r="S170" s="445"/>
      <c r="T170" s="445"/>
      <c r="U170" s="445"/>
      <c r="V170" s="428"/>
      <c r="W170" s="463">
        <v>48914.0</v>
      </c>
      <c r="X170" s="469">
        <f>SUMIFS(Income!$G:$G,Income!$H:$H, X$2,Income!$F:$F, $V$1, Income!$B:$B, IF($W170&lt;&gt;"", TEXT($W170, "MMMM"), ""), Income!$C:$C, YEAR($W170))</f>
        <v>0</v>
      </c>
      <c r="Y170" s="469">
        <f>SUMIFS(Income!$G:$G,Income!$H:$H, Y$2,Income!$F:$F, $V$1, Income!$B:$B, IF($W170&lt;&gt;"", TEXT($W170, "MMMM"), ""), Income!$C:$C, YEAR($W170))</f>
        <v>0</v>
      </c>
      <c r="Z170" s="469">
        <f>SUMIFS(Income!$G:$G,Income!$H:$H, Z$2,Income!$F:$F, $V$1, Income!$B:$B, IF($W170&lt;&gt;"", TEXT($W170, "MMMM"), ""), Income!$C:$C, YEAR($W170))</f>
        <v>0</v>
      </c>
      <c r="AA170" s="469">
        <f>SUMIFS(Income!$G:$G,Income!$H:$H, AA$2,Income!$F:$F, $V$1, Income!$B:$B, IF($W170&lt;&gt;"", TEXT($W170, "MMMM"), ""), Income!$C:$C, YEAR($W170))</f>
        <v>0</v>
      </c>
      <c r="AB170" s="464">
        <f>SUMIFS(Income!$G:$G,Income!$H:$H, AB$2,Income!$F:$F, $V$1, Income!$B:$B, IF($W170&lt;&gt;"", TEXT($W170, "MMMM"), ""), Income!$C:$C, YEAR($W170))</f>
        <v>0</v>
      </c>
      <c r="AC170" s="470">
        <f>SUMIFS(Income!$G:$G,Income!$H:$H, AC$2,Income!$F:$F, $V$1, Income!$B:$B, IF($W170&lt;&gt;"", TEXT($W170, "MMMM"), ""), Income!$C:$C, YEAR($W170))</f>
        <v>0</v>
      </c>
      <c r="AD170" s="428"/>
      <c r="AE170" s="463">
        <v>48914.0</v>
      </c>
      <c r="AF170" s="469">
        <f>SUMIFS(Income!$G:$G,Income!$H:$H, AF$2,Income!$F:$F, $AD$1, Income!$B:$B, IF($AE170&lt;&gt;"", TEXT($AE170, "MMMM"), ""), Income!$C:$C, YEAR($AE170))</f>
        <v>0</v>
      </c>
      <c r="AG170" s="469">
        <f>SUMIFS(Income!$G:$G,Income!$H:$H, AG$2,Income!$F:$F, $AD$1, Income!$B:$B, IF($AE170&lt;&gt;"", TEXT($AE170, "MMMM"), ""), Income!$C:$C, YEAR($AE170))</f>
        <v>0</v>
      </c>
      <c r="AH170" s="469">
        <f>SUMIFS(Income!$G:$G,Income!$H:$H, AH$2,Income!$F:$F, $AD$1, Income!$B:$B, IF($AE170&lt;&gt;"", TEXT($AE170, "MMMM"), ""), Income!$C:$C, YEAR($AE170))</f>
        <v>0</v>
      </c>
      <c r="AI170" s="469">
        <f>SUMIFS(Income!$G:$G,Income!$H:$H, AI$2,Income!$F:$F, $AD$1, Income!$B:$B, IF($AE170&lt;&gt;"", TEXT($AE170, "MMMM"), ""), Income!$C:$C, YEAR($AE170))</f>
        <v>0</v>
      </c>
      <c r="AJ170" s="464">
        <f>SUMIFS(Income!$G:$G,Income!$H:$H, AJ$2,Income!$F:$F, $AD$1, Income!$B:$B, IF($AE170&lt;&gt;"", TEXT($AE170, "MMMM"), ""), Income!$C:$C, YEAR($AE170))</f>
        <v>0</v>
      </c>
      <c r="AK170" s="470">
        <f>SUMIFS(Income!$G:$G,Income!$H:$H, AK$2,Income!$F:$F, $AD$1, Income!$B:$B, IF($AE170&lt;&gt;"", TEXT($AE170, "MMMM"), ""), Income!$C:$C, YEAR($AE170))</f>
        <v>0</v>
      </c>
      <c r="AL170" s="428"/>
      <c r="AM170" s="463">
        <v>48914.0</v>
      </c>
      <c r="AN170" s="464">
        <f>SUMIFS(Income!$G:$G,Income!$H:$H, AN$2,Income!$F:$F, $AL$1, Income!$B:$B, IF($AM170&lt;&gt;"", TEXT($AM170, "MMMM"), ""), Income!$C:$C, YEAR($AM170))+SUMIFS($T:$T, $U:$U,AN$2,$Q:$Q,IF($AM170&lt;&gt;"", TEXT($AM170, "MMMM"), ""),$R:$R,YEAR($AM170))</f>
        <v>0</v>
      </c>
      <c r="AO170" s="464">
        <f>SUMIFS(Income!$G:$G,Income!$H:$H, AO$2,Income!$F:$F, $AL$1, Income!$B:$B, IF($AM170&lt;&gt;"", TEXT($AM170, "MMMM"), ""), Income!$C:$C, YEAR($AM170))+SUMIFS($T:$T, $U:$U,AO$2,$Q:$Q,IF($AM170&lt;&gt;"", TEXT($AM170, "MMMM"), ""),$R:$R,YEAR($AM170))</f>
        <v>0</v>
      </c>
      <c r="AP170" s="464">
        <f>SUMIFS(Income!$G:$G,Income!$H:$H, AP$2,Income!$F:$F, $AL$1, Income!$B:$B, IF($AM170&lt;&gt;"", TEXT($AM170, "MMMM"), ""), Income!$C:$C, YEAR($AM170))+SUMIFS($T:$T, $U:$U,AP$2,$Q:$Q,IF($AM170&lt;&gt;"", TEXT($AM170, "MMMM"), ""),$R:$R,YEAR($AM170))</f>
        <v>0</v>
      </c>
      <c r="AQ170" s="464">
        <f>SUMIFS(Income!$G:$G,Income!$H:$H, AQ$2,Income!$F:$F, $AL$1, Income!$B:$B, IF($AM170&lt;&gt;"", TEXT($AM170, "MMMM"), ""), Income!$C:$C, YEAR($AM170))+SUMIFS($T:$T, $U:$U,AQ$2,$Q:$Q,IF($AM170&lt;&gt;"", TEXT($AM170, "MMMM"), ""),$R:$R,YEAR($AM170))</f>
        <v>0</v>
      </c>
      <c r="AR170" s="464">
        <f>SUMIFS(Income!$G:$G,Income!$H:$H, AR$2,Income!$F:$F, $AL$1, Income!$B:$B, IF($AM170&lt;&gt;"", TEXT($AM170, "MMMM"), ""), Income!$C:$C, YEAR($AM170))+SUMIFS($T:$T, $U:$U,AR$2,$Q:$Q,IF($AM170&lt;&gt;"", TEXT($AM170, "MMMM"), ""),$R:$R,YEAR($AM170))</f>
        <v>0</v>
      </c>
      <c r="AS170" s="467">
        <f>SUMIFS(Income!$G:$G,Income!$H:$H, AS$2,Income!$F:$F, $AL$1, Income!$B:$B, IF($AM170&lt;&gt;"", TEXT($AM170, "MMMM"), ""), Income!$C:$C, YEAR($AM170))+SUMIFS($T:$T, $U:$U,AS$2,$Q:$Q,IF($AM170&lt;&gt;"", TEXT($AM170, "MMMM"), ""),$R:$R,YEAR($AM170))</f>
        <v>0</v>
      </c>
      <c r="AT170" s="428"/>
      <c r="AU170" s="463">
        <v>48914.0</v>
      </c>
      <c r="AV170" s="469">
        <f>SUMIFS(Income!$G:$G,Income!$H:$H, AV$2,Income!$F:$F, $AT$1, Income!$B:$B, IF($AU170&lt;&gt;"", TEXT($AU170, "MMMM"), ""), Income!$C:$C, YEAR($AU170))</f>
        <v>0</v>
      </c>
      <c r="AW170" s="469">
        <f>SUMIFS(Income!$G:$G,Income!$H:$H, AW$2,Income!$F:$F, $AT$1, Income!$B:$B, IF($AU170&lt;&gt;"", TEXT($AU170, "MMMM"), ""), Income!$C:$C, YEAR($AU170))</f>
        <v>0</v>
      </c>
      <c r="AX170" s="469">
        <f>SUMIFS(Income!$G:$G,Income!$H:$H, AX$2,Income!$F:$F, $AT$1, Income!$B:$B, IF($AU170&lt;&gt;"", TEXT($AU170, "MMMM"), ""), Income!$C:$C, YEAR($AU170))</f>
        <v>0</v>
      </c>
      <c r="AY170" s="469">
        <f>SUMIFS(Income!$G:$G,Income!$H:$H, AY$2,Income!$F:$F, $AT$1, Income!$B:$B, IF($AU170&lt;&gt;"", TEXT($AU170, "MMMM"), ""), Income!$C:$C, YEAR($AU170))</f>
        <v>0</v>
      </c>
      <c r="AZ170" s="464">
        <f>SUMIFS(Income!$G:$G,Income!$H:$H, AZ$2,Income!$F:$F, $AT$1, Income!$B:$B, IF($AU170&lt;&gt;"", TEXT($AU170, "MMMM"), ""), Income!$C:$C, YEAR($AU170))</f>
        <v>0</v>
      </c>
      <c r="BA170" s="471">
        <f>SUMIFS(Income!$G:$G,Income!$H:$H, BA$2,Income!$F:$F, $AT$1, Income!$B:$B, IF($AU170&lt;&gt;"", TEXT($AU170, "MMMM"), ""), Income!$C:$C, YEAR($AU170))</f>
        <v>0</v>
      </c>
      <c r="BB170" s="345"/>
      <c r="BC170" s="345"/>
      <c r="BD170" s="345"/>
      <c r="BE170" s="345"/>
    </row>
    <row r="171" ht="13.5" customHeight="1">
      <c r="A171" s="436">
        <f>'Membership Application List'!A400</f>
        <v>45544.65727</v>
      </c>
      <c r="B171" s="437" t="str">
        <f t="shared" si="6"/>
        <v>September</v>
      </c>
      <c r="C171" s="437">
        <f t="shared" si="7"/>
        <v>2024</v>
      </c>
      <c r="D171" s="438" t="str">
        <f>'Membership Application List'!E400</f>
        <v>Tiara Bhatia</v>
      </c>
      <c r="E171" s="438">
        <f>IF('Membership Application List'!J400 = "Food/Litter Donation", 0, IF('Membership Application List'!J400 = "$15 Donation, Discord Verification", IF('Membership Application List'!N400 = TRUE, 15, 0)))</f>
        <v>15</v>
      </c>
      <c r="F171" s="438">
        <f>if('Membership Application List'!K400=TRUE, 5,0)</f>
        <v>0</v>
      </c>
      <c r="G171" s="438">
        <f t="shared" si="8"/>
        <v>15</v>
      </c>
      <c r="H171" s="439" t="str">
        <f>'Membership Application List'!L400</f>
        <v>Cash</v>
      </c>
      <c r="I171" s="407" t="s">
        <v>796</v>
      </c>
      <c r="J171" s="463">
        <v>48945.0</v>
      </c>
      <c r="K171" s="464">
        <f t="shared" ref="K171:O171" si="129">SUMIFS($G:$G, $H:$H, K$2, $B:$B, IF($J171&lt;&gt;"", TEXT($J171, "MMMM"), ""), $C:$C, YEAR($J171))</f>
        <v>0</v>
      </c>
      <c r="L171" s="464">
        <f t="shared" si="129"/>
        <v>0</v>
      </c>
      <c r="M171" s="464">
        <f t="shared" si="129"/>
        <v>0</v>
      </c>
      <c r="N171" s="464">
        <f t="shared" si="129"/>
        <v>0</v>
      </c>
      <c r="O171" s="465">
        <f t="shared" si="129"/>
        <v>0</v>
      </c>
      <c r="P171" s="414"/>
      <c r="Q171" s="414"/>
      <c r="R171" s="414"/>
      <c r="S171" s="445"/>
      <c r="T171" s="445"/>
      <c r="U171" s="445"/>
      <c r="V171" s="407" t="s">
        <v>796</v>
      </c>
      <c r="W171" s="463">
        <v>48945.0</v>
      </c>
      <c r="X171" s="469">
        <f>SUMIFS(Income!$G:$G,Income!$H:$H, X$2,Income!$F:$F, $V$1, Income!$B:$B, IF($W171&lt;&gt;"", TEXT($W171, "MMMM"), ""), Income!$C:$C, YEAR($W171))</f>
        <v>0</v>
      </c>
      <c r="Y171" s="469">
        <f>SUMIFS(Income!$G:$G,Income!$H:$H, Y$2,Income!$F:$F, $V$1, Income!$B:$B, IF($W171&lt;&gt;"", TEXT($W171, "MMMM"), ""), Income!$C:$C, YEAR($W171))</f>
        <v>0</v>
      </c>
      <c r="Z171" s="469">
        <f>SUMIFS(Income!$G:$G,Income!$H:$H, Z$2,Income!$F:$F, $V$1, Income!$B:$B, IF($W171&lt;&gt;"", TEXT($W171, "MMMM"), ""), Income!$C:$C, YEAR($W171))</f>
        <v>0</v>
      </c>
      <c r="AA171" s="469">
        <f>SUMIFS(Income!$G:$G,Income!$H:$H, AA$2,Income!$F:$F, $V$1, Income!$B:$B, IF($W171&lt;&gt;"", TEXT($W171, "MMMM"), ""), Income!$C:$C, YEAR($W171))</f>
        <v>0</v>
      </c>
      <c r="AB171" s="464">
        <f>SUMIFS(Income!$G:$G,Income!$H:$H, AB$2,Income!$F:$F, $V$1, Income!$B:$B, IF($W171&lt;&gt;"", TEXT($W171, "MMMM"), ""), Income!$C:$C, YEAR($W171))</f>
        <v>0</v>
      </c>
      <c r="AC171" s="470">
        <f>SUMIFS(Income!$G:$G,Income!$H:$H, AC$2,Income!$F:$F, $V$1, Income!$B:$B, IF($W171&lt;&gt;"", TEXT($W171, "MMMM"), ""), Income!$C:$C, YEAR($W171))</f>
        <v>0</v>
      </c>
      <c r="AD171" s="407" t="s">
        <v>796</v>
      </c>
      <c r="AE171" s="463">
        <v>48945.0</v>
      </c>
      <c r="AF171" s="469">
        <f>SUMIFS(Income!$G:$G,Income!$H:$H, AF$2,Income!$F:$F, $AD$1, Income!$B:$B, IF($AE171&lt;&gt;"", TEXT($AE171, "MMMM"), ""), Income!$C:$C, YEAR($AE171))</f>
        <v>0</v>
      </c>
      <c r="AG171" s="469">
        <f>SUMIFS(Income!$G:$G,Income!$H:$H, AG$2,Income!$F:$F, $AD$1, Income!$B:$B, IF($AE171&lt;&gt;"", TEXT($AE171, "MMMM"), ""), Income!$C:$C, YEAR($AE171))</f>
        <v>0</v>
      </c>
      <c r="AH171" s="469">
        <f>SUMIFS(Income!$G:$G,Income!$H:$H, AH$2,Income!$F:$F, $AD$1, Income!$B:$B, IF($AE171&lt;&gt;"", TEXT($AE171, "MMMM"), ""), Income!$C:$C, YEAR($AE171))</f>
        <v>0</v>
      </c>
      <c r="AI171" s="469">
        <f>SUMIFS(Income!$G:$G,Income!$H:$H, AI$2,Income!$F:$F, $AD$1, Income!$B:$B, IF($AE171&lt;&gt;"", TEXT($AE171, "MMMM"), ""), Income!$C:$C, YEAR($AE171))</f>
        <v>0</v>
      </c>
      <c r="AJ171" s="464">
        <f>SUMIFS(Income!$G:$G,Income!$H:$H, AJ$2,Income!$F:$F, $AD$1, Income!$B:$B, IF($AE171&lt;&gt;"", TEXT($AE171, "MMMM"), ""), Income!$C:$C, YEAR($AE171))</f>
        <v>0</v>
      </c>
      <c r="AK171" s="470">
        <f>SUMIFS(Income!$G:$G,Income!$H:$H, AK$2,Income!$F:$F, $AD$1, Income!$B:$B, IF($AE171&lt;&gt;"", TEXT($AE171, "MMMM"), ""), Income!$C:$C, YEAR($AE171))</f>
        <v>0</v>
      </c>
      <c r="AL171" s="407" t="s">
        <v>796</v>
      </c>
      <c r="AM171" s="463">
        <v>48945.0</v>
      </c>
      <c r="AN171" s="464">
        <f>SUMIFS(Income!$G:$G,Income!$H:$H, AN$2,Income!$F:$F, $AL$1, Income!$B:$B, IF($AM171&lt;&gt;"", TEXT($AM171, "MMMM"), ""), Income!$C:$C, YEAR($AM171))+SUMIFS($T:$T, $U:$U,AN$2,$Q:$Q,IF($AM171&lt;&gt;"", TEXT($AM171, "MMMM"), ""),$R:$R,YEAR($AM171))</f>
        <v>0</v>
      </c>
      <c r="AO171" s="464">
        <f>SUMIFS(Income!$G:$G,Income!$H:$H, AO$2,Income!$F:$F, $AL$1, Income!$B:$B, IF($AM171&lt;&gt;"", TEXT($AM171, "MMMM"), ""), Income!$C:$C, YEAR($AM171))+SUMIFS($T:$T, $U:$U,AO$2,$Q:$Q,IF($AM171&lt;&gt;"", TEXT($AM171, "MMMM"), ""),$R:$R,YEAR($AM171))</f>
        <v>0</v>
      </c>
      <c r="AP171" s="464">
        <f>SUMIFS(Income!$G:$G,Income!$H:$H, AP$2,Income!$F:$F, $AL$1, Income!$B:$B, IF($AM171&lt;&gt;"", TEXT($AM171, "MMMM"), ""), Income!$C:$C, YEAR($AM171))+SUMIFS($T:$T, $U:$U,AP$2,$Q:$Q,IF($AM171&lt;&gt;"", TEXT($AM171, "MMMM"), ""),$R:$R,YEAR($AM171))</f>
        <v>0</v>
      </c>
      <c r="AQ171" s="464">
        <f>SUMIFS(Income!$G:$G,Income!$H:$H, AQ$2,Income!$F:$F, $AL$1, Income!$B:$B, IF($AM171&lt;&gt;"", TEXT($AM171, "MMMM"), ""), Income!$C:$C, YEAR($AM171))+SUMIFS($T:$T, $U:$U,AQ$2,$Q:$Q,IF($AM171&lt;&gt;"", TEXT($AM171, "MMMM"), ""),$R:$R,YEAR($AM171))</f>
        <v>0</v>
      </c>
      <c r="AR171" s="464">
        <f>SUMIFS(Income!$G:$G,Income!$H:$H, AR$2,Income!$F:$F, $AL$1, Income!$B:$B, IF($AM171&lt;&gt;"", TEXT($AM171, "MMMM"), ""), Income!$C:$C, YEAR($AM171))+SUMIFS($T:$T, $U:$U,AR$2,$Q:$Q,IF($AM171&lt;&gt;"", TEXT($AM171, "MMMM"), ""),$R:$R,YEAR($AM171))</f>
        <v>0</v>
      </c>
      <c r="AS171" s="467">
        <f>SUMIFS(Income!$G:$G,Income!$H:$H, AS$2,Income!$F:$F, $AL$1, Income!$B:$B, IF($AM171&lt;&gt;"", TEXT($AM171, "MMMM"), ""), Income!$C:$C, YEAR($AM171))+SUMIFS($T:$T, $U:$U,AS$2,$Q:$Q,IF($AM171&lt;&gt;"", TEXT($AM171, "MMMM"), ""),$R:$R,YEAR($AM171))</f>
        <v>0</v>
      </c>
      <c r="AT171" s="407" t="s">
        <v>796</v>
      </c>
      <c r="AU171" s="463">
        <v>48945.0</v>
      </c>
      <c r="AV171" s="469">
        <f>SUMIFS(Income!$G:$G,Income!$H:$H, AV$2,Income!$F:$F, $AT$1, Income!$B:$B, IF($AU171&lt;&gt;"", TEXT($AU171, "MMMM"), ""), Income!$C:$C, YEAR($AU171))</f>
        <v>0</v>
      </c>
      <c r="AW171" s="469">
        <f>SUMIFS(Income!$G:$G,Income!$H:$H, AW$2,Income!$F:$F, $AT$1, Income!$B:$B, IF($AU171&lt;&gt;"", TEXT($AU171, "MMMM"), ""), Income!$C:$C, YEAR($AU171))</f>
        <v>0</v>
      </c>
      <c r="AX171" s="469">
        <f>SUMIFS(Income!$G:$G,Income!$H:$H, AX$2,Income!$F:$F, $AT$1, Income!$B:$B, IF($AU171&lt;&gt;"", TEXT($AU171, "MMMM"), ""), Income!$C:$C, YEAR($AU171))</f>
        <v>0</v>
      </c>
      <c r="AY171" s="469">
        <f>SUMIFS(Income!$G:$G,Income!$H:$H, AY$2,Income!$F:$F, $AT$1, Income!$B:$B, IF($AU171&lt;&gt;"", TEXT($AU171, "MMMM"), ""), Income!$C:$C, YEAR($AU171))</f>
        <v>0</v>
      </c>
      <c r="AZ171" s="464">
        <f>SUMIFS(Income!$G:$G,Income!$H:$H, AZ$2,Income!$F:$F, $AT$1, Income!$B:$B, IF($AU171&lt;&gt;"", TEXT($AU171, "MMMM"), ""), Income!$C:$C, YEAR($AU171))</f>
        <v>0</v>
      </c>
      <c r="BA171" s="471">
        <f>SUMIFS(Income!$G:$G,Income!$H:$H, BA$2,Income!$F:$F, $AT$1, Income!$B:$B, IF($AU171&lt;&gt;"", TEXT($AU171, "MMMM"), ""), Income!$C:$C, YEAR($AU171))</f>
        <v>0</v>
      </c>
      <c r="BB171" s="345"/>
      <c r="BC171" s="345"/>
      <c r="BD171" s="345"/>
      <c r="BE171" s="345"/>
    </row>
    <row r="172" ht="13.5" customHeight="1">
      <c r="A172" s="424">
        <f>'Membership Application List'!A401</f>
        <v>45544.65807</v>
      </c>
      <c r="B172" s="443" t="str">
        <f t="shared" si="6"/>
        <v>September</v>
      </c>
      <c r="C172" s="443">
        <f t="shared" si="7"/>
        <v>2024</v>
      </c>
      <c r="D172" s="426" t="str">
        <f>'Membership Application List'!E401</f>
        <v>Brittany Tran</v>
      </c>
      <c r="E172" s="426">
        <f>IF('Membership Application List'!J401 = "Food/Litter Donation", 0, IF('Membership Application List'!J401 = "$15 Donation, Discord Verification", IF('Membership Application List'!N401 = TRUE, 15, 0)))</f>
        <v>15</v>
      </c>
      <c r="F172" s="426">
        <f>if('Membership Application List'!K401=TRUE, 5,0)</f>
        <v>0</v>
      </c>
      <c r="G172" s="426">
        <f t="shared" si="8"/>
        <v>15</v>
      </c>
      <c r="H172" s="427" t="str">
        <f>'Membership Application List'!L401</f>
        <v>Cash</v>
      </c>
      <c r="I172" s="428"/>
      <c r="J172" s="463">
        <v>48976.0</v>
      </c>
      <c r="K172" s="464">
        <f t="shared" ref="K172:O172" si="130">SUMIFS($G:$G, $H:$H, K$2, $B:$B, IF($J172&lt;&gt;"", TEXT($J172, "MMMM"), ""), $C:$C, YEAR($J172))</f>
        <v>0</v>
      </c>
      <c r="L172" s="464">
        <f t="shared" si="130"/>
        <v>0</v>
      </c>
      <c r="M172" s="464">
        <f t="shared" si="130"/>
        <v>0</v>
      </c>
      <c r="N172" s="464">
        <f t="shared" si="130"/>
        <v>0</v>
      </c>
      <c r="O172" s="465">
        <f t="shared" si="130"/>
        <v>0</v>
      </c>
      <c r="P172" s="414"/>
      <c r="Q172" s="414"/>
      <c r="R172" s="414"/>
      <c r="S172" s="445"/>
      <c r="T172" s="445"/>
      <c r="U172" s="445"/>
      <c r="V172" s="428"/>
      <c r="W172" s="463">
        <v>48976.0</v>
      </c>
      <c r="X172" s="469">
        <f>SUMIFS(Income!$G:$G,Income!$H:$H, X$2,Income!$F:$F, $V$1, Income!$B:$B, IF($W172&lt;&gt;"", TEXT($W172, "MMMM"), ""), Income!$C:$C, YEAR($W172))</f>
        <v>0</v>
      </c>
      <c r="Y172" s="469">
        <f>SUMIFS(Income!$G:$G,Income!$H:$H, Y$2,Income!$F:$F, $V$1, Income!$B:$B, IF($W172&lt;&gt;"", TEXT($W172, "MMMM"), ""), Income!$C:$C, YEAR($W172))</f>
        <v>0</v>
      </c>
      <c r="Z172" s="469">
        <f>SUMIFS(Income!$G:$G,Income!$H:$H, Z$2,Income!$F:$F, $V$1, Income!$B:$B, IF($W172&lt;&gt;"", TEXT($W172, "MMMM"), ""), Income!$C:$C, YEAR($W172))</f>
        <v>0</v>
      </c>
      <c r="AA172" s="469">
        <f>SUMIFS(Income!$G:$G,Income!$H:$H, AA$2,Income!$F:$F, $V$1, Income!$B:$B, IF($W172&lt;&gt;"", TEXT($W172, "MMMM"), ""), Income!$C:$C, YEAR($W172))</f>
        <v>0</v>
      </c>
      <c r="AB172" s="464">
        <f>SUMIFS(Income!$G:$G,Income!$H:$H, AB$2,Income!$F:$F, $V$1, Income!$B:$B, IF($W172&lt;&gt;"", TEXT($W172, "MMMM"), ""), Income!$C:$C, YEAR($W172))</f>
        <v>0</v>
      </c>
      <c r="AC172" s="470">
        <f>SUMIFS(Income!$G:$G,Income!$H:$H, AC$2,Income!$F:$F, $V$1, Income!$B:$B, IF($W172&lt;&gt;"", TEXT($W172, "MMMM"), ""), Income!$C:$C, YEAR($W172))</f>
        <v>0</v>
      </c>
      <c r="AD172" s="428"/>
      <c r="AE172" s="463">
        <v>48976.0</v>
      </c>
      <c r="AF172" s="469">
        <f>SUMIFS(Income!$G:$G,Income!$H:$H, AF$2,Income!$F:$F, $AD$1, Income!$B:$B, IF($AE172&lt;&gt;"", TEXT($AE172, "MMMM"), ""), Income!$C:$C, YEAR($AE172))</f>
        <v>0</v>
      </c>
      <c r="AG172" s="469">
        <f>SUMIFS(Income!$G:$G,Income!$H:$H, AG$2,Income!$F:$F, $AD$1, Income!$B:$B, IF($AE172&lt;&gt;"", TEXT($AE172, "MMMM"), ""), Income!$C:$C, YEAR($AE172))</f>
        <v>0</v>
      </c>
      <c r="AH172" s="469">
        <f>SUMIFS(Income!$G:$G,Income!$H:$H, AH$2,Income!$F:$F, $AD$1, Income!$B:$B, IF($AE172&lt;&gt;"", TEXT($AE172, "MMMM"), ""), Income!$C:$C, YEAR($AE172))</f>
        <v>0</v>
      </c>
      <c r="AI172" s="469">
        <f>SUMIFS(Income!$G:$G,Income!$H:$H, AI$2,Income!$F:$F, $AD$1, Income!$B:$B, IF($AE172&lt;&gt;"", TEXT($AE172, "MMMM"), ""), Income!$C:$C, YEAR($AE172))</f>
        <v>0</v>
      </c>
      <c r="AJ172" s="464">
        <f>SUMIFS(Income!$G:$G,Income!$H:$H, AJ$2,Income!$F:$F, $AD$1, Income!$B:$B, IF($AE172&lt;&gt;"", TEXT($AE172, "MMMM"), ""), Income!$C:$C, YEAR($AE172))</f>
        <v>0</v>
      </c>
      <c r="AK172" s="470">
        <f>SUMIFS(Income!$G:$G,Income!$H:$H, AK$2,Income!$F:$F, $AD$1, Income!$B:$B, IF($AE172&lt;&gt;"", TEXT($AE172, "MMMM"), ""), Income!$C:$C, YEAR($AE172))</f>
        <v>0</v>
      </c>
      <c r="AL172" s="428"/>
      <c r="AM172" s="463">
        <v>48976.0</v>
      </c>
      <c r="AN172" s="464">
        <f>SUMIFS(Income!$G:$G,Income!$H:$H, AN$2,Income!$F:$F, $AL$1, Income!$B:$B, IF($AM172&lt;&gt;"", TEXT($AM172, "MMMM"), ""), Income!$C:$C, YEAR($AM172))+SUMIFS($T:$T, $U:$U,AN$2,$Q:$Q,IF($AM172&lt;&gt;"", TEXT($AM172, "MMMM"), ""),$R:$R,YEAR($AM172))</f>
        <v>0</v>
      </c>
      <c r="AO172" s="464">
        <f>SUMIFS(Income!$G:$G,Income!$H:$H, AO$2,Income!$F:$F, $AL$1, Income!$B:$B, IF($AM172&lt;&gt;"", TEXT($AM172, "MMMM"), ""), Income!$C:$C, YEAR($AM172))+SUMIFS($T:$T, $U:$U,AO$2,$Q:$Q,IF($AM172&lt;&gt;"", TEXT($AM172, "MMMM"), ""),$R:$R,YEAR($AM172))</f>
        <v>0</v>
      </c>
      <c r="AP172" s="464">
        <f>SUMIFS(Income!$G:$G,Income!$H:$H, AP$2,Income!$F:$F, $AL$1, Income!$B:$B, IF($AM172&lt;&gt;"", TEXT($AM172, "MMMM"), ""), Income!$C:$C, YEAR($AM172))+SUMIFS($T:$T, $U:$U,AP$2,$Q:$Q,IF($AM172&lt;&gt;"", TEXT($AM172, "MMMM"), ""),$R:$R,YEAR($AM172))</f>
        <v>0</v>
      </c>
      <c r="AQ172" s="464">
        <f>SUMIFS(Income!$G:$G,Income!$H:$H, AQ$2,Income!$F:$F, $AL$1, Income!$B:$B, IF($AM172&lt;&gt;"", TEXT($AM172, "MMMM"), ""), Income!$C:$C, YEAR($AM172))+SUMIFS($T:$T, $U:$U,AQ$2,$Q:$Q,IF($AM172&lt;&gt;"", TEXT($AM172, "MMMM"), ""),$R:$R,YEAR($AM172))</f>
        <v>0</v>
      </c>
      <c r="AR172" s="464">
        <f>SUMIFS(Income!$G:$G,Income!$H:$H, AR$2,Income!$F:$F, $AL$1, Income!$B:$B, IF($AM172&lt;&gt;"", TEXT($AM172, "MMMM"), ""), Income!$C:$C, YEAR($AM172))+SUMIFS($T:$T, $U:$U,AR$2,$Q:$Q,IF($AM172&lt;&gt;"", TEXT($AM172, "MMMM"), ""),$R:$R,YEAR($AM172))</f>
        <v>0</v>
      </c>
      <c r="AS172" s="467">
        <f>SUMIFS(Income!$G:$G,Income!$H:$H, AS$2,Income!$F:$F, $AL$1, Income!$B:$B, IF($AM172&lt;&gt;"", TEXT($AM172, "MMMM"), ""), Income!$C:$C, YEAR($AM172))+SUMIFS($T:$T, $U:$U,AS$2,$Q:$Q,IF($AM172&lt;&gt;"", TEXT($AM172, "MMMM"), ""),$R:$R,YEAR($AM172))</f>
        <v>0</v>
      </c>
      <c r="AT172" s="428"/>
      <c r="AU172" s="463">
        <v>48976.0</v>
      </c>
      <c r="AV172" s="469">
        <f>SUMIFS(Income!$G:$G,Income!$H:$H, AV$2,Income!$F:$F, $AT$1, Income!$B:$B, IF($AU172&lt;&gt;"", TEXT($AU172, "MMMM"), ""), Income!$C:$C, YEAR($AU172))</f>
        <v>0</v>
      </c>
      <c r="AW172" s="469">
        <f>SUMIFS(Income!$G:$G,Income!$H:$H, AW$2,Income!$F:$F, $AT$1, Income!$B:$B, IF($AU172&lt;&gt;"", TEXT($AU172, "MMMM"), ""), Income!$C:$C, YEAR($AU172))</f>
        <v>0</v>
      </c>
      <c r="AX172" s="469">
        <f>SUMIFS(Income!$G:$G,Income!$H:$H, AX$2,Income!$F:$F, $AT$1, Income!$B:$B, IF($AU172&lt;&gt;"", TEXT($AU172, "MMMM"), ""), Income!$C:$C, YEAR($AU172))</f>
        <v>0</v>
      </c>
      <c r="AY172" s="469">
        <f>SUMIFS(Income!$G:$G,Income!$H:$H, AY$2,Income!$F:$F, $AT$1, Income!$B:$B, IF($AU172&lt;&gt;"", TEXT($AU172, "MMMM"), ""), Income!$C:$C, YEAR($AU172))</f>
        <v>0</v>
      </c>
      <c r="AZ172" s="464">
        <f>SUMIFS(Income!$G:$G,Income!$H:$H, AZ$2,Income!$F:$F, $AT$1, Income!$B:$B, IF($AU172&lt;&gt;"", TEXT($AU172, "MMMM"), ""), Income!$C:$C, YEAR($AU172))</f>
        <v>0</v>
      </c>
      <c r="BA172" s="471">
        <f>SUMIFS(Income!$G:$G,Income!$H:$H, BA$2,Income!$F:$F, $AT$1, Income!$B:$B, IF($AU172&lt;&gt;"", TEXT($AU172, "MMMM"), ""), Income!$C:$C, YEAR($AU172))</f>
        <v>0</v>
      </c>
      <c r="BB172" s="345"/>
      <c r="BC172" s="345"/>
      <c r="BD172" s="345"/>
      <c r="BE172" s="345"/>
    </row>
    <row r="173" ht="13.5" customHeight="1">
      <c r="A173" s="436">
        <f>'Membership Application List'!A402</f>
        <v>45544.65959</v>
      </c>
      <c r="B173" s="437" t="str">
        <f t="shared" si="6"/>
        <v>September</v>
      </c>
      <c r="C173" s="437">
        <f t="shared" si="7"/>
        <v>2024</v>
      </c>
      <c r="D173" s="438" t="str">
        <f>'Membership Application List'!E402</f>
        <v>hieu nguyen</v>
      </c>
      <c r="E173" s="438">
        <f>IF('Membership Application List'!J402 = "Food/Litter Donation", 0, IF('Membership Application List'!J402 = "$15 Donation, Discord Verification", IF('Membership Application List'!N402 = TRUE, 15, 0)))</f>
        <v>15</v>
      </c>
      <c r="F173" s="438">
        <f>if('Membership Application List'!K402=TRUE, 5,0)</f>
        <v>0</v>
      </c>
      <c r="G173" s="438">
        <f t="shared" si="8"/>
        <v>15</v>
      </c>
      <c r="H173" s="439" t="str">
        <f>'Membership Application List'!L402</f>
        <v>Cash</v>
      </c>
      <c r="I173" s="428"/>
      <c r="J173" s="463">
        <v>49004.0</v>
      </c>
      <c r="K173" s="464">
        <f t="shared" ref="K173:O173" si="131">SUMIFS($G:$G, $H:$H, K$2, $B:$B, IF($J173&lt;&gt;"", TEXT($J173, "MMMM"), ""), $C:$C, YEAR($J173))</f>
        <v>0</v>
      </c>
      <c r="L173" s="464">
        <f t="shared" si="131"/>
        <v>0</v>
      </c>
      <c r="M173" s="464">
        <f t="shared" si="131"/>
        <v>0</v>
      </c>
      <c r="N173" s="464">
        <f t="shared" si="131"/>
        <v>0</v>
      </c>
      <c r="O173" s="465">
        <f t="shared" si="131"/>
        <v>0</v>
      </c>
      <c r="P173" s="414"/>
      <c r="Q173" s="414"/>
      <c r="R173" s="414"/>
      <c r="S173" s="445"/>
      <c r="T173" s="445"/>
      <c r="U173" s="445"/>
      <c r="V173" s="428"/>
      <c r="W173" s="463">
        <v>49004.0</v>
      </c>
      <c r="X173" s="469">
        <f>SUMIFS(Income!$G:$G,Income!$H:$H, X$2,Income!$F:$F, $V$1, Income!$B:$B, IF($W173&lt;&gt;"", TEXT($W173, "MMMM"), ""), Income!$C:$C, YEAR($W173))</f>
        <v>0</v>
      </c>
      <c r="Y173" s="469">
        <f>SUMIFS(Income!$G:$G,Income!$H:$H, Y$2,Income!$F:$F, $V$1, Income!$B:$B, IF($W173&lt;&gt;"", TEXT($W173, "MMMM"), ""), Income!$C:$C, YEAR($W173))</f>
        <v>0</v>
      </c>
      <c r="Z173" s="469">
        <f>SUMIFS(Income!$G:$G,Income!$H:$H, Z$2,Income!$F:$F, $V$1, Income!$B:$B, IF($W173&lt;&gt;"", TEXT($W173, "MMMM"), ""), Income!$C:$C, YEAR($W173))</f>
        <v>0</v>
      </c>
      <c r="AA173" s="469">
        <f>SUMIFS(Income!$G:$G,Income!$H:$H, AA$2,Income!$F:$F, $V$1, Income!$B:$B, IF($W173&lt;&gt;"", TEXT($W173, "MMMM"), ""), Income!$C:$C, YEAR($W173))</f>
        <v>0</v>
      </c>
      <c r="AB173" s="464">
        <f>SUMIFS(Income!$G:$G,Income!$H:$H, AB$2,Income!$F:$F, $V$1, Income!$B:$B, IF($W173&lt;&gt;"", TEXT($W173, "MMMM"), ""), Income!$C:$C, YEAR($W173))</f>
        <v>0</v>
      </c>
      <c r="AC173" s="470">
        <f>SUMIFS(Income!$G:$G,Income!$H:$H, AC$2,Income!$F:$F, $V$1, Income!$B:$B, IF($W173&lt;&gt;"", TEXT($W173, "MMMM"), ""), Income!$C:$C, YEAR($W173))</f>
        <v>0</v>
      </c>
      <c r="AD173" s="428"/>
      <c r="AE173" s="463">
        <v>49004.0</v>
      </c>
      <c r="AF173" s="469">
        <f>SUMIFS(Income!$G:$G,Income!$H:$H, AF$2,Income!$F:$F, $AD$1, Income!$B:$B, IF($AE173&lt;&gt;"", TEXT($AE173, "MMMM"), ""), Income!$C:$C, YEAR($AE173))</f>
        <v>0</v>
      </c>
      <c r="AG173" s="469">
        <f>SUMIFS(Income!$G:$G,Income!$H:$H, AG$2,Income!$F:$F, $AD$1, Income!$B:$B, IF($AE173&lt;&gt;"", TEXT($AE173, "MMMM"), ""), Income!$C:$C, YEAR($AE173))</f>
        <v>0</v>
      </c>
      <c r="AH173" s="469">
        <f>SUMIFS(Income!$G:$G,Income!$H:$H, AH$2,Income!$F:$F, $AD$1, Income!$B:$B, IF($AE173&lt;&gt;"", TEXT($AE173, "MMMM"), ""), Income!$C:$C, YEAR($AE173))</f>
        <v>0</v>
      </c>
      <c r="AI173" s="469">
        <f>SUMIFS(Income!$G:$G,Income!$H:$H, AI$2,Income!$F:$F, $AD$1, Income!$B:$B, IF($AE173&lt;&gt;"", TEXT($AE173, "MMMM"), ""), Income!$C:$C, YEAR($AE173))</f>
        <v>0</v>
      </c>
      <c r="AJ173" s="464">
        <f>SUMIFS(Income!$G:$G,Income!$H:$H, AJ$2,Income!$F:$F, $AD$1, Income!$B:$B, IF($AE173&lt;&gt;"", TEXT($AE173, "MMMM"), ""), Income!$C:$C, YEAR($AE173))</f>
        <v>0</v>
      </c>
      <c r="AK173" s="470">
        <f>SUMIFS(Income!$G:$G,Income!$H:$H, AK$2,Income!$F:$F, $AD$1, Income!$B:$B, IF($AE173&lt;&gt;"", TEXT($AE173, "MMMM"), ""), Income!$C:$C, YEAR($AE173))</f>
        <v>0</v>
      </c>
      <c r="AL173" s="428"/>
      <c r="AM173" s="463">
        <v>49004.0</v>
      </c>
      <c r="AN173" s="464">
        <f>SUMIFS(Income!$G:$G,Income!$H:$H, AN$2,Income!$F:$F, $AL$1, Income!$B:$B, IF($AM173&lt;&gt;"", TEXT($AM173, "MMMM"), ""), Income!$C:$C, YEAR($AM173))+SUMIFS($T:$T, $U:$U,AN$2,$Q:$Q,IF($AM173&lt;&gt;"", TEXT($AM173, "MMMM"), ""),$R:$R,YEAR($AM173))</f>
        <v>0</v>
      </c>
      <c r="AO173" s="464">
        <f>SUMIFS(Income!$G:$G,Income!$H:$H, AO$2,Income!$F:$F, $AL$1, Income!$B:$B, IF($AM173&lt;&gt;"", TEXT($AM173, "MMMM"), ""), Income!$C:$C, YEAR($AM173))+SUMIFS($T:$T, $U:$U,AO$2,$Q:$Q,IF($AM173&lt;&gt;"", TEXT($AM173, "MMMM"), ""),$R:$R,YEAR($AM173))</f>
        <v>0</v>
      </c>
      <c r="AP173" s="464">
        <f>SUMIFS(Income!$G:$G,Income!$H:$H, AP$2,Income!$F:$F, $AL$1, Income!$B:$B, IF($AM173&lt;&gt;"", TEXT($AM173, "MMMM"), ""), Income!$C:$C, YEAR($AM173))+SUMIFS($T:$T, $U:$U,AP$2,$Q:$Q,IF($AM173&lt;&gt;"", TEXT($AM173, "MMMM"), ""),$R:$R,YEAR($AM173))</f>
        <v>0</v>
      </c>
      <c r="AQ173" s="464">
        <f>SUMIFS(Income!$G:$G,Income!$H:$H, AQ$2,Income!$F:$F, $AL$1, Income!$B:$B, IF($AM173&lt;&gt;"", TEXT($AM173, "MMMM"), ""), Income!$C:$C, YEAR($AM173))+SUMIFS($T:$T, $U:$U,AQ$2,$Q:$Q,IF($AM173&lt;&gt;"", TEXT($AM173, "MMMM"), ""),$R:$R,YEAR($AM173))</f>
        <v>0</v>
      </c>
      <c r="AR173" s="464">
        <f>SUMIFS(Income!$G:$G,Income!$H:$H, AR$2,Income!$F:$F, $AL$1, Income!$B:$B, IF($AM173&lt;&gt;"", TEXT($AM173, "MMMM"), ""), Income!$C:$C, YEAR($AM173))+SUMIFS($T:$T, $U:$U,AR$2,$Q:$Q,IF($AM173&lt;&gt;"", TEXT($AM173, "MMMM"), ""),$R:$R,YEAR($AM173))</f>
        <v>0</v>
      </c>
      <c r="AS173" s="467">
        <f>SUMIFS(Income!$G:$G,Income!$H:$H, AS$2,Income!$F:$F, $AL$1, Income!$B:$B, IF($AM173&lt;&gt;"", TEXT($AM173, "MMMM"), ""), Income!$C:$C, YEAR($AM173))+SUMIFS($T:$T, $U:$U,AS$2,$Q:$Q,IF($AM173&lt;&gt;"", TEXT($AM173, "MMMM"), ""),$R:$R,YEAR($AM173))</f>
        <v>0</v>
      </c>
      <c r="AT173" s="428"/>
      <c r="AU173" s="463">
        <v>49004.0</v>
      </c>
      <c r="AV173" s="469">
        <f>SUMIFS(Income!$G:$G,Income!$H:$H, AV$2,Income!$F:$F, $AT$1, Income!$B:$B, IF($AU173&lt;&gt;"", TEXT($AU173, "MMMM"), ""), Income!$C:$C, YEAR($AU173))</f>
        <v>0</v>
      </c>
      <c r="AW173" s="469">
        <f>SUMIFS(Income!$G:$G,Income!$H:$H, AW$2,Income!$F:$F, $AT$1, Income!$B:$B, IF($AU173&lt;&gt;"", TEXT($AU173, "MMMM"), ""), Income!$C:$C, YEAR($AU173))</f>
        <v>0</v>
      </c>
      <c r="AX173" s="469">
        <f>SUMIFS(Income!$G:$G,Income!$H:$H, AX$2,Income!$F:$F, $AT$1, Income!$B:$B, IF($AU173&lt;&gt;"", TEXT($AU173, "MMMM"), ""), Income!$C:$C, YEAR($AU173))</f>
        <v>0</v>
      </c>
      <c r="AY173" s="469">
        <f>SUMIFS(Income!$G:$G,Income!$H:$H, AY$2,Income!$F:$F, $AT$1, Income!$B:$B, IF($AU173&lt;&gt;"", TEXT($AU173, "MMMM"), ""), Income!$C:$C, YEAR($AU173))</f>
        <v>0</v>
      </c>
      <c r="AZ173" s="464">
        <f>SUMIFS(Income!$G:$G,Income!$H:$H, AZ$2,Income!$F:$F, $AT$1, Income!$B:$B, IF($AU173&lt;&gt;"", TEXT($AU173, "MMMM"), ""), Income!$C:$C, YEAR($AU173))</f>
        <v>0</v>
      </c>
      <c r="BA173" s="471">
        <f>SUMIFS(Income!$G:$G,Income!$H:$H, BA$2,Income!$F:$F, $AT$1, Income!$B:$B, IF($AU173&lt;&gt;"", TEXT($AU173, "MMMM"), ""), Income!$C:$C, YEAR($AU173))</f>
        <v>0</v>
      </c>
      <c r="BB173" s="345"/>
      <c r="BC173" s="345"/>
      <c r="BD173" s="345"/>
      <c r="BE173" s="345"/>
    </row>
    <row r="174" ht="13.5" customHeight="1">
      <c r="A174" s="424">
        <f>'Membership Application List'!A403</f>
        <v>45544.66609</v>
      </c>
      <c r="B174" s="443" t="str">
        <f t="shared" si="6"/>
        <v>September</v>
      </c>
      <c r="C174" s="443">
        <f t="shared" si="7"/>
        <v>2024</v>
      </c>
      <c r="D174" s="426" t="str">
        <f>'Membership Application List'!E403</f>
        <v>Evelyn Trevino </v>
      </c>
      <c r="E174" s="426">
        <f>IF('Membership Application List'!J403 = "Food/Litter Donation", 0, IF('Membership Application List'!J403 = "$15 Donation, Discord Verification", IF('Membership Application List'!N403 = TRUE, 15, 0)))</f>
        <v>15</v>
      </c>
      <c r="F174" s="426">
        <f>if('Membership Application List'!K403=TRUE, 5,0)</f>
        <v>0</v>
      </c>
      <c r="G174" s="426">
        <f t="shared" si="8"/>
        <v>15</v>
      </c>
      <c r="H174" s="427" t="str">
        <f>'Membership Application List'!L403</f>
        <v>Cash</v>
      </c>
      <c r="I174" s="428"/>
      <c r="J174" s="463">
        <v>49035.0</v>
      </c>
      <c r="K174" s="464">
        <f t="shared" ref="K174:O174" si="132">SUMIFS($G:$G, $H:$H, K$2, $B:$B, IF($J174&lt;&gt;"", TEXT($J174, "MMMM"), ""), $C:$C, YEAR($J174))</f>
        <v>0</v>
      </c>
      <c r="L174" s="464">
        <f t="shared" si="132"/>
        <v>0</v>
      </c>
      <c r="M174" s="464">
        <f t="shared" si="132"/>
        <v>0</v>
      </c>
      <c r="N174" s="464">
        <f t="shared" si="132"/>
        <v>0</v>
      </c>
      <c r="O174" s="465">
        <f t="shared" si="132"/>
        <v>0</v>
      </c>
      <c r="P174" s="414"/>
      <c r="Q174" s="414"/>
      <c r="R174" s="414"/>
      <c r="S174" s="445"/>
      <c r="T174" s="445"/>
      <c r="U174" s="445"/>
      <c r="V174" s="428"/>
      <c r="W174" s="463">
        <v>49035.0</v>
      </c>
      <c r="X174" s="469">
        <f>SUMIFS(Income!$G:$G,Income!$H:$H, X$2,Income!$F:$F, $V$1, Income!$B:$B, IF($W174&lt;&gt;"", TEXT($W174, "MMMM"), ""), Income!$C:$C, YEAR($W174))</f>
        <v>0</v>
      </c>
      <c r="Y174" s="469">
        <f>SUMIFS(Income!$G:$G,Income!$H:$H, Y$2,Income!$F:$F, $V$1, Income!$B:$B, IF($W174&lt;&gt;"", TEXT($W174, "MMMM"), ""), Income!$C:$C, YEAR($W174))</f>
        <v>0</v>
      </c>
      <c r="Z174" s="469">
        <f>SUMIFS(Income!$G:$G,Income!$H:$H, Z$2,Income!$F:$F, $V$1, Income!$B:$B, IF($W174&lt;&gt;"", TEXT($W174, "MMMM"), ""), Income!$C:$C, YEAR($W174))</f>
        <v>0</v>
      </c>
      <c r="AA174" s="469">
        <f>SUMIFS(Income!$G:$G,Income!$H:$H, AA$2,Income!$F:$F, $V$1, Income!$B:$B, IF($W174&lt;&gt;"", TEXT($W174, "MMMM"), ""), Income!$C:$C, YEAR($W174))</f>
        <v>0</v>
      </c>
      <c r="AB174" s="464">
        <f>SUMIFS(Income!$G:$G,Income!$H:$H, AB$2,Income!$F:$F, $V$1, Income!$B:$B, IF($W174&lt;&gt;"", TEXT($W174, "MMMM"), ""), Income!$C:$C, YEAR($W174))</f>
        <v>0</v>
      </c>
      <c r="AC174" s="470">
        <f>SUMIFS(Income!$G:$G,Income!$H:$H, AC$2,Income!$F:$F, $V$1, Income!$B:$B, IF($W174&lt;&gt;"", TEXT($W174, "MMMM"), ""), Income!$C:$C, YEAR($W174))</f>
        <v>0</v>
      </c>
      <c r="AD174" s="428"/>
      <c r="AE174" s="463">
        <v>49035.0</v>
      </c>
      <c r="AF174" s="469">
        <f>SUMIFS(Income!$G:$G,Income!$H:$H, AF$2,Income!$F:$F, $AD$1, Income!$B:$B, IF($AE174&lt;&gt;"", TEXT($AE174, "MMMM"), ""), Income!$C:$C, YEAR($AE174))</f>
        <v>0</v>
      </c>
      <c r="AG174" s="469">
        <f>SUMIFS(Income!$G:$G,Income!$H:$H, AG$2,Income!$F:$F, $AD$1, Income!$B:$B, IF($AE174&lt;&gt;"", TEXT($AE174, "MMMM"), ""), Income!$C:$C, YEAR($AE174))</f>
        <v>0</v>
      </c>
      <c r="AH174" s="469">
        <f>SUMIFS(Income!$G:$G,Income!$H:$H, AH$2,Income!$F:$F, $AD$1, Income!$B:$B, IF($AE174&lt;&gt;"", TEXT($AE174, "MMMM"), ""), Income!$C:$C, YEAR($AE174))</f>
        <v>0</v>
      </c>
      <c r="AI174" s="469">
        <f>SUMIFS(Income!$G:$G,Income!$H:$H, AI$2,Income!$F:$F, $AD$1, Income!$B:$B, IF($AE174&lt;&gt;"", TEXT($AE174, "MMMM"), ""), Income!$C:$C, YEAR($AE174))</f>
        <v>0</v>
      </c>
      <c r="AJ174" s="464">
        <f>SUMIFS(Income!$G:$G,Income!$H:$H, AJ$2,Income!$F:$F, $AD$1, Income!$B:$B, IF($AE174&lt;&gt;"", TEXT($AE174, "MMMM"), ""), Income!$C:$C, YEAR($AE174))</f>
        <v>0</v>
      </c>
      <c r="AK174" s="470">
        <f>SUMIFS(Income!$G:$G,Income!$H:$H, AK$2,Income!$F:$F, $AD$1, Income!$B:$B, IF($AE174&lt;&gt;"", TEXT($AE174, "MMMM"), ""), Income!$C:$C, YEAR($AE174))</f>
        <v>0</v>
      </c>
      <c r="AL174" s="428"/>
      <c r="AM174" s="463">
        <v>49035.0</v>
      </c>
      <c r="AN174" s="464">
        <f>SUMIFS(Income!$G:$G,Income!$H:$H, AN$2,Income!$F:$F, $AL$1, Income!$B:$B, IF($AM174&lt;&gt;"", TEXT($AM174, "MMMM"), ""), Income!$C:$C, YEAR($AM174))+SUMIFS($T:$T, $U:$U,AN$2,$Q:$Q,IF($AM174&lt;&gt;"", TEXT($AM174, "MMMM"), ""),$R:$R,YEAR($AM174))</f>
        <v>0</v>
      </c>
      <c r="AO174" s="464">
        <f>SUMIFS(Income!$G:$G,Income!$H:$H, AO$2,Income!$F:$F, $AL$1, Income!$B:$B, IF($AM174&lt;&gt;"", TEXT($AM174, "MMMM"), ""), Income!$C:$C, YEAR($AM174))+SUMIFS($T:$T, $U:$U,AO$2,$Q:$Q,IF($AM174&lt;&gt;"", TEXT($AM174, "MMMM"), ""),$R:$R,YEAR($AM174))</f>
        <v>0</v>
      </c>
      <c r="AP174" s="464">
        <f>SUMIFS(Income!$G:$G,Income!$H:$H, AP$2,Income!$F:$F, $AL$1, Income!$B:$B, IF($AM174&lt;&gt;"", TEXT($AM174, "MMMM"), ""), Income!$C:$C, YEAR($AM174))+SUMIFS($T:$T, $U:$U,AP$2,$Q:$Q,IF($AM174&lt;&gt;"", TEXT($AM174, "MMMM"), ""),$R:$R,YEAR($AM174))</f>
        <v>0</v>
      </c>
      <c r="AQ174" s="464">
        <f>SUMIFS(Income!$G:$G,Income!$H:$H, AQ$2,Income!$F:$F, $AL$1, Income!$B:$B, IF($AM174&lt;&gt;"", TEXT($AM174, "MMMM"), ""), Income!$C:$C, YEAR($AM174))+SUMIFS($T:$T, $U:$U,AQ$2,$Q:$Q,IF($AM174&lt;&gt;"", TEXT($AM174, "MMMM"), ""),$R:$R,YEAR($AM174))</f>
        <v>0</v>
      </c>
      <c r="AR174" s="464">
        <f>SUMIFS(Income!$G:$G,Income!$H:$H, AR$2,Income!$F:$F, $AL$1, Income!$B:$B, IF($AM174&lt;&gt;"", TEXT($AM174, "MMMM"), ""), Income!$C:$C, YEAR($AM174))+SUMIFS($T:$T, $U:$U,AR$2,$Q:$Q,IF($AM174&lt;&gt;"", TEXT($AM174, "MMMM"), ""),$R:$R,YEAR($AM174))</f>
        <v>0</v>
      </c>
      <c r="AS174" s="467">
        <f>SUMIFS(Income!$G:$G,Income!$H:$H, AS$2,Income!$F:$F, $AL$1, Income!$B:$B, IF($AM174&lt;&gt;"", TEXT($AM174, "MMMM"), ""), Income!$C:$C, YEAR($AM174))+SUMIFS($T:$T, $U:$U,AS$2,$Q:$Q,IF($AM174&lt;&gt;"", TEXT($AM174, "MMMM"), ""),$R:$R,YEAR($AM174))</f>
        <v>0</v>
      </c>
      <c r="AT174" s="428"/>
      <c r="AU174" s="463">
        <v>49035.0</v>
      </c>
      <c r="AV174" s="469">
        <f>SUMIFS(Income!$G:$G,Income!$H:$H, AV$2,Income!$F:$F, $AT$1, Income!$B:$B, IF($AU174&lt;&gt;"", TEXT($AU174, "MMMM"), ""), Income!$C:$C, YEAR($AU174))</f>
        <v>0</v>
      </c>
      <c r="AW174" s="469">
        <f>SUMIFS(Income!$G:$G,Income!$H:$H, AW$2,Income!$F:$F, $AT$1, Income!$B:$B, IF($AU174&lt;&gt;"", TEXT($AU174, "MMMM"), ""), Income!$C:$C, YEAR($AU174))</f>
        <v>0</v>
      </c>
      <c r="AX174" s="469">
        <f>SUMIFS(Income!$G:$G,Income!$H:$H, AX$2,Income!$F:$F, $AT$1, Income!$B:$B, IF($AU174&lt;&gt;"", TEXT($AU174, "MMMM"), ""), Income!$C:$C, YEAR($AU174))</f>
        <v>0</v>
      </c>
      <c r="AY174" s="469">
        <f>SUMIFS(Income!$G:$G,Income!$H:$H, AY$2,Income!$F:$F, $AT$1, Income!$B:$B, IF($AU174&lt;&gt;"", TEXT($AU174, "MMMM"), ""), Income!$C:$C, YEAR($AU174))</f>
        <v>0</v>
      </c>
      <c r="AZ174" s="464">
        <f>SUMIFS(Income!$G:$G,Income!$H:$H, AZ$2,Income!$F:$F, $AT$1, Income!$B:$B, IF($AU174&lt;&gt;"", TEXT($AU174, "MMMM"), ""), Income!$C:$C, YEAR($AU174))</f>
        <v>0</v>
      </c>
      <c r="BA174" s="471">
        <f>SUMIFS(Income!$G:$G,Income!$H:$H, BA$2,Income!$F:$F, $AT$1, Income!$B:$B, IF($AU174&lt;&gt;"", TEXT($AU174, "MMMM"), ""), Income!$C:$C, YEAR($AU174))</f>
        <v>0</v>
      </c>
      <c r="BB174" s="345"/>
      <c r="BC174" s="345"/>
      <c r="BD174" s="345"/>
      <c r="BE174" s="345"/>
    </row>
    <row r="175" ht="13.5" customHeight="1">
      <c r="A175" s="436">
        <f>'Membership Application List'!A404</f>
        <v>45544.68721</v>
      </c>
      <c r="B175" s="437" t="str">
        <f t="shared" si="6"/>
        <v>September</v>
      </c>
      <c r="C175" s="437">
        <f t="shared" si="7"/>
        <v>2024</v>
      </c>
      <c r="D175" s="438" t="str">
        <f>'Membership Application List'!E404</f>
        <v>Rowan Rutherford</v>
      </c>
      <c r="E175" s="438">
        <f>IF('Membership Application List'!J404 = "Food/Litter Donation", 0, IF('Membership Application List'!J404 = "$15 Donation, Discord Verification", IF('Membership Application List'!N404 = TRUE, 15, 0)))</f>
        <v>15</v>
      </c>
      <c r="F175" s="438">
        <f>if('Membership Application List'!K404=TRUE, 5,0)</f>
        <v>0</v>
      </c>
      <c r="G175" s="438">
        <f t="shared" si="8"/>
        <v>15</v>
      </c>
      <c r="H175" s="439" t="str">
        <f>'Membership Application List'!L404</f>
        <v>Cash</v>
      </c>
      <c r="I175" s="428"/>
      <c r="J175" s="463">
        <v>49065.0</v>
      </c>
      <c r="K175" s="464">
        <f t="shared" ref="K175:O175" si="133">SUMIFS($G:$G, $H:$H, K$2, $B:$B, IF($J175&lt;&gt;"", TEXT($J175, "MMMM"), ""), $C:$C, YEAR($J175))</f>
        <v>0</v>
      </c>
      <c r="L175" s="464">
        <f t="shared" si="133"/>
        <v>0</v>
      </c>
      <c r="M175" s="464">
        <f t="shared" si="133"/>
        <v>0</v>
      </c>
      <c r="N175" s="464">
        <f t="shared" si="133"/>
        <v>0</v>
      </c>
      <c r="O175" s="465">
        <f t="shared" si="133"/>
        <v>0</v>
      </c>
      <c r="P175" s="414"/>
      <c r="Q175" s="414"/>
      <c r="R175" s="414"/>
      <c r="S175" s="445"/>
      <c r="T175" s="445"/>
      <c r="U175" s="445"/>
      <c r="V175" s="428"/>
      <c r="W175" s="463">
        <v>49065.0</v>
      </c>
      <c r="X175" s="469">
        <f>SUMIFS(Income!$G:$G,Income!$H:$H, X$2,Income!$F:$F, $V$1, Income!$B:$B, IF($W175&lt;&gt;"", TEXT($W175, "MMMM"), ""), Income!$C:$C, YEAR($W175))</f>
        <v>0</v>
      </c>
      <c r="Y175" s="469">
        <f>SUMIFS(Income!$G:$G,Income!$H:$H, Y$2,Income!$F:$F, $V$1, Income!$B:$B, IF($W175&lt;&gt;"", TEXT($W175, "MMMM"), ""), Income!$C:$C, YEAR($W175))</f>
        <v>0</v>
      </c>
      <c r="Z175" s="469">
        <f>SUMIFS(Income!$G:$G,Income!$H:$H, Z$2,Income!$F:$F, $V$1, Income!$B:$B, IF($W175&lt;&gt;"", TEXT($W175, "MMMM"), ""), Income!$C:$C, YEAR($W175))</f>
        <v>0</v>
      </c>
      <c r="AA175" s="469">
        <f>SUMIFS(Income!$G:$G,Income!$H:$H, AA$2,Income!$F:$F, $V$1, Income!$B:$B, IF($W175&lt;&gt;"", TEXT($W175, "MMMM"), ""), Income!$C:$C, YEAR($W175))</f>
        <v>0</v>
      </c>
      <c r="AB175" s="464">
        <f>SUMIFS(Income!$G:$G,Income!$H:$H, AB$2,Income!$F:$F, $V$1, Income!$B:$B, IF($W175&lt;&gt;"", TEXT($W175, "MMMM"), ""), Income!$C:$C, YEAR($W175))</f>
        <v>0</v>
      </c>
      <c r="AC175" s="470">
        <f>SUMIFS(Income!$G:$G,Income!$H:$H, AC$2,Income!$F:$F, $V$1, Income!$B:$B, IF($W175&lt;&gt;"", TEXT($W175, "MMMM"), ""), Income!$C:$C, YEAR($W175))</f>
        <v>0</v>
      </c>
      <c r="AD175" s="428"/>
      <c r="AE175" s="463">
        <v>49065.0</v>
      </c>
      <c r="AF175" s="469">
        <f>SUMIFS(Income!$G:$G,Income!$H:$H, AF$2,Income!$F:$F, $AD$1, Income!$B:$B, IF($AE175&lt;&gt;"", TEXT($AE175, "MMMM"), ""), Income!$C:$C, YEAR($AE175))</f>
        <v>0</v>
      </c>
      <c r="AG175" s="469">
        <f>SUMIFS(Income!$G:$G,Income!$H:$H, AG$2,Income!$F:$F, $AD$1, Income!$B:$B, IF($AE175&lt;&gt;"", TEXT($AE175, "MMMM"), ""), Income!$C:$C, YEAR($AE175))</f>
        <v>0</v>
      </c>
      <c r="AH175" s="469">
        <f>SUMIFS(Income!$G:$G,Income!$H:$H, AH$2,Income!$F:$F, $AD$1, Income!$B:$B, IF($AE175&lt;&gt;"", TEXT($AE175, "MMMM"), ""), Income!$C:$C, YEAR($AE175))</f>
        <v>0</v>
      </c>
      <c r="AI175" s="469">
        <f>SUMIFS(Income!$G:$G,Income!$H:$H, AI$2,Income!$F:$F, $AD$1, Income!$B:$B, IF($AE175&lt;&gt;"", TEXT($AE175, "MMMM"), ""), Income!$C:$C, YEAR($AE175))</f>
        <v>0</v>
      </c>
      <c r="AJ175" s="464">
        <f>SUMIFS(Income!$G:$G,Income!$H:$H, AJ$2,Income!$F:$F, $AD$1, Income!$B:$B, IF($AE175&lt;&gt;"", TEXT($AE175, "MMMM"), ""), Income!$C:$C, YEAR($AE175))</f>
        <v>0</v>
      </c>
      <c r="AK175" s="470">
        <f>SUMIFS(Income!$G:$G,Income!$H:$H, AK$2,Income!$F:$F, $AD$1, Income!$B:$B, IF($AE175&lt;&gt;"", TEXT($AE175, "MMMM"), ""), Income!$C:$C, YEAR($AE175))</f>
        <v>0</v>
      </c>
      <c r="AL175" s="428"/>
      <c r="AM175" s="463">
        <v>49065.0</v>
      </c>
      <c r="AN175" s="464">
        <f>SUMIFS(Income!$G:$G,Income!$H:$H, AN$2,Income!$F:$F, $AL$1, Income!$B:$B, IF($AM175&lt;&gt;"", TEXT($AM175, "MMMM"), ""), Income!$C:$C, YEAR($AM175))+SUMIFS($T:$T, $U:$U,AN$2,$Q:$Q,IF($AM175&lt;&gt;"", TEXT($AM175, "MMMM"), ""),$R:$R,YEAR($AM175))</f>
        <v>0</v>
      </c>
      <c r="AO175" s="464">
        <f>SUMIFS(Income!$G:$G,Income!$H:$H, AO$2,Income!$F:$F, $AL$1, Income!$B:$B, IF($AM175&lt;&gt;"", TEXT($AM175, "MMMM"), ""), Income!$C:$C, YEAR($AM175))+SUMIFS($T:$T, $U:$U,AO$2,$Q:$Q,IF($AM175&lt;&gt;"", TEXT($AM175, "MMMM"), ""),$R:$R,YEAR($AM175))</f>
        <v>0</v>
      </c>
      <c r="AP175" s="464">
        <f>SUMIFS(Income!$G:$G,Income!$H:$H, AP$2,Income!$F:$F, $AL$1, Income!$B:$B, IF($AM175&lt;&gt;"", TEXT($AM175, "MMMM"), ""), Income!$C:$C, YEAR($AM175))+SUMIFS($T:$T, $U:$U,AP$2,$Q:$Q,IF($AM175&lt;&gt;"", TEXT($AM175, "MMMM"), ""),$R:$R,YEAR($AM175))</f>
        <v>0</v>
      </c>
      <c r="AQ175" s="464">
        <f>SUMIFS(Income!$G:$G,Income!$H:$H, AQ$2,Income!$F:$F, $AL$1, Income!$B:$B, IF($AM175&lt;&gt;"", TEXT($AM175, "MMMM"), ""), Income!$C:$C, YEAR($AM175))+SUMIFS($T:$T, $U:$U,AQ$2,$Q:$Q,IF($AM175&lt;&gt;"", TEXT($AM175, "MMMM"), ""),$R:$R,YEAR($AM175))</f>
        <v>0</v>
      </c>
      <c r="AR175" s="464">
        <f>SUMIFS(Income!$G:$G,Income!$H:$H, AR$2,Income!$F:$F, $AL$1, Income!$B:$B, IF($AM175&lt;&gt;"", TEXT($AM175, "MMMM"), ""), Income!$C:$C, YEAR($AM175))+SUMIFS($T:$T, $U:$U,AR$2,$Q:$Q,IF($AM175&lt;&gt;"", TEXT($AM175, "MMMM"), ""),$R:$R,YEAR($AM175))</f>
        <v>0</v>
      </c>
      <c r="AS175" s="467">
        <f>SUMIFS(Income!$G:$G,Income!$H:$H, AS$2,Income!$F:$F, $AL$1, Income!$B:$B, IF($AM175&lt;&gt;"", TEXT($AM175, "MMMM"), ""), Income!$C:$C, YEAR($AM175))+SUMIFS($T:$T, $U:$U,AS$2,$Q:$Q,IF($AM175&lt;&gt;"", TEXT($AM175, "MMMM"), ""),$R:$R,YEAR($AM175))</f>
        <v>0</v>
      </c>
      <c r="AT175" s="428"/>
      <c r="AU175" s="463">
        <v>49065.0</v>
      </c>
      <c r="AV175" s="469">
        <f>SUMIFS(Income!$G:$G,Income!$H:$H, AV$2,Income!$F:$F, $AT$1, Income!$B:$B, IF($AU175&lt;&gt;"", TEXT($AU175, "MMMM"), ""), Income!$C:$C, YEAR($AU175))</f>
        <v>0</v>
      </c>
      <c r="AW175" s="469">
        <f>SUMIFS(Income!$G:$G,Income!$H:$H, AW$2,Income!$F:$F, $AT$1, Income!$B:$B, IF($AU175&lt;&gt;"", TEXT($AU175, "MMMM"), ""), Income!$C:$C, YEAR($AU175))</f>
        <v>0</v>
      </c>
      <c r="AX175" s="469">
        <f>SUMIFS(Income!$G:$G,Income!$H:$H, AX$2,Income!$F:$F, $AT$1, Income!$B:$B, IF($AU175&lt;&gt;"", TEXT($AU175, "MMMM"), ""), Income!$C:$C, YEAR($AU175))</f>
        <v>0</v>
      </c>
      <c r="AY175" s="469">
        <f>SUMIFS(Income!$G:$G,Income!$H:$H, AY$2,Income!$F:$F, $AT$1, Income!$B:$B, IF($AU175&lt;&gt;"", TEXT($AU175, "MMMM"), ""), Income!$C:$C, YEAR($AU175))</f>
        <v>0</v>
      </c>
      <c r="AZ175" s="464">
        <f>SUMIFS(Income!$G:$G,Income!$H:$H, AZ$2,Income!$F:$F, $AT$1, Income!$B:$B, IF($AU175&lt;&gt;"", TEXT($AU175, "MMMM"), ""), Income!$C:$C, YEAR($AU175))</f>
        <v>0</v>
      </c>
      <c r="BA175" s="471">
        <f>SUMIFS(Income!$G:$G,Income!$H:$H, BA$2,Income!$F:$F, $AT$1, Income!$B:$B, IF($AU175&lt;&gt;"", TEXT($AU175, "MMMM"), ""), Income!$C:$C, YEAR($AU175))</f>
        <v>0</v>
      </c>
      <c r="BB175" s="345"/>
      <c r="BC175" s="345"/>
      <c r="BD175" s="345"/>
      <c r="BE175" s="345"/>
    </row>
    <row r="176" ht="13.5" customHeight="1">
      <c r="A176" s="424">
        <f>'Membership Application List'!A405</f>
        <v>45544.88283</v>
      </c>
      <c r="B176" s="443" t="str">
        <f t="shared" si="6"/>
        <v>September</v>
      </c>
      <c r="C176" s="443">
        <f t="shared" si="7"/>
        <v>2024</v>
      </c>
      <c r="D176" s="426" t="str">
        <f>'Membership Application List'!E405</f>
        <v>Isabella Hernandez</v>
      </c>
      <c r="E176" s="426">
        <f>IF('Membership Application List'!J405 = "Food/Litter Donation", 0, IF('Membership Application List'!J405 = "$15 Donation, Discord Verification", IF('Membership Application List'!N405 = TRUE, 15, 0)))</f>
        <v>15</v>
      </c>
      <c r="F176" s="426">
        <f>if('Membership Application List'!K405=TRUE, 5,0)</f>
        <v>0</v>
      </c>
      <c r="G176" s="426">
        <f t="shared" si="8"/>
        <v>15</v>
      </c>
      <c r="H176" s="427" t="str">
        <f>'Membership Application List'!L405</f>
        <v>Cash</v>
      </c>
      <c r="I176" s="447" t="s">
        <v>797</v>
      </c>
      <c r="J176" s="463">
        <v>49096.0</v>
      </c>
      <c r="K176" s="464">
        <f t="shared" ref="K176:O176" si="134">SUMIFS($G:$G, $H:$H, K$2, $B:$B, IF($J176&lt;&gt;"", TEXT($J176, "MMMM"), ""), $C:$C, YEAR($J176))</f>
        <v>0</v>
      </c>
      <c r="L176" s="464">
        <f t="shared" si="134"/>
        <v>0</v>
      </c>
      <c r="M176" s="464">
        <f t="shared" si="134"/>
        <v>0</v>
      </c>
      <c r="N176" s="464">
        <f t="shared" si="134"/>
        <v>0</v>
      </c>
      <c r="O176" s="465">
        <f t="shared" si="134"/>
        <v>0</v>
      </c>
      <c r="P176" s="414"/>
      <c r="Q176" s="414"/>
      <c r="R176" s="414"/>
      <c r="S176" s="445"/>
      <c r="T176" s="445"/>
      <c r="U176" s="445"/>
      <c r="V176" s="447" t="s">
        <v>797</v>
      </c>
      <c r="W176" s="463">
        <v>49096.0</v>
      </c>
      <c r="X176" s="469">
        <f>SUMIFS(Income!$G:$G,Income!$H:$H, X$2,Income!$F:$F, $V$1, Income!$B:$B, IF($W176&lt;&gt;"", TEXT($W176, "MMMM"), ""), Income!$C:$C, YEAR($W176))</f>
        <v>0</v>
      </c>
      <c r="Y176" s="469">
        <f>SUMIFS(Income!$G:$G,Income!$H:$H, Y$2,Income!$F:$F, $V$1, Income!$B:$B, IF($W176&lt;&gt;"", TEXT($W176, "MMMM"), ""), Income!$C:$C, YEAR($W176))</f>
        <v>0</v>
      </c>
      <c r="Z176" s="469">
        <f>SUMIFS(Income!$G:$G,Income!$H:$H, Z$2,Income!$F:$F, $V$1, Income!$B:$B, IF($W176&lt;&gt;"", TEXT($W176, "MMMM"), ""), Income!$C:$C, YEAR($W176))</f>
        <v>0</v>
      </c>
      <c r="AA176" s="469">
        <f>SUMIFS(Income!$G:$G,Income!$H:$H, AA$2,Income!$F:$F, $V$1, Income!$B:$B, IF($W176&lt;&gt;"", TEXT($W176, "MMMM"), ""), Income!$C:$C, YEAR($W176))</f>
        <v>0</v>
      </c>
      <c r="AB176" s="464">
        <f>SUMIFS(Income!$G:$G,Income!$H:$H, AB$2,Income!$F:$F, $V$1, Income!$B:$B, IF($W176&lt;&gt;"", TEXT($W176, "MMMM"), ""), Income!$C:$C, YEAR($W176))</f>
        <v>0</v>
      </c>
      <c r="AC176" s="470">
        <f>SUMIFS(Income!$G:$G,Income!$H:$H, AC$2,Income!$F:$F, $V$1, Income!$B:$B, IF($W176&lt;&gt;"", TEXT($W176, "MMMM"), ""), Income!$C:$C, YEAR($W176))</f>
        <v>0</v>
      </c>
      <c r="AD176" s="447" t="s">
        <v>797</v>
      </c>
      <c r="AE176" s="463">
        <v>49096.0</v>
      </c>
      <c r="AF176" s="469">
        <f>SUMIFS(Income!$G:$G,Income!$H:$H, AF$2,Income!$F:$F, $AD$1, Income!$B:$B, IF($AE176&lt;&gt;"", TEXT($AE176, "MMMM"), ""), Income!$C:$C, YEAR($AE176))</f>
        <v>0</v>
      </c>
      <c r="AG176" s="469">
        <f>SUMIFS(Income!$G:$G,Income!$H:$H, AG$2,Income!$F:$F, $AD$1, Income!$B:$B, IF($AE176&lt;&gt;"", TEXT($AE176, "MMMM"), ""), Income!$C:$C, YEAR($AE176))</f>
        <v>0</v>
      </c>
      <c r="AH176" s="469">
        <f>SUMIFS(Income!$G:$G,Income!$H:$H, AH$2,Income!$F:$F, $AD$1, Income!$B:$B, IF($AE176&lt;&gt;"", TEXT($AE176, "MMMM"), ""), Income!$C:$C, YEAR($AE176))</f>
        <v>0</v>
      </c>
      <c r="AI176" s="469">
        <f>SUMIFS(Income!$G:$G,Income!$H:$H, AI$2,Income!$F:$F, $AD$1, Income!$B:$B, IF($AE176&lt;&gt;"", TEXT($AE176, "MMMM"), ""), Income!$C:$C, YEAR($AE176))</f>
        <v>0</v>
      </c>
      <c r="AJ176" s="464">
        <f>SUMIFS(Income!$G:$G,Income!$H:$H, AJ$2,Income!$F:$F, $AD$1, Income!$B:$B, IF($AE176&lt;&gt;"", TEXT($AE176, "MMMM"), ""), Income!$C:$C, YEAR($AE176))</f>
        <v>0</v>
      </c>
      <c r="AK176" s="470">
        <f>SUMIFS(Income!$G:$G,Income!$H:$H, AK$2,Income!$F:$F, $AD$1, Income!$B:$B, IF($AE176&lt;&gt;"", TEXT($AE176, "MMMM"), ""), Income!$C:$C, YEAR($AE176))</f>
        <v>0</v>
      </c>
      <c r="AL176" s="447" t="s">
        <v>797</v>
      </c>
      <c r="AM176" s="463">
        <v>49096.0</v>
      </c>
      <c r="AN176" s="464">
        <f>SUMIFS(Income!$G:$G,Income!$H:$H, AN$2,Income!$F:$F, $AL$1, Income!$B:$B, IF($AM176&lt;&gt;"", TEXT($AM176, "MMMM"), ""), Income!$C:$C, YEAR($AM176))+SUMIFS($T:$T, $U:$U,AN$2,$Q:$Q,IF($AM176&lt;&gt;"", TEXT($AM176, "MMMM"), ""),$R:$R,YEAR($AM176))</f>
        <v>0</v>
      </c>
      <c r="AO176" s="464">
        <f>SUMIFS(Income!$G:$G,Income!$H:$H, AO$2,Income!$F:$F, $AL$1, Income!$B:$B, IF($AM176&lt;&gt;"", TEXT($AM176, "MMMM"), ""), Income!$C:$C, YEAR($AM176))+SUMIFS($T:$T, $U:$U,AO$2,$Q:$Q,IF($AM176&lt;&gt;"", TEXT($AM176, "MMMM"), ""),$R:$R,YEAR($AM176))</f>
        <v>0</v>
      </c>
      <c r="AP176" s="464">
        <f>SUMIFS(Income!$G:$G,Income!$H:$H, AP$2,Income!$F:$F, $AL$1, Income!$B:$B, IF($AM176&lt;&gt;"", TEXT($AM176, "MMMM"), ""), Income!$C:$C, YEAR($AM176))+SUMIFS($T:$T, $U:$U,AP$2,$Q:$Q,IF($AM176&lt;&gt;"", TEXT($AM176, "MMMM"), ""),$R:$R,YEAR($AM176))</f>
        <v>0</v>
      </c>
      <c r="AQ176" s="464">
        <f>SUMIFS(Income!$G:$G,Income!$H:$H, AQ$2,Income!$F:$F, $AL$1, Income!$B:$B, IF($AM176&lt;&gt;"", TEXT($AM176, "MMMM"), ""), Income!$C:$C, YEAR($AM176))+SUMIFS($T:$T, $U:$U,AQ$2,$Q:$Q,IF($AM176&lt;&gt;"", TEXT($AM176, "MMMM"), ""),$R:$R,YEAR($AM176))</f>
        <v>0</v>
      </c>
      <c r="AR176" s="464">
        <f>SUMIFS(Income!$G:$G,Income!$H:$H, AR$2,Income!$F:$F, $AL$1, Income!$B:$B, IF($AM176&lt;&gt;"", TEXT($AM176, "MMMM"), ""), Income!$C:$C, YEAR($AM176))+SUMIFS($T:$T, $U:$U,AR$2,$Q:$Q,IF($AM176&lt;&gt;"", TEXT($AM176, "MMMM"), ""),$R:$R,YEAR($AM176))</f>
        <v>0</v>
      </c>
      <c r="AS176" s="467">
        <f>SUMIFS(Income!$G:$G,Income!$H:$H, AS$2,Income!$F:$F, $AL$1, Income!$B:$B, IF($AM176&lt;&gt;"", TEXT($AM176, "MMMM"), ""), Income!$C:$C, YEAR($AM176))+SUMIFS($T:$T, $U:$U,AS$2,$Q:$Q,IF($AM176&lt;&gt;"", TEXT($AM176, "MMMM"), ""),$R:$R,YEAR($AM176))</f>
        <v>0</v>
      </c>
      <c r="AT176" s="447" t="s">
        <v>797</v>
      </c>
      <c r="AU176" s="463">
        <v>49096.0</v>
      </c>
      <c r="AV176" s="469">
        <f>SUMIFS(Income!$G:$G,Income!$H:$H, AV$2,Income!$F:$F, $AT$1, Income!$B:$B, IF($AU176&lt;&gt;"", TEXT($AU176, "MMMM"), ""), Income!$C:$C, YEAR($AU176))</f>
        <v>0</v>
      </c>
      <c r="AW176" s="469">
        <f>SUMIFS(Income!$G:$G,Income!$H:$H, AW$2,Income!$F:$F, $AT$1, Income!$B:$B, IF($AU176&lt;&gt;"", TEXT($AU176, "MMMM"), ""), Income!$C:$C, YEAR($AU176))</f>
        <v>0</v>
      </c>
      <c r="AX176" s="469">
        <f>SUMIFS(Income!$G:$G,Income!$H:$H, AX$2,Income!$F:$F, $AT$1, Income!$B:$B, IF($AU176&lt;&gt;"", TEXT($AU176, "MMMM"), ""), Income!$C:$C, YEAR($AU176))</f>
        <v>0</v>
      </c>
      <c r="AY176" s="469">
        <f>SUMIFS(Income!$G:$G,Income!$H:$H, AY$2,Income!$F:$F, $AT$1, Income!$B:$B, IF($AU176&lt;&gt;"", TEXT($AU176, "MMMM"), ""), Income!$C:$C, YEAR($AU176))</f>
        <v>0</v>
      </c>
      <c r="AZ176" s="464">
        <f>SUMIFS(Income!$G:$G,Income!$H:$H, AZ$2,Income!$F:$F, $AT$1, Income!$B:$B, IF($AU176&lt;&gt;"", TEXT($AU176, "MMMM"), ""), Income!$C:$C, YEAR($AU176))</f>
        <v>0</v>
      </c>
      <c r="BA176" s="471">
        <f>SUMIFS(Income!$G:$G,Income!$H:$H, BA$2,Income!$F:$F, $AT$1, Income!$B:$B, IF($AU176&lt;&gt;"", TEXT($AU176, "MMMM"), ""), Income!$C:$C, YEAR($AU176))</f>
        <v>0</v>
      </c>
      <c r="BB176" s="345"/>
      <c r="BC176" s="345"/>
      <c r="BD176" s="345"/>
      <c r="BE176" s="345"/>
    </row>
    <row r="177" ht="13.5" customHeight="1">
      <c r="A177" s="436">
        <f>'Membership Application List'!A406</f>
        <v>45547.52033</v>
      </c>
      <c r="B177" s="437" t="str">
        <f t="shared" si="6"/>
        <v>September</v>
      </c>
      <c r="C177" s="437">
        <f t="shared" si="7"/>
        <v>2024</v>
      </c>
      <c r="D177" s="438" t="str">
        <f>'Membership Application List'!E406</f>
        <v>Samantha Castellanos</v>
      </c>
      <c r="E177" s="438">
        <f>IF('Membership Application List'!J406 = "Food/Litter Donation", 0, IF('Membership Application List'!J406 = "$15 Donation, Discord Verification", IF('Membership Application List'!N406 = TRUE, 15, 0)))</f>
        <v>0</v>
      </c>
      <c r="F177" s="438">
        <f>if('Membership Application List'!K406=TRUE, 5,0)</f>
        <v>0</v>
      </c>
      <c r="G177" s="438">
        <f t="shared" si="8"/>
        <v>0</v>
      </c>
      <c r="H177" s="439" t="str">
        <f>'Membership Application List'!L406</f>
        <v>Cashapp</v>
      </c>
      <c r="I177" s="428"/>
      <c r="J177" s="463">
        <v>49126.0</v>
      </c>
      <c r="K177" s="464">
        <f t="shared" ref="K177:O177" si="135">SUMIFS($G:$G, $H:$H, K$2, $B:$B, IF($J177&lt;&gt;"", TEXT($J177, "MMMM"), ""), $C:$C, YEAR($J177))</f>
        <v>0</v>
      </c>
      <c r="L177" s="464">
        <f t="shared" si="135"/>
        <v>0</v>
      </c>
      <c r="M177" s="464">
        <f t="shared" si="135"/>
        <v>0</v>
      </c>
      <c r="N177" s="464">
        <f t="shared" si="135"/>
        <v>0</v>
      </c>
      <c r="O177" s="465">
        <f t="shared" si="135"/>
        <v>0</v>
      </c>
      <c r="P177" s="414"/>
      <c r="Q177" s="414"/>
      <c r="R177" s="414"/>
      <c r="S177" s="445"/>
      <c r="T177" s="445"/>
      <c r="U177" s="445"/>
      <c r="V177" s="428"/>
      <c r="W177" s="463">
        <v>49126.0</v>
      </c>
      <c r="X177" s="469">
        <f>SUMIFS(Income!$G:$G,Income!$H:$H, X$2,Income!$F:$F, $V$1, Income!$B:$B, IF($W177&lt;&gt;"", TEXT($W177, "MMMM"), ""), Income!$C:$C, YEAR($W177))</f>
        <v>0</v>
      </c>
      <c r="Y177" s="469">
        <f>SUMIFS(Income!$G:$G,Income!$H:$H, Y$2,Income!$F:$F, $V$1, Income!$B:$B, IF($W177&lt;&gt;"", TEXT($W177, "MMMM"), ""), Income!$C:$C, YEAR($W177))</f>
        <v>0</v>
      </c>
      <c r="Z177" s="469">
        <f>SUMIFS(Income!$G:$G,Income!$H:$H, Z$2,Income!$F:$F, $V$1, Income!$B:$B, IF($W177&lt;&gt;"", TEXT($W177, "MMMM"), ""), Income!$C:$C, YEAR($W177))</f>
        <v>0</v>
      </c>
      <c r="AA177" s="469">
        <f>SUMIFS(Income!$G:$G,Income!$H:$H, AA$2,Income!$F:$F, $V$1, Income!$B:$B, IF($W177&lt;&gt;"", TEXT($W177, "MMMM"), ""), Income!$C:$C, YEAR($W177))</f>
        <v>0</v>
      </c>
      <c r="AB177" s="464">
        <f>SUMIFS(Income!$G:$G,Income!$H:$H, AB$2,Income!$F:$F, $V$1, Income!$B:$B, IF($W177&lt;&gt;"", TEXT($W177, "MMMM"), ""), Income!$C:$C, YEAR($W177))</f>
        <v>0</v>
      </c>
      <c r="AC177" s="470">
        <f>SUMIFS(Income!$G:$G,Income!$H:$H, AC$2,Income!$F:$F, $V$1, Income!$B:$B, IF($W177&lt;&gt;"", TEXT($W177, "MMMM"), ""), Income!$C:$C, YEAR($W177))</f>
        <v>0</v>
      </c>
      <c r="AD177" s="428"/>
      <c r="AE177" s="463">
        <v>49126.0</v>
      </c>
      <c r="AF177" s="469">
        <f>SUMIFS(Income!$G:$G,Income!$H:$H, AF$2,Income!$F:$F, $AD$1, Income!$B:$B, IF($AE177&lt;&gt;"", TEXT($AE177, "MMMM"), ""), Income!$C:$C, YEAR($AE177))</f>
        <v>0</v>
      </c>
      <c r="AG177" s="469">
        <f>SUMIFS(Income!$G:$G,Income!$H:$H, AG$2,Income!$F:$F, $AD$1, Income!$B:$B, IF($AE177&lt;&gt;"", TEXT($AE177, "MMMM"), ""), Income!$C:$C, YEAR($AE177))</f>
        <v>0</v>
      </c>
      <c r="AH177" s="469">
        <f>SUMIFS(Income!$G:$G,Income!$H:$H, AH$2,Income!$F:$F, $AD$1, Income!$B:$B, IF($AE177&lt;&gt;"", TEXT($AE177, "MMMM"), ""), Income!$C:$C, YEAR($AE177))</f>
        <v>0</v>
      </c>
      <c r="AI177" s="469">
        <f>SUMIFS(Income!$G:$G,Income!$H:$H, AI$2,Income!$F:$F, $AD$1, Income!$B:$B, IF($AE177&lt;&gt;"", TEXT($AE177, "MMMM"), ""), Income!$C:$C, YEAR($AE177))</f>
        <v>0</v>
      </c>
      <c r="AJ177" s="464">
        <f>SUMIFS(Income!$G:$G,Income!$H:$H, AJ$2,Income!$F:$F, $AD$1, Income!$B:$B, IF($AE177&lt;&gt;"", TEXT($AE177, "MMMM"), ""), Income!$C:$C, YEAR($AE177))</f>
        <v>0</v>
      </c>
      <c r="AK177" s="470">
        <f>SUMIFS(Income!$G:$G,Income!$H:$H, AK$2,Income!$F:$F, $AD$1, Income!$B:$B, IF($AE177&lt;&gt;"", TEXT($AE177, "MMMM"), ""), Income!$C:$C, YEAR($AE177))</f>
        <v>0</v>
      </c>
      <c r="AL177" s="428"/>
      <c r="AM177" s="463">
        <v>49126.0</v>
      </c>
      <c r="AN177" s="464">
        <f>SUMIFS(Income!$G:$G,Income!$H:$H, AN$2,Income!$F:$F, $AL$1, Income!$B:$B, IF($AM177&lt;&gt;"", TEXT($AM177, "MMMM"), ""), Income!$C:$C, YEAR($AM177))+SUMIFS($T:$T, $U:$U,AN$2,$Q:$Q,IF($AM177&lt;&gt;"", TEXT($AM177, "MMMM"), ""),$R:$R,YEAR($AM177))</f>
        <v>0</v>
      </c>
      <c r="AO177" s="464">
        <f>SUMIFS(Income!$G:$G,Income!$H:$H, AO$2,Income!$F:$F, $AL$1, Income!$B:$B, IF($AM177&lt;&gt;"", TEXT($AM177, "MMMM"), ""), Income!$C:$C, YEAR($AM177))+SUMIFS($T:$T, $U:$U,AO$2,$Q:$Q,IF($AM177&lt;&gt;"", TEXT($AM177, "MMMM"), ""),$R:$R,YEAR($AM177))</f>
        <v>0</v>
      </c>
      <c r="AP177" s="464">
        <f>SUMIFS(Income!$G:$G,Income!$H:$H, AP$2,Income!$F:$F, $AL$1, Income!$B:$B, IF($AM177&lt;&gt;"", TEXT($AM177, "MMMM"), ""), Income!$C:$C, YEAR($AM177))+SUMIFS($T:$T, $U:$U,AP$2,$Q:$Q,IF($AM177&lt;&gt;"", TEXT($AM177, "MMMM"), ""),$R:$R,YEAR($AM177))</f>
        <v>0</v>
      </c>
      <c r="AQ177" s="464">
        <f>SUMIFS(Income!$G:$G,Income!$H:$H, AQ$2,Income!$F:$F, $AL$1, Income!$B:$B, IF($AM177&lt;&gt;"", TEXT($AM177, "MMMM"), ""), Income!$C:$C, YEAR($AM177))+SUMIFS($T:$T, $U:$U,AQ$2,$Q:$Q,IF($AM177&lt;&gt;"", TEXT($AM177, "MMMM"), ""),$R:$R,YEAR($AM177))</f>
        <v>0</v>
      </c>
      <c r="AR177" s="464">
        <f>SUMIFS(Income!$G:$G,Income!$H:$H, AR$2,Income!$F:$F, $AL$1, Income!$B:$B, IF($AM177&lt;&gt;"", TEXT($AM177, "MMMM"), ""), Income!$C:$C, YEAR($AM177))+SUMIFS($T:$T, $U:$U,AR$2,$Q:$Q,IF($AM177&lt;&gt;"", TEXT($AM177, "MMMM"), ""),$R:$R,YEAR($AM177))</f>
        <v>0</v>
      </c>
      <c r="AS177" s="467">
        <f>SUMIFS(Income!$G:$G,Income!$H:$H, AS$2,Income!$F:$F, $AL$1, Income!$B:$B, IF($AM177&lt;&gt;"", TEXT($AM177, "MMMM"), ""), Income!$C:$C, YEAR($AM177))+SUMIFS($T:$T, $U:$U,AS$2,$Q:$Q,IF($AM177&lt;&gt;"", TEXT($AM177, "MMMM"), ""),$R:$R,YEAR($AM177))</f>
        <v>0</v>
      </c>
      <c r="AT177" s="428"/>
      <c r="AU177" s="463">
        <v>49126.0</v>
      </c>
      <c r="AV177" s="469">
        <f>SUMIFS(Income!$G:$G,Income!$H:$H, AV$2,Income!$F:$F, $AT$1, Income!$B:$B, IF($AU177&lt;&gt;"", TEXT($AU177, "MMMM"), ""), Income!$C:$C, YEAR($AU177))</f>
        <v>0</v>
      </c>
      <c r="AW177" s="469">
        <f>SUMIFS(Income!$G:$G,Income!$H:$H, AW$2,Income!$F:$F, $AT$1, Income!$B:$B, IF($AU177&lt;&gt;"", TEXT($AU177, "MMMM"), ""), Income!$C:$C, YEAR($AU177))</f>
        <v>0</v>
      </c>
      <c r="AX177" s="469">
        <f>SUMIFS(Income!$G:$G,Income!$H:$H, AX$2,Income!$F:$F, $AT$1, Income!$B:$B, IF($AU177&lt;&gt;"", TEXT($AU177, "MMMM"), ""), Income!$C:$C, YEAR($AU177))</f>
        <v>0</v>
      </c>
      <c r="AY177" s="469">
        <f>SUMIFS(Income!$G:$G,Income!$H:$H, AY$2,Income!$F:$F, $AT$1, Income!$B:$B, IF($AU177&lt;&gt;"", TEXT($AU177, "MMMM"), ""), Income!$C:$C, YEAR($AU177))</f>
        <v>0</v>
      </c>
      <c r="AZ177" s="464">
        <f>SUMIFS(Income!$G:$G,Income!$H:$H, AZ$2,Income!$F:$F, $AT$1, Income!$B:$B, IF($AU177&lt;&gt;"", TEXT($AU177, "MMMM"), ""), Income!$C:$C, YEAR($AU177))</f>
        <v>0</v>
      </c>
      <c r="BA177" s="471">
        <f>SUMIFS(Income!$G:$G,Income!$H:$H, BA$2,Income!$F:$F, $AT$1, Income!$B:$B, IF($AU177&lt;&gt;"", TEXT($AU177, "MMMM"), ""), Income!$C:$C, YEAR($AU177))</f>
        <v>0</v>
      </c>
      <c r="BB177" s="345"/>
      <c r="BC177" s="345"/>
      <c r="BD177" s="345"/>
      <c r="BE177" s="345"/>
    </row>
    <row r="178" ht="13.5" customHeight="1">
      <c r="A178" s="424">
        <f>'Membership Application List'!A407</f>
        <v>45547.52462</v>
      </c>
      <c r="B178" s="443" t="str">
        <f t="shared" si="6"/>
        <v>September</v>
      </c>
      <c r="C178" s="443">
        <f t="shared" si="7"/>
        <v>2024</v>
      </c>
      <c r="D178" s="426" t="str">
        <f>'Membership Application List'!E407</f>
        <v>Alice Tran</v>
      </c>
      <c r="E178" s="426">
        <f>IF('Membership Application List'!J407 = "Food/Litter Donation", 0, IF('Membership Application List'!J407 = "$15 Donation, Discord Verification", IF('Membership Application List'!N407 = TRUE, 15, 0)))</f>
        <v>15</v>
      </c>
      <c r="F178" s="426">
        <f>if('Membership Application List'!K407=TRUE, 5,0)</f>
        <v>0</v>
      </c>
      <c r="G178" s="426">
        <f t="shared" si="8"/>
        <v>15</v>
      </c>
      <c r="H178" s="427" t="str">
        <f>'Membership Application List'!L407</f>
        <v>Cashapp</v>
      </c>
      <c r="I178" s="428"/>
      <c r="J178" s="463">
        <v>49157.0</v>
      </c>
      <c r="K178" s="464">
        <f t="shared" ref="K178:O178" si="136">SUMIFS($G:$G, $H:$H, K$2, $B:$B, IF($J178&lt;&gt;"", TEXT($J178, "MMMM"), ""), $C:$C, YEAR($J178))</f>
        <v>0</v>
      </c>
      <c r="L178" s="464">
        <f t="shared" si="136"/>
        <v>0</v>
      </c>
      <c r="M178" s="464">
        <f t="shared" si="136"/>
        <v>0</v>
      </c>
      <c r="N178" s="464">
        <f t="shared" si="136"/>
        <v>0</v>
      </c>
      <c r="O178" s="465">
        <f t="shared" si="136"/>
        <v>0</v>
      </c>
      <c r="P178" s="414"/>
      <c r="Q178" s="414"/>
      <c r="R178" s="414"/>
      <c r="S178" s="445"/>
      <c r="T178" s="445"/>
      <c r="U178" s="445"/>
      <c r="V178" s="428"/>
      <c r="W178" s="463">
        <v>49157.0</v>
      </c>
      <c r="X178" s="469">
        <f>SUMIFS(Income!$G:$G,Income!$H:$H, X$2,Income!$F:$F, $V$1, Income!$B:$B, IF($W178&lt;&gt;"", TEXT($W178, "MMMM"), ""), Income!$C:$C, YEAR($W178))</f>
        <v>0</v>
      </c>
      <c r="Y178" s="469">
        <f>SUMIFS(Income!$G:$G,Income!$H:$H, Y$2,Income!$F:$F, $V$1, Income!$B:$B, IF($W178&lt;&gt;"", TEXT($W178, "MMMM"), ""), Income!$C:$C, YEAR($W178))</f>
        <v>0</v>
      </c>
      <c r="Z178" s="469">
        <f>SUMIFS(Income!$G:$G,Income!$H:$H, Z$2,Income!$F:$F, $V$1, Income!$B:$B, IF($W178&lt;&gt;"", TEXT($W178, "MMMM"), ""), Income!$C:$C, YEAR($W178))</f>
        <v>0</v>
      </c>
      <c r="AA178" s="469">
        <f>SUMIFS(Income!$G:$G,Income!$H:$H, AA$2,Income!$F:$F, $V$1, Income!$B:$B, IF($W178&lt;&gt;"", TEXT($W178, "MMMM"), ""), Income!$C:$C, YEAR($W178))</f>
        <v>0</v>
      </c>
      <c r="AB178" s="464">
        <f>SUMIFS(Income!$G:$G,Income!$H:$H, AB$2,Income!$F:$F, $V$1, Income!$B:$B, IF($W178&lt;&gt;"", TEXT($W178, "MMMM"), ""), Income!$C:$C, YEAR($W178))</f>
        <v>0</v>
      </c>
      <c r="AC178" s="470">
        <f>SUMIFS(Income!$G:$G,Income!$H:$H, AC$2,Income!$F:$F, $V$1, Income!$B:$B, IF($W178&lt;&gt;"", TEXT($W178, "MMMM"), ""), Income!$C:$C, YEAR($W178))</f>
        <v>0</v>
      </c>
      <c r="AD178" s="428"/>
      <c r="AE178" s="463">
        <v>49157.0</v>
      </c>
      <c r="AF178" s="469">
        <f>SUMIFS(Income!$G:$G,Income!$H:$H, AF$2,Income!$F:$F, $AD$1, Income!$B:$B, IF($AE178&lt;&gt;"", TEXT($AE178, "MMMM"), ""), Income!$C:$C, YEAR($AE178))</f>
        <v>0</v>
      </c>
      <c r="AG178" s="469">
        <f>SUMIFS(Income!$G:$G,Income!$H:$H, AG$2,Income!$F:$F, $AD$1, Income!$B:$B, IF($AE178&lt;&gt;"", TEXT($AE178, "MMMM"), ""), Income!$C:$C, YEAR($AE178))</f>
        <v>0</v>
      </c>
      <c r="AH178" s="469">
        <f>SUMIFS(Income!$G:$G,Income!$H:$H, AH$2,Income!$F:$F, $AD$1, Income!$B:$B, IF($AE178&lt;&gt;"", TEXT($AE178, "MMMM"), ""), Income!$C:$C, YEAR($AE178))</f>
        <v>0</v>
      </c>
      <c r="AI178" s="469">
        <f>SUMIFS(Income!$G:$G,Income!$H:$H, AI$2,Income!$F:$F, $AD$1, Income!$B:$B, IF($AE178&lt;&gt;"", TEXT($AE178, "MMMM"), ""), Income!$C:$C, YEAR($AE178))</f>
        <v>0</v>
      </c>
      <c r="AJ178" s="464">
        <f>SUMIFS(Income!$G:$G,Income!$H:$H, AJ$2,Income!$F:$F, $AD$1, Income!$B:$B, IF($AE178&lt;&gt;"", TEXT($AE178, "MMMM"), ""), Income!$C:$C, YEAR($AE178))</f>
        <v>0</v>
      </c>
      <c r="AK178" s="470">
        <f>SUMIFS(Income!$G:$G,Income!$H:$H, AK$2,Income!$F:$F, $AD$1, Income!$B:$B, IF($AE178&lt;&gt;"", TEXT($AE178, "MMMM"), ""), Income!$C:$C, YEAR($AE178))</f>
        <v>0</v>
      </c>
      <c r="AL178" s="428"/>
      <c r="AM178" s="463">
        <v>49157.0</v>
      </c>
      <c r="AN178" s="464">
        <f>SUMIFS(Income!$G:$G,Income!$H:$H, AN$2,Income!$F:$F, $AL$1, Income!$B:$B, IF($AM178&lt;&gt;"", TEXT($AM178, "MMMM"), ""), Income!$C:$C, YEAR($AM178))+SUMIFS($T:$T, $U:$U,AN$2,$Q:$Q,IF($AM178&lt;&gt;"", TEXT($AM178, "MMMM"), ""),$R:$R,YEAR($AM178))</f>
        <v>0</v>
      </c>
      <c r="AO178" s="464">
        <f>SUMIFS(Income!$G:$G,Income!$H:$H, AO$2,Income!$F:$F, $AL$1, Income!$B:$B, IF($AM178&lt;&gt;"", TEXT($AM178, "MMMM"), ""), Income!$C:$C, YEAR($AM178))+SUMIFS($T:$T, $U:$U,AO$2,$Q:$Q,IF($AM178&lt;&gt;"", TEXT($AM178, "MMMM"), ""),$R:$R,YEAR($AM178))</f>
        <v>0</v>
      </c>
      <c r="AP178" s="464">
        <f>SUMIFS(Income!$G:$G,Income!$H:$H, AP$2,Income!$F:$F, $AL$1, Income!$B:$B, IF($AM178&lt;&gt;"", TEXT($AM178, "MMMM"), ""), Income!$C:$C, YEAR($AM178))+SUMIFS($T:$T, $U:$U,AP$2,$Q:$Q,IF($AM178&lt;&gt;"", TEXT($AM178, "MMMM"), ""),$R:$R,YEAR($AM178))</f>
        <v>0</v>
      </c>
      <c r="AQ178" s="464">
        <f>SUMIFS(Income!$G:$G,Income!$H:$H, AQ$2,Income!$F:$F, $AL$1, Income!$B:$B, IF($AM178&lt;&gt;"", TEXT($AM178, "MMMM"), ""), Income!$C:$C, YEAR($AM178))+SUMIFS($T:$T, $U:$U,AQ$2,$Q:$Q,IF($AM178&lt;&gt;"", TEXT($AM178, "MMMM"), ""),$R:$R,YEAR($AM178))</f>
        <v>0</v>
      </c>
      <c r="AR178" s="464">
        <f>SUMIFS(Income!$G:$G,Income!$H:$H, AR$2,Income!$F:$F, $AL$1, Income!$B:$B, IF($AM178&lt;&gt;"", TEXT($AM178, "MMMM"), ""), Income!$C:$C, YEAR($AM178))+SUMIFS($T:$T, $U:$U,AR$2,$Q:$Q,IF($AM178&lt;&gt;"", TEXT($AM178, "MMMM"), ""),$R:$R,YEAR($AM178))</f>
        <v>0</v>
      </c>
      <c r="AS178" s="467">
        <f>SUMIFS(Income!$G:$G,Income!$H:$H, AS$2,Income!$F:$F, $AL$1, Income!$B:$B, IF($AM178&lt;&gt;"", TEXT($AM178, "MMMM"), ""), Income!$C:$C, YEAR($AM178))+SUMIFS($T:$T, $U:$U,AS$2,$Q:$Q,IF($AM178&lt;&gt;"", TEXT($AM178, "MMMM"), ""),$R:$R,YEAR($AM178))</f>
        <v>0</v>
      </c>
      <c r="AT178" s="428"/>
      <c r="AU178" s="463">
        <v>49157.0</v>
      </c>
      <c r="AV178" s="469">
        <f>SUMIFS(Income!$G:$G,Income!$H:$H, AV$2,Income!$F:$F, $AT$1, Income!$B:$B, IF($AU178&lt;&gt;"", TEXT($AU178, "MMMM"), ""), Income!$C:$C, YEAR($AU178))</f>
        <v>0</v>
      </c>
      <c r="AW178" s="469">
        <f>SUMIFS(Income!$G:$G,Income!$H:$H, AW$2,Income!$F:$F, $AT$1, Income!$B:$B, IF($AU178&lt;&gt;"", TEXT($AU178, "MMMM"), ""), Income!$C:$C, YEAR($AU178))</f>
        <v>0</v>
      </c>
      <c r="AX178" s="469">
        <f>SUMIFS(Income!$G:$G,Income!$H:$H, AX$2,Income!$F:$F, $AT$1, Income!$B:$B, IF($AU178&lt;&gt;"", TEXT($AU178, "MMMM"), ""), Income!$C:$C, YEAR($AU178))</f>
        <v>0</v>
      </c>
      <c r="AY178" s="469">
        <f>SUMIFS(Income!$G:$G,Income!$H:$H, AY$2,Income!$F:$F, $AT$1, Income!$B:$B, IF($AU178&lt;&gt;"", TEXT($AU178, "MMMM"), ""), Income!$C:$C, YEAR($AU178))</f>
        <v>0</v>
      </c>
      <c r="AZ178" s="464">
        <f>SUMIFS(Income!$G:$G,Income!$H:$H, AZ$2,Income!$F:$F, $AT$1, Income!$B:$B, IF($AU178&lt;&gt;"", TEXT($AU178, "MMMM"), ""), Income!$C:$C, YEAR($AU178))</f>
        <v>0</v>
      </c>
      <c r="BA178" s="471">
        <f>SUMIFS(Income!$G:$G,Income!$H:$H, BA$2,Income!$F:$F, $AT$1, Income!$B:$B, IF($AU178&lt;&gt;"", TEXT($AU178, "MMMM"), ""), Income!$C:$C, YEAR($AU178))</f>
        <v>0</v>
      </c>
      <c r="BB178" s="345"/>
      <c r="BC178" s="345"/>
      <c r="BD178" s="345"/>
      <c r="BE178" s="345"/>
    </row>
    <row r="179" ht="13.5" customHeight="1">
      <c r="A179" s="436">
        <f>'Membership Application List'!A408</f>
        <v>45547.52624</v>
      </c>
      <c r="B179" s="437" t="str">
        <f t="shared" si="6"/>
        <v>September</v>
      </c>
      <c r="C179" s="437">
        <f t="shared" si="7"/>
        <v>2024</v>
      </c>
      <c r="D179" s="438" t="str">
        <f>'Membership Application List'!E408</f>
        <v>Samantha Castellanos</v>
      </c>
      <c r="E179" s="438">
        <f>IF('Membership Application List'!J408 = "Food/Litter Donation", 0, IF('Membership Application List'!J408 = "$15 Donation, Discord Verification", IF('Membership Application List'!N408 = TRUE, 15, 0)))</f>
        <v>15</v>
      </c>
      <c r="F179" s="438">
        <f>if('Membership Application List'!K408=TRUE, 5,0)</f>
        <v>0</v>
      </c>
      <c r="G179" s="438">
        <f t="shared" si="8"/>
        <v>15</v>
      </c>
      <c r="H179" s="439" t="str">
        <f>'Membership Application List'!L408</f>
        <v>Cashapp</v>
      </c>
      <c r="I179" s="428"/>
      <c r="J179" s="463">
        <v>49188.0</v>
      </c>
      <c r="K179" s="464">
        <f t="shared" ref="K179:O179" si="137">SUMIFS($G:$G, $H:$H, K$2, $B:$B, IF($J179&lt;&gt;"", TEXT($J179, "MMMM"), ""), $C:$C, YEAR($J179))</f>
        <v>0</v>
      </c>
      <c r="L179" s="464">
        <f t="shared" si="137"/>
        <v>0</v>
      </c>
      <c r="M179" s="464">
        <f t="shared" si="137"/>
        <v>0</v>
      </c>
      <c r="N179" s="464">
        <f t="shared" si="137"/>
        <v>0</v>
      </c>
      <c r="O179" s="465">
        <f t="shared" si="137"/>
        <v>0</v>
      </c>
      <c r="P179" s="414"/>
      <c r="Q179" s="414"/>
      <c r="R179" s="414"/>
      <c r="S179" s="445"/>
      <c r="T179" s="445"/>
      <c r="U179" s="445"/>
      <c r="V179" s="428"/>
      <c r="W179" s="463">
        <v>49188.0</v>
      </c>
      <c r="X179" s="469">
        <f>SUMIFS(Income!$G:$G,Income!$H:$H, X$2,Income!$F:$F, $V$1, Income!$B:$B, IF($W179&lt;&gt;"", TEXT($W179, "MMMM"), ""), Income!$C:$C, YEAR($W179))</f>
        <v>0</v>
      </c>
      <c r="Y179" s="469">
        <f>SUMIFS(Income!$G:$G,Income!$H:$H, Y$2,Income!$F:$F, $V$1, Income!$B:$B, IF($W179&lt;&gt;"", TEXT($W179, "MMMM"), ""), Income!$C:$C, YEAR($W179))</f>
        <v>0</v>
      </c>
      <c r="Z179" s="469">
        <f>SUMIFS(Income!$G:$G,Income!$H:$H, Z$2,Income!$F:$F, $V$1, Income!$B:$B, IF($W179&lt;&gt;"", TEXT($W179, "MMMM"), ""), Income!$C:$C, YEAR($W179))</f>
        <v>0</v>
      </c>
      <c r="AA179" s="469">
        <f>SUMIFS(Income!$G:$G,Income!$H:$H, AA$2,Income!$F:$F, $V$1, Income!$B:$B, IF($W179&lt;&gt;"", TEXT($W179, "MMMM"), ""), Income!$C:$C, YEAR($W179))</f>
        <v>0</v>
      </c>
      <c r="AB179" s="464">
        <f>SUMIFS(Income!$G:$G,Income!$H:$H, AB$2,Income!$F:$F, $V$1, Income!$B:$B, IF($W179&lt;&gt;"", TEXT($W179, "MMMM"), ""), Income!$C:$C, YEAR($W179))</f>
        <v>0</v>
      </c>
      <c r="AC179" s="470">
        <f>SUMIFS(Income!$G:$G,Income!$H:$H, AC$2,Income!$F:$F, $V$1, Income!$B:$B, IF($W179&lt;&gt;"", TEXT($W179, "MMMM"), ""), Income!$C:$C, YEAR($W179))</f>
        <v>0</v>
      </c>
      <c r="AD179" s="428"/>
      <c r="AE179" s="463">
        <v>49188.0</v>
      </c>
      <c r="AF179" s="469">
        <f>SUMIFS(Income!$G:$G,Income!$H:$H, AF$2,Income!$F:$F, $AD$1, Income!$B:$B, IF($AE179&lt;&gt;"", TEXT($AE179, "MMMM"), ""), Income!$C:$C, YEAR($AE179))</f>
        <v>0</v>
      </c>
      <c r="AG179" s="469">
        <f>SUMIFS(Income!$G:$G,Income!$H:$H, AG$2,Income!$F:$F, $AD$1, Income!$B:$B, IF($AE179&lt;&gt;"", TEXT($AE179, "MMMM"), ""), Income!$C:$C, YEAR($AE179))</f>
        <v>0</v>
      </c>
      <c r="AH179" s="469">
        <f>SUMIFS(Income!$G:$G,Income!$H:$H, AH$2,Income!$F:$F, $AD$1, Income!$B:$B, IF($AE179&lt;&gt;"", TEXT($AE179, "MMMM"), ""), Income!$C:$C, YEAR($AE179))</f>
        <v>0</v>
      </c>
      <c r="AI179" s="469">
        <f>SUMIFS(Income!$G:$G,Income!$H:$H, AI$2,Income!$F:$F, $AD$1, Income!$B:$B, IF($AE179&lt;&gt;"", TEXT($AE179, "MMMM"), ""), Income!$C:$C, YEAR($AE179))</f>
        <v>0</v>
      </c>
      <c r="AJ179" s="464">
        <f>SUMIFS(Income!$G:$G,Income!$H:$H, AJ$2,Income!$F:$F, $AD$1, Income!$B:$B, IF($AE179&lt;&gt;"", TEXT($AE179, "MMMM"), ""), Income!$C:$C, YEAR($AE179))</f>
        <v>0</v>
      </c>
      <c r="AK179" s="470">
        <f>SUMIFS(Income!$G:$G,Income!$H:$H, AK$2,Income!$F:$F, $AD$1, Income!$B:$B, IF($AE179&lt;&gt;"", TEXT($AE179, "MMMM"), ""), Income!$C:$C, YEAR($AE179))</f>
        <v>0</v>
      </c>
      <c r="AL179" s="428"/>
      <c r="AM179" s="463">
        <v>49188.0</v>
      </c>
      <c r="AN179" s="464">
        <f>SUMIFS(Income!$G:$G,Income!$H:$H, AN$2,Income!$F:$F, $AL$1, Income!$B:$B, IF($AM179&lt;&gt;"", TEXT($AM179, "MMMM"), ""), Income!$C:$C, YEAR($AM179))+SUMIFS($T:$T, $U:$U,AN$2,$Q:$Q,IF($AM179&lt;&gt;"", TEXT($AM179, "MMMM"), ""),$R:$R,YEAR($AM179))</f>
        <v>0</v>
      </c>
      <c r="AO179" s="464">
        <f>SUMIFS(Income!$G:$G,Income!$H:$H, AO$2,Income!$F:$F, $AL$1, Income!$B:$B, IF($AM179&lt;&gt;"", TEXT($AM179, "MMMM"), ""), Income!$C:$C, YEAR($AM179))+SUMIFS($T:$T, $U:$U,AO$2,$Q:$Q,IF($AM179&lt;&gt;"", TEXT($AM179, "MMMM"), ""),$R:$R,YEAR($AM179))</f>
        <v>0</v>
      </c>
      <c r="AP179" s="464">
        <f>SUMIFS(Income!$G:$G,Income!$H:$H, AP$2,Income!$F:$F, $AL$1, Income!$B:$B, IF($AM179&lt;&gt;"", TEXT($AM179, "MMMM"), ""), Income!$C:$C, YEAR($AM179))+SUMIFS($T:$T, $U:$U,AP$2,$Q:$Q,IF($AM179&lt;&gt;"", TEXT($AM179, "MMMM"), ""),$R:$R,YEAR($AM179))</f>
        <v>0</v>
      </c>
      <c r="AQ179" s="464">
        <f>SUMIFS(Income!$G:$G,Income!$H:$H, AQ$2,Income!$F:$F, $AL$1, Income!$B:$B, IF($AM179&lt;&gt;"", TEXT($AM179, "MMMM"), ""), Income!$C:$C, YEAR($AM179))+SUMIFS($T:$T, $U:$U,AQ$2,$Q:$Q,IF($AM179&lt;&gt;"", TEXT($AM179, "MMMM"), ""),$R:$R,YEAR($AM179))</f>
        <v>0</v>
      </c>
      <c r="AR179" s="464">
        <f>SUMIFS(Income!$G:$G,Income!$H:$H, AR$2,Income!$F:$F, $AL$1, Income!$B:$B, IF($AM179&lt;&gt;"", TEXT($AM179, "MMMM"), ""), Income!$C:$C, YEAR($AM179))+SUMIFS($T:$T, $U:$U,AR$2,$Q:$Q,IF($AM179&lt;&gt;"", TEXT($AM179, "MMMM"), ""),$R:$R,YEAR($AM179))</f>
        <v>0</v>
      </c>
      <c r="AS179" s="467">
        <f>SUMIFS(Income!$G:$G,Income!$H:$H, AS$2,Income!$F:$F, $AL$1, Income!$B:$B, IF($AM179&lt;&gt;"", TEXT($AM179, "MMMM"), ""), Income!$C:$C, YEAR($AM179))+SUMIFS($T:$T, $U:$U,AS$2,$Q:$Q,IF($AM179&lt;&gt;"", TEXT($AM179, "MMMM"), ""),$R:$R,YEAR($AM179))</f>
        <v>0</v>
      </c>
      <c r="AT179" s="428"/>
      <c r="AU179" s="463">
        <v>49188.0</v>
      </c>
      <c r="AV179" s="469">
        <f>SUMIFS(Income!$G:$G,Income!$H:$H, AV$2,Income!$F:$F, $AT$1, Income!$B:$B, IF($AU179&lt;&gt;"", TEXT($AU179, "MMMM"), ""), Income!$C:$C, YEAR($AU179))</f>
        <v>0</v>
      </c>
      <c r="AW179" s="469">
        <f>SUMIFS(Income!$G:$G,Income!$H:$H, AW$2,Income!$F:$F, $AT$1, Income!$B:$B, IF($AU179&lt;&gt;"", TEXT($AU179, "MMMM"), ""), Income!$C:$C, YEAR($AU179))</f>
        <v>0</v>
      </c>
      <c r="AX179" s="469">
        <f>SUMIFS(Income!$G:$G,Income!$H:$H, AX$2,Income!$F:$F, $AT$1, Income!$B:$B, IF($AU179&lt;&gt;"", TEXT($AU179, "MMMM"), ""), Income!$C:$C, YEAR($AU179))</f>
        <v>0</v>
      </c>
      <c r="AY179" s="469">
        <f>SUMIFS(Income!$G:$G,Income!$H:$H, AY$2,Income!$F:$F, $AT$1, Income!$B:$B, IF($AU179&lt;&gt;"", TEXT($AU179, "MMMM"), ""), Income!$C:$C, YEAR($AU179))</f>
        <v>0</v>
      </c>
      <c r="AZ179" s="464">
        <f>SUMIFS(Income!$G:$G,Income!$H:$H, AZ$2,Income!$F:$F, $AT$1, Income!$B:$B, IF($AU179&lt;&gt;"", TEXT($AU179, "MMMM"), ""), Income!$C:$C, YEAR($AU179))</f>
        <v>0</v>
      </c>
      <c r="BA179" s="471">
        <f>SUMIFS(Income!$G:$G,Income!$H:$H, BA$2,Income!$F:$F, $AT$1, Income!$B:$B, IF($AU179&lt;&gt;"", TEXT($AU179, "MMMM"), ""), Income!$C:$C, YEAR($AU179))</f>
        <v>0</v>
      </c>
      <c r="BB179" s="345"/>
      <c r="BC179" s="345"/>
      <c r="BD179" s="345"/>
      <c r="BE179" s="345"/>
    </row>
    <row r="180" ht="13.5" customHeight="1">
      <c r="A180" s="424">
        <f>'Membership Application List'!A409</f>
        <v>45547.56426</v>
      </c>
      <c r="B180" s="443" t="str">
        <f t="shared" si="6"/>
        <v>September</v>
      </c>
      <c r="C180" s="443">
        <f t="shared" si="7"/>
        <v>2024</v>
      </c>
      <c r="D180" s="426" t="str">
        <f>'Membership Application List'!E409</f>
        <v>Chloe Tong</v>
      </c>
      <c r="E180" s="426">
        <f>IF('Membership Application List'!J409 = "Food/Litter Donation", 0, IF('Membership Application List'!J409 = "$15 Donation, Discord Verification", IF('Membership Application List'!N409 = TRUE, 15, 0)))</f>
        <v>0</v>
      </c>
      <c r="F180" s="426">
        <f>if('Membership Application List'!K409=TRUE, 5,0)</f>
        <v>0</v>
      </c>
      <c r="G180" s="426">
        <f t="shared" si="8"/>
        <v>0</v>
      </c>
      <c r="H180" s="427" t="str">
        <f>'Membership Application List'!L409</f>
        <v/>
      </c>
      <c r="I180" s="428"/>
      <c r="J180" s="463">
        <v>49218.0</v>
      </c>
      <c r="K180" s="464">
        <f t="shared" ref="K180:O180" si="138">SUMIFS($G:$G, $H:$H, K$2, $B:$B, IF($J180&lt;&gt;"", TEXT($J180, "MMMM"), ""), $C:$C, YEAR($J180))</f>
        <v>0</v>
      </c>
      <c r="L180" s="464">
        <f t="shared" si="138"/>
        <v>0</v>
      </c>
      <c r="M180" s="464">
        <f t="shared" si="138"/>
        <v>0</v>
      </c>
      <c r="N180" s="464">
        <f t="shared" si="138"/>
        <v>0</v>
      </c>
      <c r="O180" s="465">
        <f t="shared" si="138"/>
        <v>0</v>
      </c>
      <c r="P180" s="414"/>
      <c r="Q180" s="414"/>
      <c r="R180" s="414"/>
      <c r="S180" s="445"/>
      <c r="T180" s="445"/>
      <c r="U180" s="445"/>
      <c r="V180" s="428"/>
      <c r="W180" s="463">
        <v>49218.0</v>
      </c>
      <c r="X180" s="469">
        <f>SUMIFS(Income!$G:$G,Income!$H:$H, X$2,Income!$F:$F, $V$1, Income!$B:$B, IF($W180&lt;&gt;"", TEXT($W180, "MMMM"), ""), Income!$C:$C, YEAR($W180))</f>
        <v>0</v>
      </c>
      <c r="Y180" s="469">
        <f>SUMIFS(Income!$G:$G,Income!$H:$H, Y$2,Income!$F:$F, $V$1, Income!$B:$B, IF($W180&lt;&gt;"", TEXT($W180, "MMMM"), ""), Income!$C:$C, YEAR($W180))</f>
        <v>0</v>
      </c>
      <c r="Z180" s="469">
        <f>SUMIFS(Income!$G:$G,Income!$H:$H, Z$2,Income!$F:$F, $V$1, Income!$B:$B, IF($W180&lt;&gt;"", TEXT($W180, "MMMM"), ""), Income!$C:$C, YEAR($W180))</f>
        <v>0</v>
      </c>
      <c r="AA180" s="469">
        <f>SUMIFS(Income!$G:$G,Income!$H:$H, AA$2,Income!$F:$F, $V$1, Income!$B:$B, IF($W180&lt;&gt;"", TEXT($W180, "MMMM"), ""), Income!$C:$C, YEAR($W180))</f>
        <v>0</v>
      </c>
      <c r="AB180" s="464">
        <f>SUMIFS(Income!$G:$G,Income!$H:$H, AB$2,Income!$F:$F, $V$1, Income!$B:$B, IF($W180&lt;&gt;"", TEXT($W180, "MMMM"), ""), Income!$C:$C, YEAR($W180))</f>
        <v>0</v>
      </c>
      <c r="AC180" s="470">
        <f>SUMIFS(Income!$G:$G,Income!$H:$H, AC$2,Income!$F:$F, $V$1, Income!$B:$B, IF($W180&lt;&gt;"", TEXT($W180, "MMMM"), ""), Income!$C:$C, YEAR($W180))</f>
        <v>0</v>
      </c>
      <c r="AD180" s="428"/>
      <c r="AE180" s="463">
        <v>49218.0</v>
      </c>
      <c r="AF180" s="469">
        <f>SUMIFS(Income!$G:$G,Income!$H:$H, AF$2,Income!$F:$F, $AD$1, Income!$B:$B, IF($AE180&lt;&gt;"", TEXT($AE180, "MMMM"), ""), Income!$C:$C, YEAR($AE180))</f>
        <v>0</v>
      </c>
      <c r="AG180" s="469">
        <f>SUMIFS(Income!$G:$G,Income!$H:$H, AG$2,Income!$F:$F, $AD$1, Income!$B:$B, IF($AE180&lt;&gt;"", TEXT($AE180, "MMMM"), ""), Income!$C:$C, YEAR($AE180))</f>
        <v>0</v>
      </c>
      <c r="AH180" s="469">
        <f>SUMIFS(Income!$G:$G,Income!$H:$H, AH$2,Income!$F:$F, $AD$1, Income!$B:$B, IF($AE180&lt;&gt;"", TEXT($AE180, "MMMM"), ""), Income!$C:$C, YEAR($AE180))</f>
        <v>0</v>
      </c>
      <c r="AI180" s="469">
        <f>SUMIFS(Income!$G:$G,Income!$H:$H, AI$2,Income!$F:$F, $AD$1, Income!$B:$B, IF($AE180&lt;&gt;"", TEXT($AE180, "MMMM"), ""), Income!$C:$C, YEAR($AE180))</f>
        <v>0</v>
      </c>
      <c r="AJ180" s="464">
        <f>SUMIFS(Income!$G:$G,Income!$H:$H, AJ$2,Income!$F:$F, $AD$1, Income!$B:$B, IF($AE180&lt;&gt;"", TEXT($AE180, "MMMM"), ""), Income!$C:$C, YEAR($AE180))</f>
        <v>0</v>
      </c>
      <c r="AK180" s="470">
        <f>SUMIFS(Income!$G:$G,Income!$H:$H, AK$2,Income!$F:$F, $AD$1, Income!$B:$B, IF($AE180&lt;&gt;"", TEXT($AE180, "MMMM"), ""), Income!$C:$C, YEAR($AE180))</f>
        <v>0</v>
      </c>
      <c r="AL180" s="428"/>
      <c r="AM180" s="463">
        <v>49218.0</v>
      </c>
      <c r="AN180" s="464">
        <f>SUMIFS(Income!$G:$G,Income!$H:$H, AN$2,Income!$F:$F, $AL$1, Income!$B:$B, IF($AM180&lt;&gt;"", TEXT($AM180, "MMMM"), ""), Income!$C:$C, YEAR($AM180))+SUMIFS($T:$T, $U:$U,AN$2,$Q:$Q,IF($AM180&lt;&gt;"", TEXT($AM180, "MMMM"), ""),$R:$R,YEAR($AM180))</f>
        <v>0</v>
      </c>
      <c r="AO180" s="464">
        <f>SUMIFS(Income!$G:$G,Income!$H:$H, AO$2,Income!$F:$F, $AL$1, Income!$B:$B, IF($AM180&lt;&gt;"", TEXT($AM180, "MMMM"), ""), Income!$C:$C, YEAR($AM180))+SUMIFS($T:$T, $U:$U,AO$2,$Q:$Q,IF($AM180&lt;&gt;"", TEXT($AM180, "MMMM"), ""),$R:$R,YEAR($AM180))</f>
        <v>0</v>
      </c>
      <c r="AP180" s="464">
        <f>SUMIFS(Income!$G:$G,Income!$H:$H, AP$2,Income!$F:$F, $AL$1, Income!$B:$B, IF($AM180&lt;&gt;"", TEXT($AM180, "MMMM"), ""), Income!$C:$C, YEAR($AM180))+SUMIFS($T:$T, $U:$U,AP$2,$Q:$Q,IF($AM180&lt;&gt;"", TEXT($AM180, "MMMM"), ""),$R:$R,YEAR($AM180))</f>
        <v>0</v>
      </c>
      <c r="AQ180" s="464">
        <f>SUMIFS(Income!$G:$G,Income!$H:$H, AQ$2,Income!$F:$F, $AL$1, Income!$B:$B, IF($AM180&lt;&gt;"", TEXT($AM180, "MMMM"), ""), Income!$C:$C, YEAR($AM180))+SUMIFS($T:$T, $U:$U,AQ$2,$Q:$Q,IF($AM180&lt;&gt;"", TEXT($AM180, "MMMM"), ""),$R:$R,YEAR($AM180))</f>
        <v>0</v>
      </c>
      <c r="AR180" s="464">
        <f>SUMIFS(Income!$G:$G,Income!$H:$H, AR$2,Income!$F:$F, $AL$1, Income!$B:$B, IF($AM180&lt;&gt;"", TEXT($AM180, "MMMM"), ""), Income!$C:$C, YEAR($AM180))+SUMIFS($T:$T, $U:$U,AR$2,$Q:$Q,IF($AM180&lt;&gt;"", TEXT($AM180, "MMMM"), ""),$R:$R,YEAR($AM180))</f>
        <v>0</v>
      </c>
      <c r="AS180" s="467">
        <f>SUMIFS(Income!$G:$G,Income!$H:$H, AS$2,Income!$F:$F, $AL$1, Income!$B:$B, IF($AM180&lt;&gt;"", TEXT($AM180, "MMMM"), ""), Income!$C:$C, YEAR($AM180))+SUMIFS($T:$T, $U:$U,AS$2,$Q:$Q,IF($AM180&lt;&gt;"", TEXT($AM180, "MMMM"), ""),$R:$R,YEAR($AM180))</f>
        <v>0</v>
      </c>
      <c r="AT180" s="428"/>
      <c r="AU180" s="463">
        <v>49218.0</v>
      </c>
      <c r="AV180" s="469">
        <f>SUMIFS(Income!$G:$G,Income!$H:$H, AV$2,Income!$F:$F, $AT$1, Income!$B:$B, IF($AU180&lt;&gt;"", TEXT($AU180, "MMMM"), ""), Income!$C:$C, YEAR($AU180))</f>
        <v>0</v>
      </c>
      <c r="AW180" s="469">
        <f>SUMIFS(Income!$G:$G,Income!$H:$H, AW$2,Income!$F:$F, $AT$1, Income!$B:$B, IF($AU180&lt;&gt;"", TEXT($AU180, "MMMM"), ""), Income!$C:$C, YEAR($AU180))</f>
        <v>0</v>
      </c>
      <c r="AX180" s="469">
        <f>SUMIFS(Income!$G:$G,Income!$H:$H, AX$2,Income!$F:$F, $AT$1, Income!$B:$B, IF($AU180&lt;&gt;"", TEXT($AU180, "MMMM"), ""), Income!$C:$C, YEAR($AU180))</f>
        <v>0</v>
      </c>
      <c r="AY180" s="469">
        <f>SUMIFS(Income!$G:$G,Income!$H:$H, AY$2,Income!$F:$F, $AT$1, Income!$B:$B, IF($AU180&lt;&gt;"", TEXT($AU180, "MMMM"), ""), Income!$C:$C, YEAR($AU180))</f>
        <v>0</v>
      </c>
      <c r="AZ180" s="464">
        <f>SUMIFS(Income!$G:$G,Income!$H:$H, AZ$2,Income!$F:$F, $AT$1, Income!$B:$B, IF($AU180&lt;&gt;"", TEXT($AU180, "MMMM"), ""), Income!$C:$C, YEAR($AU180))</f>
        <v>0</v>
      </c>
      <c r="BA180" s="471">
        <f>SUMIFS(Income!$G:$G,Income!$H:$H, BA$2,Income!$F:$F, $AT$1, Income!$B:$B, IF($AU180&lt;&gt;"", TEXT($AU180, "MMMM"), ""), Income!$C:$C, YEAR($AU180))</f>
        <v>0</v>
      </c>
      <c r="BB180" s="345"/>
      <c r="BC180" s="345"/>
      <c r="BD180" s="345"/>
      <c r="BE180" s="345"/>
    </row>
    <row r="181" ht="13.5" customHeight="1">
      <c r="A181" s="436">
        <f>'Membership Application List'!A410</f>
        <v>45548.5829</v>
      </c>
      <c r="B181" s="437" t="str">
        <f t="shared" si="6"/>
        <v>September</v>
      </c>
      <c r="C181" s="437">
        <f t="shared" si="7"/>
        <v>2024</v>
      </c>
      <c r="D181" s="438" t="str">
        <f>'Membership Application List'!E410</f>
        <v>Maritza Hernandez</v>
      </c>
      <c r="E181" s="438">
        <f>IF('Membership Application List'!J410 = "Food/Litter Donation", 0, IF('Membership Application List'!J410 = "$15 Donation, Discord Verification", IF('Membership Application List'!N410 = TRUE, 15, 0)))</f>
        <v>15</v>
      </c>
      <c r="F181" s="438">
        <f>if('Membership Application List'!K410=TRUE, 5,0)</f>
        <v>0</v>
      </c>
      <c r="G181" s="438">
        <f t="shared" si="8"/>
        <v>15</v>
      </c>
      <c r="H181" s="439" t="str">
        <f>'Membership Application List'!L410</f>
        <v>Paypal</v>
      </c>
      <c r="I181" s="428"/>
      <c r="J181" s="463">
        <v>49249.0</v>
      </c>
      <c r="K181" s="464">
        <f t="shared" ref="K181:O181" si="139">SUMIFS($G:$G, $H:$H, K$2, $B:$B, IF($J181&lt;&gt;"", TEXT($J181, "MMMM"), ""), $C:$C, YEAR($J181))</f>
        <v>0</v>
      </c>
      <c r="L181" s="464">
        <f t="shared" si="139"/>
        <v>0</v>
      </c>
      <c r="M181" s="464">
        <f t="shared" si="139"/>
        <v>0</v>
      </c>
      <c r="N181" s="464">
        <f t="shared" si="139"/>
        <v>0</v>
      </c>
      <c r="O181" s="465">
        <f t="shared" si="139"/>
        <v>0</v>
      </c>
      <c r="P181" s="414"/>
      <c r="Q181" s="414"/>
      <c r="R181" s="414"/>
      <c r="S181" s="445"/>
      <c r="T181" s="445"/>
      <c r="U181" s="445"/>
      <c r="V181" s="428"/>
      <c r="W181" s="463">
        <v>49249.0</v>
      </c>
      <c r="X181" s="469">
        <f>SUMIFS(Income!$G:$G,Income!$H:$H, X$2,Income!$F:$F, $V$1, Income!$B:$B, IF($W181&lt;&gt;"", TEXT($W181, "MMMM"), ""), Income!$C:$C, YEAR($W181))</f>
        <v>0</v>
      </c>
      <c r="Y181" s="469">
        <f>SUMIFS(Income!$G:$G,Income!$H:$H, Y$2,Income!$F:$F, $V$1, Income!$B:$B, IF($W181&lt;&gt;"", TEXT($W181, "MMMM"), ""), Income!$C:$C, YEAR($W181))</f>
        <v>0</v>
      </c>
      <c r="Z181" s="469">
        <f>SUMIFS(Income!$G:$G,Income!$H:$H, Z$2,Income!$F:$F, $V$1, Income!$B:$B, IF($W181&lt;&gt;"", TEXT($W181, "MMMM"), ""), Income!$C:$C, YEAR($W181))</f>
        <v>0</v>
      </c>
      <c r="AA181" s="469">
        <f>SUMIFS(Income!$G:$G,Income!$H:$H, AA$2,Income!$F:$F, $V$1, Income!$B:$B, IF($W181&lt;&gt;"", TEXT($W181, "MMMM"), ""), Income!$C:$C, YEAR($W181))</f>
        <v>0</v>
      </c>
      <c r="AB181" s="464">
        <f>SUMIFS(Income!$G:$G,Income!$H:$H, AB$2,Income!$F:$F, $V$1, Income!$B:$B, IF($W181&lt;&gt;"", TEXT($W181, "MMMM"), ""), Income!$C:$C, YEAR($W181))</f>
        <v>0</v>
      </c>
      <c r="AC181" s="470">
        <f>SUMIFS(Income!$G:$G,Income!$H:$H, AC$2,Income!$F:$F, $V$1, Income!$B:$B, IF($W181&lt;&gt;"", TEXT($W181, "MMMM"), ""), Income!$C:$C, YEAR($W181))</f>
        <v>0</v>
      </c>
      <c r="AD181" s="428"/>
      <c r="AE181" s="463">
        <v>49249.0</v>
      </c>
      <c r="AF181" s="469">
        <f>SUMIFS(Income!$G:$G,Income!$H:$H, AF$2,Income!$F:$F, $AD$1, Income!$B:$B, IF($AE181&lt;&gt;"", TEXT($AE181, "MMMM"), ""), Income!$C:$C, YEAR($AE181))</f>
        <v>0</v>
      </c>
      <c r="AG181" s="469">
        <f>SUMIFS(Income!$G:$G,Income!$H:$H, AG$2,Income!$F:$F, $AD$1, Income!$B:$B, IF($AE181&lt;&gt;"", TEXT($AE181, "MMMM"), ""), Income!$C:$C, YEAR($AE181))</f>
        <v>0</v>
      </c>
      <c r="AH181" s="469">
        <f>SUMIFS(Income!$G:$G,Income!$H:$H, AH$2,Income!$F:$F, $AD$1, Income!$B:$B, IF($AE181&lt;&gt;"", TEXT($AE181, "MMMM"), ""), Income!$C:$C, YEAR($AE181))</f>
        <v>0</v>
      </c>
      <c r="AI181" s="469">
        <f>SUMIFS(Income!$G:$G,Income!$H:$H, AI$2,Income!$F:$F, $AD$1, Income!$B:$B, IF($AE181&lt;&gt;"", TEXT($AE181, "MMMM"), ""), Income!$C:$C, YEAR($AE181))</f>
        <v>0</v>
      </c>
      <c r="AJ181" s="464">
        <f>SUMIFS(Income!$G:$G,Income!$H:$H, AJ$2,Income!$F:$F, $AD$1, Income!$B:$B, IF($AE181&lt;&gt;"", TEXT($AE181, "MMMM"), ""), Income!$C:$C, YEAR($AE181))</f>
        <v>0</v>
      </c>
      <c r="AK181" s="470">
        <f>SUMIFS(Income!$G:$G,Income!$H:$H, AK$2,Income!$F:$F, $AD$1, Income!$B:$B, IF($AE181&lt;&gt;"", TEXT($AE181, "MMMM"), ""), Income!$C:$C, YEAR($AE181))</f>
        <v>0</v>
      </c>
      <c r="AL181" s="428"/>
      <c r="AM181" s="463">
        <v>49249.0</v>
      </c>
      <c r="AN181" s="464">
        <f>SUMIFS(Income!$G:$G,Income!$H:$H, AN$2,Income!$F:$F, $AL$1, Income!$B:$B, IF($AM181&lt;&gt;"", TEXT($AM181, "MMMM"), ""), Income!$C:$C, YEAR($AM181))+SUMIFS($T:$T, $U:$U,AN$2,$Q:$Q,IF($AM181&lt;&gt;"", TEXT($AM181, "MMMM"), ""),$R:$R,YEAR($AM181))</f>
        <v>0</v>
      </c>
      <c r="AO181" s="464">
        <f>SUMIFS(Income!$G:$G,Income!$H:$H, AO$2,Income!$F:$F, $AL$1, Income!$B:$B, IF($AM181&lt;&gt;"", TEXT($AM181, "MMMM"), ""), Income!$C:$C, YEAR($AM181))+SUMIFS($T:$T, $U:$U,AO$2,$Q:$Q,IF($AM181&lt;&gt;"", TEXT($AM181, "MMMM"), ""),$R:$R,YEAR($AM181))</f>
        <v>0</v>
      </c>
      <c r="AP181" s="464">
        <f>SUMIFS(Income!$G:$G,Income!$H:$H, AP$2,Income!$F:$F, $AL$1, Income!$B:$B, IF($AM181&lt;&gt;"", TEXT($AM181, "MMMM"), ""), Income!$C:$C, YEAR($AM181))+SUMIFS($T:$T, $U:$U,AP$2,$Q:$Q,IF($AM181&lt;&gt;"", TEXT($AM181, "MMMM"), ""),$R:$R,YEAR($AM181))</f>
        <v>0</v>
      </c>
      <c r="AQ181" s="464">
        <f>SUMIFS(Income!$G:$G,Income!$H:$H, AQ$2,Income!$F:$F, $AL$1, Income!$B:$B, IF($AM181&lt;&gt;"", TEXT($AM181, "MMMM"), ""), Income!$C:$C, YEAR($AM181))+SUMIFS($T:$T, $U:$U,AQ$2,$Q:$Q,IF($AM181&lt;&gt;"", TEXT($AM181, "MMMM"), ""),$R:$R,YEAR($AM181))</f>
        <v>0</v>
      </c>
      <c r="AR181" s="464">
        <f>SUMIFS(Income!$G:$G,Income!$H:$H, AR$2,Income!$F:$F, $AL$1, Income!$B:$B, IF($AM181&lt;&gt;"", TEXT($AM181, "MMMM"), ""), Income!$C:$C, YEAR($AM181))+SUMIFS($T:$T, $U:$U,AR$2,$Q:$Q,IF($AM181&lt;&gt;"", TEXT($AM181, "MMMM"), ""),$R:$R,YEAR($AM181))</f>
        <v>0</v>
      </c>
      <c r="AS181" s="467">
        <f>SUMIFS(Income!$G:$G,Income!$H:$H, AS$2,Income!$F:$F, $AL$1, Income!$B:$B, IF($AM181&lt;&gt;"", TEXT($AM181, "MMMM"), ""), Income!$C:$C, YEAR($AM181))+SUMIFS($T:$T, $U:$U,AS$2,$Q:$Q,IF($AM181&lt;&gt;"", TEXT($AM181, "MMMM"), ""),$R:$R,YEAR($AM181))</f>
        <v>0</v>
      </c>
      <c r="AT181" s="428"/>
      <c r="AU181" s="463">
        <v>49249.0</v>
      </c>
      <c r="AV181" s="469">
        <f>SUMIFS(Income!$G:$G,Income!$H:$H, AV$2,Income!$F:$F, $AT$1, Income!$B:$B, IF($AU181&lt;&gt;"", TEXT($AU181, "MMMM"), ""), Income!$C:$C, YEAR($AU181))</f>
        <v>0</v>
      </c>
      <c r="AW181" s="469">
        <f>SUMIFS(Income!$G:$G,Income!$H:$H, AW$2,Income!$F:$F, $AT$1, Income!$B:$B, IF($AU181&lt;&gt;"", TEXT($AU181, "MMMM"), ""), Income!$C:$C, YEAR($AU181))</f>
        <v>0</v>
      </c>
      <c r="AX181" s="469">
        <f>SUMIFS(Income!$G:$G,Income!$H:$H, AX$2,Income!$F:$F, $AT$1, Income!$B:$B, IF($AU181&lt;&gt;"", TEXT($AU181, "MMMM"), ""), Income!$C:$C, YEAR($AU181))</f>
        <v>0</v>
      </c>
      <c r="AY181" s="469">
        <f>SUMIFS(Income!$G:$G,Income!$H:$H, AY$2,Income!$F:$F, $AT$1, Income!$B:$B, IF($AU181&lt;&gt;"", TEXT($AU181, "MMMM"), ""), Income!$C:$C, YEAR($AU181))</f>
        <v>0</v>
      </c>
      <c r="AZ181" s="464">
        <f>SUMIFS(Income!$G:$G,Income!$H:$H, AZ$2,Income!$F:$F, $AT$1, Income!$B:$B, IF($AU181&lt;&gt;"", TEXT($AU181, "MMMM"), ""), Income!$C:$C, YEAR($AU181))</f>
        <v>0</v>
      </c>
      <c r="BA181" s="471">
        <f>SUMIFS(Income!$G:$G,Income!$H:$H, BA$2,Income!$F:$F, $AT$1, Income!$B:$B, IF($AU181&lt;&gt;"", TEXT($AU181, "MMMM"), ""), Income!$C:$C, YEAR($AU181))</f>
        <v>0</v>
      </c>
      <c r="BB181" s="345"/>
      <c r="BC181" s="345"/>
      <c r="BD181" s="345"/>
      <c r="BE181" s="345"/>
    </row>
    <row r="182" ht="13.5" customHeight="1">
      <c r="A182" s="424">
        <f>'Membership Application List'!A411</f>
        <v>45550.61973</v>
      </c>
      <c r="B182" s="443" t="str">
        <f t="shared" si="6"/>
        <v>September</v>
      </c>
      <c r="C182" s="443">
        <f t="shared" si="7"/>
        <v>2024</v>
      </c>
      <c r="D182" s="426" t="str">
        <f>'Membership Application List'!E411</f>
        <v>Brencis Le</v>
      </c>
      <c r="E182" s="426">
        <f>IF('Membership Application List'!J411 = "Food/Litter Donation", 0, IF('Membership Application List'!J411 = "$15 Donation, Discord Verification", IF('Membership Application List'!N411 = TRUE, 15, 0)))</f>
        <v>15</v>
      </c>
      <c r="F182" s="426">
        <f>if('Membership Application List'!K411=TRUE, 5,0)</f>
        <v>0</v>
      </c>
      <c r="G182" s="426">
        <f t="shared" si="8"/>
        <v>15</v>
      </c>
      <c r="H182" s="427" t="str">
        <f>'Membership Application List'!L411</f>
        <v>Venmo</v>
      </c>
      <c r="I182" s="428"/>
      <c r="J182" s="463">
        <v>49279.0</v>
      </c>
      <c r="K182" s="464">
        <f t="shared" ref="K182:O182" si="140">SUMIFS($G:$G, $H:$H, K$2, $B:$B, IF($J182&lt;&gt;"", TEXT($J182, "MMMM"), ""), $C:$C, YEAR($J182))</f>
        <v>0</v>
      </c>
      <c r="L182" s="464">
        <f t="shared" si="140"/>
        <v>0</v>
      </c>
      <c r="M182" s="464">
        <f t="shared" si="140"/>
        <v>0</v>
      </c>
      <c r="N182" s="464">
        <f t="shared" si="140"/>
        <v>0</v>
      </c>
      <c r="O182" s="465">
        <f t="shared" si="140"/>
        <v>0</v>
      </c>
      <c r="P182" s="414"/>
      <c r="Q182" s="414"/>
      <c r="R182" s="414"/>
      <c r="S182" s="445"/>
      <c r="T182" s="445"/>
      <c r="U182" s="445"/>
      <c r="V182" s="428"/>
      <c r="W182" s="463">
        <v>49279.0</v>
      </c>
      <c r="X182" s="469">
        <f>SUMIFS(Income!$G:$G,Income!$H:$H, X$2,Income!$F:$F, $V$1, Income!$B:$B, IF($W182&lt;&gt;"", TEXT($W182, "MMMM"), ""), Income!$C:$C, YEAR($W182))</f>
        <v>0</v>
      </c>
      <c r="Y182" s="469">
        <f>SUMIFS(Income!$G:$G,Income!$H:$H, Y$2,Income!$F:$F, $V$1, Income!$B:$B, IF($W182&lt;&gt;"", TEXT($W182, "MMMM"), ""), Income!$C:$C, YEAR($W182))</f>
        <v>0</v>
      </c>
      <c r="Z182" s="469">
        <f>SUMIFS(Income!$G:$G,Income!$H:$H, Z$2,Income!$F:$F, $V$1, Income!$B:$B, IF($W182&lt;&gt;"", TEXT($W182, "MMMM"), ""), Income!$C:$C, YEAR($W182))</f>
        <v>0</v>
      </c>
      <c r="AA182" s="469">
        <f>SUMIFS(Income!$G:$G,Income!$H:$H, AA$2,Income!$F:$F, $V$1, Income!$B:$B, IF($W182&lt;&gt;"", TEXT($W182, "MMMM"), ""), Income!$C:$C, YEAR($W182))</f>
        <v>0</v>
      </c>
      <c r="AB182" s="464">
        <f>SUMIFS(Income!$G:$G,Income!$H:$H, AB$2,Income!$F:$F, $V$1, Income!$B:$B, IF($W182&lt;&gt;"", TEXT($W182, "MMMM"), ""), Income!$C:$C, YEAR($W182))</f>
        <v>0</v>
      </c>
      <c r="AC182" s="470">
        <f>SUMIFS(Income!$G:$G,Income!$H:$H, AC$2,Income!$F:$F, $V$1, Income!$B:$B, IF($W182&lt;&gt;"", TEXT($W182, "MMMM"), ""), Income!$C:$C, YEAR($W182))</f>
        <v>0</v>
      </c>
      <c r="AD182" s="428"/>
      <c r="AE182" s="463">
        <v>49279.0</v>
      </c>
      <c r="AF182" s="469">
        <f>SUMIFS(Income!$G:$G,Income!$H:$H, AF$2,Income!$F:$F, $AD$1, Income!$B:$B, IF($AE182&lt;&gt;"", TEXT($AE182, "MMMM"), ""), Income!$C:$C, YEAR($AE182))</f>
        <v>0</v>
      </c>
      <c r="AG182" s="469">
        <f>SUMIFS(Income!$G:$G,Income!$H:$H, AG$2,Income!$F:$F, $AD$1, Income!$B:$B, IF($AE182&lt;&gt;"", TEXT($AE182, "MMMM"), ""), Income!$C:$C, YEAR($AE182))</f>
        <v>0</v>
      </c>
      <c r="AH182" s="469">
        <f>SUMIFS(Income!$G:$G,Income!$H:$H, AH$2,Income!$F:$F, $AD$1, Income!$B:$B, IF($AE182&lt;&gt;"", TEXT($AE182, "MMMM"), ""), Income!$C:$C, YEAR($AE182))</f>
        <v>0</v>
      </c>
      <c r="AI182" s="469">
        <f>SUMIFS(Income!$G:$G,Income!$H:$H, AI$2,Income!$F:$F, $AD$1, Income!$B:$B, IF($AE182&lt;&gt;"", TEXT($AE182, "MMMM"), ""), Income!$C:$C, YEAR($AE182))</f>
        <v>0</v>
      </c>
      <c r="AJ182" s="464">
        <f>SUMIFS(Income!$G:$G,Income!$H:$H, AJ$2,Income!$F:$F, $AD$1, Income!$B:$B, IF($AE182&lt;&gt;"", TEXT($AE182, "MMMM"), ""), Income!$C:$C, YEAR($AE182))</f>
        <v>0</v>
      </c>
      <c r="AK182" s="470">
        <f>SUMIFS(Income!$G:$G,Income!$H:$H, AK$2,Income!$F:$F, $AD$1, Income!$B:$B, IF($AE182&lt;&gt;"", TEXT($AE182, "MMMM"), ""), Income!$C:$C, YEAR($AE182))</f>
        <v>0</v>
      </c>
      <c r="AL182" s="428"/>
      <c r="AM182" s="463">
        <v>49279.0</v>
      </c>
      <c r="AN182" s="464">
        <f>SUMIFS(Income!$G:$G,Income!$H:$H, AN$2,Income!$F:$F, $AL$1, Income!$B:$B, IF($AM182&lt;&gt;"", TEXT($AM182, "MMMM"), ""), Income!$C:$C, YEAR($AM182))+SUMIFS($T:$T, $U:$U,AN$2,$Q:$Q,IF($AM182&lt;&gt;"", TEXT($AM182, "MMMM"), ""),$R:$R,YEAR($AM182))</f>
        <v>0</v>
      </c>
      <c r="AO182" s="464">
        <f>SUMIFS(Income!$G:$G,Income!$H:$H, AO$2,Income!$F:$F, $AL$1, Income!$B:$B, IF($AM182&lt;&gt;"", TEXT($AM182, "MMMM"), ""), Income!$C:$C, YEAR($AM182))+SUMIFS($T:$T, $U:$U,AO$2,$Q:$Q,IF($AM182&lt;&gt;"", TEXT($AM182, "MMMM"), ""),$R:$R,YEAR($AM182))</f>
        <v>0</v>
      </c>
      <c r="AP182" s="464">
        <f>SUMIFS(Income!$G:$G,Income!$H:$H, AP$2,Income!$F:$F, $AL$1, Income!$B:$B, IF($AM182&lt;&gt;"", TEXT($AM182, "MMMM"), ""), Income!$C:$C, YEAR($AM182))+SUMIFS($T:$T, $U:$U,AP$2,$Q:$Q,IF($AM182&lt;&gt;"", TEXT($AM182, "MMMM"), ""),$R:$R,YEAR($AM182))</f>
        <v>0</v>
      </c>
      <c r="AQ182" s="464">
        <f>SUMIFS(Income!$G:$G,Income!$H:$H, AQ$2,Income!$F:$F, $AL$1, Income!$B:$B, IF($AM182&lt;&gt;"", TEXT($AM182, "MMMM"), ""), Income!$C:$C, YEAR($AM182))+SUMIFS($T:$T, $U:$U,AQ$2,$Q:$Q,IF($AM182&lt;&gt;"", TEXT($AM182, "MMMM"), ""),$R:$R,YEAR($AM182))</f>
        <v>0</v>
      </c>
      <c r="AR182" s="464">
        <f>SUMIFS(Income!$G:$G,Income!$H:$H, AR$2,Income!$F:$F, $AL$1, Income!$B:$B, IF($AM182&lt;&gt;"", TEXT($AM182, "MMMM"), ""), Income!$C:$C, YEAR($AM182))+SUMIFS($T:$T, $U:$U,AR$2,$Q:$Q,IF($AM182&lt;&gt;"", TEXT($AM182, "MMMM"), ""),$R:$R,YEAR($AM182))</f>
        <v>0</v>
      </c>
      <c r="AS182" s="467">
        <f>SUMIFS(Income!$G:$G,Income!$H:$H, AS$2,Income!$F:$F, $AL$1, Income!$B:$B, IF($AM182&lt;&gt;"", TEXT($AM182, "MMMM"), ""), Income!$C:$C, YEAR($AM182))+SUMIFS($T:$T, $U:$U,AS$2,$Q:$Q,IF($AM182&lt;&gt;"", TEXT($AM182, "MMMM"), ""),$R:$R,YEAR($AM182))</f>
        <v>0</v>
      </c>
      <c r="AT182" s="428"/>
      <c r="AU182" s="463">
        <v>49279.0</v>
      </c>
      <c r="AV182" s="469">
        <f>SUMIFS(Income!$G:$G,Income!$H:$H, AV$2,Income!$F:$F, $AT$1, Income!$B:$B, IF($AU182&lt;&gt;"", TEXT($AU182, "MMMM"), ""), Income!$C:$C, YEAR($AU182))</f>
        <v>0</v>
      </c>
      <c r="AW182" s="469">
        <f>SUMIFS(Income!$G:$G,Income!$H:$H, AW$2,Income!$F:$F, $AT$1, Income!$B:$B, IF($AU182&lt;&gt;"", TEXT($AU182, "MMMM"), ""), Income!$C:$C, YEAR($AU182))</f>
        <v>0</v>
      </c>
      <c r="AX182" s="469">
        <f>SUMIFS(Income!$G:$G,Income!$H:$H, AX$2,Income!$F:$F, $AT$1, Income!$B:$B, IF($AU182&lt;&gt;"", TEXT($AU182, "MMMM"), ""), Income!$C:$C, YEAR($AU182))</f>
        <v>0</v>
      </c>
      <c r="AY182" s="469">
        <f>SUMIFS(Income!$G:$G,Income!$H:$H, AY$2,Income!$F:$F, $AT$1, Income!$B:$B, IF($AU182&lt;&gt;"", TEXT($AU182, "MMMM"), ""), Income!$C:$C, YEAR($AU182))</f>
        <v>0</v>
      </c>
      <c r="AZ182" s="464">
        <f>SUMIFS(Income!$G:$G,Income!$H:$H, AZ$2,Income!$F:$F, $AT$1, Income!$B:$B, IF($AU182&lt;&gt;"", TEXT($AU182, "MMMM"), ""), Income!$C:$C, YEAR($AU182))</f>
        <v>0</v>
      </c>
      <c r="BA182" s="471">
        <f>SUMIFS(Income!$G:$G,Income!$H:$H, BA$2,Income!$F:$F, $AT$1, Income!$B:$B, IF($AU182&lt;&gt;"", TEXT($AU182, "MMMM"), ""), Income!$C:$C, YEAR($AU182))</f>
        <v>0</v>
      </c>
      <c r="BB182" s="345"/>
      <c r="BC182" s="345"/>
      <c r="BD182" s="345"/>
      <c r="BE182" s="345"/>
    </row>
    <row r="183" ht="13.5" customHeight="1">
      <c r="A183" s="436">
        <f>'Membership Application List'!A412</f>
        <v>45552.52175</v>
      </c>
      <c r="B183" s="437" t="str">
        <f t="shared" si="6"/>
        <v>September</v>
      </c>
      <c r="C183" s="437">
        <f t="shared" si="7"/>
        <v>2024</v>
      </c>
      <c r="D183" s="438" t="str">
        <f>'Membership Application List'!E412</f>
        <v>AshleeMae (preferred name: Ash) Camacho</v>
      </c>
      <c r="E183" s="438">
        <f>IF('Membership Application List'!J412 = "Food/Litter Donation", 0, IF('Membership Application List'!J412 = "$15 Donation, Discord Verification", IF('Membership Application List'!N412 = TRUE, 15, 0)))</f>
        <v>15</v>
      </c>
      <c r="F183" s="438">
        <f>if('Membership Application List'!K412=TRUE, 5,0)</f>
        <v>0</v>
      </c>
      <c r="G183" s="438">
        <f t="shared" si="8"/>
        <v>15</v>
      </c>
      <c r="H183" s="439" t="str">
        <f>'Membership Application List'!L412</f>
        <v>Cashapp</v>
      </c>
      <c r="I183" s="407" t="s">
        <v>798</v>
      </c>
      <c r="J183" s="463">
        <v>49310.0</v>
      </c>
      <c r="K183" s="464">
        <f t="shared" ref="K183:O183" si="141">SUMIFS($G:$G, $H:$H, K$2, $B:$B, IF($J183&lt;&gt;"", TEXT($J183, "MMMM"), ""), $C:$C, YEAR($J183))</f>
        <v>0</v>
      </c>
      <c r="L183" s="464">
        <f t="shared" si="141"/>
        <v>0</v>
      </c>
      <c r="M183" s="464">
        <f t="shared" si="141"/>
        <v>0</v>
      </c>
      <c r="N183" s="464">
        <f t="shared" si="141"/>
        <v>0</v>
      </c>
      <c r="O183" s="465">
        <f t="shared" si="141"/>
        <v>0</v>
      </c>
      <c r="P183" s="414"/>
      <c r="Q183" s="414"/>
      <c r="R183" s="414"/>
      <c r="S183" s="445"/>
      <c r="T183" s="445"/>
      <c r="U183" s="445"/>
      <c r="V183" s="407" t="s">
        <v>798</v>
      </c>
      <c r="W183" s="463">
        <v>49310.0</v>
      </c>
      <c r="X183" s="469">
        <f>SUMIFS(Income!$G:$G,Income!$H:$H, X$2,Income!$F:$F, $V$1, Income!$B:$B, IF($W183&lt;&gt;"", TEXT($W183, "MMMM"), ""), Income!$C:$C, YEAR($W183))</f>
        <v>0</v>
      </c>
      <c r="Y183" s="469">
        <f>SUMIFS(Income!$G:$G,Income!$H:$H, Y$2,Income!$F:$F, $V$1, Income!$B:$B, IF($W183&lt;&gt;"", TEXT($W183, "MMMM"), ""), Income!$C:$C, YEAR($W183))</f>
        <v>0</v>
      </c>
      <c r="Z183" s="469">
        <f>SUMIFS(Income!$G:$G,Income!$H:$H, Z$2,Income!$F:$F, $V$1, Income!$B:$B, IF($W183&lt;&gt;"", TEXT($W183, "MMMM"), ""), Income!$C:$C, YEAR($W183))</f>
        <v>0</v>
      </c>
      <c r="AA183" s="469">
        <f>SUMIFS(Income!$G:$G,Income!$H:$H, AA$2,Income!$F:$F, $V$1, Income!$B:$B, IF($W183&lt;&gt;"", TEXT($W183, "MMMM"), ""), Income!$C:$C, YEAR($W183))</f>
        <v>0</v>
      </c>
      <c r="AB183" s="464">
        <f>SUMIFS(Income!$G:$G,Income!$H:$H, AB$2,Income!$F:$F, $V$1, Income!$B:$B, IF($W183&lt;&gt;"", TEXT($W183, "MMMM"), ""), Income!$C:$C, YEAR($W183))</f>
        <v>0</v>
      </c>
      <c r="AC183" s="470">
        <f>SUMIFS(Income!$G:$G,Income!$H:$H, AC$2,Income!$F:$F, $V$1, Income!$B:$B, IF($W183&lt;&gt;"", TEXT($W183, "MMMM"), ""), Income!$C:$C, YEAR($W183))</f>
        <v>0</v>
      </c>
      <c r="AD183" s="407" t="s">
        <v>798</v>
      </c>
      <c r="AE183" s="463">
        <v>49310.0</v>
      </c>
      <c r="AF183" s="469">
        <f>SUMIFS(Income!$G:$G,Income!$H:$H, AF$2,Income!$F:$F, $AD$1, Income!$B:$B, IF($AE183&lt;&gt;"", TEXT($AE183, "MMMM"), ""), Income!$C:$C, YEAR($AE183))</f>
        <v>0</v>
      </c>
      <c r="AG183" s="469">
        <f>SUMIFS(Income!$G:$G,Income!$H:$H, AG$2,Income!$F:$F, $AD$1, Income!$B:$B, IF($AE183&lt;&gt;"", TEXT($AE183, "MMMM"), ""), Income!$C:$C, YEAR($AE183))</f>
        <v>0</v>
      </c>
      <c r="AH183" s="469">
        <f>SUMIFS(Income!$G:$G,Income!$H:$H, AH$2,Income!$F:$F, $AD$1, Income!$B:$B, IF($AE183&lt;&gt;"", TEXT($AE183, "MMMM"), ""), Income!$C:$C, YEAR($AE183))</f>
        <v>0</v>
      </c>
      <c r="AI183" s="469">
        <f>SUMIFS(Income!$G:$G,Income!$H:$H, AI$2,Income!$F:$F, $AD$1, Income!$B:$B, IF($AE183&lt;&gt;"", TEXT($AE183, "MMMM"), ""), Income!$C:$C, YEAR($AE183))</f>
        <v>0</v>
      </c>
      <c r="AJ183" s="464">
        <f>SUMIFS(Income!$G:$G,Income!$H:$H, AJ$2,Income!$F:$F, $AD$1, Income!$B:$B, IF($AE183&lt;&gt;"", TEXT($AE183, "MMMM"), ""), Income!$C:$C, YEAR($AE183))</f>
        <v>0</v>
      </c>
      <c r="AK183" s="470">
        <f>SUMIFS(Income!$G:$G,Income!$H:$H, AK$2,Income!$F:$F, $AD$1, Income!$B:$B, IF($AE183&lt;&gt;"", TEXT($AE183, "MMMM"), ""), Income!$C:$C, YEAR($AE183))</f>
        <v>0</v>
      </c>
      <c r="AL183" s="407" t="s">
        <v>798</v>
      </c>
      <c r="AM183" s="463">
        <v>49310.0</v>
      </c>
      <c r="AN183" s="464">
        <f>SUMIFS(Income!$G:$G,Income!$H:$H, AN$2,Income!$F:$F, $AL$1, Income!$B:$B, IF($AM183&lt;&gt;"", TEXT($AM183, "MMMM"), ""), Income!$C:$C, YEAR($AM183))+SUMIFS($T:$T, $U:$U,AN$2,$Q:$Q,IF($AM183&lt;&gt;"", TEXT($AM183, "MMMM"), ""),$R:$R,YEAR($AM183))</f>
        <v>0</v>
      </c>
      <c r="AO183" s="464">
        <f>SUMIFS(Income!$G:$G,Income!$H:$H, AO$2,Income!$F:$F, $AL$1, Income!$B:$B, IF($AM183&lt;&gt;"", TEXT($AM183, "MMMM"), ""), Income!$C:$C, YEAR($AM183))+SUMIFS($T:$T, $U:$U,AO$2,$Q:$Q,IF($AM183&lt;&gt;"", TEXT($AM183, "MMMM"), ""),$R:$R,YEAR($AM183))</f>
        <v>0</v>
      </c>
      <c r="AP183" s="464">
        <f>SUMIFS(Income!$G:$G,Income!$H:$H, AP$2,Income!$F:$F, $AL$1, Income!$B:$B, IF($AM183&lt;&gt;"", TEXT($AM183, "MMMM"), ""), Income!$C:$C, YEAR($AM183))+SUMIFS($T:$T, $U:$U,AP$2,$Q:$Q,IF($AM183&lt;&gt;"", TEXT($AM183, "MMMM"), ""),$R:$R,YEAR($AM183))</f>
        <v>0</v>
      </c>
      <c r="AQ183" s="464">
        <f>SUMIFS(Income!$G:$G,Income!$H:$H, AQ$2,Income!$F:$F, $AL$1, Income!$B:$B, IF($AM183&lt;&gt;"", TEXT($AM183, "MMMM"), ""), Income!$C:$C, YEAR($AM183))+SUMIFS($T:$T, $U:$U,AQ$2,$Q:$Q,IF($AM183&lt;&gt;"", TEXT($AM183, "MMMM"), ""),$R:$R,YEAR($AM183))</f>
        <v>0</v>
      </c>
      <c r="AR183" s="464">
        <f>SUMIFS(Income!$G:$G,Income!$H:$H, AR$2,Income!$F:$F, $AL$1, Income!$B:$B, IF($AM183&lt;&gt;"", TEXT($AM183, "MMMM"), ""), Income!$C:$C, YEAR($AM183))+SUMIFS($T:$T, $U:$U,AR$2,$Q:$Q,IF($AM183&lt;&gt;"", TEXT($AM183, "MMMM"), ""),$R:$R,YEAR($AM183))</f>
        <v>0</v>
      </c>
      <c r="AS183" s="467">
        <f>SUMIFS(Income!$G:$G,Income!$H:$H, AS$2,Income!$F:$F, $AL$1, Income!$B:$B, IF($AM183&lt;&gt;"", TEXT($AM183, "MMMM"), ""), Income!$C:$C, YEAR($AM183))+SUMIFS($T:$T, $U:$U,AS$2,$Q:$Q,IF($AM183&lt;&gt;"", TEXT($AM183, "MMMM"), ""),$R:$R,YEAR($AM183))</f>
        <v>0</v>
      </c>
      <c r="AT183" s="407" t="s">
        <v>798</v>
      </c>
      <c r="AU183" s="463">
        <v>49310.0</v>
      </c>
      <c r="AV183" s="469">
        <f>SUMIFS(Income!$G:$G,Income!$H:$H, AV$2,Income!$F:$F, $AT$1, Income!$B:$B, IF($AU183&lt;&gt;"", TEXT($AU183, "MMMM"), ""), Income!$C:$C, YEAR($AU183))</f>
        <v>0</v>
      </c>
      <c r="AW183" s="469">
        <f>SUMIFS(Income!$G:$G,Income!$H:$H, AW$2,Income!$F:$F, $AT$1, Income!$B:$B, IF($AU183&lt;&gt;"", TEXT($AU183, "MMMM"), ""), Income!$C:$C, YEAR($AU183))</f>
        <v>0</v>
      </c>
      <c r="AX183" s="469">
        <f>SUMIFS(Income!$G:$G,Income!$H:$H, AX$2,Income!$F:$F, $AT$1, Income!$B:$B, IF($AU183&lt;&gt;"", TEXT($AU183, "MMMM"), ""), Income!$C:$C, YEAR($AU183))</f>
        <v>0</v>
      </c>
      <c r="AY183" s="469">
        <f>SUMIFS(Income!$G:$G,Income!$H:$H, AY$2,Income!$F:$F, $AT$1, Income!$B:$B, IF($AU183&lt;&gt;"", TEXT($AU183, "MMMM"), ""), Income!$C:$C, YEAR($AU183))</f>
        <v>0</v>
      </c>
      <c r="AZ183" s="464">
        <f>SUMIFS(Income!$G:$G,Income!$H:$H, AZ$2,Income!$F:$F, $AT$1, Income!$B:$B, IF($AU183&lt;&gt;"", TEXT($AU183, "MMMM"), ""), Income!$C:$C, YEAR($AU183))</f>
        <v>0</v>
      </c>
      <c r="BA183" s="471">
        <f>SUMIFS(Income!$G:$G,Income!$H:$H, BA$2,Income!$F:$F, $AT$1, Income!$B:$B, IF($AU183&lt;&gt;"", TEXT($AU183, "MMMM"), ""), Income!$C:$C, YEAR($AU183))</f>
        <v>0</v>
      </c>
      <c r="BB183" s="345"/>
      <c r="BC183" s="345"/>
      <c r="BD183" s="345"/>
      <c r="BE183" s="345"/>
    </row>
    <row r="184" ht="13.5" customHeight="1">
      <c r="A184" s="424">
        <f>'Membership Application List'!A413</f>
        <v>45553.44973</v>
      </c>
      <c r="B184" s="443" t="str">
        <f t="shared" si="6"/>
        <v>September</v>
      </c>
      <c r="C184" s="443">
        <f t="shared" si="7"/>
        <v>2024</v>
      </c>
      <c r="D184" s="426" t="str">
        <f>'Membership Application List'!E413</f>
        <v>Gunjan Shrestha</v>
      </c>
      <c r="E184" s="426">
        <f>IF('Membership Application List'!J413 = "Food/Litter Donation", 0, IF('Membership Application List'!J413 = "$15 Donation, Discord Verification", IF('Membership Application List'!N413 = TRUE, 15, 0)))</f>
        <v>15</v>
      </c>
      <c r="F184" s="426">
        <f>if('Membership Application List'!K413=TRUE, 5,0)</f>
        <v>0</v>
      </c>
      <c r="G184" s="426">
        <f t="shared" si="8"/>
        <v>15</v>
      </c>
      <c r="H184" s="427" t="str">
        <f>'Membership Application List'!L413</f>
        <v>Cash</v>
      </c>
      <c r="I184" s="428"/>
      <c r="J184" s="463">
        <v>49341.0</v>
      </c>
      <c r="K184" s="464">
        <f t="shared" ref="K184:O184" si="142">SUMIFS($G:$G, $H:$H, K$2, $B:$B, IF($J184&lt;&gt;"", TEXT($J184, "MMMM"), ""), $C:$C, YEAR($J184))</f>
        <v>0</v>
      </c>
      <c r="L184" s="464">
        <f t="shared" si="142"/>
        <v>0</v>
      </c>
      <c r="M184" s="464">
        <f t="shared" si="142"/>
        <v>0</v>
      </c>
      <c r="N184" s="464">
        <f t="shared" si="142"/>
        <v>0</v>
      </c>
      <c r="O184" s="465">
        <f t="shared" si="142"/>
        <v>0</v>
      </c>
      <c r="P184" s="414"/>
      <c r="Q184" s="414"/>
      <c r="R184" s="414"/>
      <c r="S184" s="445"/>
      <c r="T184" s="445"/>
      <c r="U184" s="445"/>
      <c r="V184" s="428"/>
      <c r="W184" s="463">
        <v>49341.0</v>
      </c>
      <c r="X184" s="469">
        <f>SUMIFS(Income!$G:$G,Income!$H:$H, X$2,Income!$F:$F, $V$1, Income!$B:$B, IF($W184&lt;&gt;"", TEXT($W184, "MMMM"), ""), Income!$C:$C, YEAR($W184))</f>
        <v>0</v>
      </c>
      <c r="Y184" s="469">
        <f>SUMIFS(Income!$G:$G,Income!$H:$H, Y$2,Income!$F:$F, $V$1, Income!$B:$B, IF($W184&lt;&gt;"", TEXT($W184, "MMMM"), ""), Income!$C:$C, YEAR($W184))</f>
        <v>0</v>
      </c>
      <c r="Z184" s="469">
        <f>SUMIFS(Income!$G:$G,Income!$H:$H, Z$2,Income!$F:$F, $V$1, Income!$B:$B, IF($W184&lt;&gt;"", TEXT($W184, "MMMM"), ""), Income!$C:$C, YEAR($W184))</f>
        <v>0</v>
      </c>
      <c r="AA184" s="469">
        <f>SUMIFS(Income!$G:$G,Income!$H:$H, AA$2,Income!$F:$F, $V$1, Income!$B:$B, IF($W184&lt;&gt;"", TEXT($W184, "MMMM"), ""), Income!$C:$C, YEAR($W184))</f>
        <v>0</v>
      </c>
      <c r="AB184" s="464">
        <f>SUMIFS(Income!$G:$G,Income!$H:$H, AB$2,Income!$F:$F, $V$1, Income!$B:$B, IF($W184&lt;&gt;"", TEXT($W184, "MMMM"), ""), Income!$C:$C, YEAR($W184))</f>
        <v>0</v>
      </c>
      <c r="AC184" s="470">
        <f>SUMIFS(Income!$G:$G,Income!$H:$H, AC$2,Income!$F:$F, $V$1, Income!$B:$B, IF($W184&lt;&gt;"", TEXT($W184, "MMMM"), ""), Income!$C:$C, YEAR($W184))</f>
        <v>0</v>
      </c>
      <c r="AD184" s="428"/>
      <c r="AE184" s="463">
        <v>49341.0</v>
      </c>
      <c r="AF184" s="469">
        <f>SUMIFS(Income!$G:$G,Income!$H:$H, AF$2,Income!$F:$F, $AD$1, Income!$B:$B, IF($AE184&lt;&gt;"", TEXT($AE184, "MMMM"), ""), Income!$C:$C, YEAR($AE184))</f>
        <v>0</v>
      </c>
      <c r="AG184" s="469">
        <f>SUMIFS(Income!$G:$G,Income!$H:$H, AG$2,Income!$F:$F, $AD$1, Income!$B:$B, IF($AE184&lt;&gt;"", TEXT($AE184, "MMMM"), ""), Income!$C:$C, YEAR($AE184))</f>
        <v>0</v>
      </c>
      <c r="AH184" s="469">
        <f>SUMIFS(Income!$G:$G,Income!$H:$H, AH$2,Income!$F:$F, $AD$1, Income!$B:$B, IF($AE184&lt;&gt;"", TEXT($AE184, "MMMM"), ""), Income!$C:$C, YEAR($AE184))</f>
        <v>0</v>
      </c>
      <c r="AI184" s="469">
        <f>SUMIFS(Income!$G:$G,Income!$H:$H, AI$2,Income!$F:$F, $AD$1, Income!$B:$B, IF($AE184&lt;&gt;"", TEXT($AE184, "MMMM"), ""), Income!$C:$C, YEAR($AE184))</f>
        <v>0</v>
      </c>
      <c r="AJ184" s="464">
        <f>SUMIFS(Income!$G:$G,Income!$H:$H, AJ$2,Income!$F:$F, $AD$1, Income!$B:$B, IF($AE184&lt;&gt;"", TEXT($AE184, "MMMM"), ""), Income!$C:$C, YEAR($AE184))</f>
        <v>0</v>
      </c>
      <c r="AK184" s="470">
        <f>SUMIFS(Income!$G:$G,Income!$H:$H, AK$2,Income!$F:$F, $AD$1, Income!$B:$B, IF($AE184&lt;&gt;"", TEXT($AE184, "MMMM"), ""), Income!$C:$C, YEAR($AE184))</f>
        <v>0</v>
      </c>
      <c r="AL184" s="428"/>
      <c r="AM184" s="463">
        <v>49341.0</v>
      </c>
      <c r="AN184" s="464">
        <f>SUMIFS(Income!$G:$G,Income!$H:$H, AN$2,Income!$F:$F, $AL$1, Income!$B:$B, IF($AM184&lt;&gt;"", TEXT($AM184, "MMMM"), ""), Income!$C:$C, YEAR($AM184))+SUMIFS($T:$T, $U:$U,AN$2,$Q:$Q,IF($AM184&lt;&gt;"", TEXT($AM184, "MMMM"), ""),$R:$R,YEAR($AM184))</f>
        <v>0</v>
      </c>
      <c r="AO184" s="464">
        <f>SUMIFS(Income!$G:$G,Income!$H:$H, AO$2,Income!$F:$F, $AL$1, Income!$B:$B, IF($AM184&lt;&gt;"", TEXT($AM184, "MMMM"), ""), Income!$C:$C, YEAR($AM184))+SUMIFS($T:$T, $U:$U,AO$2,$Q:$Q,IF($AM184&lt;&gt;"", TEXT($AM184, "MMMM"), ""),$R:$R,YEAR($AM184))</f>
        <v>0</v>
      </c>
      <c r="AP184" s="464">
        <f>SUMIFS(Income!$G:$G,Income!$H:$H, AP$2,Income!$F:$F, $AL$1, Income!$B:$B, IF($AM184&lt;&gt;"", TEXT($AM184, "MMMM"), ""), Income!$C:$C, YEAR($AM184))+SUMIFS($T:$T, $U:$U,AP$2,$Q:$Q,IF($AM184&lt;&gt;"", TEXT($AM184, "MMMM"), ""),$R:$R,YEAR($AM184))</f>
        <v>0</v>
      </c>
      <c r="AQ184" s="464">
        <f>SUMIFS(Income!$G:$G,Income!$H:$H, AQ$2,Income!$F:$F, $AL$1, Income!$B:$B, IF($AM184&lt;&gt;"", TEXT($AM184, "MMMM"), ""), Income!$C:$C, YEAR($AM184))+SUMIFS($T:$T, $U:$U,AQ$2,$Q:$Q,IF($AM184&lt;&gt;"", TEXT($AM184, "MMMM"), ""),$R:$R,YEAR($AM184))</f>
        <v>0</v>
      </c>
      <c r="AR184" s="464">
        <f>SUMIFS(Income!$G:$G,Income!$H:$H, AR$2,Income!$F:$F, $AL$1, Income!$B:$B, IF($AM184&lt;&gt;"", TEXT($AM184, "MMMM"), ""), Income!$C:$C, YEAR($AM184))+SUMIFS($T:$T, $U:$U,AR$2,$Q:$Q,IF($AM184&lt;&gt;"", TEXT($AM184, "MMMM"), ""),$R:$R,YEAR($AM184))</f>
        <v>0</v>
      </c>
      <c r="AS184" s="467">
        <f>SUMIFS(Income!$G:$G,Income!$H:$H, AS$2,Income!$F:$F, $AL$1, Income!$B:$B, IF($AM184&lt;&gt;"", TEXT($AM184, "MMMM"), ""), Income!$C:$C, YEAR($AM184))+SUMIFS($T:$T, $U:$U,AS$2,$Q:$Q,IF($AM184&lt;&gt;"", TEXT($AM184, "MMMM"), ""),$R:$R,YEAR($AM184))</f>
        <v>0</v>
      </c>
      <c r="AT184" s="428"/>
      <c r="AU184" s="463">
        <v>49341.0</v>
      </c>
      <c r="AV184" s="469">
        <f>SUMIFS(Income!$G:$G,Income!$H:$H, AV$2,Income!$F:$F, $AT$1, Income!$B:$B, IF($AU184&lt;&gt;"", TEXT($AU184, "MMMM"), ""), Income!$C:$C, YEAR($AU184))</f>
        <v>0</v>
      </c>
      <c r="AW184" s="469">
        <f>SUMIFS(Income!$G:$G,Income!$H:$H, AW$2,Income!$F:$F, $AT$1, Income!$B:$B, IF($AU184&lt;&gt;"", TEXT($AU184, "MMMM"), ""), Income!$C:$C, YEAR($AU184))</f>
        <v>0</v>
      </c>
      <c r="AX184" s="469">
        <f>SUMIFS(Income!$G:$G,Income!$H:$H, AX$2,Income!$F:$F, $AT$1, Income!$B:$B, IF($AU184&lt;&gt;"", TEXT($AU184, "MMMM"), ""), Income!$C:$C, YEAR($AU184))</f>
        <v>0</v>
      </c>
      <c r="AY184" s="469">
        <f>SUMIFS(Income!$G:$G,Income!$H:$H, AY$2,Income!$F:$F, $AT$1, Income!$B:$B, IF($AU184&lt;&gt;"", TEXT($AU184, "MMMM"), ""), Income!$C:$C, YEAR($AU184))</f>
        <v>0</v>
      </c>
      <c r="AZ184" s="464">
        <f>SUMIFS(Income!$G:$G,Income!$H:$H, AZ$2,Income!$F:$F, $AT$1, Income!$B:$B, IF($AU184&lt;&gt;"", TEXT($AU184, "MMMM"), ""), Income!$C:$C, YEAR($AU184))</f>
        <v>0</v>
      </c>
      <c r="BA184" s="471">
        <f>SUMIFS(Income!$G:$G,Income!$H:$H, BA$2,Income!$F:$F, $AT$1, Income!$B:$B, IF($AU184&lt;&gt;"", TEXT($AU184, "MMMM"), ""), Income!$C:$C, YEAR($AU184))</f>
        <v>0</v>
      </c>
      <c r="BB184" s="345"/>
      <c r="BC184" s="345"/>
      <c r="BD184" s="345"/>
      <c r="BE184" s="345"/>
    </row>
    <row r="185" ht="13.5" customHeight="1">
      <c r="A185" s="436">
        <f>'Membership Application List'!A414</f>
        <v>45554.56003</v>
      </c>
      <c r="B185" s="437" t="str">
        <f t="shared" si="6"/>
        <v>September</v>
      </c>
      <c r="C185" s="437">
        <f t="shared" si="7"/>
        <v>2024</v>
      </c>
      <c r="D185" s="438" t="str">
        <f>'Membership Application List'!E414</f>
        <v>Mia Reyes</v>
      </c>
      <c r="E185" s="438">
        <f>IF('Membership Application List'!J414 = "Food/Litter Donation", 0, IF('Membership Application List'!J414 = "$15 Donation, Discord Verification", IF('Membership Application List'!N414 = TRUE, 15, 0)))</f>
        <v>15</v>
      </c>
      <c r="F185" s="438">
        <f>if('Membership Application List'!K414=TRUE, 5,0)</f>
        <v>0</v>
      </c>
      <c r="G185" s="438">
        <f t="shared" si="8"/>
        <v>15</v>
      </c>
      <c r="H185" s="439" t="str">
        <f>'Membership Application List'!L414</f>
        <v>Paypal</v>
      </c>
      <c r="I185" s="428"/>
      <c r="J185" s="463">
        <v>49369.0</v>
      </c>
      <c r="K185" s="464">
        <f t="shared" ref="K185:O185" si="143">SUMIFS($G:$G, $H:$H, K$2, $B:$B, IF($J185&lt;&gt;"", TEXT($J185, "MMMM"), ""), $C:$C, YEAR($J185))</f>
        <v>0</v>
      </c>
      <c r="L185" s="464">
        <f t="shared" si="143"/>
        <v>0</v>
      </c>
      <c r="M185" s="464">
        <f t="shared" si="143"/>
        <v>0</v>
      </c>
      <c r="N185" s="464">
        <f t="shared" si="143"/>
        <v>0</v>
      </c>
      <c r="O185" s="465">
        <f t="shared" si="143"/>
        <v>0</v>
      </c>
      <c r="P185" s="414"/>
      <c r="Q185" s="414"/>
      <c r="R185" s="414"/>
      <c r="S185" s="445"/>
      <c r="T185" s="445"/>
      <c r="U185" s="445"/>
      <c r="V185" s="428"/>
      <c r="W185" s="463">
        <v>49369.0</v>
      </c>
      <c r="X185" s="469">
        <f>SUMIFS(Income!$G:$G,Income!$H:$H, X$2,Income!$F:$F, $V$1, Income!$B:$B, IF($W185&lt;&gt;"", TEXT($W185, "MMMM"), ""), Income!$C:$C, YEAR($W185))</f>
        <v>0</v>
      </c>
      <c r="Y185" s="469">
        <f>SUMIFS(Income!$G:$G,Income!$H:$H, Y$2,Income!$F:$F, $V$1, Income!$B:$B, IF($W185&lt;&gt;"", TEXT($W185, "MMMM"), ""), Income!$C:$C, YEAR($W185))</f>
        <v>0</v>
      </c>
      <c r="Z185" s="469">
        <f>SUMIFS(Income!$G:$G,Income!$H:$H, Z$2,Income!$F:$F, $V$1, Income!$B:$B, IF($W185&lt;&gt;"", TEXT($W185, "MMMM"), ""), Income!$C:$C, YEAR($W185))</f>
        <v>0</v>
      </c>
      <c r="AA185" s="469">
        <f>SUMIFS(Income!$G:$G,Income!$H:$H, AA$2,Income!$F:$F, $V$1, Income!$B:$B, IF($W185&lt;&gt;"", TEXT($W185, "MMMM"), ""), Income!$C:$C, YEAR($W185))</f>
        <v>0</v>
      </c>
      <c r="AB185" s="464">
        <f>SUMIFS(Income!$G:$G,Income!$H:$H, AB$2,Income!$F:$F, $V$1, Income!$B:$B, IF($W185&lt;&gt;"", TEXT($W185, "MMMM"), ""), Income!$C:$C, YEAR($W185))</f>
        <v>0</v>
      </c>
      <c r="AC185" s="470">
        <f>SUMIFS(Income!$G:$G,Income!$H:$H, AC$2,Income!$F:$F, $V$1, Income!$B:$B, IF($W185&lt;&gt;"", TEXT($W185, "MMMM"), ""), Income!$C:$C, YEAR($W185))</f>
        <v>0</v>
      </c>
      <c r="AD185" s="428"/>
      <c r="AE185" s="463">
        <v>49369.0</v>
      </c>
      <c r="AF185" s="469">
        <f>SUMIFS(Income!$G:$G,Income!$H:$H, AF$2,Income!$F:$F, $AD$1, Income!$B:$B, IF($AE185&lt;&gt;"", TEXT($AE185, "MMMM"), ""), Income!$C:$C, YEAR($AE185))</f>
        <v>0</v>
      </c>
      <c r="AG185" s="469">
        <f>SUMIFS(Income!$G:$G,Income!$H:$H, AG$2,Income!$F:$F, $AD$1, Income!$B:$B, IF($AE185&lt;&gt;"", TEXT($AE185, "MMMM"), ""), Income!$C:$C, YEAR($AE185))</f>
        <v>0</v>
      </c>
      <c r="AH185" s="469">
        <f>SUMIFS(Income!$G:$G,Income!$H:$H, AH$2,Income!$F:$F, $AD$1, Income!$B:$B, IF($AE185&lt;&gt;"", TEXT($AE185, "MMMM"), ""), Income!$C:$C, YEAR($AE185))</f>
        <v>0</v>
      </c>
      <c r="AI185" s="469">
        <f>SUMIFS(Income!$G:$G,Income!$H:$H, AI$2,Income!$F:$F, $AD$1, Income!$B:$B, IF($AE185&lt;&gt;"", TEXT($AE185, "MMMM"), ""), Income!$C:$C, YEAR($AE185))</f>
        <v>0</v>
      </c>
      <c r="AJ185" s="464">
        <f>SUMIFS(Income!$G:$G,Income!$H:$H, AJ$2,Income!$F:$F, $AD$1, Income!$B:$B, IF($AE185&lt;&gt;"", TEXT($AE185, "MMMM"), ""), Income!$C:$C, YEAR($AE185))</f>
        <v>0</v>
      </c>
      <c r="AK185" s="470">
        <f>SUMIFS(Income!$G:$G,Income!$H:$H, AK$2,Income!$F:$F, $AD$1, Income!$B:$B, IF($AE185&lt;&gt;"", TEXT($AE185, "MMMM"), ""), Income!$C:$C, YEAR($AE185))</f>
        <v>0</v>
      </c>
      <c r="AL185" s="428"/>
      <c r="AM185" s="463">
        <v>49369.0</v>
      </c>
      <c r="AN185" s="464">
        <f>SUMIFS(Income!$G:$G,Income!$H:$H, AN$2,Income!$F:$F, $AL$1, Income!$B:$B, IF($AM185&lt;&gt;"", TEXT($AM185, "MMMM"), ""), Income!$C:$C, YEAR($AM185))+SUMIFS($T:$T, $U:$U,AN$2,$Q:$Q,IF($AM185&lt;&gt;"", TEXT($AM185, "MMMM"), ""),$R:$R,YEAR($AM185))</f>
        <v>0</v>
      </c>
      <c r="AO185" s="464">
        <f>SUMIFS(Income!$G:$G,Income!$H:$H, AO$2,Income!$F:$F, $AL$1, Income!$B:$B, IF($AM185&lt;&gt;"", TEXT($AM185, "MMMM"), ""), Income!$C:$C, YEAR($AM185))+SUMIFS($T:$T, $U:$U,AO$2,$Q:$Q,IF($AM185&lt;&gt;"", TEXT($AM185, "MMMM"), ""),$R:$R,YEAR($AM185))</f>
        <v>0</v>
      </c>
      <c r="AP185" s="464">
        <f>SUMIFS(Income!$G:$G,Income!$H:$H, AP$2,Income!$F:$F, $AL$1, Income!$B:$B, IF($AM185&lt;&gt;"", TEXT($AM185, "MMMM"), ""), Income!$C:$C, YEAR($AM185))+SUMIFS($T:$T, $U:$U,AP$2,$Q:$Q,IF($AM185&lt;&gt;"", TEXT($AM185, "MMMM"), ""),$R:$R,YEAR($AM185))</f>
        <v>0</v>
      </c>
      <c r="AQ185" s="464">
        <f>SUMIFS(Income!$G:$G,Income!$H:$H, AQ$2,Income!$F:$F, $AL$1, Income!$B:$B, IF($AM185&lt;&gt;"", TEXT($AM185, "MMMM"), ""), Income!$C:$C, YEAR($AM185))+SUMIFS($T:$T, $U:$U,AQ$2,$Q:$Q,IF($AM185&lt;&gt;"", TEXT($AM185, "MMMM"), ""),$R:$R,YEAR($AM185))</f>
        <v>0</v>
      </c>
      <c r="AR185" s="464">
        <f>SUMIFS(Income!$G:$G,Income!$H:$H, AR$2,Income!$F:$F, $AL$1, Income!$B:$B, IF($AM185&lt;&gt;"", TEXT($AM185, "MMMM"), ""), Income!$C:$C, YEAR($AM185))+SUMIFS($T:$T, $U:$U,AR$2,$Q:$Q,IF($AM185&lt;&gt;"", TEXT($AM185, "MMMM"), ""),$R:$R,YEAR($AM185))</f>
        <v>0</v>
      </c>
      <c r="AS185" s="467">
        <f>SUMIFS(Income!$G:$G,Income!$H:$H, AS$2,Income!$F:$F, $AL$1, Income!$B:$B, IF($AM185&lt;&gt;"", TEXT($AM185, "MMMM"), ""), Income!$C:$C, YEAR($AM185))+SUMIFS($T:$T, $U:$U,AS$2,$Q:$Q,IF($AM185&lt;&gt;"", TEXT($AM185, "MMMM"), ""),$R:$R,YEAR($AM185))</f>
        <v>0</v>
      </c>
      <c r="AT185" s="428"/>
      <c r="AU185" s="463">
        <v>49369.0</v>
      </c>
      <c r="AV185" s="469">
        <f>SUMIFS(Income!$G:$G,Income!$H:$H, AV$2,Income!$F:$F, $AT$1, Income!$B:$B, IF($AU185&lt;&gt;"", TEXT($AU185, "MMMM"), ""), Income!$C:$C, YEAR($AU185))</f>
        <v>0</v>
      </c>
      <c r="AW185" s="469">
        <f>SUMIFS(Income!$G:$G,Income!$H:$H, AW$2,Income!$F:$F, $AT$1, Income!$B:$B, IF($AU185&lt;&gt;"", TEXT($AU185, "MMMM"), ""), Income!$C:$C, YEAR($AU185))</f>
        <v>0</v>
      </c>
      <c r="AX185" s="469">
        <f>SUMIFS(Income!$G:$G,Income!$H:$H, AX$2,Income!$F:$F, $AT$1, Income!$B:$B, IF($AU185&lt;&gt;"", TEXT($AU185, "MMMM"), ""), Income!$C:$C, YEAR($AU185))</f>
        <v>0</v>
      </c>
      <c r="AY185" s="469">
        <f>SUMIFS(Income!$G:$G,Income!$H:$H, AY$2,Income!$F:$F, $AT$1, Income!$B:$B, IF($AU185&lt;&gt;"", TEXT($AU185, "MMMM"), ""), Income!$C:$C, YEAR($AU185))</f>
        <v>0</v>
      </c>
      <c r="AZ185" s="464">
        <f>SUMIFS(Income!$G:$G,Income!$H:$H, AZ$2,Income!$F:$F, $AT$1, Income!$B:$B, IF($AU185&lt;&gt;"", TEXT($AU185, "MMMM"), ""), Income!$C:$C, YEAR($AU185))</f>
        <v>0</v>
      </c>
      <c r="BA185" s="471">
        <f>SUMIFS(Income!$G:$G,Income!$H:$H, BA$2,Income!$F:$F, $AT$1, Income!$B:$B, IF($AU185&lt;&gt;"", TEXT($AU185, "MMMM"), ""), Income!$C:$C, YEAR($AU185))</f>
        <v>0</v>
      </c>
      <c r="BB185" s="345"/>
      <c r="BC185" s="345"/>
      <c r="BD185" s="345"/>
      <c r="BE185" s="345"/>
    </row>
    <row r="186" ht="13.5" customHeight="1">
      <c r="A186" s="424">
        <f>'Membership Application List'!A415</f>
        <v>45554.74083</v>
      </c>
      <c r="B186" s="443" t="str">
        <f t="shared" si="6"/>
        <v>September</v>
      </c>
      <c r="C186" s="443">
        <f t="shared" si="7"/>
        <v>2024</v>
      </c>
      <c r="D186" s="426" t="str">
        <f>'Membership Application List'!E415</f>
        <v>Julia-Brittney Boma</v>
      </c>
      <c r="E186" s="426">
        <f>IF('Membership Application List'!J415 = "Food/Litter Donation", 0, IF('Membership Application List'!J415 = "$15 Donation, Discord Verification", IF('Membership Application List'!N415 = TRUE, 15, 0)))</f>
        <v>15</v>
      </c>
      <c r="F186" s="426">
        <f>if('Membership Application List'!K415=TRUE, 5,0)</f>
        <v>0</v>
      </c>
      <c r="G186" s="426">
        <f t="shared" si="8"/>
        <v>15</v>
      </c>
      <c r="H186" s="427" t="str">
        <f>'Membership Application List'!L415</f>
        <v>Cashapp</v>
      </c>
      <c r="I186" s="428"/>
      <c r="J186" s="463">
        <v>49400.0</v>
      </c>
      <c r="K186" s="464">
        <f t="shared" ref="K186:O186" si="144">SUMIFS($G:$G, $H:$H, K$2, $B:$B, IF($J186&lt;&gt;"", TEXT($J186, "MMMM"), ""), $C:$C, YEAR($J186))</f>
        <v>0</v>
      </c>
      <c r="L186" s="464">
        <f t="shared" si="144"/>
        <v>0</v>
      </c>
      <c r="M186" s="464">
        <f t="shared" si="144"/>
        <v>0</v>
      </c>
      <c r="N186" s="464">
        <f t="shared" si="144"/>
        <v>0</v>
      </c>
      <c r="O186" s="465">
        <f t="shared" si="144"/>
        <v>0</v>
      </c>
      <c r="P186" s="414"/>
      <c r="Q186" s="414"/>
      <c r="R186" s="414"/>
      <c r="S186" s="445"/>
      <c r="T186" s="445"/>
      <c r="U186" s="445"/>
      <c r="V186" s="428"/>
      <c r="W186" s="463">
        <v>49400.0</v>
      </c>
      <c r="X186" s="469">
        <f>SUMIFS(Income!$G:$G,Income!$H:$H, X$2,Income!$F:$F, $V$1, Income!$B:$B, IF($W186&lt;&gt;"", TEXT($W186, "MMMM"), ""), Income!$C:$C, YEAR($W186))</f>
        <v>0</v>
      </c>
      <c r="Y186" s="469">
        <f>SUMIFS(Income!$G:$G,Income!$H:$H, Y$2,Income!$F:$F, $V$1, Income!$B:$B, IF($W186&lt;&gt;"", TEXT($W186, "MMMM"), ""), Income!$C:$C, YEAR($W186))</f>
        <v>0</v>
      </c>
      <c r="Z186" s="469">
        <f>SUMIFS(Income!$G:$G,Income!$H:$H, Z$2,Income!$F:$F, $V$1, Income!$B:$B, IF($W186&lt;&gt;"", TEXT($W186, "MMMM"), ""), Income!$C:$C, YEAR($W186))</f>
        <v>0</v>
      </c>
      <c r="AA186" s="469">
        <f>SUMIFS(Income!$G:$G,Income!$H:$H, AA$2,Income!$F:$F, $V$1, Income!$B:$B, IF($W186&lt;&gt;"", TEXT($W186, "MMMM"), ""), Income!$C:$C, YEAR($W186))</f>
        <v>0</v>
      </c>
      <c r="AB186" s="464">
        <f>SUMIFS(Income!$G:$G,Income!$H:$H, AB$2,Income!$F:$F, $V$1, Income!$B:$B, IF($W186&lt;&gt;"", TEXT($W186, "MMMM"), ""), Income!$C:$C, YEAR($W186))</f>
        <v>0</v>
      </c>
      <c r="AC186" s="470">
        <f>SUMIFS(Income!$G:$G,Income!$H:$H, AC$2,Income!$F:$F, $V$1, Income!$B:$B, IF($W186&lt;&gt;"", TEXT($W186, "MMMM"), ""), Income!$C:$C, YEAR($W186))</f>
        <v>0</v>
      </c>
      <c r="AD186" s="428"/>
      <c r="AE186" s="463">
        <v>49400.0</v>
      </c>
      <c r="AF186" s="469">
        <f>SUMIFS(Income!$G:$G,Income!$H:$H, AF$2,Income!$F:$F, $AD$1, Income!$B:$B, IF($AE186&lt;&gt;"", TEXT($AE186, "MMMM"), ""), Income!$C:$C, YEAR($AE186))</f>
        <v>0</v>
      </c>
      <c r="AG186" s="469">
        <f>SUMIFS(Income!$G:$G,Income!$H:$H, AG$2,Income!$F:$F, $AD$1, Income!$B:$B, IF($AE186&lt;&gt;"", TEXT($AE186, "MMMM"), ""), Income!$C:$C, YEAR($AE186))</f>
        <v>0</v>
      </c>
      <c r="AH186" s="469">
        <f>SUMIFS(Income!$G:$G,Income!$H:$H, AH$2,Income!$F:$F, $AD$1, Income!$B:$B, IF($AE186&lt;&gt;"", TEXT($AE186, "MMMM"), ""), Income!$C:$C, YEAR($AE186))</f>
        <v>0</v>
      </c>
      <c r="AI186" s="469">
        <f>SUMIFS(Income!$G:$G,Income!$H:$H, AI$2,Income!$F:$F, $AD$1, Income!$B:$B, IF($AE186&lt;&gt;"", TEXT($AE186, "MMMM"), ""), Income!$C:$C, YEAR($AE186))</f>
        <v>0</v>
      </c>
      <c r="AJ186" s="464">
        <f>SUMIFS(Income!$G:$G,Income!$H:$H, AJ$2,Income!$F:$F, $AD$1, Income!$B:$B, IF($AE186&lt;&gt;"", TEXT($AE186, "MMMM"), ""), Income!$C:$C, YEAR($AE186))</f>
        <v>0</v>
      </c>
      <c r="AK186" s="470">
        <f>SUMIFS(Income!$G:$G,Income!$H:$H, AK$2,Income!$F:$F, $AD$1, Income!$B:$B, IF($AE186&lt;&gt;"", TEXT($AE186, "MMMM"), ""), Income!$C:$C, YEAR($AE186))</f>
        <v>0</v>
      </c>
      <c r="AL186" s="428"/>
      <c r="AM186" s="463">
        <v>49400.0</v>
      </c>
      <c r="AN186" s="464">
        <f>SUMIFS(Income!$G:$G,Income!$H:$H, AN$2,Income!$F:$F, $AL$1, Income!$B:$B, IF($AM186&lt;&gt;"", TEXT($AM186, "MMMM"), ""), Income!$C:$C, YEAR($AM186))+SUMIFS($T:$T, $U:$U,AN$2,$Q:$Q,IF($AM186&lt;&gt;"", TEXT($AM186, "MMMM"), ""),$R:$R,YEAR($AM186))</f>
        <v>0</v>
      </c>
      <c r="AO186" s="464">
        <f>SUMIFS(Income!$G:$G,Income!$H:$H, AO$2,Income!$F:$F, $AL$1, Income!$B:$B, IF($AM186&lt;&gt;"", TEXT($AM186, "MMMM"), ""), Income!$C:$C, YEAR($AM186))+SUMIFS($T:$T, $U:$U,AO$2,$Q:$Q,IF($AM186&lt;&gt;"", TEXT($AM186, "MMMM"), ""),$R:$R,YEAR($AM186))</f>
        <v>0</v>
      </c>
      <c r="AP186" s="464">
        <f>SUMIFS(Income!$G:$G,Income!$H:$H, AP$2,Income!$F:$F, $AL$1, Income!$B:$B, IF($AM186&lt;&gt;"", TEXT($AM186, "MMMM"), ""), Income!$C:$C, YEAR($AM186))+SUMIFS($T:$T, $U:$U,AP$2,$Q:$Q,IF($AM186&lt;&gt;"", TEXT($AM186, "MMMM"), ""),$R:$R,YEAR($AM186))</f>
        <v>0</v>
      </c>
      <c r="AQ186" s="464">
        <f>SUMIFS(Income!$G:$G,Income!$H:$H, AQ$2,Income!$F:$F, $AL$1, Income!$B:$B, IF($AM186&lt;&gt;"", TEXT($AM186, "MMMM"), ""), Income!$C:$C, YEAR($AM186))+SUMIFS($T:$T, $U:$U,AQ$2,$Q:$Q,IF($AM186&lt;&gt;"", TEXT($AM186, "MMMM"), ""),$R:$R,YEAR($AM186))</f>
        <v>0</v>
      </c>
      <c r="AR186" s="464">
        <f>SUMIFS(Income!$G:$G,Income!$H:$H, AR$2,Income!$F:$F, $AL$1, Income!$B:$B, IF($AM186&lt;&gt;"", TEXT($AM186, "MMMM"), ""), Income!$C:$C, YEAR($AM186))+SUMIFS($T:$T, $U:$U,AR$2,$Q:$Q,IF($AM186&lt;&gt;"", TEXT($AM186, "MMMM"), ""),$R:$R,YEAR($AM186))</f>
        <v>0</v>
      </c>
      <c r="AS186" s="467">
        <f>SUMIFS(Income!$G:$G,Income!$H:$H, AS$2,Income!$F:$F, $AL$1, Income!$B:$B, IF($AM186&lt;&gt;"", TEXT($AM186, "MMMM"), ""), Income!$C:$C, YEAR($AM186))+SUMIFS($T:$T, $U:$U,AS$2,$Q:$Q,IF($AM186&lt;&gt;"", TEXT($AM186, "MMMM"), ""),$R:$R,YEAR($AM186))</f>
        <v>0</v>
      </c>
      <c r="AT186" s="428"/>
      <c r="AU186" s="463">
        <v>49400.0</v>
      </c>
      <c r="AV186" s="469">
        <f>SUMIFS(Income!$G:$G,Income!$H:$H, AV$2,Income!$F:$F, $AT$1, Income!$B:$B, IF($AU186&lt;&gt;"", TEXT($AU186, "MMMM"), ""), Income!$C:$C, YEAR($AU186))</f>
        <v>0</v>
      </c>
      <c r="AW186" s="469">
        <f>SUMIFS(Income!$G:$G,Income!$H:$H, AW$2,Income!$F:$F, $AT$1, Income!$B:$B, IF($AU186&lt;&gt;"", TEXT($AU186, "MMMM"), ""), Income!$C:$C, YEAR($AU186))</f>
        <v>0</v>
      </c>
      <c r="AX186" s="469">
        <f>SUMIFS(Income!$G:$G,Income!$H:$H, AX$2,Income!$F:$F, $AT$1, Income!$B:$B, IF($AU186&lt;&gt;"", TEXT($AU186, "MMMM"), ""), Income!$C:$C, YEAR($AU186))</f>
        <v>0</v>
      </c>
      <c r="AY186" s="469">
        <f>SUMIFS(Income!$G:$G,Income!$H:$H, AY$2,Income!$F:$F, $AT$1, Income!$B:$B, IF($AU186&lt;&gt;"", TEXT($AU186, "MMMM"), ""), Income!$C:$C, YEAR($AU186))</f>
        <v>0</v>
      </c>
      <c r="AZ186" s="464">
        <f>SUMIFS(Income!$G:$G,Income!$H:$H, AZ$2,Income!$F:$F, $AT$1, Income!$B:$B, IF($AU186&lt;&gt;"", TEXT($AU186, "MMMM"), ""), Income!$C:$C, YEAR($AU186))</f>
        <v>0</v>
      </c>
      <c r="BA186" s="471">
        <f>SUMIFS(Income!$G:$G,Income!$H:$H, BA$2,Income!$F:$F, $AT$1, Income!$B:$B, IF($AU186&lt;&gt;"", TEXT($AU186, "MMMM"), ""), Income!$C:$C, YEAR($AU186))</f>
        <v>0</v>
      </c>
      <c r="BB186" s="345"/>
      <c r="BC186" s="345"/>
      <c r="BD186" s="345"/>
      <c r="BE186" s="345"/>
    </row>
    <row r="187" ht="13.5" customHeight="1">
      <c r="A187" s="436">
        <f>'Membership Application List'!A416</f>
        <v>45555.30878</v>
      </c>
      <c r="B187" s="437" t="str">
        <f t="shared" si="6"/>
        <v>September</v>
      </c>
      <c r="C187" s="437">
        <f t="shared" si="7"/>
        <v>2024</v>
      </c>
      <c r="D187" s="438" t="str">
        <f>'Membership Application List'!E416</f>
        <v>Arriana Mattingly Gonzalez</v>
      </c>
      <c r="E187" s="438">
        <f>IF('Membership Application List'!J416 = "Food/Litter Donation", 0, IF('Membership Application List'!J416 = "$15 Donation, Discord Verification", IF('Membership Application List'!N416 = TRUE, 15, 0)))</f>
        <v>15</v>
      </c>
      <c r="F187" s="438">
        <f>if('Membership Application List'!K416=TRUE, 5,0)</f>
        <v>0</v>
      </c>
      <c r="G187" s="438">
        <f t="shared" si="8"/>
        <v>15</v>
      </c>
      <c r="H187" s="439" t="str">
        <f>'Membership Application List'!L416</f>
        <v>Cash</v>
      </c>
      <c r="I187" s="428"/>
      <c r="J187" s="463">
        <v>49430.0</v>
      </c>
      <c r="K187" s="464">
        <f t="shared" ref="K187:O187" si="145">SUMIFS($G:$G, $H:$H, K$2, $B:$B, IF($J187&lt;&gt;"", TEXT($J187, "MMMM"), ""), $C:$C, YEAR($J187))</f>
        <v>0</v>
      </c>
      <c r="L187" s="464">
        <f t="shared" si="145"/>
        <v>0</v>
      </c>
      <c r="M187" s="464">
        <f t="shared" si="145"/>
        <v>0</v>
      </c>
      <c r="N187" s="464">
        <f t="shared" si="145"/>
        <v>0</v>
      </c>
      <c r="O187" s="465">
        <f t="shared" si="145"/>
        <v>0</v>
      </c>
      <c r="P187" s="414"/>
      <c r="Q187" s="414"/>
      <c r="R187" s="414"/>
      <c r="S187" s="445"/>
      <c r="T187" s="445"/>
      <c r="U187" s="445"/>
      <c r="V187" s="428"/>
      <c r="W187" s="463">
        <v>49430.0</v>
      </c>
      <c r="X187" s="469">
        <f>SUMIFS(Income!$G:$G,Income!$H:$H, X$2,Income!$F:$F, $V$1, Income!$B:$B, IF($W187&lt;&gt;"", TEXT($W187, "MMMM"), ""), Income!$C:$C, YEAR($W187))</f>
        <v>0</v>
      </c>
      <c r="Y187" s="469">
        <f>SUMIFS(Income!$G:$G,Income!$H:$H, Y$2,Income!$F:$F, $V$1, Income!$B:$B, IF($W187&lt;&gt;"", TEXT($W187, "MMMM"), ""), Income!$C:$C, YEAR($W187))</f>
        <v>0</v>
      </c>
      <c r="Z187" s="469">
        <f>SUMIFS(Income!$G:$G,Income!$H:$H, Z$2,Income!$F:$F, $V$1, Income!$B:$B, IF($W187&lt;&gt;"", TEXT($W187, "MMMM"), ""), Income!$C:$C, YEAR($W187))</f>
        <v>0</v>
      </c>
      <c r="AA187" s="469">
        <f>SUMIFS(Income!$G:$G,Income!$H:$H, AA$2,Income!$F:$F, $V$1, Income!$B:$B, IF($W187&lt;&gt;"", TEXT($W187, "MMMM"), ""), Income!$C:$C, YEAR($W187))</f>
        <v>0</v>
      </c>
      <c r="AB187" s="464">
        <f>SUMIFS(Income!$G:$G,Income!$H:$H, AB$2,Income!$F:$F, $V$1, Income!$B:$B, IF($W187&lt;&gt;"", TEXT($W187, "MMMM"), ""), Income!$C:$C, YEAR($W187))</f>
        <v>0</v>
      </c>
      <c r="AC187" s="470">
        <f>SUMIFS(Income!$G:$G,Income!$H:$H, AC$2,Income!$F:$F, $V$1, Income!$B:$B, IF($W187&lt;&gt;"", TEXT($W187, "MMMM"), ""), Income!$C:$C, YEAR($W187))</f>
        <v>0</v>
      </c>
      <c r="AD187" s="428"/>
      <c r="AE187" s="463">
        <v>49430.0</v>
      </c>
      <c r="AF187" s="469">
        <f>SUMIFS(Income!$G:$G,Income!$H:$H, AF$2,Income!$F:$F, $AD$1, Income!$B:$B, IF($AE187&lt;&gt;"", TEXT($AE187, "MMMM"), ""), Income!$C:$C, YEAR($AE187))</f>
        <v>0</v>
      </c>
      <c r="AG187" s="469">
        <f>SUMIFS(Income!$G:$G,Income!$H:$H, AG$2,Income!$F:$F, $AD$1, Income!$B:$B, IF($AE187&lt;&gt;"", TEXT($AE187, "MMMM"), ""), Income!$C:$C, YEAR($AE187))</f>
        <v>0</v>
      </c>
      <c r="AH187" s="469">
        <f>SUMIFS(Income!$G:$G,Income!$H:$H, AH$2,Income!$F:$F, $AD$1, Income!$B:$B, IF($AE187&lt;&gt;"", TEXT($AE187, "MMMM"), ""), Income!$C:$C, YEAR($AE187))</f>
        <v>0</v>
      </c>
      <c r="AI187" s="469">
        <f>SUMIFS(Income!$G:$G,Income!$H:$H, AI$2,Income!$F:$F, $AD$1, Income!$B:$B, IF($AE187&lt;&gt;"", TEXT($AE187, "MMMM"), ""), Income!$C:$C, YEAR($AE187))</f>
        <v>0</v>
      </c>
      <c r="AJ187" s="464">
        <f>SUMIFS(Income!$G:$G,Income!$H:$H, AJ$2,Income!$F:$F, $AD$1, Income!$B:$B, IF($AE187&lt;&gt;"", TEXT($AE187, "MMMM"), ""), Income!$C:$C, YEAR($AE187))</f>
        <v>0</v>
      </c>
      <c r="AK187" s="470">
        <f>SUMIFS(Income!$G:$G,Income!$H:$H, AK$2,Income!$F:$F, $AD$1, Income!$B:$B, IF($AE187&lt;&gt;"", TEXT($AE187, "MMMM"), ""), Income!$C:$C, YEAR($AE187))</f>
        <v>0</v>
      </c>
      <c r="AL187" s="428"/>
      <c r="AM187" s="463">
        <v>49430.0</v>
      </c>
      <c r="AN187" s="464">
        <f>SUMIFS(Income!$G:$G,Income!$H:$H, AN$2,Income!$F:$F, $AL$1, Income!$B:$B, IF($AM187&lt;&gt;"", TEXT($AM187, "MMMM"), ""), Income!$C:$C, YEAR($AM187))+SUMIFS($T:$T, $U:$U,AN$2,$Q:$Q,IF($AM187&lt;&gt;"", TEXT($AM187, "MMMM"), ""),$R:$R,YEAR($AM187))</f>
        <v>0</v>
      </c>
      <c r="AO187" s="464">
        <f>SUMIFS(Income!$G:$G,Income!$H:$H, AO$2,Income!$F:$F, $AL$1, Income!$B:$B, IF($AM187&lt;&gt;"", TEXT($AM187, "MMMM"), ""), Income!$C:$C, YEAR($AM187))+SUMIFS($T:$T, $U:$U,AO$2,$Q:$Q,IF($AM187&lt;&gt;"", TEXT($AM187, "MMMM"), ""),$R:$R,YEAR($AM187))</f>
        <v>0</v>
      </c>
      <c r="AP187" s="464">
        <f>SUMIFS(Income!$G:$G,Income!$H:$H, AP$2,Income!$F:$F, $AL$1, Income!$B:$B, IF($AM187&lt;&gt;"", TEXT($AM187, "MMMM"), ""), Income!$C:$C, YEAR($AM187))+SUMIFS($T:$T, $U:$U,AP$2,$Q:$Q,IF($AM187&lt;&gt;"", TEXT($AM187, "MMMM"), ""),$R:$R,YEAR($AM187))</f>
        <v>0</v>
      </c>
      <c r="AQ187" s="464">
        <f>SUMIFS(Income!$G:$G,Income!$H:$H, AQ$2,Income!$F:$F, $AL$1, Income!$B:$B, IF($AM187&lt;&gt;"", TEXT($AM187, "MMMM"), ""), Income!$C:$C, YEAR($AM187))+SUMIFS($T:$T, $U:$U,AQ$2,$Q:$Q,IF($AM187&lt;&gt;"", TEXT($AM187, "MMMM"), ""),$R:$R,YEAR($AM187))</f>
        <v>0</v>
      </c>
      <c r="AR187" s="464">
        <f>SUMIFS(Income!$G:$G,Income!$H:$H, AR$2,Income!$F:$F, $AL$1, Income!$B:$B, IF($AM187&lt;&gt;"", TEXT($AM187, "MMMM"), ""), Income!$C:$C, YEAR($AM187))+SUMIFS($T:$T, $U:$U,AR$2,$Q:$Q,IF($AM187&lt;&gt;"", TEXT($AM187, "MMMM"), ""),$R:$R,YEAR($AM187))</f>
        <v>0</v>
      </c>
      <c r="AS187" s="467">
        <f>SUMIFS(Income!$G:$G,Income!$H:$H, AS$2,Income!$F:$F, $AL$1, Income!$B:$B, IF($AM187&lt;&gt;"", TEXT($AM187, "MMMM"), ""), Income!$C:$C, YEAR($AM187))+SUMIFS($T:$T, $U:$U,AS$2,$Q:$Q,IF($AM187&lt;&gt;"", TEXT($AM187, "MMMM"), ""),$R:$R,YEAR($AM187))</f>
        <v>0</v>
      </c>
      <c r="AT187" s="428"/>
      <c r="AU187" s="463">
        <v>49430.0</v>
      </c>
      <c r="AV187" s="469">
        <f>SUMIFS(Income!$G:$G,Income!$H:$H, AV$2,Income!$F:$F, $AT$1, Income!$B:$B, IF($AU187&lt;&gt;"", TEXT($AU187, "MMMM"), ""), Income!$C:$C, YEAR($AU187))</f>
        <v>0</v>
      </c>
      <c r="AW187" s="469">
        <f>SUMIFS(Income!$G:$G,Income!$H:$H, AW$2,Income!$F:$F, $AT$1, Income!$B:$B, IF($AU187&lt;&gt;"", TEXT($AU187, "MMMM"), ""), Income!$C:$C, YEAR($AU187))</f>
        <v>0</v>
      </c>
      <c r="AX187" s="469">
        <f>SUMIFS(Income!$G:$G,Income!$H:$H, AX$2,Income!$F:$F, $AT$1, Income!$B:$B, IF($AU187&lt;&gt;"", TEXT($AU187, "MMMM"), ""), Income!$C:$C, YEAR($AU187))</f>
        <v>0</v>
      </c>
      <c r="AY187" s="469">
        <f>SUMIFS(Income!$G:$G,Income!$H:$H, AY$2,Income!$F:$F, $AT$1, Income!$B:$B, IF($AU187&lt;&gt;"", TEXT($AU187, "MMMM"), ""), Income!$C:$C, YEAR($AU187))</f>
        <v>0</v>
      </c>
      <c r="AZ187" s="464">
        <f>SUMIFS(Income!$G:$G,Income!$H:$H, AZ$2,Income!$F:$F, $AT$1, Income!$B:$B, IF($AU187&lt;&gt;"", TEXT($AU187, "MMMM"), ""), Income!$C:$C, YEAR($AU187))</f>
        <v>0</v>
      </c>
      <c r="BA187" s="471">
        <f>SUMIFS(Income!$G:$G,Income!$H:$H, BA$2,Income!$F:$F, $AT$1, Income!$B:$B, IF($AU187&lt;&gt;"", TEXT($AU187, "MMMM"), ""), Income!$C:$C, YEAR($AU187))</f>
        <v>0</v>
      </c>
      <c r="BB187" s="345"/>
      <c r="BC187" s="345"/>
      <c r="BD187" s="345"/>
      <c r="BE187" s="345"/>
    </row>
    <row r="188" ht="13.5" customHeight="1">
      <c r="A188" s="424">
        <f>'Membership Application List'!A417</f>
        <v>45558.4714</v>
      </c>
      <c r="B188" s="443" t="str">
        <f t="shared" si="6"/>
        <v>September</v>
      </c>
      <c r="C188" s="443">
        <f t="shared" si="7"/>
        <v>2024</v>
      </c>
      <c r="D188" s="426" t="str">
        <f>'Membership Application List'!E417</f>
        <v>Will Maberry</v>
      </c>
      <c r="E188" s="426">
        <f>IF('Membership Application List'!J417 = "Food/Litter Donation", 0, IF('Membership Application List'!J417 = "$15 Donation, Discord Verification", IF('Membership Application List'!N417 = TRUE, 15, 0)))</f>
        <v>15</v>
      </c>
      <c r="F188" s="426">
        <f>if('Membership Application List'!K417=TRUE, 5,0)</f>
        <v>0</v>
      </c>
      <c r="G188" s="426">
        <f t="shared" si="8"/>
        <v>15</v>
      </c>
      <c r="H188" s="427" t="str">
        <f>'Membership Application List'!L417</f>
        <v>Paypal</v>
      </c>
      <c r="I188" s="447" t="s">
        <v>799</v>
      </c>
      <c r="J188" s="463">
        <v>49461.0</v>
      </c>
      <c r="K188" s="464">
        <f t="shared" ref="K188:O188" si="146">SUMIFS($G:$G, $H:$H, K$2, $B:$B, IF($J188&lt;&gt;"", TEXT($J188, "MMMM"), ""), $C:$C, YEAR($J188))</f>
        <v>0</v>
      </c>
      <c r="L188" s="464">
        <f t="shared" si="146"/>
        <v>0</v>
      </c>
      <c r="M188" s="464">
        <f t="shared" si="146"/>
        <v>0</v>
      </c>
      <c r="N188" s="464">
        <f t="shared" si="146"/>
        <v>0</v>
      </c>
      <c r="O188" s="465">
        <f t="shared" si="146"/>
        <v>0</v>
      </c>
      <c r="P188" s="414"/>
      <c r="Q188" s="414"/>
      <c r="R188" s="414"/>
      <c r="S188" s="445"/>
      <c r="T188" s="445"/>
      <c r="U188" s="445"/>
      <c r="V188" s="447" t="s">
        <v>799</v>
      </c>
      <c r="W188" s="463">
        <v>49461.0</v>
      </c>
      <c r="X188" s="469">
        <f>SUMIFS(Income!$G:$G,Income!$H:$H, X$2,Income!$F:$F, $V$1, Income!$B:$B, IF($W188&lt;&gt;"", TEXT($W188, "MMMM"), ""), Income!$C:$C, YEAR($W188))</f>
        <v>0</v>
      </c>
      <c r="Y188" s="469">
        <f>SUMIFS(Income!$G:$G,Income!$H:$H, Y$2,Income!$F:$F, $V$1, Income!$B:$B, IF($W188&lt;&gt;"", TEXT($W188, "MMMM"), ""), Income!$C:$C, YEAR($W188))</f>
        <v>0</v>
      </c>
      <c r="Z188" s="469">
        <f>SUMIFS(Income!$G:$G,Income!$H:$H, Z$2,Income!$F:$F, $V$1, Income!$B:$B, IF($W188&lt;&gt;"", TEXT($W188, "MMMM"), ""), Income!$C:$C, YEAR($W188))</f>
        <v>0</v>
      </c>
      <c r="AA188" s="469">
        <f>SUMIFS(Income!$G:$G,Income!$H:$H, AA$2,Income!$F:$F, $V$1, Income!$B:$B, IF($W188&lt;&gt;"", TEXT($W188, "MMMM"), ""), Income!$C:$C, YEAR($W188))</f>
        <v>0</v>
      </c>
      <c r="AB188" s="464">
        <f>SUMIFS(Income!$G:$G,Income!$H:$H, AB$2,Income!$F:$F, $V$1, Income!$B:$B, IF($W188&lt;&gt;"", TEXT($W188, "MMMM"), ""), Income!$C:$C, YEAR($W188))</f>
        <v>0</v>
      </c>
      <c r="AC188" s="470">
        <f>SUMIFS(Income!$G:$G,Income!$H:$H, AC$2,Income!$F:$F, $V$1, Income!$B:$B, IF($W188&lt;&gt;"", TEXT($W188, "MMMM"), ""), Income!$C:$C, YEAR($W188))</f>
        <v>0</v>
      </c>
      <c r="AD188" s="447" t="s">
        <v>799</v>
      </c>
      <c r="AE188" s="463">
        <v>49461.0</v>
      </c>
      <c r="AF188" s="469">
        <f>SUMIFS(Income!$G:$G,Income!$H:$H, AF$2,Income!$F:$F, $AD$1, Income!$B:$B, IF($AE188&lt;&gt;"", TEXT($AE188, "MMMM"), ""), Income!$C:$C, YEAR($AE188))</f>
        <v>0</v>
      </c>
      <c r="AG188" s="469">
        <f>SUMIFS(Income!$G:$G,Income!$H:$H, AG$2,Income!$F:$F, $AD$1, Income!$B:$B, IF($AE188&lt;&gt;"", TEXT($AE188, "MMMM"), ""), Income!$C:$C, YEAR($AE188))</f>
        <v>0</v>
      </c>
      <c r="AH188" s="469">
        <f>SUMIFS(Income!$G:$G,Income!$H:$H, AH$2,Income!$F:$F, $AD$1, Income!$B:$B, IF($AE188&lt;&gt;"", TEXT($AE188, "MMMM"), ""), Income!$C:$C, YEAR($AE188))</f>
        <v>0</v>
      </c>
      <c r="AI188" s="469">
        <f>SUMIFS(Income!$G:$G,Income!$H:$H, AI$2,Income!$F:$F, $AD$1, Income!$B:$B, IF($AE188&lt;&gt;"", TEXT($AE188, "MMMM"), ""), Income!$C:$C, YEAR($AE188))</f>
        <v>0</v>
      </c>
      <c r="AJ188" s="464">
        <f>SUMIFS(Income!$G:$G,Income!$H:$H, AJ$2,Income!$F:$F, $AD$1, Income!$B:$B, IF($AE188&lt;&gt;"", TEXT($AE188, "MMMM"), ""), Income!$C:$C, YEAR($AE188))</f>
        <v>0</v>
      </c>
      <c r="AK188" s="470">
        <f>SUMIFS(Income!$G:$G,Income!$H:$H, AK$2,Income!$F:$F, $AD$1, Income!$B:$B, IF($AE188&lt;&gt;"", TEXT($AE188, "MMMM"), ""), Income!$C:$C, YEAR($AE188))</f>
        <v>0</v>
      </c>
      <c r="AL188" s="447" t="s">
        <v>799</v>
      </c>
      <c r="AM188" s="463">
        <v>49461.0</v>
      </c>
      <c r="AN188" s="464">
        <f>SUMIFS(Income!$G:$G,Income!$H:$H, AN$2,Income!$F:$F, $AL$1, Income!$B:$B, IF($AM188&lt;&gt;"", TEXT($AM188, "MMMM"), ""), Income!$C:$C, YEAR($AM188))+SUMIFS($T:$T, $U:$U,AN$2,$Q:$Q,IF($AM188&lt;&gt;"", TEXT($AM188, "MMMM"), ""),$R:$R,YEAR($AM188))</f>
        <v>0</v>
      </c>
      <c r="AO188" s="464">
        <f>SUMIFS(Income!$G:$G,Income!$H:$H, AO$2,Income!$F:$F, $AL$1, Income!$B:$B, IF($AM188&lt;&gt;"", TEXT($AM188, "MMMM"), ""), Income!$C:$C, YEAR($AM188))+SUMIFS($T:$T, $U:$U,AO$2,$Q:$Q,IF($AM188&lt;&gt;"", TEXT($AM188, "MMMM"), ""),$R:$R,YEAR($AM188))</f>
        <v>0</v>
      </c>
      <c r="AP188" s="464">
        <f>SUMIFS(Income!$G:$G,Income!$H:$H, AP$2,Income!$F:$F, $AL$1, Income!$B:$B, IF($AM188&lt;&gt;"", TEXT($AM188, "MMMM"), ""), Income!$C:$C, YEAR($AM188))+SUMIFS($T:$T, $U:$U,AP$2,$Q:$Q,IF($AM188&lt;&gt;"", TEXT($AM188, "MMMM"), ""),$R:$R,YEAR($AM188))</f>
        <v>0</v>
      </c>
      <c r="AQ188" s="464">
        <f>SUMIFS(Income!$G:$G,Income!$H:$H, AQ$2,Income!$F:$F, $AL$1, Income!$B:$B, IF($AM188&lt;&gt;"", TEXT($AM188, "MMMM"), ""), Income!$C:$C, YEAR($AM188))+SUMIFS($T:$T, $U:$U,AQ$2,$Q:$Q,IF($AM188&lt;&gt;"", TEXT($AM188, "MMMM"), ""),$R:$R,YEAR($AM188))</f>
        <v>0</v>
      </c>
      <c r="AR188" s="464">
        <f>SUMIFS(Income!$G:$G,Income!$H:$H, AR$2,Income!$F:$F, $AL$1, Income!$B:$B, IF($AM188&lt;&gt;"", TEXT($AM188, "MMMM"), ""), Income!$C:$C, YEAR($AM188))+SUMIFS($T:$T, $U:$U,AR$2,$Q:$Q,IF($AM188&lt;&gt;"", TEXT($AM188, "MMMM"), ""),$R:$R,YEAR($AM188))</f>
        <v>0</v>
      </c>
      <c r="AS188" s="467">
        <f>SUMIFS(Income!$G:$G,Income!$H:$H, AS$2,Income!$F:$F, $AL$1, Income!$B:$B, IF($AM188&lt;&gt;"", TEXT($AM188, "MMMM"), ""), Income!$C:$C, YEAR($AM188))+SUMIFS($T:$T, $U:$U,AS$2,$Q:$Q,IF($AM188&lt;&gt;"", TEXT($AM188, "MMMM"), ""),$R:$R,YEAR($AM188))</f>
        <v>0</v>
      </c>
      <c r="AT188" s="447" t="s">
        <v>799</v>
      </c>
      <c r="AU188" s="463">
        <v>49461.0</v>
      </c>
      <c r="AV188" s="469">
        <f>SUMIFS(Income!$G:$G,Income!$H:$H, AV$2,Income!$F:$F, $AT$1, Income!$B:$B, IF($AU188&lt;&gt;"", TEXT($AU188, "MMMM"), ""), Income!$C:$C, YEAR($AU188))</f>
        <v>0</v>
      </c>
      <c r="AW188" s="469">
        <f>SUMIFS(Income!$G:$G,Income!$H:$H, AW$2,Income!$F:$F, $AT$1, Income!$B:$B, IF($AU188&lt;&gt;"", TEXT($AU188, "MMMM"), ""), Income!$C:$C, YEAR($AU188))</f>
        <v>0</v>
      </c>
      <c r="AX188" s="469">
        <f>SUMIFS(Income!$G:$G,Income!$H:$H, AX$2,Income!$F:$F, $AT$1, Income!$B:$B, IF($AU188&lt;&gt;"", TEXT($AU188, "MMMM"), ""), Income!$C:$C, YEAR($AU188))</f>
        <v>0</v>
      </c>
      <c r="AY188" s="469">
        <f>SUMIFS(Income!$G:$G,Income!$H:$H, AY$2,Income!$F:$F, $AT$1, Income!$B:$B, IF($AU188&lt;&gt;"", TEXT($AU188, "MMMM"), ""), Income!$C:$C, YEAR($AU188))</f>
        <v>0</v>
      </c>
      <c r="AZ188" s="464">
        <f>SUMIFS(Income!$G:$G,Income!$H:$H, AZ$2,Income!$F:$F, $AT$1, Income!$B:$B, IF($AU188&lt;&gt;"", TEXT($AU188, "MMMM"), ""), Income!$C:$C, YEAR($AU188))</f>
        <v>0</v>
      </c>
      <c r="BA188" s="471">
        <f>SUMIFS(Income!$G:$G,Income!$H:$H, BA$2,Income!$F:$F, $AT$1, Income!$B:$B, IF($AU188&lt;&gt;"", TEXT($AU188, "MMMM"), ""), Income!$C:$C, YEAR($AU188))</f>
        <v>0</v>
      </c>
      <c r="BB188" s="345"/>
      <c r="BC188" s="345"/>
      <c r="BD188" s="345"/>
      <c r="BE188" s="345"/>
    </row>
    <row r="189" ht="13.5" customHeight="1">
      <c r="A189" s="436">
        <f>'Membership Application List'!A418</f>
        <v>45558.52355</v>
      </c>
      <c r="B189" s="437" t="str">
        <f t="shared" si="6"/>
        <v>September</v>
      </c>
      <c r="C189" s="437">
        <f t="shared" si="7"/>
        <v>2024</v>
      </c>
      <c r="D189" s="438" t="str">
        <f>'Membership Application List'!E418</f>
        <v>Jacob Mathew</v>
      </c>
      <c r="E189" s="438">
        <f>IF('Membership Application List'!J418 = "Food/Litter Donation", 0, IF('Membership Application List'!J418 = "$15 Donation, Discord Verification", IF('Membership Application List'!N418 = TRUE, 15, 0)))</f>
        <v>15</v>
      </c>
      <c r="F189" s="438">
        <f>if('Membership Application List'!K418=TRUE, 5,0)</f>
        <v>0</v>
      </c>
      <c r="G189" s="438">
        <f t="shared" si="8"/>
        <v>15</v>
      </c>
      <c r="H189" s="439" t="str">
        <f>'Membership Application List'!L418</f>
        <v>Paypal</v>
      </c>
      <c r="I189" s="428"/>
      <c r="J189" s="463">
        <v>49491.0</v>
      </c>
      <c r="K189" s="464">
        <f t="shared" ref="K189:O189" si="147">SUMIFS($G:$G, $H:$H, K$2, $B:$B, IF($J189&lt;&gt;"", TEXT($J189, "MMMM"), ""), $C:$C, YEAR($J189))</f>
        <v>0</v>
      </c>
      <c r="L189" s="464">
        <f t="shared" si="147"/>
        <v>0</v>
      </c>
      <c r="M189" s="464">
        <f t="shared" si="147"/>
        <v>0</v>
      </c>
      <c r="N189" s="464">
        <f t="shared" si="147"/>
        <v>0</v>
      </c>
      <c r="O189" s="465">
        <f t="shared" si="147"/>
        <v>0</v>
      </c>
      <c r="P189" s="414"/>
      <c r="Q189" s="414"/>
      <c r="R189" s="414"/>
      <c r="S189" s="445"/>
      <c r="T189" s="445"/>
      <c r="U189" s="445"/>
      <c r="V189" s="428"/>
      <c r="W189" s="463">
        <v>49491.0</v>
      </c>
      <c r="X189" s="469">
        <f>SUMIFS(Income!$G:$G,Income!$H:$H, X$2,Income!$F:$F, $V$1, Income!$B:$B, IF($W189&lt;&gt;"", TEXT($W189, "MMMM"), ""), Income!$C:$C, YEAR($W189))</f>
        <v>0</v>
      </c>
      <c r="Y189" s="469">
        <f>SUMIFS(Income!$G:$G,Income!$H:$H, Y$2,Income!$F:$F, $V$1, Income!$B:$B, IF($W189&lt;&gt;"", TEXT($W189, "MMMM"), ""), Income!$C:$C, YEAR($W189))</f>
        <v>0</v>
      </c>
      <c r="Z189" s="469">
        <f>SUMIFS(Income!$G:$G,Income!$H:$H, Z$2,Income!$F:$F, $V$1, Income!$B:$B, IF($W189&lt;&gt;"", TEXT($W189, "MMMM"), ""), Income!$C:$C, YEAR($W189))</f>
        <v>0</v>
      </c>
      <c r="AA189" s="469">
        <f>SUMIFS(Income!$G:$G,Income!$H:$H, AA$2,Income!$F:$F, $V$1, Income!$B:$B, IF($W189&lt;&gt;"", TEXT($W189, "MMMM"), ""), Income!$C:$C, YEAR($W189))</f>
        <v>0</v>
      </c>
      <c r="AB189" s="464">
        <f>SUMIFS(Income!$G:$G,Income!$H:$H, AB$2,Income!$F:$F, $V$1, Income!$B:$B, IF($W189&lt;&gt;"", TEXT($W189, "MMMM"), ""), Income!$C:$C, YEAR($W189))</f>
        <v>0</v>
      </c>
      <c r="AC189" s="470">
        <f>SUMIFS(Income!$G:$G,Income!$H:$H, AC$2,Income!$F:$F, $V$1, Income!$B:$B, IF($W189&lt;&gt;"", TEXT($W189, "MMMM"), ""), Income!$C:$C, YEAR($W189))</f>
        <v>0</v>
      </c>
      <c r="AD189" s="428"/>
      <c r="AE189" s="463">
        <v>49491.0</v>
      </c>
      <c r="AF189" s="469">
        <f>SUMIFS(Income!$G:$G,Income!$H:$H, AF$2,Income!$F:$F, $AD$1, Income!$B:$B, IF($AE189&lt;&gt;"", TEXT($AE189, "MMMM"), ""), Income!$C:$C, YEAR($AE189))</f>
        <v>0</v>
      </c>
      <c r="AG189" s="469">
        <f>SUMIFS(Income!$G:$G,Income!$H:$H, AG$2,Income!$F:$F, $AD$1, Income!$B:$B, IF($AE189&lt;&gt;"", TEXT($AE189, "MMMM"), ""), Income!$C:$C, YEAR($AE189))</f>
        <v>0</v>
      </c>
      <c r="AH189" s="469">
        <f>SUMIFS(Income!$G:$G,Income!$H:$H, AH$2,Income!$F:$F, $AD$1, Income!$B:$B, IF($AE189&lt;&gt;"", TEXT($AE189, "MMMM"), ""), Income!$C:$C, YEAR($AE189))</f>
        <v>0</v>
      </c>
      <c r="AI189" s="469">
        <f>SUMIFS(Income!$G:$G,Income!$H:$H, AI$2,Income!$F:$F, $AD$1, Income!$B:$B, IF($AE189&lt;&gt;"", TEXT($AE189, "MMMM"), ""), Income!$C:$C, YEAR($AE189))</f>
        <v>0</v>
      </c>
      <c r="AJ189" s="464">
        <f>SUMIFS(Income!$G:$G,Income!$H:$H, AJ$2,Income!$F:$F, $AD$1, Income!$B:$B, IF($AE189&lt;&gt;"", TEXT($AE189, "MMMM"), ""), Income!$C:$C, YEAR($AE189))</f>
        <v>0</v>
      </c>
      <c r="AK189" s="470">
        <f>SUMIFS(Income!$G:$G,Income!$H:$H, AK$2,Income!$F:$F, $AD$1, Income!$B:$B, IF($AE189&lt;&gt;"", TEXT($AE189, "MMMM"), ""), Income!$C:$C, YEAR($AE189))</f>
        <v>0</v>
      </c>
      <c r="AL189" s="428"/>
      <c r="AM189" s="463">
        <v>49491.0</v>
      </c>
      <c r="AN189" s="464">
        <f>SUMIFS(Income!$G:$G,Income!$H:$H, AN$2,Income!$F:$F, $AL$1, Income!$B:$B, IF($AM189&lt;&gt;"", TEXT($AM189, "MMMM"), ""), Income!$C:$C, YEAR($AM189))+SUMIFS($T:$T, $U:$U,AN$2,$Q:$Q,IF($AM189&lt;&gt;"", TEXT($AM189, "MMMM"), ""),$R:$R,YEAR($AM189))</f>
        <v>0</v>
      </c>
      <c r="AO189" s="464">
        <f>SUMIFS(Income!$G:$G,Income!$H:$H, AO$2,Income!$F:$F, $AL$1, Income!$B:$B, IF($AM189&lt;&gt;"", TEXT($AM189, "MMMM"), ""), Income!$C:$C, YEAR($AM189))+SUMIFS($T:$T, $U:$U,AO$2,$Q:$Q,IF($AM189&lt;&gt;"", TEXT($AM189, "MMMM"), ""),$R:$R,YEAR($AM189))</f>
        <v>0</v>
      </c>
      <c r="AP189" s="464">
        <f>SUMIFS(Income!$G:$G,Income!$H:$H, AP$2,Income!$F:$F, $AL$1, Income!$B:$B, IF($AM189&lt;&gt;"", TEXT($AM189, "MMMM"), ""), Income!$C:$C, YEAR($AM189))+SUMIFS($T:$T, $U:$U,AP$2,$Q:$Q,IF($AM189&lt;&gt;"", TEXT($AM189, "MMMM"), ""),$R:$R,YEAR($AM189))</f>
        <v>0</v>
      </c>
      <c r="AQ189" s="464">
        <f>SUMIFS(Income!$G:$G,Income!$H:$H, AQ$2,Income!$F:$F, $AL$1, Income!$B:$B, IF($AM189&lt;&gt;"", TEXT($AM189, "MMMM"), ""), Income!$C:$C, YEAR($AM189))+SUMIFS($T:$T, $U:$U,AQ$2,$Q:$Q,IF($AM189&lt;&gt;"", TEXT($AM189, "MMMM"), ""),$R:$R,YEAR($AM189))</f>
        <v>0</v>
      </c>
      <c r="AR189" s="464">
        <f>SUMIFS(Income!$G:$G,Income!$H:$H, AR$2,Income!$F:$F, $AL$1, Income!$B:$B, IF($AM189&lt;&gt;"", TEXT($AM189, "MMMM"), ""), Income!$C:$C, YEAR($AM189))+SUMIFS($T:$T, $U:$U,AR$2,$Q:$Q,IF($AM189&lt;&gt;"", TEXT($AM189, "MMMM"), ""),$R:$R,YEAR($AM189))</f>
        <v>0</v>
      </c>
      <c r="AS189" s="467">
        <f>SUMIFS(Income!$G:$G,Income!$H:$H, AS$2,Income!$F:$F, $AL$1, Income!$B:$B, IF($AM189&lt;&gt;"", TEXT($AM189, "MMMM"), ""), Income!$C:$C, YEAR($AM189))+SUMIFS($T:$T, $U:$U,AS$2,$Q:$Q,IF($AM189&lt;&gt;"", TEXT($AM189, "MMMM"), ""),$R:$R,YEAR($AM189))</f>
        <v>0</v>
      </c>
      <c r="AT189" s="428"/>
      <c r="AU189" s="463">
        <v>49491.0</v>
      </c>
      <c r="AV189" s="469">
        <f>SUMIFS(Income!$G:$G,Income!$H:$H, AV$2,Income!$F:$F, $AT$1, Income!$B:$B, IF($AU189&lt;&gt;"", TEXT($AU189, "MMMM"), ""), Income!$C:$C, YEAR($AU189))</f>
        <v>0</v>
      </c>
      <c r="AW189" s="469">
        <f>SUMIFS(Income!$G:$G,Income!$H:$H, AW$2,Income!$F:$F, $AT$1, Income!$B:$B, IF($AU189&lt;&gt;"", TEXT($AU189, "MMMM"), ""), Income!$C:$C, YEAR($AU189))</f>
        <v>0</v>
      </c>
      <c r="AX189" s="469">
        <f>SUMIFS(Income!$G:$G,Income!$H:$H, AX$2,Income!$F:$F, $AT$1, Income!$B:$B, IF($AU189&lt;&gt;"", TEXT($AU189, "MMMM"), ""), Income!$C:$C, YEAR($AU189))</f>
        <v>0</v>
      </c>
      <c r="AY189" s="469">
        <f>SUMIFS(Income!$G:$G,Income!$H:$H, AY$2,Income!$F:$F, $AT$1, Income!$B:$B, IF($AU189&lt;&gt;"", TEXT($AU189, "MMMM"), ""), Income!$C:$C, YEAR($AU189))</f>
        <v>0</v>
      </c>
      <c r="AZ189" s="464">
        <f>SUMIFS(Income!$G:$G,Income!$H:$H, AZ$2,Income!$F:$F, $AT$1, Income!$B:$B, IF($AU189&lt;&gt;"", TEXT($AU189, "MMMM"), ""), Income!$C:$C, YEAR($AU189))</f>
        <v>0</v>
      </c>
      <c r="BA189" s="471">
        <f>SUMIFS(Income!$G:$G,Income!$H:$H, BA$2,Income!$F:$F, $AT$1, Income!$B:$B, IF($AU189&lt;&gt;"", TEXT($AU189, "MMMM"), ""), Income!$C:$C, YEAR($AU189))</f>
        <v>0</v>
      </c>
      <c r="BB189" s="345"/>
      <c r="BC189" s="345"/>
      <c r="BD189" s="345"/>
      <c r="BE189" s="345"/>
    </row>
    <row r="190" ht="13.5" customHeight="1">
      <c r="A190" s="424">
        <f>'Membership Application List'!A419</f>
        <v>45559.85371</v>
      </c>
      <c r="B190" s="443" t="str">
        <f t="shared" si="6"/>
        <v>September</v>
      </c>
      <c r="C190" s="443">
        <f t="shared" si="7"/>
        <v>2024</v>
      </c>
      <c r="D190" s="426" t="str">
        <f>'Membership Application List'!E419</f>
        <v>Anabel Gonzalez</v>
      </c>
      <c r="E190" s="426">
        <f>IF('Membership Application List'!J419 = "Food/Litter Donation", 0, IF('Membership Application List'!J419 = "$15 Donation, Discord Verification", IF('Membership Application List'!N419 = TRUE, 15, 0)))</f>
        <v>15</v>
      </c>
      <c r="F190" s="426">
        <f>if('Membership Application List'!K419=TRUE, 5,0)</f>
        <v>0</v>
      </c>
      <c r="G190" s="426">
        <f t="shared" si="8"/>
        <v>15</v>
      </c>
      <c r="H190" s="427" t="str">
        <f>'Membership Application List'!L419</f>
        <v>Paypal</v>
      </c>
      <c r="I190" s="428"/>
      <c r="J190" s="463">
        <v>49522.0</v>
      </c>
      <c r="K190" s="464">
        <f t="shared" ref="K190:O190" si="148">SUMIFS($G:$G, $H:$H, K$2, $B:$B, IF($J190&lt;&gt;"", TEXT($J190, "MMMM"), ""), $C:$C, YEAR($J190))</f>
        <v>0</v>
      </c>
      <c r="L190" s="464">
        <f t="shared" si="148"/>
        <v>0</v>
      </c>
      <c r="M190" s="464">
        <f t="shared" si="148"/>
        <v>0</v>
      </c>
      <c r="N190" s="464">
        <f t="shared" si="148"/>
        <v>0</v>
      </c>
      <c r="O190" s="465">
        <f t="shared" si="148"/>
        <v>0</v>
      </c>
      <c r="P190" s="414"/>
      <c r="Q190" s="414"/>
      <c r="R190" s="414"/>
      <c r="S190" s="445"/>
      <c r="T190" s="445"/>
      <c r="U190" s="445"/>
      <c r="V190" s="428"/>
      <c r="W190" s="463">
        <v>49522.0</v>
      </c>
      <c r="X190" s="469">
        <f>SUMIFS(Income!$G:$G,Income!$H:$H, X$2,Income!$F:$F, $V$1, Income!$B:$B, IF($W190&lt;&gt;"", TEXT($W190, "MMMM"), ""), Income!$C:$C, YEAR($W190))</f>
        <v>0</v>
      </c>
      <c r="Y190" s="469">
        <f>SUMIFS(Income!$G:$G,Income!$H:$H, Y$2,Income!$F:$F, $V$1, Income!$B:$B, IF($W190&lt;&gt;"", TEXT($W190, "MMMM"), ""), Income!$C:$C, YEAR($W190))</f>
        <v>0</v>
      </c>
      <c r="Z190" s="469">
        <f>SUMIFS(Income!$G:$G,Income!$H:$H, Z$2,Income!$F:$F, $V$1, Income!$B:$B, IF($W190&lt;&gt;"", TEXT($W190, "MMMM"), ""), Income!$C:$C, YEAR($W190))</f>
        <v>0</v>
      </c>
      <c r="AA190" s="469">
        <f>SUMIFS(Income!$G:$G,Income!$H:$H, AA$2,Income!$F:$F, $V$1, Income!$B:$B, IF($W190&lt;&gt;"", TEXT($W190, "MMMM"), ""), Income!$C:$C, YEAR($W190))</f>
        <v>0</v>
      </c>
      <c r="AB190" s="464">
        <f>SUMIFS(Income!$G:$G,Income!$H:$H, AB$2,Income!$F:$F, $V$1, Income!$B:$B, IF($W190&lt;&gt;"", TEXT($W190, "MMMM"), ""), Income!$C:$C, YEAR($W190))</f>
        <v>0</v>
      </c>
      <c r="AC190" s="470">
        <f>SUMIFS(Income!$G:$G,Income!$H:$H, AC$2,Income!$F:$F, $V$1, Income!$B:$B, IF($W190&lt;&gt;"", TEXT($W190, "MMMM"), ""), Income!$C:$C, YEAR($W190))</f>
        <v>0</v>
      </c>
      <c r="AD190" s="428"/>
      <c r="AE190" s="463">
        <v>49522.0</v>
      </c>
      <c r="AF190" s="469">
        <f>SUMIFS(Income!$G:$G,Income!$H:$H, AF$2,Income!$F:$F, $AD$1, Income!$B:$B, IF($AE190&lt;&gt;"", TEXT($AE190, "MMMM"), ""), Income!$C:$C, YEAR($AE190))</f>
        <v>0</v>
      </c>
      <c r="AG190" s="469">
        <f>SUMIFS(Income!$G:$G,Income!$H:$H, AG$2,Income!$F:$F, $AD$1, Income!$B:$B, IF($AE190&lt;&gt;"", TEXT($AE190, "MMMM"), ""), Income!$C:$C, YEAR($AE190))</f>
        <v>0</v>
      </c>
      <c r="AH190" s="469">
        <f>SUMIFS(Income!$G:$G,Income!$H:$H, AH$2,Income!$F:$F, $AD$1, Income!$B:$B, IF($AE190&lt;&gt;"", TEXT($AE190, "MMMM"), ""), Income!$C:$C, YEAR($AE190))</f>
        <v>0</v>
      </c>
      <c r="AI190" s="469">
        <f>SUMIFS(Income!$G:$G,Income!$H:$H, AI$2,Income!$F:$F, $AD$1, Income!$B:$B, IF($AE190&lt;&gt;"", TEXT($AE190, "MMMM"), ""), Income!$C:$C, YEAR($AE190))</f>
        <v>0</v>
      </c>
      <c r="AJ190" s="464">
        <f>SUMIFS(Income!$G:$G,Income!$H:$H, AJ$2,Income!$F:$F, $AD$1, Income!$B:$B, IF($AE190&lt;&gt;"", TEXT($AE190, "MMMM"), ""), Income!$C:$C, YEAR($AE190))</f>
        <v>0</v>
      </c>
      <c r="AK190" s="470">
        <f>SUMIFS(Income!$G:$G,Income!$H:$H, AK$2,Income!$F:$F, $AD$1, Income!$B:$B, IF($AE190&lt;&gt;"", TEXT($AE190, "MMMM"), ""), Income!$C:$C, YEAR($AE190))</f>
        <v>0</v>
      </c>
      <c r="AL190" s="428"/>
      <c r="AM190" s="463">
        <v>49522.0</v>
      </c>
      <c r="AN190" s="464">
        <f>SUMIFS(Income!$G:$G,Income!$H:$H, AN$2,Income!$F:$F, $AL$1, Income!$B:$B, IF($AM190&lt;&gt;"", TEXT($AM190, "MMMM"), ""), Income!$C:$C, YEAR($AM190))+SUMIFS($T:$T, $U:$U,AN$2,$Q:$Q,IF($AM190&lt;&gt;"", TEXT($AM190, "MMMM"), ""),$R:$R,YEAR($AM190))</f>
        <v>0</v>
      </c>
      <c r="AO190" s="464">
        <f>SUMIFS(Income!$G:$G,Income!$H:$H, AO$2,Income!$F:$F, $AL$1, Income!$B:$B, IF($AM190&lt;&gt;"", TEXT($AM190, "MMMM"), ""), Income!$C:$C, YEAR($AM190))+SUMIFS($T:$T, $U:$U,AO$2,$Q:$Q,IF($AM190&lt;&gt;"", TEXT($AM190, "MMMM"), ""),$R:$R,YEAR($AM190))</f>
        <v>0</v>
      </c>
      <c r="AP190" s="464">
        <f>SUMIFS(Income!$G:$G,Income!$H:$H, AP$2,Income!$F:$F, $AL$1, Income!$B:$B, IF($AM190&lt;&gt;"", TEXT($AM190, "MMMM"), ""), Income!$C:$C, YEAR($AM190))+SUMIFS($T:$T, $U:$U,AP$2,$Q:$Q,IF($AM190&lt;&gt;"", TEXT($AM190, "MMMM"), ""),$R:$R,YEAR($AM190))</f>
        <v>0</v>
      </c>
      <c r="AQ190" s="464">
        <f>SUMIFS(Income!$G:$G,Income!$H:$H, AQ$2,Income!$F:$F, $AL$1, Income!$B:$B, IF($AM190&lt;&gt;"", TEXT($AM190, "MMMM"), ""), Income!$C:$C, YEAR($AM190))+SUMIFS($T:$T, $U:$U,AQ$2,$Q:$Q,IF($AM190&lt;&gt;"", TEXT($AM190, "MMMM"), ""),$R:$R,YEAR($AM190))</f>
        <v>0</v>
      </c>
      <c r="AR190" s="464">
        <f>SUMIFS(Income!$G:$G,Income!$H:$H, AR$2,Income!$F:$F, $AL$1, Income!$B:$B, IF($AM190&lt;&gt;"", TEXT($AM190, "MMMM"), ""), Income!$C:$C, YEAR($AM190))+SUMIFS($T:$T, $U:$U,AR$2,$Q:$Q,IF($AM190&lt;&gt;"", TEXT($AM190, "MMMM"), ""),$R:$R,YEAR($AM190))</f>
        <v>0</v>
      </c>
      <c r="AS190" s="467">
        <f>SUMIFS(Income!$G:$G,Income!$H:$H, AS$2,Income!$F:$F, $AL$1, Income!$B:$B, IF($AM190&lt;&gt;"", TEXT($AM190, "MMMM"), ""), Income!$C:$C, YEAR($AM190))+SUMIFS($T:$T, $U:$U,AS$2,$Q:$Q,IF($AM190&lt;&gt;"", TEXT($AM190, "MMMM"), ""),$R:$R,YEAR($AM190))</f>
        <v>0</v>
      </c>
      <c r="AT190" s="428"/>
      <c r="AU190" s="463">
        <v>49522.0</v>
      </c>
      <c r="AV190" s="469">
        <f>SUMIFS(Income!$G:$G,Income!$H:$H, AV$2,Income!$F:$F, $AT$1, Income!$B:$B, IF($AU190&lt;&gt;"", TEXT($AU190, "MMMM"), ""), Income!$C:$C, YEAR($AU190))</f>
        <v>0</v>
      </c>
      <c r="AW190" s="469">
        <f>SUMIFS(Income!$G:$G,Income!$H:$H, AW$2,Income!$F:$F, $AT$1, Income!$B:$B, IF($AU190&lt;&gt;"", TEXT($AU190, "MMMM"), ""), Income!$C:$C, YEAR($AU190))</f>
        <v>0</v>
      </c>
      <c r="AX190" s="469">
        <f>SUMIFS(Income!$G:$G,Income!$H:$H, AX$2,Income!$F:$F, $AT$1, Income!$B:$B, IF($AU190&lt;&gt;"", TEXT($AU190, "MMMM"), ""), Income!$C:$C, YEAR($AU190))</f>
        <v>0</v>
      </c>
      <c r="AY190" s="469">
        <f>SUMIFS(Income!$G:$G,Income!$H:$H, AY$2,Income!$F:$F, $AT$1, Income!$B:$B, IF($AU190&lt;&gt;"", TEXT($AU190, "MMMM"), ""), Income!$C:$C, YEAR($AU190))</f>
        <v>0</v>
      </c>
      <c r="AZ190" s="464">
        <f>SUMIFS(Income!$G:$G,Income!$H:$H, AZ$2,Income!$F:$F, $AT$1, Income!$B:$B, IF($AU190&lt;&gt;"", TEXT($AU190, "MMMM"), ""), Income!$C:$C, YEAR($AU190))</f>
        <v>0</v>
      </c>
      <c r="BA190" s="471">
        <f>SUMIFS(Income!$G:$G,Income!$H:$H, BA$2,Income!$F:$F, $AT$1, Income!$B:$B, IF($AU190&lt;&gt;"", TEXT($AU190, "MMMM"), ""), Income!$C:$C, YEAR($AU190))</f>
        <v>0</v>
      </c>
      <c r="BB190" s="345"/>
      <c r="BC190" s="345"/>
      <c r="BD190" s="345"/>
      <c r="BE190" s="345"/>
    </row>
    <row r="191" ht="13.5" customHeight="1">
      <c r="A191" s="436">
        <f>'Membership Application List'!A420</f>
        <v>45570.37283</v>
      </c>
      <c r="B191" s="437" t="str">
        <f t="shared" si="6"/>
        <v>October</v>
      </c>
      <c r="C191" s="437">
        <f t="shared" si="7"/>
        <v>2024</v>
      </c>
      <c r="D191" s="438" t="str">
        <f>'Membership Application List'!E420</f>
        <v>Ashton Laughlin</v>
      </c>
      <c r="E191" s="438">
        <f>IF('Membership Application List'!J420 = "Food/Litter Donation", 0, IF('Membership Application List'!J420 = "$15 Donation, Discord Verification", IF('Membership Application List'!N420 = TRUE, 15, 0)))</f>
        <v>15</v>
      </c>
      <c r="F191" s="438">
        <f>if('Membership Application List'!K420=TRUE, 5,0)</f>
        <v>0</v>
      </c>
      <c r="G191" s="438">
        <f t="shared" si="8"/>
        <v>15</v>
      </c>
      <c r="H191" s="439" t="str">
        <f>'Membership Application List'!L420</f>
        <v>Venmo</v>
      </c>
      <c r="I191" s="428"/>
      <c r="J191" s="463">
        <v>49553.0</v>
      </c>
      <c r="K191" s="464">
        <f t="shared" ref="K191:O191" si="149">SUMIFS($G:$G, $H:$H, K$2, $B:$B, IF($J191&lt;&gt;"", TEXT($J191, "MMMM"), ""), $C:$C, YEAR($J191))</f>
        <v>0</v>
      </c>
      <c r="L191" s="464">
        <f t="shared" si="149"/>
        <v>0</v>
      </c>
      <c r="M191" s="464">
        <f t="shared" si="149"/>
        <v>0</v>
      </c>
      <c r="N191" s="464">
        <f t="shared" si="149"/>
        <v>0</v>
      </c>
      <c r="O191" s="465">
        <f t="shared" si="149"/>
        <v>0</v>
      </c>
      <c r="P191" s="414"/>
      <c r="Q191" s="414"/>
      <c r="R191" s="414"/>
      <c r="S191" s="445"/>
      <c r="T191" s="445"/>
      <c r="U191" s="445"/>
      <c r="V191" s="428"/>
      <c r="W191" s="463">
        <v>49553.0</v>
      </c>
      <c r="X191" s="469">
        <f>SUMIFS(Income!$G:$G,Income!$H:$H, X$2,Income!$F:$F, $V$1, Income!$B:$B, IF($W191&lt;&gt;"", TEXT($W191, "MMMM"), ""), Income!$C:$C, YEAR($W191))</f>
        <v>0</v>
      </c>
      <c r="Y191" s="469">
        <f>SUMIFS(Income!$G:$G,Income!$H:$H, Y$2,Income!$F:$F, $V$1, Income!$B:$B, IF($W191&lt;&gt;"", TEXT($W191, "MMMM"), ""), Income!$C:$C, YEAR($W191))</f>
        <v>0</v>
      </c>
      <c r="Z191" s="469">
        <f>SUMIFS(Income!$G:$G,Income!$H:$H, Z$2,Income!$F:$F, $V$1, Income!$B:$B, IF($W191&lt;&gt;"", TEXT($W191, "MMMM"), ""), Income!$C:$C, YEAR($W191))</f>
        <v>0</v>
      </c>
      <c r="AA191" s="469">
        <f>SUMIFS(Income!$G:$G,Income!$H:$H, AA$2,Income!$F:$F, $V$1, Income!$B:$B, IF($W191&lt;&gt;"", TEXT($W191, "MMMM"), ""), Income!$C:$C, YEAR($W191))</f>
        <v>0</v>
      </c>
      <c r="AB191" s="464">
        <f>SUMIFS(Income!$G:$G,Income!$H:$H, AB$2,Income!$F:$F, $V$1, Income!$B:$B, IF($W191&lt;&gt;"", TEXT($W191, "MMMM"), ""), Income!$C:$C, YEAR($W191))</f>
        <v>0</v>
      </c>
      <c r="AC191" s="470">
        <f>SUMIFS(Income!$G:$G,Income!$H:$H, AC$2,Income!$F:$F, $V$1, Income!$B:$B, IF($W191&lt;&gt;"", TEXT($W191, "MMMM"), ""), Income!$C:$C, YEAR($W191))</f>
        <v>0</v>
      </c>
      <c r="AD191" s="428"/>
      <c r="AE191" s="463">
        <v>49553.0</v>
      </c>
      <c r="AF191" s="469">
        <f>SUMIFS(Income!$G:$G,Income!$H:$H, AF$2,Income!$F:$F, $AD$1, Income!$B:$B, IF($AE191&lt;&gt;"", TEXT($AE191, "MMMM"), ""), Income!$C:$C, YEAR($AE191))</f>
        <v>0</v>
      </c>
      <c r="AG191" s="469">
        <f>SUMIFS(Income!$G:$G,Income!$H:$H, AG$2,Income!$F:$F, $AD$1, Income!$B:$B, IF($AE191&lt;&gt;"", TEXT($AE191, "MMMM"), ""), Income!$C:$C, YEAR($AE191))</f>
        <v>0</v>
      </c>
      <c r="AH191" s="469">
        <f>SUMIFS(Income!$G:$G,Income!$H:$H, AH$2,Income!$F:$F, $AD$1, Income!$B:$B, IF($AE191&lt;&gt;"", TEXT($AE191, "MMMM"), ""), Income!$C:$C, YEAR($AE191))</f>
        <v>0</v>
      </c>
      <c r="AI191" s="469">
        <f>SUMIFS(Income!$G:$G,Income!$H:$H, AI$2,Income!$F:$F, $AD$1, Income!$B:$B, IF($AE191&lt;&gt;"", TEXT($AE191, "MMMM"), ""), Income!$C:$C, YEAR($AE191))</f>
        <v>0</v>
      </c>
      <c r="AJ191" s="464">
        <f>SUMIFS(Income!$G:$G,Income!$H:$H, AJ$2,Income!$F:$F, $AD$1, Income!$B:$B, IF($AE191&lt;&gt;"", TEXT($AE191, "MMMM"), ""), Income!$C:$C, YEAR($AE191))</f>
        <v>0</v>
      </c>
      <c r="AK191" s="470">
        <f>SUMIFS(Income!$G:$G,Income!$H:$H, AK$2,Income!$F:$F, $AD$1, Income!$B:$B, IF($AE191&lt;&gt;"", TEXT($AE191, "MMMM"), ""), Income!$C:$C, YEAR($AE191))</f>
        <v>0</v>
      </c>
      <c r="AL191" s="428"/>
      <c r="AM191" s="463">
        <v>49553.0</v>
      </c>
      <c r="AN191" s="464">
        <f>SUMIFS(Income!$G:$G,Income!$H:$H, AN$2,Income!$F:$F, $AL$1, Income!$B:$B, IF($AM191&lt;&gt;"", TEXT($AM191, "MMMM"), ""), Income!$C:$C, YEAR($AM191))+SUMIFS($T:$T, $U:$U,AN$2,$Q:$Q,IF($AM191&lt;&gt;"", TEXT($AM191, "MMMM"), ""),$R:$R,YEAR($AM191))</f>
        <v>0</v>
      </c>
      <c r="AO191" s="464">
        <f>SUMIFS(Income!$G:$G,Income!$H:$H, AO$2,Income!$F:$F, $AL$1, Income!$B:$B, IF($AM191&lt;&gt;"", TEXT($AM191, "MMMM"), ""), Income!$C:$C, YEAR($AM191))+SUMIFS($T:$T, $U:$U,AO$2,$Q:$Q,IF($AM191&lt;&gt;"", TEXT($AM191, "MMMM"), ""),$R:$R,YEAR($AM191))</f>
        <v>0</v>
      </c>
      <c r="AP191" s="464">
        <f>SUMIFS(Income!$G:$G,Income!$H:$H, AP$2,Income!$F:$F, $AL$1, Income!$B:$B, IF($AM191&lt;&gt;"", TEXT($AM191, "MMMM"), ""), Income!$C:$C, YEAR($AM191))+SUMIFS($T:$T, $U:$U,AP$2,$Q:$Q,IF($AM191&lt;&gt;"", TEXT($AM191, "MMMM"), ""),$R:$R,YEAR($AM191))</f>
        <v>0</v>
      </c>
      <c r="AQ191" s="464">
        <f>SUMIFS(Income!$G:$G,Income!$H:$H, AQ$2,Income!$F:$F, $AL$1, Income!$B:$B, IF($AM191&lt;&gt;"", TEXT($AM191, "MMMM"), ""), Income!$C:$C, YEAR($AM191))+SUMIFS($T:$T, $U:$U,AQ$2,$Q:$Q,IF($AM191&lt;&gt;"", TEXT($AM191, "MMMM"), ""),$R:$R,YEAR($AM191))</f>
        <v>0</v>
      </c>
      <c r="AR191" s="464">
        <f>SUMIFS(Income!$G:$G,Income!$H:$H, AR$2,Income!$F:$F, $AL$1, Income!$B:$B, IF($AM191&lt;&gt;"", TEXT($AM191, "MMMM"), ""), Income!$C:$C, YEAR($AM191))+SUMIFS($T:$T, $U:$U,AR$2,$Q:$Q,IF($AM191&lt;&gt;"", TEXT($AM191, "MMMM"), ""),$R:$R,YEAR($AM191))</f>
        <v>0</v>
      </c>
      <c r="AS191" s="467">
        <f>SUMIFS(Income!$G:$G,Income!$H:$H, AS$2,Income!$F:$F, $AL$1, Income!$B:$B, IF($AM191&lt;&gt;"", TEXT($AM191, "MMMM"), ""), Income!$C:$C, YEAR($AM191))+SUMIFS($T:$T, $U:$U,AS$2,$Q:$Q,IF($AM191&lt;&gt;"", TEXT($AM191, "MMMM"), ""),$R:$R,YEAR($AM191))</f>
        <v>0</v>
      </c>
      <c r="AT191" s="428"/>
      <c r="AU191" s="463">
        <v>49553.0</v>
      </c>
      <c r="AV191" s="469">
        <f>SUMIFS(Income!$G:$G,Income!$H:$H, AV$2,Income!$F:$F, $AT$1, Income!$B:$B, IF($AU191&lt;&gt;"", TEXT($AU191, "MMMM"), ""), Income!$C:$C, YEAR($AU191))</f>
        <v>0</v>
      </c>
      <c r="AW191" s="469">
        <f>SUMIFS(Income!$G:$G,Income!$H:$H, AW$2,Income!$F:$F, $AT$1, Income!$B:$B, IF($AU191&lt;&gt;"", TEXT($AU191, "MMMM"), ""), Income!$C:$C, YEAR($AU191))</f>
        <v>0</v>
      </c>
      <c r="AX191" s="469">
        <f>SUMIFS(Income!$G:$G,Income!$H:$H, AX$2,Income!$F:$F, $AT$1, Income!$B:$B, IF($AU191&lt;&gt;"", TEXT($AU191, "MMMM"), ""), Income!$C:$C, YEAR($AU191))</f>
        <v>0</v>
      </c>
      <c r="AY191" s="469">
        <f>SUMIFS(Income!$G:$G,Income!$H:$H, AY$2,Income!$F:$F, $AT$1, Income!$B:$B, IF($AU191&lt;&gt;"", TEXT($AU191, "MMMM"), ""), Income!$C:$C, YEAR($AU191))</f>
        <v>0</v>
      </c>
      <c r="AZ191" s="464">
        <f>SUMIFS(Income!$G:$G,Income!$H:$H, AZ$2,Income!$F:$F, $AT$1, Income!$B:$B, IF($AU191&lt;&gt;"", TEXT($AU191, "MMMM"), ""), Income!$C:$C, YEAR($AU191))</f>
        <v>0</v>
      </c>
      <c r="BA191" s="471">
        <f>SUMIFS(Income!$G:$G,Income!$H:$H, BA$2,Income!$F:$F, $AT$1, Income!$B:$B, IF($AU191&lt;&gt;"", TEXT($AU191, "MMMM"), ""), Income!$C:$C, YEAR($AU191))</f>
        <v>0</v>
      </c>
      <c r="BB191" s="345"/>
      <c r="BC191" s="345"/>
      <c r="BD191" s="345"/>
      <c r="BE191" s="345"/>
    </row>
    <row r="192" ht="13.5" customHeight="1">
      <c r="A192" s="424">
        <f>'Membership Application List'!A421</f>
        <v>45572.48483</v>
      </c>
      <c r="B192" s="443" t="str">
        <f t="shared" si="6"/>
        <v>October</v>
      </c>
      <c r="C192" s="443">
        <f t="shared" si="7"/>
        <v>2024</v>
      </c>
      <c r="D192" s="426" t="str">
        <f>'Membership Application List'!E421</f>
        <v>Brandon Isom</v>
      </c>
      <c r="E192" s="426">
        <f>IF('Membership Application List'!J421 = "Food/Litter Donation", 0, IF('Membership Application List'!J421 = "$15 Donation, Discord Verification", IF('Membership Application List'!N421 = TRUE, 15, 0)))</f>
        <v>15</v>
      </c>
      <c r="F192" s="426">
        <f>if('Membership Application List'!K421=TRUE, 5,0)</f>
        <v>0</v>
      </c>
      <c r="G192" s="426">
        <f t="shared" si="8"/>
        <v>15</v>
      </c>
      <c r="H192" s="427" t="str">
        <f>'Membership Application List'!L421</f>
        <v>Cashapp</v>
      </c>
      <c r="I192" s="428"/>
      <c r="J192" s="463">
        <v>49583.0</v>
      </c>
      <c r="K192" s="464">
        <f t="shared" ref="K192:O192" si="150">SUMIFS($G:$G, $H:$H, K$2, $B:$B, IF($J192&lt;&gt;"", TEXT($J192, "MMMM"), ""), $C:$C, YEAR($J192))</f>
        <v>0</v>
      </c>
      <c r="L192" s="464">
        <f t="shared" si="150"/>
        <v>0</v>
      </c>
      <c r="M192" s="464">
        <f t="shared" si="150"/>
        <v>0</v>
      </c>
      <c r="N192" s="464">
        <f t="shared" si="150"/>
        <v>0</v>
      </c>
      <c r="O192" s="465">
        <f t="shared" si="150"/>
        <v>0</v>
      </c>
      <c r="P192" s="414"/>
      <c r="Q192" s="414"/>
      <c r="R192" s="414"/>
      <c r="S192" s="445"/>
      <c r="T192" s="445"/>
      <c r="U192" s="445"/>
      <c r="V192" s="428"/>
      <c r="W192" s="463">
        <v>49583.0</v>
      </c>
      <c r="X192" s="469">
        <f>SUMIFS(Income!$G:$G,Income!$H:$H, X$2,Income!$F:$F, $V$1, Income!$B:$B, IF($W192&lt;&gt;"", TEXT($W192, "MMMM"), ""), Income!$C:$C, YEAR($W192))</f>
        <v>0</v>
      </c>
      <c r="Y192" s="469">
        <f>SUMIFS(Income!$G:$G,Income!$H:$H, Y$2,Income!$F:$F, $V$1, Income!$B:$B, IF($W192&lt;&gt;"", TEXT($W192, "MMMM"), ""), Income!$C:$C, YEAR($W192))</f>
        <v>0</v>
      </c>
      <c r="Z192" s="469">
        <f>SUMIFS(Income!$G:$G,Income!$H:$H, Z$2,Income!$F:$F, $V$1, Income!$B:$B, IF($W192&lt;&gt;"", TEXT($W192, "MMMM"), ""), Income!$C:$C, YEAR($W192))</f>
        <v>0</v>
      </c>
      <c r="AA192" s="469">
        <f>SUMIFS(Income!$G:$G,Income!$H:$H, AA$2,Income!$F:$F, $V$1, Income!$B:$B, IF($W192&lt;&gt;"", TEXT($W192, "MMMM"), ""), Income!$C:$C, YEAR($W192))</f>
        <v>0</v>
      </c>
      <c r="AB192" s="464">
        <f>SUMIFS(Income!$G:$G,Income!$H:$H, AB$2,Income!$F:$F, $V$1, Income!$B:$B, IF($W192&lt;&gt;"", TEXT($W192, "MMMM"), ""), Income!$C:$C, YEAR($W192))</f>
        <v>0</v>
      </c>
      <c r="AC192" s="470">
        <f>SUMIFS(Income!$G:$G,Income!$H:$H, AC$2,Income!$F:$F, $V$1, Income!$B:$B, IF($W192&lt;&gt;"", TEXT($W192, "MMMM"), ""), Income!$C:$C, YEAR($W192))</f>
        <v>0</v>
      </c>
      <c r="AD192" s="428"/>
      <c r="AE192" s="463">
        <v>49583.0</v>
      </c>
      <c r="AF192" s="469">
        <f>SUMIFS(Income!$G:$G,Income!$H:$H, AF$2,Income!$F:$F, $AD$1, Income!$B:$B, IF($AE192&lt;&gt;"", TEXT($AE192, "MMMM"), ""), Income!$C:$C, YEAR($AE192))</f>
        <v>0</v>
      </c>
      <c r="AG192" s="469">
        <f>SUMIFS(Income!$G:$G,Income!$H:$H, AG$2,Income!$F:$F, $AD$1, Income!$B:$B, IF($AE192&lt;&gt;"", TEXT($AE192, "MMMM"), ""), Income!$C:$C, YEAR($AE192))</f>
        <v>0</v>
      </c>
      <c r="AH192" s="469">
        <f>SUMIFS(Income!$G:$G,Income!$H:$H, AH$2,Income!$F:$F, $AD$1, Income!$B:$B, IF($AE192&lt;&gt;"", TEXT($AE192, "MMMM"), ""), Income!$C:$C, YEAR($AE192))</f>
        <v>0</v>
      </c>
      <c r="AI192" s="469">
        <f>SUMIFS(Income!$G:$G,Income!$H:$H, AI$2,Income!$F:$F, $AD$1, Income!$B:$B, IF($AE192&lt;&gt;"", TEXT($AE192, "MMMM"), ""), Income!$C:$C, YEAR($AE192))</f>
        <v>0</v>
      </c>
      <c r="AJ192" s="464">
        <f>SUMIFS(Income!$G:$G,Income!$H:$H, AJ$2,Income!$F:$F, $AD$1, Income!$B:$B, IF($AE192&lt;&gt;"", TEXT($AE192, "MMMM"), ""), Income!$C:$C, YEAR($AE192))</f>
        <v>0</v>
      </c>
      <c r="AK192" s="470">
        <f>SUMIFS(Income!$G:$G,Income!$H:$H, AK$2,Income!$F:$F, $AD$1, Income!$B:$B, IF($AE192&lt;&gt;"", TEXT($AE192, "MMMM"), ""), Income!$C:$C, YEAR($AE192))</f>
        <v>0</v>
      </c>
      <c r="AL192" s="428"/>
      <c r="AM192" s="463">
        <v>49583.0</v>
      </c>
      <c r="AN192" s="464">
        <f>SUMIFS(Income!$G:$G,Income!$H:$H, AN$2,Income!$F:$F, $AL$1, Income!$B:$B, IF($AM192&lt;&gt;"", TEXT($AM192, "MMMM"), ""), Income!$C:$C, YEAR($AM192))+SUMIFS($T:$T, $U:$U,AN$2,$Q:$Q,IF($AM192&lt;&gt;"", TEXT($AM192, "MMMM"), ""),$R:$R,YEAR($AM192))</f>
        <v>0</v>
      </c>
      <c r="AO192" s="464">
        <f>SUMIFS(Income!$G:$G,Income!$H:$H, AO$2,Income!$F:$F, $AL$1, Income!$B:$B, IF($AM192&lt;&gt;"", TEXT($AM192, "MMMM"), ""), Income!$C:$C, YEAR($AM192))+SUMIFS($T:$T, $U:$U,AO$2,$Q:$Q,IF($AM192&lt;&gt;"", TEXT($AM192, "MMMM"), ""),$R:$R,YEAR($AM192))</f>
        <v>0</v>
      </c>
      <c r="AP192" s="464">
        <f>SUMIFS(Income!$G:$G,Income!$H:$H, AP$2,Income!$F:$F, $AL$1, Income!$B:$B, IF($AM192&lt;&gt;"", TEXT($AM192, "MMMM"), ""), Income!$C:$C, YEAR($AM192))+SUMIFS($T:$T, $U:$U,AP$2,$Q:$Q,IF($AM192&lt;&gt;"", TEXT($AM192, "MMMM"), ""),$R:$R,YEAR($AM192))</f>
        <v>0</v>
      </c>
      <c r="AQ192" s="464">
        <f>SUMIFS(Income!$G:$G,Income!$H:$H, AQ$2,Income!$F:$F, $AL$1, Income!$B:$B, IF($AM192&lt;&gt;"", TEXT($AM192, "MMMM"), ""), Income!$C:$C, YEAR($AM192))+SUMIFS($T:$T, $U:$U,AQ$2,$Q:$Q,IF($AM192&lt;&gt;"", TEXT($AM192, "MMMM"), ""),$R:$R,YEAR($AM192))</f>
        <v>0</v>
      </c>
      <c r="AR192" s="464">
        <f>SUMIFS(Income!$G:$G,Income!$H:$H, AR$2,Income!$F:$F, $AL$1, Income!$B:$B, IF($AM192&lt;&gt;"", TEXT($AM192, "MMMM"), ""), Income!$C:$C, YEAR($AM192))+SUMIFS($T:$T, $U:$U,AR$2,$Q:$Q,IF($AM192&lt;&gt;"", TEXT($AM192, "MMMM"), ""),$R:$R,YEAR($AM192))</f>
        <v>0</v>
      </c>
      <c r="AS192" s="467">
        <f>SUMIFS(Income!$G:$G,Income!$H:$H, AS$2,Income!$F:$F, $AL$1, Income!$B:$B, IF($AM192&lt;&gt;"", TEXT($AM192, "MMMM"), ""), Income!$C:$C, YEAR($AM192))+SUMIFS($T:$T, $U:$U,AS$2,$Q:$Q,IF($AM192&lt;&gt;"", TEXT($AM192, "MMMM"), ""),$R:$R,YEAR($AM192))</f>
        <v>0</v>
      </c>
      <c r="AT192" s="428"/>
      <c r="AU192" s="463">
        <v>49583.0</v>
      </c>
      <c r="AV192" s="469">
        <f>SUMIFS(Income!$G:$G,Income!$H:$H, AV$2,Income!$F:$F, $AT$1, Income!$B:$B, IF($AU192&lt;&gt;"", TEXT($AU192, "MMMM"), ""), Income!$C:$C, YEAR($AU192))</f>
        <v>0</v>
      </c>
      <c r="AW192" s="469">
        <f>SUMIFS(Income!$G:$G,Income!$H:$H, AW$2,Income!$F:$F, $AT$1, Income!$B:$B, IF($AU192&lt;&gt;"", TEXT($AU192, "MMMM"), ""), Income!$C:$C, YEAR($AU192))</f>
        <v>0</v>
      </c>
      <c r="AX192" s="469">
        <f>SUMIFS(Income!$G:$G,Income!$H:$H, AX$2,Income!$F:$F, $AT$1, Income!$B:$B, IF($AU192&lt;&gt;"", TEXT($AU192, "MMMM"), ""), Income!$C:$C, YEAR($AU192))</f>
        <v>0</v>
      </c>
      <c r="AY192" s="469">
        <f>SUMIFS(Income!$G:$G,Income!$H:$H, AY$2,Income!$F:$F, $AT$1, Income!$B:$B, IF($AU192&lt;&gt;"", TEXT($AU192, "MMMM"), ""), Income!$C:$C, YEAR($AU192))</f>
        <v>0</v>
      </c>
      <c r="AZ192" s="464">
        <f>SUMIFS(Income!$G:$G,Income!$H:$H, AZ$2,Income!$F:$F, $AT$1, Income!$B:$B, IF($AU192&lt;&gt;"", TEXT($AU192, "MMMM"), ""), Income!$C:$C, YEAR($AU192))</f>
        <v>0</v>
      </c>
      <c r="BA192" s="471">
        <f>SUMIFS(Income!$G:$G,Income!$H:$H, BA$2,Income!$F:$F, $AT$1, Income!$B:$B, IF($AU192&lt;&gt;"", TEXT($AU192, "MMMM"), ""), Income!$C:$C, YEAR($AU192))</f>
        <v>0</v>
      </c>
      <c r="BB192" s="345"/>
      <c r="BC192" s="345"/>
      <c r="BD192" s="345"/>
      <c r="BE192" s="345"/>
    </row>
    <row r="193" ht="13.5" customHeight="1">
      <c r="A193" s="436">
        <f>'Membership Application List'!A422</f>
        <v>45572.85124</v>
      </c>
      <c r="B193" s="437" t="str">
        <f t="shared" si="6"/>
        <v>October</v>
      </c>
      <c r="C193" s="437">
        <f t="shared" si="7"/>
        <v>2024</v>
      </c>
      <c r="D193" s="438" t="str">
        <f>'Membership Application List'!E422</f>
        <v>Jenny Thai Nguyen</v>
      </c>
      <c r="E193" s="438">
        <f>IF('Membership Application List'!J422 = "Food/Litter Donation", 0, IF('Membership Application List'!J422 = "$15 Donation, Discord Verification", IF('Membership Application List'!N422 = TRUE, 15, 0)))</f>
        <v>15</v>
      </c>
      <c r="F193" s="438">
        <f>if('Membership Application List'!K422=TRUE, 5,0)</f>
        <v>0</v>
      </c>
      <c r="G193" s="438">
        <f t="shared" si="8"/>
        <v>15</v>
      </c>
      <c r="H193" s="439" t="str">
        <f>'Membership Application List'!L422</f>
        <v>Paypal</v>
      </c>
      <c r="I193" s="428"/>
      <c r="J193" s="463">
        <v>49614.0</v>
      </c>
      <c r="K193" s="464">
        <f t="shared" ref="K193:O193" si="151">SUMIFS($G:$G, $H:$H, K$2, $B:$B, IF($J193&lt;&gt;"", TEXT($J193, "MMMM"), ""), $C:$C, YEAR($J193))</f>
        <v>0</v>
      </c>
      <c r="L193" s="464">
        <f t="shared" si="151"/>
        <v>0</v>
      </c>
      <c r="M193" s="464">
        <f t="shared" si="151"/>
        <v>0</v>
      </c>
      <c r="N193" s="464">
        <f t="shared" si="151"/>
        <v>0</v>
      </c>
      <c r="O193" s="465">
        <f t="shared" si="151"/>
        <v>0</v>
      </c>
      <c r="P193" s="414"/>
      <c r="Q193" s="414"/>
      <c r="R193" s="414"/>
      <c r="S193" s="445"/>
      <c r="T193" s="445"/>
      <c r="U193" s="445"/>
      <c r="V193" s="428"/>
      <c r="W193" s="463">
        <v>49614.0</v>
      </c>
      <c r="X193" s="469">
        <f>SUMIFS(Income!$G:$G,Income!$H:$H, X$2,Income!$F:$F, $V$1, Income!$B:$B, IF($W193&lt;&gt;"", TEXT($W193, "MMMM"), ""), Income!$C:$C, YEAR($W193))</f>
        <v>0</v>
      </c>
      <c r="Y193" s="469">
        <f>SUMIFS(Income!$G:$G,Income!$H:$H, Y$2,Income!$F:$F, $V$1, Income!$B:$B, IF($W193&lt;&gt;"", TEXT($W193, "MMMM"), ""), Income!$C:$C, YEAR($W193))</f>
        <v>0</v>
      </c>
      <c r="Z193" s="469">
        <f>SUMIFS(Income!$G:$G,Income!$H:$H, Z$2,Income!$F:$F, $V$1, Income!$B:$B, IF($W193&lt;&gt;"", TEXT($W193, "MMMM"), ""), Income!$C:$C, YEAR($W193))</f>
        <v>0</v>
      </c>
      <c r="AA193" s="469">
        <f>SUMIFS(Income!$G:$G,Income!$H:$H, AA$2,Income!$F:$F, $V$1, Income!$B:$B, IF($W193&lt;&gt;"", TEXT($W193, "MMMM"), ""), Income!$C:$C, YEAR($W193))</f>
        <v>0</v>
      </c>
      <c r="AB193" s="464">
        <f>SUMIFS(Income!$G:$G,Income!$H:$H, AB$2,Income!$F:$F, $V$1, Income!$B:$B, IF($W193&lt;&gt;"", TEXT($W193, "MMMM"), ""), Income!$C:$C, YEAR($W193))</f>
        <v>0</v>
      </c>
      <c r="AC193" s="470">
        <f>SUMIFS(Income!$G:$G,Income!$H:$H, AC$2,Income!$F:$F, $V$1, Income!$B:$B, IF($W193&lt;&gt;"", TEXT($W193, "MMMM"), ""), Income!$C:$C, YEAR($W193))</f>
        <v>0</v>
      </c>
      <c r="AD193" s="428"/>
      <c r="AE193" s="463">
        <v>49614.0</v>
      </c>
      <c r="AF193" s="469">
        <f>SUMIFS(Income!$G:$G,Income!$H:$H, AF$2,Income!$F:$F, $AD$1, Income!$B:$B, IF($AE193&lt;&gt;"", TEXT($AE193, "MMMM"), ""), Income!$C:$C, YEAR($AE193))</f>
        <v>0</v>
      </c>
      <c r="AG193" s="469">
        <f>SUMIFS(Income!$G:$G,Income!$H:$H, AG$2,Income!$F:$F, $AD$1, Income!$B:$B, IF($AE193&lt;&gt;"", TEXT($AE193, "MMMM"), ""), Income!$C:$C, YEAR($AE193))</f>
        <v>0</v>
      </c>
      <c r="AH193" s="469">
        <f>SUMIFS(Income!$G:$G,Income!$H:$H, AH$2,Income!$F:$F, $AD$1, Income!$B:$B, IF($AE193&lt;&gt;"", TEXT($AE193, "MMMM"), ""), Income!$C:$C, YEAR($AE193))</f>
        <v>0</v>
      </c>
      <c r="AI193" s="469">
        <f>SUMIFS(Income!$G:$G,Income!$H:$H, AI$2,Income!$F:$F, $AD$1, Income!$B:$B, IF($AE193&lt;&gt;"", TEXT($AE193, "MMMM"), ""), Income!$C:$C, YEAR($AE193))</f>
        <v>0</v>
      </c>
      <c r="AJ193" s="464">
        <f>SUMIFS(Income!$G:$G,Income!$H:$H, AJ$2,Income!$F:$F, $AD$1, Income!$B:$B, IF($AE193&lt;&gt;"", TEXT($AE193, "MMMM"), ""), Income!$C:$C, YEAR($AE193))</f>
        <v>0</v>
      </c>
      <c r="AK193" s="470">
        <f>SUMIFS(Income!$G:$G,Income!$H:$H, AK$2,Income!$F:$F, $AD$1, Income!$B:$B, IF($AE193&lt;&gt;"", TEXT($AE193, "MMMM"), ""), Income!$C:$C, YEAR($AE193))</f>
        <v>0</v>
      </c>
      <c r="AL193" s="428"/>
      <c r="AM193" s="463">
        <v>49614.0</v>
      </c>
      <c r="AN193" s="464">
        <f>SUMIFS(Income!$G:$G,Income!$H:$H, AN$2,Income!$F:$F, $AL$1, Income!$B:$B, IF($AM193&lt;&gt;"", TEXT($AM193, "MMMM"), ""), Income!$C:$C, YEAR($AM193))+SUMIFS($T:$T, $U:$U,AN$2,$Q:$Q,IF($AM193&lt;&gt;"", TEXT($AM193, "MMMM"), ""),$R:$R,YEAR($AM193))</f>
        <v>0</v>
      </c>
      <c r="AO193" s="464">
        <f>SUMIFS(Income!$G:$G,Income!$H:$H, AO$2,Income!$F:$F, $AL$1, Income!$B:$B, IF($AM193&lt;&gt;"", TEXT($AM193, "MMMM"), ""), Income!$C:$C, YEAR($AM193))+SUMIFS($T:$T, $U:$U,AO$2,$Q:$Q,IF($AM193&lt;&gt;"", TEXT($AM193, "MMMM"), ""),$R:$R,YEAR($AM193))</f>
        <v>0</v>
      </c>
      <c r="AP193" s="464">
        <f>SUMIFS(Income!$G:$G,Income!$H:$H, AP$2,Income!$F:$F, $AL$1, Income!$B:$B, IF($AM193&lt;&gt;"", TEXT($AM193, "MMMM"), ""), Income!$C:$C, YEAR($AM193))+SUMIFS($T:$T, $U:$U,AP$2,$Q:$Q,IF($AM193&lt;&gt;"", TEXT($AM193, "MMMM"), ""),$R:$R,YEAR($AM193))</f>
        <v>0</v>
      </c>
      <c r="AQ193" s="464">
        <f>SUMIFS(Income!$G:$G,Income!$H:$H, AQ$2,Income!$F:$F, $AL$1, Income!$B:$B, IF($AM193&lt;&gt;"", TEXT($AM193, "MMMM"), ""), Income!$C:$C, YEAR($AM193))+SUMIFS($T:$T, $U:$U,AQ$2,$Q:$Q,IF($AM193&lt;&gt;"", TEXT($AM193, "MMMM"), ""),$R:$R,YEAR($AM193))</f>
        <v>0</v>
      </c>
      <c r="AR193" s="464">
        <f>SUMIFS(Income!$G:$G,Income!$H:$H, AR$2,Income!$F:$F, $AL$1, Income!$B:$B, IF($AM193&lt;&gt;"", TEXT($AM193, "MMMM"), ""), Income!$C:$C, YEAR($AM193))+SUMIFS($T:$T, $U:$U,AR$2,$Q:$Q,IF($AM193&lt;&gt;"", TEXT($AM193, "MMMM"), ""),$R:$R,YEAR($AM193))</f>
        <v>0</v>
      </c>
      <c r="AS193" s="467">
        <f>SUMIFS(Income!$G:$G,Income!$H:$H, AS$2,Income!$F:$F, $AL$1, Income!$B:$B, IF($AM193&lt;&gt;"", TEXT($AM193, "MMMM"), ""), Income!$C:$C, YEAR($AM193))+SUMIFS($T:$T, $U:$U,AS$2,$Q:$Q,IF($AM193&lt;&gt;"", TEXT($AM193, "MMMM"), ""),$R:$R,YEAR($AM193))</f>
        <v>0</v>
      </c>
      <c r="AT193" s="428"/>
      <c r="AU193" s="463">
        <v>49614.0</v>
      </c>
      <c r="AV193" s="469">
        <f>SUMIFS(Income!$G:$G,Income!$H:$H, AV$2,Income!$F:$F, $AT$1, Income!$B:$B, IF($AU193&lt;&gt;"", TEXT($AU193, "MMMM"), ""), Income!$C:$C, YEAR($AU193))</f>
        <v>0</v>
      </c>
      <c r="AW193" s="469">
        <f>SUMIFS(Income!$G:$G,Income!$H:$H, AW$2,Income!$F:$F, $AT$1, Income!$B:$B, IF($AU193&lt;&gt;"", TEXT($AU193, "MMMM"), ""), Income!$C:$C, YEAR($AU193))</f>
        <v>0</v>
      </c>
      <c r="AX193" s="469">
        <f>SUMIFS(Income!$G:$G,Income!$H:$H, AX$2,Income!$F:$F, $AT$1, Income!$B:$B, IF($AU193&lt;&gt;"", TEXT($AU193, "MMMM"), ""), Income!$C:$C, YEAR($AU193))</f>
        <v>0</v>
      </c>
      <c r="AY193" s="469">
        <f>SUMIFS(Income!$G:$G,Income!$H:$H, AY$2,Income!$F:$F, $AT$1, Income!$B:$B, IF($AU193&lt;&gt;"", TEXT($AU193, "MMMM"), ""), Income!$C:$C, YEAR($AU193))</f>
        <v>0</v>
      </c>
      <c r="AZ193" s="464">
        <f>SUMIFS(Income!$G:$G,Income!$H:$H, AZ$2,Income!$F:$F, $AT$1, Income!$B:$B, IF($AU193&lt;&gt;"", TEXT($AU193, "MMMM"), ""), Income!$C:$C, YEAR($AU193))</f>
        <v>0</v>
      </c>
      <c r="BA193" s="471">
        <f>SUMIFS(Income!$G:$G,Income!$H:$H, BA$2,Income!$F:$F, $AT$1, Income!$B:$B, IF($AU193&lt;&gt;"", TEXT($AU193, "MMMM"), ""), Income!$C:$C, YEAR($AU193))</f>
        <v>0</v>
      </c>
      <c r="BB193" s="345"/>
      <c r="BC193" s="345"/>
      <c r="BD193" s="345"/>
      <c r="BE193" s="345"/>
    </row>
    <row r="194" ht="13.5" customHeight="1">
      <c r="A194" s="424">
        <f>'Membership Application List'!A423</f>
        <v>45574.49413</v>
      </c>
      <c r="B194" s="443" t="str">
        <f t="shared" si="6"/>
        <v>October</v>
      </c>
      <c r="C194" s="443">
        <f t="shared" si="7"/>
        <v>2024</v>
      </c>
      <c r="D194" s="426" t="str">
        <f>'Membership Application List'!E423</f>
        <v>Srabastee De Bhaumik</v>
      </c>
      <c r="E194" s="426">
        <f>IF('Membership Application List'!J423 = "Food/Litter Donation", 0, IF('Membership Application List'!J423 = "$15 Donation, Discord Verification", IF('Membership Application List'!N423 = TRUE, 15, 0)))</f>
        <v>15</v>
      </c>
      <c r="F194" s="426">
        <f>if('Membership Application List'!K423=TRUE, 5,0)</f>
        <v>0</v>
      </c>
      <c r="G194" s="426">
        <f t="shared" si="8"/>
        <v>15</v>
      </c>
      <c r="H194" s="427" t="str">
        <f>'Membership Application List'!L423</f>
        <v>Venmo</v>
      </c>
      <c r="I194" s="428"/>
      <c r="J194" s="463">
        <v>49644.0</v>
      </c>
      <c r="K194" s="464">
        <f t="shared" ref="K194:O194" si="152">SUMIFS($G:$G, $H:$H, K$2, $B:$B, IF($J194&lt;&gt;"", TEXT($J194, "MMMM"), ""), $C:$C, YEAR($J194))</f>
        <v>0</v>
      </c>
      <c r="L194" s="464">
        <f t="shared" si="152"/>
        <v>0</v>
      </c>
      <c r="M194" s="464">
        <f t="shared" si="152"/>
        <v>0</v>
      </c>
      <c r="N194" s="464">
        <f t="shared" si="152"/>
        <v>0</v>
      </c>
      <c r="O194" s="465">
        <f t="shared" si="152"/>
        <v>0</v>
      </c>
      <c r="P194" s="414"/>
      <c r="Q194" s="414"/>
      <c r="R194" s="414"/>
      <c r="S194" s="445"/>
      <c r="T194" s="445"/>
      <c r="U194" s="445"/>
      <c r="V194" s="428"/>
      <c r="W194" s="463">
        <v>49644.0</v>
      </c>
      <c r="X194" s="469">
        <f>SUMIFS(Income!$G:$G,Income!$H:$H, X$2,Income!$F:$F, $V$1, Income!$B:$B, IF($W194&lt;&gt;"", TEXT($W194, "MMMM"), ""), Income!$C:$C, YEAR($W194))</f>
        <v>0</v>
      </c>
      <c r="Y194" s="469">
        <f>SUMIFS(Income!$G:$G,Income!$H:$H, Y$2,Income!$F:$F, $V$1, Income!$B:$B, IF($W194&lt;&gt;"", TEXT($W194, "MMMM"), ""), Income!$C:$C, YEAR($W194))</f>
        <v>0</v>
      </c>
      <c r="Z194" s="469">
        <f>SUMIFS(Income!$G:$G,Income!$H:$H, Z$2,Income!$F:$F, $V$1, Income!$B:$B, IF($W194&lt;&gt;"", TEXT($W194, "MMMM"), ""), Income!$C:$C, YEAR($W194))</f>
        <v>0</v>
      </c>
      <c r="AA194" s="469">
        <f>SUMIFS(Income!$G:$G,Income!$H:$H, AA$2,Income!$F:$F, $V$1, Income!$B:$B, IF($W194&lt;&gt;"", TEXT($W194, "MMMM"), ""), Income!$C:$C, YEAR($W194))</f>
        <v>0</v>
      </c>
      <c r="AB194" s="464">
        <f>SUMIFS(Income!$G:$G,Income!$H:$H, AB$2,Income!$F:$F, $V$1, Income!$B:$B, IF($W194&lt;&gt;"", TEXT($W194, "MMMM"), ""), Income!$C:$C, YEAR($W194))</f>
        <v>0</v>
      </c>
      <c r="AC194" s="470">
        <f>SUMIFS(Income!$G:$G,Income!$H:$H, AC$2,Income!$F:$F, $V$1, Income!$B:$B, IF($W194&lt;&gt;"", TEXT($W194, "MMMM"), ""), Income!$C:$C, YEAR($W194))</f>
        <v>0</v>
      </c>
      <c r="AD194" s="428"/>
      <c r="AE194" s="463">
        <v>49644.0</v>
      </c>
      <c r="AF194" s="469">
        <f>SUMIFS(Income!$G:$G,Income!$H:$H, AF$2,Income!$F:$F, $AD$1, Income!$B:$B, IF($AE194&lt;&gt;"", TEXT($AE194, "MMMM"), ""), Income!$C:$C, YEAR($AE194))</f>
        <v>0</v>
      </c>
      <c r="AG194" s="469">
        <f>SUMIFS(Income!$G:$G,Income!$H:$H, AG$2,Income!$F:$F, $AD$1, Income!$B:$B, IF($AE194&lt;&gt;"", TEXT($AE194, "MMMM"), ""), Income!$C:$C, YEAR($AE194))</f>
        <v>0</v>
      </c>
      <c r="AH194" s="469">
        <f>SUMIFS(Income!$G:$G,Income!$H:$H, AH$2,Income!$F:$F, $AD$1, Income!$B:$B, IF($AE194&lt;&gt;"", TEXT($AE194, "MMMM"), ""), Income!$C:$C, YEAR($AE194))</f>
        <v>0</v>
      </c>
      <c r="AI194" s="469">
        <f>SUMIFS(Income!$G:$G,Income!$H:$H, AI$2,Income!$F:$F, $AD$1, Income!$B:$B, IF($AE194&lt;&gt;"", TEXT($AE194, "MMMM"), ""), Income!$C:$C, YEAR($AE194))</f>
        <v>0</v>
      </c>
      <c r="AJ194" s="464">
        <f>SUMIFS(Income!$G:$G,Income!$H:$H, AJ$2,Income!$F:$F, $AD$1, Income!$B:$B, IF($AE194&lt;&gt;"", TEXT($AE194, "MMMM"), ""), Income!$C:$C, YEAR($AE194))</f>
        <v>0</v>
      </c>
      <c r="AK194" s="470">
        <f>SUMIFS(Income!$G:$G,Income!$H:$H, AK$2,Income!$F:$F, $AD$1, Income!$B:$B, IF($AE194&lt;&gt;"", TEXT($AE194, "MMMM"), ""), Income!$C:$C, YEAR($AE194))</f>
        <v>0</v>
      </c>
      <c r="AL194" s="428"/>
      <c r="AM194" s="463">
        <v>49644.0</v>
      </c>
      <c r="AN194" s="464">
        <f>SUMIFS(Income!$G:$G,Income!$H:$H, AN$2,Income!$F:$F, $AL$1, Income!$B:$B, IF($AM194&lt;&gt;"", TEXT($AM194, "MMMM"), ""), Income!$C:$C, YEAR($AM194))+SUMIFS($T:$T, $U:$U,AN$2,$Q:$Q,IF($AM194&lt;&gt;"", TEXT($AM194, "MMMM"), ""),$R:$R,YEAR($AM194))</f>
        <v>0</v>
      </c>
      <c r="AO194" s="464">
        <f>SUMIFS(Income!$G:$G,Income!$H:$H, AO$2,Income!$F:$F, $AL$1, Income!$B:$B, IF($AM194&lt;&gt;"", TEXT($AM194, "MMMM"), ""), Income!$C:$C, YEAR($AM194))+SUMIFS($T:$T, $U:$U,AO$2,$Q:$Q,IF($AM194&lt;&gt;"", TEXT($AM194, "MMMM"), ""),$R:$R,YEAR($AM194))</f>
        <v>0</v>
      </c>
      <c r="AP194" s="464">
        <f>SUMIFS(Income!$G:$G,Income!$H:$H, AP$2,Income!$F:$F, $AL$1, Income!$B:$B, IF($AM194&lt;&gt;"", TEXT($AM194, "MMMM"), ""), Income!$C:$C, YEAR($AM194))+SUMIFS($T:$T, $U:$U,AP$2,$Q:$Q,IF($AM194&lt;&gt;"", TEXT($AM194, "MMMM"), ""),$R:$R,YEAR($AM194))</f>
        <v>0</v>
      </c>
      <c r="AQ194" s="464">
        <f>SUMIFS(Income!$G:$G,Income!$H:$H, AQ$2,Income!$F:$F, $AL$1, Income!$B:$B, IF($AM194&lt;&gt;"", TEXT($AM194, "MMMM"), ""), Income!$C:$C, YEAR($AM194))+SUMIFS($T:$T, $U:$U,AQ$2,$Q:$Q,IF($AM194&lt;&gt;"", TEXT($AM194, "MMMM"), ""),$R:$R,YEAR($AM194))</f>
        <v>0</v>
      </c>
      <c r="AR194" s="464">
        <f>SUMIFS(Income!$G:$G,Income!$H:$H, AR$2,Income!$F:$F, $AL$1, Income!$B:$B, IF($AM194&lt;&gt;"", TEXT($AM194, "MMMM"), ""), Income!$C:$C, YEAR($AM194))+SUMIFS($T:$T, $U:$U,AR$2,$Q:$Q,IF($AM194&lt;&gt;"", TEXT($AM194, "MMMM"), ""),$R:$R,YEAR($AM194))</f>
        <v>0</v>
      </c>
      <c r="AS194" s="467">
        <f>SUMIFS(Income!$G:$G,Income!$H:$H, AS$2,Income!$F:$F, $AL$1, Income!$B:$B, IF($AM194&lt;&gt;"", TEXT($AM194, "MMMM"), ""), Income!$C:$C, YEAR($AM194))+SUMIFS($T:$T, $U:$U,AS$2,$Q:$Q,IF($AM194&lt;&gt;"", TEXT($AM194, "MMMM"), ""),$R:$R,YEAR($AM194))</f>
        <v>0</v>
      </c>
      <c r="AT194" s="428"/>
      <c r="AU194" s="463">
        <v>49644.0</v>
      </c>
      <c r="AV194" s="469">
        <f>SUMIFS(Income!$G:$G,Income!$H:$H, AV$2,Income!$F:$F, $AT$1, Income!$B:$B, IF($AU194&lt;&gt;"", TEXT($AU194, "MMMM"), ""), Income!$C:$C, YEAR($AU194))</f>
        <v>0</v>
      </c>
      <c r="AW194" s="469">
        <f>SUMIFS(Income!$G:$G,Income!$H:$H, AW$2,Income!$F:$F, $AT$1, Income!$B:$B, IF($AU194&lt;&gt;"", TEXT($AU194, "MMMM"), ""), Income!$C:$C, YEAR($AU194))</f>
        <v>0</v>
      </c>
      <c r="AX194" s="469">
        <f>SUMIFS(Income!$G:$G,Income!$H:$H, AX$2,Income!$F:$F, $AT$1, Income!$B:$B, IF($AU194&lt;&gt;"", TEXT($AU194, "MMMM"), ""), Income!$C:$C, YEAR($AU194))</f>
        <v>0</v>
      </c>
      <c r="AY194" s="469">
        <f>SUMIFS(Income!$G:$G,Income!$H:$H, AY$2,Income!$F:$F, $AT$1, Income!$B:$B, IF($AU194&lt;&gt;"", TEXT($AU194, "MMMM"), ""), Income!$C:$C, YEAR($AU194))</f>
        <v>0</v>
      </c>
      <c r="AZ194" s="464">
        <f>SUMIFS(Income!$G:$G,Income!$H:$H, AZ$2,Income!$F:$F, $AT$1, Income!$B:$B, IF($AU194&lt;&gt;"", TEXT($AU194, "MMMM"), ""), Income!$C:$C, YEAR($AU194))</f>
        <v>0</v>
      </c>
      <c r="BA194" s="471">
        <f>SUMIFS(Income!$G:$G,Income!$H:$H, BA$2,Income!$F:$F, $AT$1, Income!$B:$B, IF($AU194&lt;&gt;"", TEXT($AU194, "MMMM"), ""), Income!$C:$C, YEAR($AU194))</f>
        <v>0</v>
      </c>
      <c r="BB194" s="345"/>
      <c r="BC194" s="345"/>
      <c r="BD194" s="345"/>
      <c r="BE194" s="345"/>
    </row>
    <row r="195" ht="13.5" customHeight="1">
      <c r="A195" s="436">
        <f>'Membership Application List'!A424</f>
        <v>45586.63765</v>
      </c>
      <c r="B195" s="437" t="str">
        <f t="shared" si="6"/>
        <v>October</v>
      </c>
      <c r="C195" s="437">
        <f t="shared" si="7"/>
        <v>2024</v>
      </c>
      <c r="D195" s="438" t="str">
        <f>'Membership Application List'!E424</f>
        <v>Richard DiGiovanni</v>
      </c>
      <c r="E195" s="438">
        <f>IF('Membership Application List'!J424 = "Food/Litter Donation", 0, IF('Membership Application List'!J424 = "$15 Donation, Discord Verification", IF('Membership Application List'!N424 = TRUE, 15, 0)))</f>
        <v>15</v>
      </c>
      <c r="F195" s="438">
        <f>if('Membership Application List'!K424=TRUE, 5,0)</f>
        <v>0</v>
      </c>
      <c r="G195" s="438">
        <f t="shared" si="8"/>
        <v>15</v>
      </c>
      <c r="H195" s="439" t="str">
        <f>'Membership Application List'!L424</f>
        <v>Venmo</v>
      </c>
      <c r="I195" s="407" t="s">
        <v>800</v>
      </c>
      <c r="J195" s="463">
        <v>49675.0</v>
      </c>
      <c r="K195" s="464">
        <f t="shared" ref="K195:O195" si="153">SUMIFS($G:$G, $H:$H, K$2, $B:$B, IF($J195&lt;&gt;"", TEXT($J195, "MMMM"), ""), $C:$C, YEAR($J195))</f>
        <v>0</v>
      </c>
      <c r="L195" s="464">
        <f t="shared" si="153"/>
        <v>0</v>
      </c>
      <c r="M195" s="464">
        <f t="shared" si="153"/>
        <v>0</v>
      </c>
      <c r="N195" s="464">
        <f t="shared" si="153"/>
        <v>0</v>
      </c>
      <c r="O195" s="465">
        <f t="shared" si="153"/>
        <v>0</v>
      </c>
      <c r="P195" s="414"/>
      <c r="Q195" s="414"/>
      <c r="R195" s="414"/>
      <c r="S195" s="445"/>
      <c r="T195" s="445"/>
      <c r="U195" s="445"/>
      <c r="V195" s="407" t="s">
        <v>800</v>
      </c>
      <c r="W195" s="463">
        <v>49675.0</v>
      </c>
      <c r="X195" s="469">
        <f>SUMIFS(Income!$G:$G,Income!$H:$H, X$2,Income!$F:$F, $V$1, Income!$B:$B, IF($W195&lt;&gt;"", TEXT($W195, "MMMM"), ""), Income!$C:$C, YEAR($W195))</f>
        <v>0</v>
      </c>
      <c r="Y195" s="469">
        <f>SUMIFS(Income!$G:$G,Income!$H:$H, Y$2,Income!$F:$F, $V$1, Income!$B:$B, IF($W195&lt;&gt;"", TEXT($W195, "MMMM"), ""), Income!$C:$C, YEAR($W195))</f>
        <v>0</v>
      </c>
      <c r="Z195" s="469">
        <f>SUMIFS(Income!$G:$G,Income!$H:$H, Z$2,Income!$F:$F, $V$1, Income!$B:$B, IF($W195&lt;&gt;"", TEXT($W195, "MMMM"), ""), Income!$C:$C, YEAR($W195))</f>
        <v>0</v>
      </c>
      <c r="AA195" s="469">
        <f>SUMIFS(Income!$G:$G,Income!$H:$H, AA$2,Income!$F:$F, $V$1, Income!$B:$B, IF($W195&lt;&gt;"", TEXT($W195, "MMMM"), ""), Income!$C:$C, YEAR($W195))</f>
        <v>0</v>
      </c>
      <c r="AB195" s="464">
        <f>SUMIFS(Income!$G:$G,Income!$H:$H, AB$2,Income!$F:$F, $V$1, Income!$B:$B, IF($W195&lt;&gt;"", TEXT($W195, "MMMM"), ""), Income!$C:$C, YEAR($W195))</f>
        <v>0</v>
      </c>
      <c r="AC195" s="470">
        <f>SUMIFS(Income!$G:$G,Income!$H:$H, AC$2,Income!$F:$F, $V$1, Income!$B:$B, IF($W195&lt;&gt;"", TEXT($W195, "MMMM"), ""), Income!$C:$C, YEAR($W195))</f>
        <v>0</v>
      </c>
      <c r="AD195" s="407" t="s">
        <v>800</v>
      </c>
      <c r="AE195" s="463">
        <v>49675.0</v>
      </c>
      <c r="AF195" s="469">
        <f>SUMIFS(Income!$G:$G,Income!$H:$H, AF$2,Income!$F:$F, $AD$1, Income!$B:$B, IF($AE195&lt;&gt;"", TEXT($AE195, "MMMM"), ""), Income!$C:$C, YEAR($AE195))</f>
        <v>0</v>
      </c>
      <c r="AG195" s="469">
        <f>SUMIFS(Income!$G:$G,Income!$H:$H, AG$2,Income!$F:$F, $AD$1, Income!$B:$B, IF($AE195&lt;&gt;"", TEXT($AE195, "MMMM"), ""), Income!$C:$C, YEAR($AE195))</f>
        <v>0</v>
      </c>
      <c r="AH195" s="469">
        <f>SUMIFS(Income!$G:$G,Income!$H:$H, AH$2,Income!$F:$F, $AD$1, Income!$B:$B, IF($AE195&lt;&gt;"", TEXT($AE195, "MMMM"), ""), Income!$C:$C, YEAR($AE195))</f>
        <v>0</v>
      </c>
      <c r="AI195" s="469">
        <f>SUMIFS(Income!$G:$G,Income!$H:$H, AI$2,Income!$F:$F, $AD$1, Income!$B:$B, IF($AE195&lt;&gt;"", TEXT($AE195, "MMMM"), ""), Income!$C:$C, YEAR($AE195))</f>
        <v>0</v>
      </c>
      <c r="AJ195" s="464">
        <f>SUMIFS(Income!$G:$G,Income!$H:$H, AJ$2,Income!$F:$F, $AD$1, Income!$B:$B, IF($AE195&lt;&gt;"", TEXT($AE195, "MMMM"), ""), Income!$C:$C, YEAR($AE195))</f>
        <v>0</v>
      </c>
      <c r="AK195" s="470">
        <f>SUMIFS(Income!$G:$G,Income!$H:$H, AK$2,Income!$F:$F, $AD$1, Income!$B:$B, IF($AE195&lt;&gt;"", TEXT($AE195, "MMMM"), ""), Income!$C:$C, YEAR($AE195))</f>
        <v>0</v>
      </c>
      <c r="AL195" s="407" t="s">
        <v>800</v>
      </c>
      <c r="AM195" s="463">
        <v>49675.0</v>
      </c>
      <c r="AN195" s="464">
        <f>SUMIFS(Income!$G:$G,Income!$H:$H, AN$2,Income!$F:$F, $AL$1, Income!$B:$B, IF($AM195&lt;&gt;"", TEXT($AM195, "MMMM"), ""), Income!$C:$C, YEAR($AM195))+SUMIFS($T:$T, $U:$U,AN$2,$Q:$Q,IF($AM195&lt;&gt;"", TEXT($AM195, "MMMM"), ""),$R:$R,YEAR($AM195))</f>
        <v>0</v>
      </c>
      <c r="AO195" s="464">
        <f>SUMIFS(Income!$G:$G,Income!$H:$H, AO$2,Income!$F:$F, $AL$1, Income!$B:$B, IF($AM195&lt;&gt;"", TEXT($AM195, "MMMM"), ""), Income!$C:$C, YEAR($AM195))+SUMIFS($T:$T, $U:$U,AO$2,$Q:$Q,IF($AM195&lt;&gt;"", TEXT($AM195, "MMMM"), ""),$R:$R,YEAR($AM195))</f>
        <v>0</v>
      </c>
      <c r="AP195" s="464">
        <f>SUMIFS(Income!$G:$G,Income!$H:$H, AP$2,Income!$F:$F, $AL$1, Income!$B:$B, IF($AM195&lt;&gt;"", TEXT($AM195, "MMMM"), ""), Income!$C:$C, YEAR($AM195))+SUMIFS($T:$T, $U:$U,AP$2,$Q:$Q,IF($AM195&lt;&gt;"", TEXT($AM195, "MMMM"), ""),$R:$R,YEAR($AM195))</f>
        <v>0</v>
      </c>
      <c r="AQ195" s="464">
        <f>SUMIFS(Income!$G:$G,Income!$H:$H, AQ$2,Income!$F:$F, $AL$1, Income!$B:$B, IF($AM195&lt;&gt;"", TEXT($AM195, "MMMM"), ""), Income!$C:$C, YEAR($AM195))+SUMIFS($T:$T, $U:$U,AQ$2,$Q:$Q,IF($AM195&lt;&gt;"", TEXT($AM195, "MMMM"), ""),$R:$R,YEAR($AM195))</f>
        <v>0</v>
      </c>
      <c r="AR195" s="464">
        <f>SUMIFS(Income!$G:$G,Income!$H:$H, AR$2,Income!$F:$F, $AL$1, Income!$B:$B, IF($AM195&lt;&gt;"", TEXT($AM195, "MMMM"), ""), Income!$C:$C, YEAR($AM195))+SUMIFS($T:$T, $U:$U,AR$2,$Q:$Q,IF($AM195&lt;&gt;"", TEXT($AM195, "MMMM"), ""),$R:$R,YEAR($AM195))</f>
        <v>0</v>
      </c>
      <c r="AS195" s="467">
        <f>SUMIFS(Income!$G:$G,Income!$H:$H, AS$2,Income!$F:$F, $AL$1, Income!$B:$B, IF($AM195&lt;&gt;"", TEXT($AM195, "MMMM"), ""), Income!$C:$C, YEAR($AM195))+SUMIFS($T:$T, $U:$U,AS$2,$Q:$Q,IF($AM195&lt;&gt;"", TEXT($AM195, "MMMM"), ""),$R:$R,YEAR($AM195))</f>
        <v>0</v>
      </c>
      <c r="AT195" s="407" t="s">
        <v>800</v>
      </c>
      <c r="AU195" s="463">
        <v>49675.0</v>
      </c>
      <c r="AV195" s="469">
        <f>SUMIFS(Income!$G:$G,Income!$H:$H, AV$2,Income!$F:$F, $AT$1, Income!$B:$B, IF($AU195&lt;&gt;"", TEXT($AU195, "MMMM"), ""), Income!$C:$C, YEAR($AU195))</f>
        <v>0</v>
      </c>
      <c r="AW195" s="469">
        <f>SUMIFS(Income!$G:$G,Income!$H:$H, AW$2,Income!$F:$F, $AT$1, Income!$B:$B, IF($AU195&lt;&gt;"", TEXT($AU195, "MMMM"), ""), Income!$C:$C, YEAR($AU195))</f>
        <v>0</v>
      </c>
      <c r="AX195" s="469">
        <f>SUMIFS(Income!$G:$G,Income!$H:$H, AX$2,Income!$F:$F, $AT$1, Income!$B:$B, IF($AU195&lt;&gt;"", TEXT($AU195, "MMMM"), ""), Income!$C:$C, YEAR($AU195))</f>
        <v>0</v>
      </c>
      <c r="AY195" s="469">
        <f>SUMIFS(Income!$G:$G,Income!$H:$H, AY$2,Income!$F:$F, $AT$1, Income!$B:$B, IF($AU195&lt;&gt;"", TEXT($AU195, "MMMM"), ""), Income!$C:$C, YEAR($AU195))</f>
        <v>0</v>
      </c>
      <c r="AZ195" s="464">
        <f>SUMIFS(Income!$G:$G,Income!$H:$H, AZ$2,Income!$F:$F, $AT$1, Income!$B:$B, IF($AU195&lt;&gt;"", TEXT($AU195, "MMMM"), ""), Income!$C:$C, YEAR($AU195))</f>
        <v>0</v>
      </c>
      <c r="BA195" s="471">
        <f>SUMIFS(Income!$G:$G,Income!$H:$H, BA$2,Income!$F:$F, $AT$1, Income!$B:$B, IF($AU195&lt;&gt;"", TEXT($AU195, "MMMM"), ""), Income!$C:$C, YEAR($AU195))</f>
        <v>0</v>
      </c>
      <c r="BB195" s="345"/>
      <c r="BC195" s="345"/>
      <c r="BD195" s="345"/>
      <c r="BE195" s="345"/>
    </row>
    <row r="196" ht="13.5" customHeight="1">
      <c r="A196" s="424">
        <f>'Membership Application List'!A425</f>
        <v>45586.64127</v>
      </c>
      <c r="B196" s="443" t="str">
        <f t="shared" si="6"/>
        <v>October</v>
      </c>
      <c r="C196" s="443">
        <f t="shared" si="7"/>
        <v>2024</v>
      </c>
      <c r="D196" s="426" t="str">
        <f>'Membership Application List'!E425</f>
        <v>Zoe Dennis</v>
      </c>
      <c r="E196" s="426">
        <f>IF('Membership Application List'!J425 = "Food/Litter Donation", 0, IF('Membership Application List'!J425 = "$15 Donation, Discord Verification", IF('Membership Application List'!N425 = TRUE, 15, 0)))</f>
        <v>15</v>
      </c>
      <c r="F196" s="426">
        <f>if('Membership Application List'!K425=TRUE, 5,0)</f>
        <v>0</v>
      </c>
      <c r="G196" s="426">
        <f t="shared" si="8"/>
        <v>15</v>
      </c>
      <c r="H196" s="427" t="str">
        <f>'Membership Application List'!L425</f>
        <v>Venmo</v>
      </c>
      <c r="I196" s="428"/>
      <c r="J196" s="463">
        <v>49706.0</v>
      </c>
      <c r="K196" s="464">
        <f t="shared" ref="K196:O196" si="154">SUMIFS($G:$G, $H:$H, K$2, $B:$B, IF($J196&lt;&gt;"", TEXT($J196, "MMMM"), ""), $C:$C, YEAR($J196))</f>
        <v>0</v>
      </c>
      <c r="L196" s="464">
        <f t="shared" si="154"/>
        <v>0</v>
      </c>
      <c r="M196" s="464">
        <f t="shared" si="154"/>
        <v>0</v>
      </c>
      <c r="N196" s="464">
        <f t="shared" si="154"/>
        <v>0</v>
      </c>
      <c r="O196" s="465">
        <f t="shared" si="154"/>
        <v>0</v>
      </c>
      <c r="P196" s="414"/>
      <c r="Q196" s="414"/>
      <c r="R196" s="414"/>
      <c r="S196" s="445"/>
      <c r="T196" s="445"/>
      <c r="U196" s="445"/>
      <c r="V196" s="428"/>
      <c r="W196" s="463">
        <v>49706.0</v>
      </c>
      <c r="X196" s="469">
        <f>SUMIFS(Income!$G:$G,Income!$H:$H, X$2,Income!$F:$F, $V$1, Income!$B:$B, IF($W196&lt;&gt;"", TEXT($W196, "MMMM"), ""), Income!$C:$C, YEAR($W196))</f>
        <v>0</v>
      </c>
      <c r="Y196" s="469">
        <f>SUMIFS(Income!$G:$G,Income!$H:$H, Y$2,Income!$F:$F, $V$1, Income!$B:$B, IF($W196&lt;&gt;"", TEXT($W196, "MMMM"), ""), Income!$C:$C, YEAR($W196))</f>
        <v>0</v>
      </c>
      <c r="Z196" s="469">
        <f>SUMIFS(Income!$G:$G,Income!$H:$H, Z$2,Income!$F:$F, $V$1, Income!$B:$B, IF($W196&lt;&gt;"", TEXT($W196, "MMMM"), ""), Income!$C:$C, YEAR($W196))</f>
        <v>0</v>
      </c>
      <c r="AA196" s="469">
        <f>SUMIFS(Income!$G:$G,Income!$H:$H, AA$2,Income!$F:$F, $V$1, Income!$B:$B, IF($W196&lt;&gt;"", TEXT($W196, "MMMM"), ""), Income!$C:$C, YEAR($W196))</f>
        <v>0</v>
      </c>
      <c r="AB196" s="464">
        <f>SUMIFS(Income!$G:$G,Income!$H:$H, AB$2,Income!$F:$F, $V$1, Income!$B:$B, IF($W196&lt;&gt;"", TEXT($W196, "MMMM"), ""), Income!$C:$C, YEAR($W196))</f>
        <v>0</v>
      </c>
      <c r="AC196" s="470">
        <f>SUMIFS(Income!$G:$G,Income!$H:$H, AC$2,Income!$F:$F, $V$1, Income!$B:$B, IF($W196&lt;&gt;"", TEXT($W196, "MMMM"), ""), Income!$C:$C, YEAR($W196))</f>
        <v>0</v>
      </c>
      <c r="AD196" s="428"/>
      <c r="AE196" s="463">
        <v>49706.0</v>
      </c>
      <c r="AF196" s="469">
        <f>SUMIFS(Income!$G:$G,Income!$H:$H, AF$2,Income!$F:$F, $AD$1, Income!$B:$B, IF($AE196&lt;&gt;"", TEXT($AE196, "MMMM"), ""), Income!$C:$C, YEAR($AE196))</f>
        <v>0</v>
      </c>
      <c r="AG196" s="469">
        <f>SUMIFS(Income!$G:$G,Income!$H:$H, AG$2,Income!$F:$F, $AD$1, Income!$B:$B, IF($AE196&lt;&gt;"", TEXT($AE196, "MMMM"), ""), Income!$C:$C, YEAR($AE196))</f>
        <v>0</v>
      </c>
      <c r="AH196" s="469">
        <f>SUMIFS(Income!$G:$G,Income!$H:$H, AH$2,Income!$F:$F, $AD$1, Income!$B:$B, IF($AE196&lt;&gt;"", TEXT($AE196, "MMMM"), ""), Income!$C:$C, YEAR($AE196))</f>
        <v>0</v>
      </c>
      <c r="AI196" s="469">
        <f>SUMIFS(Income!$G:$G,Income!$H:$H, AI$2,Income!$F:$F, $AD$1, Income!$B:$B, IF($AE196&lt;&gt;"", TEXT($AE196, "MMMM"), ""), Income!$C:$C, YEAR($AE196))</f>
        <v>0</v>
      </c>
      <c r="AJ196" s="464">
        <f>SUMIFS(Income!$G:$G,Income!$H:$H, AJ$2,Income!$F:$F, $AD$1, Income!$B:$B, IF($AE196&lt;&gt;"", TEXT($AE196, "MMMM"), ""), Income!$C:$C, YEAR($AE196))</f>
        <v>0</v>
      </c>
      <c r="AK196" s="470">
        <f>SUMIFS(Income!$G:$G,Income!$H:$H, AK$2,Income!$F:$F, $AD$1, Income!$B:$B, IF($AE196&lt;&gt;"", TEXT($AE196, "MMMM"), ""), Income!$C:$C, YEAR($AE196))</f>
        <v>0</v>
      </c>
      <c r="AL196" s="428"/>
      <c r="AM196" s="463">
        <v>49706.0</v>
      </c>
      <c r="AN196" s="464">
        <f>SUMIFS(Income!$G:$G,Income!$H:$H, AN$2,Income!$F:$F, $AL$1, Income!$B:$B, IF($AM196&lt;&gt;"", TEXT($AM196, "MMMM"), ""), Income!$C:$C, YEAR($AM196))+SUMIFS($T:$T, $U:$U,AN$2,$Q:$Q,IF($AM196&lt;&gt;"", TEXT($AM196, "MMMM"), ""),$R:$R,YEAR($AM196))</f>
        <v>0</v>
      </c>
      <c r="AO196" s="464">
        <f>SUMIFS(Income!$G:$G,Income!$H:$H, AO$2,Income!$F:$F, $AL$1, Income!$B:$B, IF($AM196&lt;&gt;"", TEXT($AM196, "MMMM"), ""), Income!$C:$C, YEAR($AM196))+SUMIFS($T:$T, $U:$U,AO$2,$Q:$Q,IF($AM196&lt;&gt;"", TEXT($AM196, "MMMM"), ""),$R:$R,YEAR($AM196))</f>
        <v>0</v>
      </c>
      <c r="AP196" s="464">
        <f>SUMIFS(Income!$G:$G,Income!$H:$H, AP$2,Income!$F:$F, $AL$1, Income!$B:$B, IF($AM196&lt;&gt;"", TEXT($AM196, "MMMM"), ""), Income!$C:$C, YEAR($AM196))+SUMIFS($T:$T, $U:$U,AP$2,$Q:$Q,IF($AM196&lt;&gt;"", TEXT($AM196, "MMMM"), ""),$R:$R,YEAR($AM196))</f>
        <v>0</v>
      </c>
      <c r="AQ196" s="464">
        <f>SUMIFS(Income!$G:$G,Income!$H:$H, AQ$2,Income!$F:$F, $AL$1, Income!$B:$B, IF($AM196&lt;&gt;"", TEXT($AM196, "MMMM"), ""), Income!$C:$C, YEAR($AM196))+SUMIFS($T:$T, $U:$U,AQ$2,$Q:$Q,IF($AM196&lt;&gt;"", TEXT($AM196, "MMMM"), ""),$R:$R,YEAR($AM196))</f>
        <v>0</v>
      </c>
      <c r="AR196" s="464">
        <f>SUMIFS(Income!$G:$G,Income!$H:$H, AR$2,Income!$F:$F, $AL$1, Income!$B:$B, IF($AM196&lt;&gt;"", TEXT($AM196, "MMMM"), ""), Income!$C:$C, YEAR($AM196))+SUMIFS($T:$T, $U:$U,AR$2,$Q:$Q,IF($AM196&lt;&gt;"", TEXT($AM196, "MMMM"), ""),$R:$R,YEAR($AM196))</f>
        <v>0</v>
      </c>
      <c r="AS196" s="467">
        <f>SUMIFS(Income!$G:$G,Income!$H:$H, AS$2,Income!$F:$F, $AL$1, Income!$B:$B, IF($AM196&lt;&gt;"", TEXT($AM196, "MMMM"), ""), Income!$C:$C, YEAR($AM196))+SUMIFS($T:$T, $U:$U,AS$2,$Q:$Q,IF($AM196&lt;&gt;"", TEXT($AM196, "MMMM"), ""),$R:$R,YEAR($AM196))</f>
        <v>0</v>
      </c>
      <c r="AT196" s="428"/>
      <c r="AU196" s="463">
        <v>49706.0</v>
      </c>
      <c r="AV196" s="469">
        <f>SUMIFS(Income!$G:$G,Income!$H:$H, AV$2,Income!$F:$F, $AT$1, Income!$B:$B, IF($AU196&lt;&gt;"", TEXT($AU196, "MMMM"), ""), Income!$C:$C, YEAR($AU196))</f>
        <v>0</v>
      </c>
      <c r="AW196" s="469">
        <f>SUMIFS(Income!$G:$G,Income!$H:$H, AW$2,Income!$F:$F, $AT$1, Income!$B:$B, IF($AU196&lt;&gt;"", TEXT($AU196, "MMMM"), ""), Income!$C:$C, YEAR($AU196))</f>
        <v>0</v>
      </c>
      <c r="AX196" s="469">
        <f>SUMIFS(Income!$G:$G,Income!$H:$H, AX$2,Income!$F:$F, $AT$1, Income!$B:$B, IF($AU196&lt;&gt;"", TEXT($AU196, "MMMM"), ""), Income!$C:$C, YEAR($AU196))</f>
        <v>0</v>
      </c>
      <c r="AY196" s="469">
        <f>SUMIFS(Income!$G:$G,Income!$H:$H, AY$2,Income!$F:$F, $AT$1, Income!$B:$B, IF($AU196&lt;&gt;"", TEXT($AU196, "MMMM"), ""), Income!$C:$C, YEAR($AU196))</f>
        <v>0</v>
      </c>
      <c r="AZ196" s="464">
        <f>SUMIFS(Income!$G:$G,Income!$H:$H, AZ$2,Income!$F:$F, $AT$1, Income!$B:$B, IF($AU196&lt;&gt;"", TEXT($AU196, "MMMM"), ""), Income!$C:$C, YEAR($AU196))</f>
        <v>0</v>
      </c>
      <c r="BA196" s="471">
        <f>SUMIFS(Income!$G:$G,Income!$H:$H, BA$2,Income!$F:$F, $AT$1, Income!$B:$B, IF($AU196&lt;&gt;"", TEXT($AU196, "MMMM"), ""), Income!$C:$C, YEAR($AU196))</f>
        <v>0</v>
      </c>
      <c r="BB196" s="345"/>
      <c r="BC196" s="345"/>
      <c r="BD196" s="345"/>
      <c r="BE196" s="345"/>
    </row>
    <row r="197" ht="13.5" customHeight="1">
      <c r="A197" s="436">
        <f>'Membership Application List'!A426</f>
        <v>45544</v>
      </c>
      <c r="B197" s="437" t="str">
        <f t="shared" si="6"/>
        <v>September</v>
      </c>
      <c r="C197" s="437">
        <f t="shared" si="7"/>
        <v>2024</v>
      </c>
      <c r="D197" s="438" t="str">
        <f>'Membership Application List'!E426</f>
        <v>Grace Whitney</v>
      </c>
      <c r="E197" s="438">
        <f>IF('Membership Application List'!J426 = "Food/Litter Donation", 0, IF('Membership Application List'!J426 = "$15 Donation, Discord Verification", IF('Membership Application List'!N426 = TRUE, 15, 0)))</f>
        <v>15</v>
      </c>
      <c r="F197" s="438">
        <f>if('Membership Application List'!K426=TRUE, 5,0)</f>
        <v>0</v>
      </c>
      <c r="G197" s="438">
        <f t="shared" si="8"/>
        <v>15</v>
      </c>
      <c r="H197" s="439" t="str">
        <f>'Membership Application List'!L426</f>
        <v>Cashapp</v>
      </c>
      <c r="I197" s="428"/>
      <c r="J197" s="463">
        <v>49735.0</v>
      </c>
      <c r="K197" s="464">
        <f t="shared" ref="K197:O197" si="155">SUMIFS($G:$G, $H:$H, K$2, $B:$B, IF($J197&lt;&gt;"", TEXT($J197, "MMMM"), ""), $C:$C, YEAR($J197))</f>
        <v>0</v>
      </c>
      <c r="L197" s="464">
        <f t="shared" si="155"/>
        <v>0</v>
      </c>
      <c r="M197" s="464">
        <f t="shared" si="155"/>
        <v>0</v>
      </c>
      <c r="N197" s="464">
        <f t="shared" si="155"/>
        <v>0</v>
      </c>
      <c r="O197" s="465">
        <f t="shared" si="155"/>
        <v>0</v>
      </c>
      <c r="P197" s="414"/>
      <c r="Q197" s="414"/>
      <c r="R197" s="414"/>
      <c r="S197" s="445"/>
      <c r="T197" s="445"/>
      <c r="U197" s="445"/>
      <c r="V197" s="428"/>
      <c r="W197" s="463">
        <v>49735.0</v>
      </c>
      <c r="X197" s="469">
        <f>SUMIFS(Income!$G:$G,Income!$H:$H, X$2,Income!$F:$F, $V$1, Income!$B:$B, IF($W197&lt;&gt;"", TEXT($W197, "MMMM"), ""), Income!$C:$C, YEAR($W197))</f>
        <v>0</v>
      </c>
      <c r="Y197" s="469">
        <f>SUMIFS(Income!$G:$G,Income!$H:$H, Y$2,Income!$F:$F, $V$1, Income!$B:$B, IF($W197&lt;&gt;"", TEXT($W197, "MMMM"), ""), Income!$C:$C, YEAR($W197))</f>
        <v>0</v>
      </c>
      <c r="Z197" s="469">
        <f>SUMIFS(Income!$G:$G,Income!$H:$H, Z$2,Income!$F:$F, $V$1, Income!$B:$B, IF($W197&lt;&gt;"", TEXT($W197, "MMMM"), ""), Income!$C:$C, YEAR($W197))</f>
        <v>0</v>
      </c>
      <c r="AA197" s="469">
        <f>SUMIFS(Income!$G:$G,Income!$H:$H, AA$2,Income!$F:$F, $V$1, Income!$B:$B, IF($W197&lt;&gt;"", TEXT($W197, "MMMM"), ""), Income!$C:$C, YEAR($W197))</f>
        <v>0</v>
      </c>
      <c r="AB197" s="464">
        <f>SUMIFS(Income!$G:$G,Income!$H:$H, AB$2,Income!$F:$F, $V$1, Income!$B:$B, IF($W197&lt;&gt;"", TEXT($W197, "MMMM"), ""), Income!$C:$C, YEAR($W197))</f>
        <v>0</v>
      </c>
      <c r="AC197" s="470">
        <f>SUMIFS(Income!$G:$G,Income!$H:$H, AC$2,Income!$F:$F, $V$1, Income!$B:$B, IF($W197&lt;&gt;"", TEXT($W197, "MMMM"), ""), Income!$C:$C, YEAR($W197))</f>
        <v>0</v>
      </c>
      <c r="AD197" s="428"/>
      <c r="AE197" s="463">
        <v>49735.0</v>
      </c>
      <c r="AF197" s="469">
        <f>SUMIFS(Income!$G:$G,Income!$H:$H, AF$2,Income!$F:$F, $AD$1, Income!$B:$B, IF($AE197&lt;&gt;"", TEXT($AE197, "MMMM"), ""), Income!$C:$C, YEAR($AE197))</f>
        <v>0</v>
      </c>
      <c r="AG197" s="469">
        <f>SUMIFS(Income!$G:$G,Income!$H:$H, AG$2,Income!$F:$F, $AD$1, Income!$B:$B, IF($AE197&lt;&gt;"", TEXT($AE197, "MMMM"), ""), Income!$C:$C, YEAR($AE197))</f>
        <v>0</v>
      </c>
      <c r="AH197" s="469">
        <f>SUMIFS(Income!$G:$G,Income!$H:$H, AH$2,Income!$F:$F, $AD$1, Income!$B:$B, IF($AE197&lt;&gt;"", TEXT($AE197, "MMMM"), ""), Income!$C:$C, YEAR($AE197))</f>
        <v>0</v>
      </c>
      <c r="AI197" s="469">
        <f>SUMIFS(Income!$G:$G,Income!$H:$H, AI$2,Income!$F:$F, $AD$1, Income!$B:$B, IF($AE197&lt;&gt;"", TEXT($AE197, "MMMM"), ""), Income!$C:$C, YEAR($AE197))</f>
        <v>0</v>
      </c>
      <c r="AJ197" s="464">
        <f>SUMIFS(Income!$G:$G,Income!$H:$H, AJ$2,Income!$F:$F, $AD$1, Income!$B:$B, IF($AE197&lt;&gt;"", TEXT($AE197, "MMMM"), ""), Income!$C:$C, YEAR($AE197))</f>
        <v>0</v>
      </c>
      <c r="AK197" s="470">
        <f>SUMIFS(Income!$G:$G,Income!$H:$H, AK$2,Income!$F:$F, $AD$1, Income!$B:$B, IF($AE197&lt;&gt;"", TEXT($AE197, "MMMM"), ""), Income!$C:$C, YEAR($AE197))</f>
        <v>0</v>
      </c>
      <c r="AL197" s="428"/>
      <c r="AM197" s="463">
        <v>49735.0</v>
      </c>
      <c r="AN197" s="464">
        <f>SUMIFS(Income!$G:$G,Income!$H:$H, AN$2,Income!$F:$F, $AL$1, Income!$B:$B, IF($AM197&lt;&gt;"", TEXT($AM197, "MMMM"), ""), Income!$C:$C, YEAR($AM197))+SUMIFS($T:$T, $U:$U,AN$2,$Q:$Q,IF($AM197&lt;&gt;"", TEXT($AM197, "MMMM"), ""),$R:$R,YEAR($AM197))</f>
        <v>0</v>
      </c>
      <c r="AO197" s="464">
        <f>SUMIFS(Income!$G:$G,Income!$H:$H, AO$2,Income!$F:$F, $AL$1, Income!$B:$B, IF($AM197&lt;&gt;"", TEXT($AM197, "MMMM"), ""), Income!$C:$C, YEAR($AM197))+SUMIFS($T:$T, $U:$U,AO$2,$Q:$Q,IF($AM197&lt;&gt;"", TEXT($AM197, "MMMM"), ""),$R:$R,YEAR($AM197))</f>
        <v>0</v>
      </c>
      <c r="AP197" s="464">
        <f>SUMIFS(Income!$G:$G,Income!$H:$H, AP$2,Income!$F:$F, $AL$1, Income!$B:$B, IF($AM197&lt;&gt;"", TEXT($AM197, "MMMM"), ""), Income!$C:$C, YEAR($AM197))+SUMIFS($T:$T, $U:$U,AP$2,$Q:$Q,IF($AM197&lt;&gt;"", TEXT($AM197, "MMMM"), ""),$R:$R,YEAR($AM197))</f>
        <v>0</v>
      </c>
      <c r="AQ197" s="464">
        <f>SUMIFS(Income!$G:$G,Income!$H:$H, AQ$2,Income!$F:$F, $AL$1, Income!$B:$B, IF($AM197&lt;&gt;"", TEXT($AM197, "MMMM"), ""), Income!$C:$C, YEAR($AM197))+SUMIFS($T:$T, $U:$U,AQ$2,$Q:$Q,IF($AM197&lt;&gt;"", TEXT($AM197, "MMMM"), ""),$R:$R,YEAR($AM197))</f>
        <v>0</v>
      </c>
      <c r="AR197" s="464">
        <f>SUMIFS(Income!$G:$G,Income!$H:$H, AR$2,Income!$F:$F, $AL$1, Income!$B:$B, IF($AM197&lt;&gt;"", TEXT($AM197, "MMMM"), ""), Income!$C:$C, YEAR($AM197))+SUMIFS($T:$T, $U:$U,AR$2,$Q:$Q,IF($AM197&lt;&gt;"", TEXT($AM197, "MMMM"), ""),$R:$R,YEAR($AM197))</f>
        <v>0</v>
      </c>
      <c r="AS197" s="467">
        <f>SUMIFS(Income!$G:$G,Income!$H:$H, AS$2,Income!$F:$F, $AL$1, Income!$B:$B, IF($AM197&lt;&gt;"", TEXT($AM197, "MMMM"), ""), Income!$C:$C, YEAR($AM197))+SUMIFS($T:$T, $U:$U,AS$2,$Q:$Q,IF($AM197&lt;&gt;"", TEXT($AM197, "MMMM"), ""),$R:$R,YEAR($AM197))</f>
        <v>0</v>
      </c>
      <c r="AT197" s="428"/>
      <c r="AU197" s="463">
        <v>49735.0</v>
      </c>
      <c r="AV197" s="469">
        <f>SUMIFS(Income!$G:$G,Income!$H:$H, AV$2,Income!$F:$F, $AT$1, Income!$B:$B, IF($AU197&lt;&gt;"", TEXT($AU197, "MMMM"), ""), Income!$C:$C, YEAR($AU197))</f>
        <v>0</v>
      </c>
      <c r="AW197" s="469">
        <f>SUMIFS(Income!$G:$G,Income!$H:$H, AW$2,Income!$F:$F, $AT$1, Income!$B:$B, IF($AU197&lt;&gt;"", TEXT($AU197, "MMMM"), ""), Income!$C:$C, YEAR($AU197))</f>
        <v>0</v>
      </c>
      <c r="AX197" s="469">
        <f>SUMIFS(Income!$G:$G,Income!$H:$H, AX$2,Income!$F:$F, $AT$1, Income!$B:$B, IF($AU197&lt;&gt;"", TEXT($AU197, "MMMM"), ""), Income!$C:$C, YEAR($AU197))</f>
        <v>0</v>
      </c>
      <c r="AY197" s="469">
        <f>SUMIFS(Income!$G:$G,Income!$H:$H, AY$2,Income!$F:$F, $AT$1, Income!$B:$B, IF($AU197&lt;&gt;"", TEXT($AU197, "MMMM"), ""), Income!$C:$C, YEAR($AU197))</f>
        <v>0</v>
      </c>
      <c r="AZ197" s="464">
        <f>SUMIFS(Income!$G:$G,Income!$H:$H, AZ$2,Income!$F:$F, $AT$1, Income!$B:$B, IF($AU197&lt;&gt;"", TEXT($AU197, "MMMM"), ""), Income!$C:$C, YEAR($AU197))</f>
        <v>0</v>
      </c>
      <c r="BA197" s="471">
        <f>SUMIFS(Income!$G:$G,Income!$H:$H, BA$2,Income!$F:$F, $AT$1, Income!$B:$B, IF($AU197&lt;&gt;"", TEXT($AU197, "MMMM"), ""), Income!$C:$C, YEAR($AU197))</f>
        <v>0</v>
      </c>
      <c r="BB197" s="345"/>
      <c r="BC197" s="345"/>
      <c r="BD197" s="345"/>
      <c r="BE197" s="345"/>
    </row>
    <row r="198" ht="13.5" customHeight="1">
      <c r="A198" s="424">
        <f>'Membership Application List'!A427</f>
        <v>45663.58845</v>
      </c>
      <c r="B198" s="443" t="str">
        <f t="shared" si="6"/>
        <v>January</v>
      </c>
      <c r="C198" s="443">
        <f t="shared" si="7"/>
        <v>2025</v>
      </c>
      <c r="D198" s="426" t="str">
        <f>'Membership Application List'!E427</f>
        <v>Seja Ismail</v>
      </c>
      <c r="E198" s="426">
        <f>IF('Membership Application List'!J427 = "Food/Litter Donation", 0, IF('Membership Application List'!J427 = "$15 Donation, Discord Verification", IF('Membership Application List'!N427 = TRUE, 15, 0)))</f>
        <v>15</v>
      </c>
      <c r="F198" s="426">
        <f>if('Membership Application List'!K427=TRUE, 5,0)</f>
        <v>0</v>
      </c>
      <c r="G198" s="426">
        <f t="shared" si="8"/>
        <v>15</v>
      </c>
      <c r="H198" s="427" t="str">
        <f>'Membership Application List'!L427</f>
        <v>Cashapp</v>
      </c>
      <c r="I198" s="428"/>
      <c r="J198" s="463">
        <v>49766.0</v>
      </c>
      <c r="K198" s="464">
        <f t="shared" ref="K198:O198" si="156">SUMIFS($G:$G, $H:$H, K$2, $B:$B, IF($J198&lt;&gt;"", TEXT($J198, "MMMM"), ""), $C:$C, YEAR($J198))</f>
        <v>0</v>
      </c>
      <c r="L198" s="464">
        <f t="shared" si="156"/>
        <v>0</v>
      </c>
      <c r="M198" s="464">
        <f t="shared" si="156"/>
        <v>0</v>
      </c>
      <c r="N198" s="464">
        <f t="shared" si="156"/>
        <v>0</v>
      </c>
      <c r="O198" s="465">
        <f t="shared" si="156"/>
        <v>0</v>
      </c>
      <c r="P198" s="414"/>
      <c r="Q198" s="414"/>
      <c r="R198" s="414"/>
      <c r="S198" s="445"/>
      <c r="T198" s="445"/>
      <c r="U198" s="445"/>
      <c r="V198" s="428"/>
      <c r="W198" s="463">
        <v>49766.0</v>
      </c>
      <c r="X198" s="469">
        <f>SUMIFS(Income!$G:$G,Income!$H:$H, X$2,Income!$F:$F, $V$1, Income!$B:$B, IF($W198&lt;&gt;"", TEXT($W198, "MMMM"), ""), Income!$C:$C, YEAR($W198))</f>
        <v>0</v>
      </c>
      <c r="Y198" s="469">
        <f>SUMIFS(Income!$G:$G,Income!$H:$H, Y$2,Income!$F:$F, $V$1, Income!$B:$B, IF($W198&lt;&gt;"", TEXT($W198, "MMMM"), ""), Income!$C:$C, YEAR($W198))</f>
        <v>0</v>
      </c>
      <c r="Z198" s="469">
        <f>SUMIFS(Income!$G:$G,Income!$H:$H, Z$2,Income!$F:$F, $V$1, Income!$B:$B, IF($W198&lt;&gt;"", TEXT($W198, "MMMM"), ""), Income!$C:$C, YEAR($W198))</f>
        <v>0</v>
      </c>
      <c r="AA198" s="469">
        <f>SUMIFS(Income!$G:$G,Income!$H:$H, AA$2,Income!$F:$F, $V$1, Income!$B:$B, IF($W198&lt;&gt;"", TEXT($W198, "MMMM"), ""), Income!$C:$C, YEAR($W198))</f>
        <v>0</v>
      </c>
      <c r="AB198" s="464">
        <f>SUMIFS(Income!$G:$G,Income!$H:$H, AB$2,Income!$F:$F, $V$1, Income!$B:$B, IF($W198&lt;&gt;"", TEXT($W198, "MMMM"), ""), Income!$C:$C, YEAR($W198))</f>
        <v>0</v>
      </c>
      <c r="AC198" s="470">
        <f>SUMIFS(Income!$G:$G,Income!$H:$H, AC$2,Income!$F:$F, $V$1, Income!$B:$B, IF($W198&lt;&gt;"", TEXT($W198, "MMMM"), ""), Income!$C:$C, YEAR($W198))</f>
        <v>0</v>
      </c>
      <c r="AD198" s="428"/>
      <c r="AE198" s="463">
        <v>49766.0</v>
      </c>
      <c r="AF198" s="469">
        <f>SUMIFS(Income!$G:$G,Income!$H:$H, AF$2,Income!$F:$F, $AD$1, Income!$B:$B, IF($AE198&lt;&gt;"", TEXT($AE198, "MMMM"), ""), Income!$C:$C, YEAR($AE198))</f>
        <v>0</v>
      </c>
      <c r="AG198" s="469">
        <f>SUMIFS(Income!$G:$G,Income!$H:$H, AG$2,Income!$F:$F, $AD$1, Income!$B:$B, IF($AE198&lt;&gt;"", TEXT($AE198, "MMMM"), ""), Income!$C:$C, YEAR($AE198))</f>
        <v>0</v>
      </c>
      <c r="AH198" s="469">
        <f>SUMIFS(Income!$G:$G,Income!$H:$H, AH$2,Income!$F:$F, $AD$1, Income!$B:$B, IF($AE198&lt;&gt;"", TEXT($AE198, "MMMM"), ""), Income!$C:$C, YEAR($AE198))</f>
        <v>0</v>
      </c>
      <c r="AI198" s="469">
        <f>SUMIFS(Income!$G:$G,Income!$H:$H, AI$2,Income!$F:$F, $AD$1, Income!$B:$B, IF($AE198&lt;&gt;"", TEXT($AE198, "MMMM"), ""), Income!$C:$C, YEAR($AE198))</f>
        <v>0</v>
      </c>
      <c r="AJ198" s="464">
        <f>SUMIFS(Income!$G:$G,Income!$H:$H, AJ$2,Income!$F:$F, $AD$1, Income!$B:$B, IF($AE198&lt;&gt;"", TEXT($AE198, "MMMM"), ""), Income!$C:$C, YEAR($AE198))</f>
        <v>0</v>
      </c>
      <c r="AK198" s="470">
        <f>SUMIFS(Income!$G:$G,Income!$H:$H, AK$2,Income!$F:$F, $AD$1, Income!$B:$B, IF($AE198&lt;&gt;"", TEXT($AE198, "MMMM"), ""), Income!$C:$C, YEAR($AE198))</f>
        <v>0</v>
      </c>
      <c r="AL198" s="428"/>
      <c r="AM198" s="463">
        <v>49766.0</v>
      </c>
      <c r="AN198" s="464">
        <f>SUMIFS(Income!$G:$G,Income!$H:$H, AN$2,Income!$F:$F, $AL$1, Income!$B:$B, IF($AM198&lt;&gt;"", TEXT($AM198, "MMMM"), ""), Income!$C:$C, YEAR($AM198))+SUMIFS($T:$T, $U:$U,AN$2,$Q:$Q,IF($AM198&lt;&gt;"", TEXT($AM198, "MMMM"), ""),$R:$R,YEAR($AM198))</f>
        <v>0</v>
      </c>
      <c r="AO198" s="464">
        <f>SUMIFS(Income!$G:$G,Income!$H:$H, AO$2,Income!$F:$F, $AL$1, Income!$B:$B, IF($AM198&lt;&gt;"", TEXT($AM198, "MMMM"), ""), Income!$C:$C, YEAR($AM198))+SUMIFS($T:$T, $U:$U,AO$2,$Q:$Q,IF($AM198&lt;&gt;"", TEXT($AM198, "MMMM"), ""),$R:$R,YEAR($AM198))</f>
        <v>0</v>
      </c>
      <c r="AP198" s="464">
        <f>SUMIFS(Income!$G:$G,Income!$H:$H, AP$2,Income!$F:$F, $AL$1, Income!$B:$B, IF($AM198&lt;&gt;"", TEXT($AM198, "MMMM"), ""), Income!$C:$C, YEAR($AM198))+SUMIFS($T:$T, $U:$U,AP$2,$Q:$Q,IF($AM198&lt;&gt;"", TEXT($AM198, "MMMM"), ""),$R:$R,YEAR($AM198))</f>
        <v>0</v>
      </c>
      <c r="AQ198" s="464">
        <f>SUMIFS(Income!$G:$G,Income!$H:$H, AQ$2,Income!$F:$F, $AL$1, Income!$B:$B, IF($AM198&lt;&gt;"", TEXT($AM198, "MMMM"), ""), Income!$C:$C, YEAR($AM198))+SUMIFS($T:$T, $U:$U,AQ$2,$Q:$Q,IF($AM198&lt;&gt;"", TEXT($AM198, "MMMM"), ""),$R:$R,YEAR($AM198))</f>
        <v>0</v>
      </c>
      <c r="AR198" s="464">
        <f>SUMIFS(Income!$G:$G,Income!$H:$H, AR$2,Income!$F:$F, $AL$1, Income!$B:$B, IF($AM198&lt;&gt;"", TEXT($AM198, "MMMM"), ""), Income!$C:$C, YEAR($AM198))+SUMIFS($T:$T, $U:$U,AR$2,$Q:$Q,IF($AM198&lt;&gt;"", TEXT($AM198, "MMMM"), ""),$R:$R,YEAR($AM198))</f>
        <v>0</v>
      </c>
      <c r="AS198" s="467">
        <f>SUMIFS(Income!$G:$G,Income!$H:$H, AS$2,Income!$F:$F, $AL$1, Income!$B:$B, IF($AM198&lt;&gt;"", TEXT($AM198, "MMMM"), ""), Income!$C:$C, YEAR($AM198))+SUMIFS($T:$T, $U:$U,AS$2,$Q:$Q,IF($AM198&lt;&gt;"", TEXT($AM198, "MMMM"), ""),$R:$R,YEAR($AM198))</f>
        <v>0</v>
      </c>
      <c r="AT198" s="428"/>
      <c r="AU198" s="463">
        <v>49766.0</v>
      </c>
      <c r="AV198" s="469">
        <f>SUMIFS(Income!$G:$G,Income!$H:$H, AV$2,Income!$F:$F, $AT$1, Income!$B:$B, IF($AU198&lt;&gt;"", TEXT($AU198, "MMMM"), ""), Income!$C:$C, YEAR($AU198))</f>
        <v>0</v>
      </c>
      <c r="AW198" s="469">
        <f>SUMIFS(Income!$G:$G,Income!$H:$H, AW$2,Income!$F:$F, $AT$1, Income!$B:$B, IF($AU198&lt;&gt;"", TEXT($AU198, "MMMM"), ""), Income!$C:$C, YEAR($AU198))</f>
        <v>0</v>
      </c>
      <c r="AX198" s="469">
        <f>SUMIFS(Income!$G:$G,Income!$H:$H, AX$2,Income!$F:$F, $AT$1, Income!$B:$B, IF($AU198&lt;&gt;"", TEXT($AU198, "MMMM"), ""), Income!$C:$C, YEAR($AU198))</f>
        <v>0</v>
      </c>
      <c r="AY198" s="469">
        <f>SUMIFS(Income!$G:$G,Income!$H:$H, AY$2,Income!$F:$F, $AT$1, Income!$B:$B, IF($AU198&lt;&gt;"", TEXT($AU198, "MMMM"), ""), Income!$C:$C, YEAR($AU198))</f>
        <v>0</v>
      </c>
      <c r="AZ198" s="464">
        <f>SUMIFS(Income!$G:$G,Income!$H:$H, AZ$2,Income!$F:$F, $AT$1, Income!$B:$B, IF($AU198&lt;&gt;"", TEXT($AU198, "MMMM"), ""), Income!$C:$C, YEAR($AU198))</f>
        <v>0</v>
      </c>
      <c r="BA198" s="471">
        <f>SUMIFS(Income!$G:$G,Income!$H:$H, BA$2,Income!$F:$F, $AT$1, Income!$B:$B, IF($AU198&lt;&gt;"", TEXT($AU198, "MMMM"), ""), Income!$C:$C, YEAR($AU198))</f>
        <v>0</v>
      </c>
      <c r="BB198" s="345"/>
      <c r="BC198" s="345"/>
      <c r="BD198" s="345"/>
      <c r="BE198" s="345"/>
    </row>
    <row r="199" ht="13.5" customHeight="1">
      <c r="A199" s="436">
        <f>'Membership Application List'!A428</f>
        <v>45663.5964</v>
      </c>
      <c r="B199" s="437" t="str">
        <f t="shared" si="6"/>
        <v>January</v>
      </c>
      <c r="C199" s="437">
        <f t="shared" si="7"/>
        <v>2025</v>
      </c>
      <c r="D199" s="438" t="str">
        <f>'Membership Application List'!E428</f>
        <v>Daniel Brown</v>
      </c>
      <c r="E199" s="438">
        <f>IF('Membership Application List'!J428 = "Food/Litter Donation", 0, IF('Membership Application List'!J428 = "$15 Donation, Discord Verification", IF('Membership Application List'!N428 = TRUE, 15, 0)))</f>
        <v>0</v>
      </c>
      <c r="F199" s="438">
        <f>if('Membership Application List'!K428=TRUE, 5,0)</f>
        <v>0</v>
      </c>
      <c r="G199" s="438">
        <f t="shared" si="8"/>
        <v>0</v>
      </c>
      <c r="H199" s="439" t="str">
        <f>'Membership Application List'!L428</f>
        <v/>
      </c>
      <c r="I199" s="428"/>
      <c r="J199" s="463">
        <v>49796.0</v>
      </c>
      <c r="K199" s="464">
        <f t="shared" ref="K199:O199" si="157">SUMIFS($G:$G, $H:$H, K$2, $B:$B, IF($J199&lt;&gt;"", TEXT($J199, "MMMM"), ""), $C:$C, YEAR($J199))</f>
        <v>0</v>
      </c>
      <c r="L199" s="464">
        <f t="shared" si="157"/>
        <v>0</v>
      </c>
      <c r="M199" s="464">
        <f t="shared" si="157"/>
        <v>0</v>
      </c>
      <c r="N199" s="464">
        <f t="shared" si="157"/>
        <v>0</v>
      </c>
      <c r="O199" s="465">
        <f t="shared" si="157"/>
        <v>0</v>
      </c>
      <c r="P199" s="414"/>
      <c r="Q199" s="414"/>
      <c r="R199" s="414"/>
      <c r="S199" s="445"/>
      <c r="T199" s="445"/>
      <c r="U199" s="445"/>
      <c r="V199" s="428"/>
      <c r="W199" s="463">
        <v>49796.0</v>
      </c>
      <c r="X199" s="469">
        <f>SUMIFS(Income!$G:$G,Income!$H:$H, X$2,Income!$F:$F, $V$1, Income!$B:$B, IF($W199&lt;&gt;"", TEXT($W199, "MMMM"), ""), Income!$C:$C, YEAR($W199))</f>
        <v>0</v>
      </c>
      <c r="Y199" s="469">
        <f>SUMIFS(Income!$G:$G,Income!$H:$H, Y$2,Income!$F:$F, $V$1, Income!$B:$B, IF($W199&lt;&gt;"", TEXT($W199, "MMMM"), ""), Income!$C:$C, YEAR($W199))</f>
        <v>0</v>
      </c>
      <c r="Z199" s="469">
        <f>SUMIFS(Income!$G:$G,Income!$H:$H, Z$2,Income!$F:$F, $V$1, Income!$B:$B, IF($W199&lt;&gt;"", TEXT($W199, "MMMM"), ""), Income!$C:$C, YEAR($W199))</f>
        <v>0</v>
      </c>
      <c r="AA199" s="469">
        <f>SUMIFS(Income!$G:$G,Income!$H:$H, AA$2,Income!$F:$F, $V$1, Income!$B:$B, IF($W199&lt;&gt;"", TEXT($W199, "MMMM"), ""), Income!$C:$C, YEAR($W199))</f>
        <v>0</v>
      </c>
      <c r="AB199" s="464">
        <f>SUMIFS(Income!$G:$G,Income!$H:$H, AB$2,Income!$F:$F, $V$1, Income!$B:$B, IF($W199&lt;&gt;"", TEXT($W199, "MMMM"), ""), Income!$C:$C, YEAR($W199))</f>
        <v>0</v>
      </c>
      <c r="AC199" s="470">
        <f>SUMIFS(Income!$G:$G,Income!$H:$H, AC$2,Income!$F:$F, $V$1, Income!$B:$B, IF($W199&lt;&gt;"", TEXT($W199, "MMMM"), ""), Income!$C:$C, YEAR($W199))</f>
        <v>0</v>
      </c>
      <c r="AD199" s="428"/>
      <c r="AE199" s="463">
        <v>49796.0</v>
      </c>
      <c r="AF199" s="469">
        <f>SUMIFS(Income!$G:$G,Income!$H:$H, AF$2,Income!$F:$F, $AD$1, Income!$B:$B, IF($AE199&lt;&gt;"", TEXT($AE199, "MMMM"), ""), Income!$C:$C, YEAR($AE199))</f>
        <v>0</v>
      </c>
      <c r="AG199" s="469">
        <f>SUMIFS(Income!$G:$G,Income!$H:$H, AG$2,Income!$F:$F, $AD$1, Income!$B:$B, IF($AE199&lt;&gt;"", TEXT($AE199, "MMMM"), ""), Income!$C:$C, YEAR($AE199))</f>
        <v>0</v>
      </c>
      <c r="AH199" s="469">
        <f>SUMIFS(Income!$G:$G,Income!$H:$H, AH$2,Income!$F:$F, $AD$1, Income!$B:$B, IF($AE199&lt;&gt;"", TEXT($AE199, "MMMM"), ""), Income!$C:$C, YEAR($AE199))</f>
        <v>0</v>
      </c>
      <c r="AI199" s="469">
        <f>SUMIFS(Income!$G:$G,Income!$H:$H, AI$2,Income!$F:$F, $AD$1, Income!$B:$B, IF($AE199&lt;&gt;"", TEXT($AE199, "MMMM"), ""), Income!$C:$C, YEAR($AE199))</f>
        <v>0</v>
      </c>
      <c r="AJ199" s="464">
        <f>SUMIFS(Income!$G:$G,Income!$H:$H, AJ$2,Income!$F:$F, $AD$1, Income!$B:$B, IF($AE199&lt;&gt;"", TEXT($AE199, "MMMM"), ""), Income!$C:$C, YEAR($AE199))</f>
        <v>0</v>
      </c>
      <c r="AK199" s="470">
        <f>SUMIFS(Income!$G:$G,Income!$H:$H, AK$2,Income!$F:$F, $AD$1, Income!$B:$B, IF($AE199&lt;&gt;"", TEXT($AE199, "MMMM"), ""), Income!$C:$C, YEAR($AE199))</f>
        <v>0</v>
      </c>
      <c r="AL199" s="428"/>
      <c r="AM199" s="463">
        <v>49796.0</v>
      </c>
      <c r="AN199" s="464">
        <f>SUMIFS(Income!$G:$G,Income!$H:$H, AN$2,Income!$F:$F, $AL$1, Income!$B:$B, IF($AM199&lt;&gt;"", TEXT($AM199, "MMMM"), ""), Income!$C:$C, YEAR($AM199))+SUMIFS($T:$T, $U:$U,AN$2,$Q:$Q,IF($AM199&lt;&gt;"", TEXT($AM199, "MMMM"), ""),$R:$R,YEAR($AM199))</f>
        <v>0</v>
      </c>
      <c r="AO199" s="464">
        <f>SUMIFS(Income!$G:$G,Income!$H:$H, AO$2,Income!$F:$F, $AL$1, Income!$B:$B, IF($AM199&lt;&gt;"", TEXT($AM199, "MMMM"), ""), Income!$C:$C, YEAR($AM199))+SUMIFS($T:$T, $U:$U,AO$2,$Q:$Q,IF($AM199&lt;&gt;"", TEXT($AM199, "MMMM"), ""),$R:$R,YEAR($AM199))</f>
        <v>0</v>
      </c>
      <c r="AP199" s="464">
        <f>SUMIFS(Income!$G:$G,Income!$H:$H, AP$2,Income!$F:$F, $AL$1, Income!$B:$B, IF($AM199&lt;&gt;"", TEXT($AM199, "MMMM"), ""), Income!$C:$C, YEAR($AM199))+SUMIFS($T:$T, $U:$U,AP$2,$Q:$Q,IF($AM199&lt;&gt;"", TEXT($AM199, "MMMM"), ""),$R:$R,YEAR($AM199))</f>
        <v>0</v>
      </c>
      <c r="AQ199" s="464">
        <f>SUMIFS(Income!$G:$G,Income!$H:$H, AQ$2,Income!$F:$F, $AL$1, Income!$B:$B, IF($AM199&lt;&gt;"", TEXT($AM199, "MMMM"), ""), Income!$C:$C, YEAR($AM199))+SUMIFS($T:$T, $U:$U,AQ$2,$Q:$Q,IF($AM199&lt;&gt;"", TEXT($AM199, "MMMM"), ""),$R:$R,YEAR($AM199))</f>
        <v>0</v>
      </c>
      <c r="AR199" s="464">
        <f>SUMIFS(Income!$G:$G,Income!$H:$H, AR$2,Income!$F:$F, $AL$1, Income!$B:$B, IF($AM199&lt;&gt;"", TEXT($AM199, "MMMM"), ""), Income!$C:$C, YEAR($AM199))+SUMIFS($T:$T, $U:$U,AR$2,$Q:$Q,IF($AM199&lt;&gt;"", TEXT($AM199, "MMMM"), ""),$R:$R,YEAR($AM199))</f>
        <v>0</v>
      </c>
      <c r="AS199" s="467">
        <f>SUMIFS(Income!$G:$G,Income!$H:$H, AS$2,Income!$F:$F, $AL$1, Income!$B:$B, IF($AM199&lt;&gt;"", TEXT($AM199, "MMMM"), ""), Income!$C:$C, YEAR($AM199))+SUMIFS($T:$T, $U:$U,AS$2,$Q:$Q,IF($AM199&lt;&gt;"", TEXT($AM199, "MMMM"), ""),$R:$R,YEAR($AM199))</f>
        <v>0</v>
      </c>
      <c r="AT199" s="428"/>
      <c r="AU199" s="463">
        <v>49796.0</v>
      </c>
      <c r="AV199" s="469">
        <f>SUMIFS(Income!$G:$G,Income!$H:$H, AV$2,Income!$F:$F, $AT$1, Income!$B:$B, IF($AU199&lt;&gt;"", TEXT($AU199, "MMMM"), ""), Income!$C:$C, YEAR($AU199))</f>
        <v>0</v>
      </c>
      <c r="AW199" s="469">
        <f>SUMIFS(Income!$G:$G,Income!$H:$H, AW$2,Income!$F:$F, $AT$1, Income!$B:$B, IF($AU199&lt;&gt;"", TEXT($AU199, "MMMM"), ""), Income!$C:$C, YEAR($AU199))</f>
        <v>0</v>
      </c>
      <c r="AX199" s="469">
        <f>SUMIFS(Income!$G:$G,Income!$H:$H, AX$2,Income!$F:$F, $AT$1, Income!$B:$B, IF($AU199&lt;&gt;"", TEXT($AU199, "MMMM"), ""), Income!$C:$C, YEAR($AU199))</f>
        <v>0</v>
      </c>
      <c r="AY199" s="469">
        <f>SUMIFS(Income!$G:$G,Income!$H:$H, AY$2,Income!$F:$F, $AT$1, Income!$B:$B, IF($AU199&lt;&gt;"", TEXT($AU199, "MMMM"), ""), Income!$C:$C, YEAR($AU199))</f>
        <v>0</v>
      </c>
      <c r="AZ199" s="464">
        <f>SUMIFS(Income!$G:$G,Income!$H:$H, AZ$2,Income!$F:$F, $AT$1, Income!$B:$B, IF($AU199&lt;&gt;"", TEXT($AU199, "MMMM"), ""), Income!$C:$C, YEAR($AU199))</f>
        <v>0</v>
      </c>
      <c r="BA199" s="471">
        <f>SUMIFS(Income!$G:$G,Income!$H:$H, BA$2,Income!$F:$F, $AT$1, Income!$B:$B, IF($AU199&lt;&gt;"", TEXT($AU199, "MMMM"), ""), Income!$C:$C, YEAR($AU199))</f>
        <v>0</v>
      </c>
      <c r="BB199" s="345"/>
      <c r="BC199" s="345"/>
      <c r="BD199" s="345"/>
      <c r="BE199" s="345"/>
    </row>
    <row r="200" ht="13.5" customHeight="1">
      <c r="A200" s="424">
        <f>'Membership Application List'!A429</f>
        <v>45663.64604</v>
      </c>
      <c r="B200" s="443" t="str">
        <f t="shared" si="6"/>
        <v>January</v>
      </c>
      <c r="C200" s="443">
        <f t="shared" si="7"/>
        <v>2025</v>
      </c>
      <c r="D200" s="426" t="str">
        <f>'Membership Application List'!E429</f>
        <v>Benjamin Tucker</v>
      </c>
      <c r="E200" s="426">
        <f>IF('Membership Application List'!J429 = "Food/Litter Donation", 0, IF('Membership Application List'!J429 = "$15 Donation, Discord Verification", IF('Membership Application List'!N429 = TRUE, 15, 0)))</f>
        <v>15</v>
      </c>
      <c r="F200" s="426">
        <f>if('Membership Application List'!K429=TRUE, 5,0)</f>
        <v>0</v>
      </c>
      <c r="G200" s="426">
        <f t="shared" si="8"/>
        <v>15</v>
      </c>
      <c r="H200" s="427" t="str">
        <f>'Membership Application List'!L429</f>
        <v>Paypal</v>
      </c>
      <c r="I200" s="447" t="s">
        <v>801</v>
      </c>
      <c r="J200" s="463">
        <v>49827.0</v>
      </c>
      <c r="K200" s="464">
        <f t="shared" ref="K200:O200" si="158">SUMIFS($G:$G, $H:$H, K$2, $B:$B, IF($J200&lt;&gt;"", TEXT($J200, "MMMM"), ""), $C:$C, YEAR($J200))</f>
        <v>0</v>
      </c>
      <c r="L200" s="464">
        <f t="shared" si="158"/>
        <v>0</v>
      </c>
      <c r="M200" s="464">
        <f t="shared" si="158"/>
        <v>0</v>
      </c>
      <c r="N200" s="464">
        <f t="shared" si="158"/>
        <v>0</v>
      </c>
      <c r="O200" s="465">
        <f t="shared" si="158"/>
        <v>0</v>
      </c>
      <c r="P200" s="414"/>
      <c r="Q200" s="414"/>
      <c r="R200" s="414"/>
      <c r="S200" s="445"/>
      <c r="T200" s="445"/>
      <c r="U200" s="445"/>
      <c r="V200" s="447" t="s">
        <v>801</v>
      </c>
      <c r="W200" s="463">
        <v>49827.0</v>
      </c>
      <c r="X200" s="469">
        <f>SUMIFS(Income!$G:$G,Income!$H:$H, X$2,Income!$F:$F, $V$1, Income!$B:$B, IF($W200&lt;&gt;"", TEXT($W200, "MMMM"), ""), Income!$C:$C, YEAR($W200))</f>
        <v>0</v>
      </c>
      <c r="Y200" s="469">
        <f>SUMIFS(Income!$G:$G,Income!$H:$H, Y$2,Income!$F:$F, $V$1, Income!$B:$B, IF($W200&lt;&gt;"", TEXT($W200, "MMMM"), ""), Income!$C:$C, YEAR($W200))</f>
        <v>0</v>
      </c>
      <c r="Z200" s="469">
        <f>SUMIFS(Income!$G:$G,Income!$H:$H, Z$2,Income!$F:$F, $V$1, Income!$B:$B, IF($W200&lt;&gt;"", TEXT($W200, "MMMM"), ""), Income!$C:$C, YEAR($W200))</f>
        <v>0</v>
      </c>
      <c r="AA200" s="469">
        <f>SUMIFS(Income!$G:$G,Income!$H:$H, AA$2,Income!$F:$F, $V$1, Income!$B:$B, IF($W200&lt;&gt;"", TEXT($W200, "MMMM"), ""), Income!$C:$C, YEAR($W200))</f>
        <v>0</v>
      </c>
      <c r="AB200" s="464">
        <f>SUMIFS(Income!$G:$G,Income!$H:$H, AB$2,Income!$F:$F, $V$1, Income!$B:$B, IF($W200&lt;&gt;"", TEXT($W200, "MMMM"), ""), Income!$C:$C, YEAR($W200))</f>
        <v>0</v>
      </c>
      <c r="AC200" s="470">
        <f>SUMIFS(Income!$G:$G,Income!$H:$H, AC$2,Income!$F:$F, $V$1, Income!$B:$B, IF($W200&lt;&gt;"", TEXT($W200, "MMMM"), ""), Income!$C:$C, YEAR($W200))</f>
        <v>0</v>
      </c>
      <c r="AD200" s="447" t="s">
        <v>801</v>
      </c>
      <c r="AE200" s="463">
        <v>49827.0</v>
      </c>
      <c r="AF200" s="469">
        <f>SUMIFS(Income!$G:$G,Income!$H:$H, AF$2,Income!$F:$F, $AD$1, Income!$B:$B, IF($AE200&lt;&gt;"", TEXT($AE200, "MMMM"), ""), Income!$C:$C, YEAR($AE200))</f>
        <v>0</v>
      </c>
      <c r="AG200" s="469">
        <f>SUMIFS(Income!$G:$G,Income!$H:$H, AG$2,Income!$F:$F, $AD$1, Income!$B:$B, IF($AE200&lt;&gt;"", TEXT($AE200, "MMMM"), ""), Income!$C:$C, YEAR($AE200))</f>
        <v>0</v>
      </c>
      <c r="AH200" s="469">
        <f>SUMIFS(Income!$G:$G,Income!$H:$H, AH$2,Income!$F:$F, $AD$1, Income!$B:$B, IF($AE200&lt;&gt;"", TEXT($AE200, "MMMM"), ""), Income!$C:$C, YEAR($AE200))</f>
        <v>0</v>
      </c>
      <c r="AI200" s="469">
        <f>SUMIFS(Income!$G:$G,Income!$H:$H, AI$2,Income!$F:$F, $AD$1, Income!$B:$B, IF($AE200&lt;&gt;"", TEXT($AE200, "MMMM"), ""), Income!$C:$C, YEAR($AE200))</f>
        <v>0</v>
      </c>
      <c r="AJ200" s="464">
        <f>SUMIFS(Income!$G:$G,Income!$H:$H, AJ$2,Income!$F:$F, $AD$1, Income!$B:$B, IF($AE200&lt;&gt;"", TEXT($AE200, "MMMM"), ""), Income!$C:$C, YEAR($AE200))</f>
        <v>0</v>
      </c>
      <c r="AK200" s="470">
        <f>SUMIFS(Income!$G:$G,Income!$H:$H, AK$2,Income!$F:$F, $AD$1, Income!$B:$B, IF($AE200&lt;&gt;"", TEXT($AE200, "MMMM"), ""), Income!$C:$C, YEAR($AE200))</f>
        <v>0</v>
      </c>
      <c r="AL200" s="447" t="s">
        <v>801</v>
      </c>
      <c r="AM200" s="463">
        <v>49827.0</v>
      </c>
      <c r="AN200" s="464">
        <f>SUMIFS(Income!$G:$G,Income!$H:$H, AN$2,Income!$F:$F, $AL$1, Income!$B:$B, IF($AM200&lt;&gt;"", TEXT($AM200, "MMMM"), ""), Income!$C:$C, YEAR($AM200))+SUMIFS($T:$T, $U:$U,AN$2,$Q:$Q,IF($AM200&lt;&gt;"", TEXT($AM200, "MMMM"), ""),$R:$R,YEAR($AM200))</f>
        <v>0</v>
      </c>
      <c r="AO200" s="464">
        <f>SUMIFS(Income!$G:$G,Income!$H:$H, AO$2,Income!$F:$F, $AL$1, Income!$B:$B, IF($AM200&lt;&gt;"", TEXT($AM200, "MMMM"), ""), Income!$C:$C, YEAR($AM200))+SUMIFS($T:$T, $U:$U,AO$2,$Q:$Q,IF($AM200&lt;&gt;"", TEXT($AM200, "MMMM"), ""),$R:$R,YEAR($AM200))</f>
        <v>0</v>
      </c>
      <c r="AP200" s="464">
        <f>SUMIFS(Income!$G:$G,Income!$H:$H, AP$2,Income!$F:$F, $AL$1, Income!$B:$B, IF($AM200&lt;&gt;"", TEXT($AM200, "MMMM"), ""), Income!$C:$C, YEAR($AM200))+SUMIFS($T:$T, $U:$U,AP$2,$Q:$Q,IF($AM200&lt;&gt;"", TEXT($AM200, "MMMM"), ""),$R:$R,YEAR($AM200))</f>
        <v>0</v>
      </c>
      <c r="AQ200" s="464">
        <f>SUMIFS(Income!$G:$G,Income!$H:$H, AQ$2,Income!$F:$F, $AL$1, Income!$B:$B, IF($AM200&lt;&gt;"", TEXT($AM200, "MMMM"), ""), Income!$C:$C, YEAR($AM200))+SUMIFS($T:$T, $U:$U,AQ$2,$Q:$Q,IF($AM200&lt;&gt;"", TEXT($AM200, "MMMM"), ""),$R:$R,YEAR($AM200))</f>
        <v>0</v>
      </c>
      <c r="AR200" s="464">
        <f>SUMIFS(Income!$G:$G,Income!$H:$H, AR$2,Income!$F:$F, $AL$1, Income!$B:$B, IF($AM200&lt;&gt;"", TEXT($AM200, "MMMM"), ""), Income!$C:$C, YEAR($AM200))+SUMIFS($T:$T, $U:$U,AR$2,$Q:$Q,IF($AM200&lt;&gt;"", TEXT($AM200, "MMMM"), ""),$R:$R,YEAR($AM200))</f>
        <v>0</v>
      </c>
      <c r="AS200" s="467">
        <f>SUMIFS(Income!$G:$G,Income!$H:$H, AS$2,Income!$F:$F, $AL$1, Income!$B:$B, IF($AM200&lt;&gt;"", TEXT($AM200, "MMMM"), ""), Income!$C:$C, YEAR($AM200))+SUMIFS($T:$T, $U:$U,AS$2,$Q:$Q,IF($AM200&lt;&gt;"", TEXT($AM200, "MMMM"), ""),$R:$R,YEAR($AM200))</f>
        <v>0</v>
      </c>
      <c r="AT200" s="447" t="s">
        <v>801</v>
      </c>
      <c r="AU200" s="463">
        <v>49827.0</v>
      </c>
      <c r="AV200" s="469">
        <f>SUMIFS(Income!$G:$G,Income!$H:$H, AV$2,Income!$F:$F, $AT$1, Income!$B:$B, IF($AU200&lt;&gt;"", TEXT($AU200, "MMMM"), ""), Income!$C:$C, YEAR($AU200))</f>
        <v>0</v>
      </c>
      <c r="AW200" s="469">
        <f>SUMIFS(Income!$G:$G,Income!$H:$H, AW$2,Income!$F:$F, $AT$1, Income!$B:$B, IF($AU200&lt;&gt;"", TEXT($AU200, "MMMM"), ""), Income!$C:$C, YEAR($AU200))</f>
        <v>0</v>
      </c>
      <c r="AX200" s="469">
        <f>SUMIFS(Income!$G:$G,Income!$H:$H, AX$2,Income!$F:$F, $AT$1, Income!$B:$B, IF($AU200&lt;&gt;"", TEXT($AU200, "MMMM"), ""), Income!$C:$C, YEAR($AU200))</f>
        <v>0</v>
      </c>
      <c r="AY200" s="469">
        <f>SUMIFS(Income!$G:$G,Income!$H:$H, AY$2,Income!$F:$F, $AT$1, Income!$B:$B, IF($AU200&lt;&gt;"", TEXT($AU200, "MMMM"), ""), Income!$C:$C, YEAR($AU200))</f>
        <v>0</v>
      </c>
      <c r="AZ200" s="464">
        <f>SUMIFS(Income!$G:$G,Income!$H:$H, AZ$2,Income!$F:$F, $AT$1, Income!$B:$B, IF($AU200&lt;&gt;"", TEXT($AU200, "MMMM"), ""), Income!$C:$C, YEAR($AU200))</f>
        <v>0</v>
      </c>
      <c r="BA200" s="471">
        <f>SUMIFS(Income!$G:$G,Income!$H:$H, BA$2,Income!$F:$F, $AT$1, Income!$B:$B, IF($AU200&lt;&gt;"", TEXT($AU200, "MMMM"), ""), Income!$C:$C, YEAR($AU200))</f>
        <v>0</v>
      </c>
      <c r="BB200" s="345"/>
      <c r="BC200" s="345"/>
      <c r="BD200" s="345"/>
      <c r="BE200" s="345"/>
    </row>
    <row r="201" ht="13.5" customHeight="1">
      <c r="A201" s="436">
        <f>'Membership Application List'!A430</f>
        <v>45666.68782</v>
      </c>
      <c r="B201" s="437" t="str">
        <f t="shared" si="6"/>
        <v>January</v>
      </c>
      <c r="C201" s="437">
        <f t="shared" si="7"/>
        <v>2025</v>
      </c>
      <c r="D201" s="438" t="str">
        <f>'Membership Application List'!E430</f>
        <v>Bud Davis </v>
      </c>
      <c r="E201" s="438">
        <f>IF('Membership Application List'!J430 = "Food/Litter Donation", 0, IF('Membership Application List'!J430 = "$15 Donation, Discord Verification", IF('Membership Application List'!N430 = TRUE, 15, 0)))</f>
        <v>0</v>
      </c>
      <c r="F201" s="438">
        <f>if('Membership Application List'!K430=TRUE, 5,0)</f>
        <v>0</v>
      </c>
      <c r="G201" s="438">
        <f t="shared" si="8"/>
        <v>0</v>
      </c>
      <c r="H201" s="439" t="str">
        <f>'Membership Application List'!L430</f>
        <v>Cashapp</v>
      </c>
      <c r="I201" s="428"/>
      <c r="J201" s="463">
        <v>49857.0</v>
      </c>
      <c r="K201" s="464">
        <f t="shared" ref="K201:O201" si="159">SUMIFS($G:$G, $H:$H, K$2, $B:$B, IF($J201&lt;&gt;"", TEXT($J201, "MMMM"), ""), $C:$C, YEAR($J201))</f>
        <v>0</v>
      </c>
      <c r="L201" s="464">
        <f t="shared" si="159"/>
        <v>0</v>
      </c>
      <c r="M201" s="464">
        <f t="shared" si="159"/>
        <v>0</v>
      </c>
      <c r="N201" s="464">
        <f t="shared" si="159"/>
        <v>0</v>
      </c>
      <c r="O201" s="465">
        <f t="shared" si="159"/>
        <v>0</v>
      </c>
      <c r="P201" s="414"/>
      <c r="Q201" s="414"/>
      <c r="R201" s="414"/>
      <c r="S201" s="445"/>
      <c r="T201" s="445"/>
      <c r="U201" s="445"/>
      <c r="V201" s="428"/>
      <c r="W201" s="463">
        <v>49857.0</v>
      </c>
      <c r="X201" s="469">
        <f>SUMIFS(Income!$G:$G,Income!$H:$H, X$2,Income!$F:$F, $V$1, Income!$B:$B, IF($W201&lt;&gt;"", TEXT($W201, "MMMM"), ""), Income!$C:$C, YEAR($W201))</f>
        <v>0</v>
      </c>
      <c r="Y201" s="469">
        <f>SUMIFS(Income!$G:$G,Income!$H:$H, Y$2,Income!$F:$F, $V$1, Income!$B:$B, IF($W201&lt;&gt;"", TEXT($W201, "MMMM"), ""), Income!$C:$C, YEAR($W201))</f>
        <v>0</v>
      </c>
      <c r="Z201" s="469">
        <f>SUMIFS(Income!$G:$G,Income!$H:$H, Z$2,Income!$F:$F, $V$1, Income!$B:$B, IF($W201&lt;&gt;"", TEXT($W201, "MMMM"), ""), Income!$C:$C, YEAR($W201))</f>
        <v>0</v>
      </c>
      <c r="AA201" s="469">
        <f>SUMIFS(Income!$G:$G,Income!$H:$H, AA$2,Income!$F:$F, $V$1, Income!$B:$B, IF($W201&lt;&gt;"", TEXT($W201, "MMMM"), ""), Income!$C:$C, YEAR($W201))</f>
        <v>0</v>
      </c>
      <c r="AB201" s="464">
        <f>SUMIFS(Income!$G:$G,Income!$H:$H, AB$2,Income!$F:$F, $V$1, Income!$B:$B, IF($W201&lt;&gt;"", TEXT($W201, "MMMM"), ""), Income!$C:$C, YEAR($W201))</f>
        <v>0</v>
      </c>
      <c r="AC201" s="470">
        <f>SUMIFS(Income!$G:$G,Income!$H:$H, AC$2,Income!$F:$F, $V$1, Income!$B:$B, IF($W201&lt;&gt;"", TEXT($W201, "MMMM"), ""), Income!$C:$C, YEAR($W201))</f>
        <v>0</v>
      </c>
      <c r="AD201" s="428"/>
      <c r="AE201" s="463">
        <v>49857.0</v>
      </c>
      <c r="AF201" s="469">
        <f>SUMIFS(Income!$G:$G,Income!$H:$H, AF$2,Income!$F:$F, $AD$1, Income!$B:$B, IF($AE201&lt;&gt;"", TEXT($AE201, "MMMM"), ""), Income!$C:$C, YEAR($AE201))</f>
        <v>0</v>
      </c>
      <c r="AG201" s="469">
        <f>SUMIFS(Income!$G:$G,Income!$H:$H, AG$2,Income!$F:$F, $AD$1, Income!$B:$B, IF($AE201&lt;&gt;"", TEXT($AE201, "MMMM"), ""), Income!$C:$C, YEAR($AE201))</f>
        <v>0</v>
      </c>
      <c r="AH201" s="469">
        <f>SUMIFS(Income!$G:$G,Income!$H:$H, AH$2,Income!$F:$F, $AD$1, Income!$B:$B, IF($AE201&lt;&gt;"", TEXT($AE201, "MMMM"), ""), Income!$C:$C, YEAR($AE201))</f>
        <v>0</v>
      </c>
      <c r="AI201" s="469">
        <f>SUMIFS(Income!$G:$G,Income!$H:$H, AI$2,Income!$F:$F, $AD$1, Income!$B:$B, IF($AE201&lt;&gt;"", TEXT($AE201, "MMMM"), ""), Income!$C:$C, YEAR($AE201))</f>
        <v>0</v>
      </c>
      <c r="AJ201" s="464">
        <f>SUMIFS(Income!$G:$G,Income!$H:$H, AJ$2,Income!$F:$F, $AD$1, Income!$B:$B, IF($AE201&lt;&gt;"", TEXT($AE201, "MMMM"), ""), Income!$C:$C, YEAR($AE201))</f>
        <v>0</v>
      </c>
      <c r="AK201" s="470">
        <f>SUMIFS(Income!$G:$G,Income!$H:$H, AK$2,Income!$F:$F, $AD$1, Income!$B:$B, IF($AE201&lt;&gt;"", TEXT($AE201, "MMMM"), ""), Income!$C:$C, YEAR($AE201))</f>
        <v>0</v>
      </c>
      <c r="AL201" s="428"/>
      <c r="AM201" s="463">
        <v>49857.0</v>
      </c>
      <c r="AN201" s="464">
        <f>SUMIFS(Income!$G:$G,Income!$H:$H, AN$2,Income!$F:$F, $AL$1, Income!$B:$B, IF($AM201&lt;&gt;"", TEXT($AM201, "MMMM"), ""), Income!$C:$C, YEAR($AM201))+SUMIFS($T:$T, $U:$U,AN$2,$Q:$Q,IF($AM201&lt;&gt;"", TEXT($AM201, "MMMM"), ""),$R:$R,YEAR($AM201))</f>
        <v>0</v>
      </c>
      <c r="AO201" s="464">
        <f>SUMIFS(Income!$G:$G,Income!$H:$H, AO$2,Income!$F:$F, $AL$1, Income!$B:$B, IF($AM201&lt;&gt;"", TEXT($AM201, "MMMM"), ""), Income!$C:$C, YEAR($AM201))+SUMIFS($T:$T, $U:$U,AO$2,$Q:$Q,IF($AM201&lt;&gt;"", TEXT($AM201, "MMMM"), ""),$R:$R,YEAR($AM201))</f>
        <v>0</v>
      </c>
      <c r="AP201" s="464">
        <f>SUMIFS(Income!$G:$G,Income!$H:$H, AP$2,Income!$F:$F, $AL$1, Income!$B:$B, IF($AM201&lt;&gt;"", TEXT($AM201, "MMMM"), ""), Income!$C:$C, YEAR($AM201))+SUMIFS($T:$T, $U:$U,AP$2,$Q:$Q,IF($AM201&lt;&gt;"", TEXT($AM201, "MMMM"), ""),$R:$R,YEAR($AM201))</f>
        <v>0</v>
      </c>
      <c r="AQ201" s="464">
        <f>SUMIFS(Income!$G:$G,Income!$H:$H, AQ$2,Income!$F:$F, $AL$1, Income!$B:$B, IF($AM201&lt;&gt;"", TEXT($AM201, "MMMM"), ""), Income!$C:$C, YEAR($AM201))+SUMIFS($T:$T, $U:$U,AQ$2,$Q:$Q,IF($AM201&lt;&gt;"", TEXT($AM201, "MMMM"), ""),$R:$R,YEAR($AM201))</f>
        <v>0</v>
      </c>
      <c r="AR201" s="464">
        <f>SUMIFS(Income!$G:$G,Income!$H:$H, AR$2,Income!$F:$F, $AL$1, Income!$B:$B, IF($AM201&lt;&gt;"", TEXT($AM201, "MMMM"), ""), Income!$C:$C, YEAR($AM201))+SUMIFS($T:$T, $U:$U,AR$2,$Q:$Q,IF($AM201&lt;&gt;"", TEXT($AM201, "MMMM"), ""),$R:$R,YEAR($AM201))</f>
        <v>0</v>
      </c>
      <c r="AS201" s="467">
        <f>SUMIFS(Income!$G:$G,Income!$H:$H, AS$2,Income!$F:$F, $AL$1, Income!$B:$B, IF($AM201&lt;&gt;"", TEXT($AM201, "MMMM"), ""), Income!$C:$C, YEAR($AM201))+SUMIFS($T:$T, $U:$U,AS$2,$Q:$Q,IF($AM201&lt;&gt;"", TEXT($AM201, "MMMM"), ""),$R:$R,YEAR($AM201))</f>
        <v>0</v>
      </c>
      <c r="AT201" s="428"/>
      <c r="AU201" s="463">
        <v>49857.0</v>
      </c>
      <c r="AV201" s="469">
        <f>SUMIFS(Income!$G:$G,Income!$H:$H, AV$2,Income!$F:$F, $AT$1, Income!$B:$B, IF($AU201&lt;&gt;"", TEXT($AU201, "MMMM"), ""), Income!$C:$C, YEAR($AU201))</f>
        <v>0</v>
      </c>
      <c r="AW201" s="469">
        <f>SUMIFS(Income!$G:$G,Income!$H:$H, AW$2,Income!$F:$F, $AT$1, Income!$B:$B, IF($AU201&lt;&gt;"", TEXT($AU201, "MMMM"), ""), Income!$C:$C, YEAR($AU201))</f>
        <v>0</v>
      </c>
      <c r="AX201" s="469">
        <f>SUMIFS(Income!$G:$G,Income!$H:$H, AX$2,Income!$F:$F, $AT$1, Income!$B:$B, IF($AU201&lt;&gt;"", TEXT($AU201, "MMMM"), ""), Income!$C:$C, YEAR($AU201))</f>
        <v>0</v>
      </c>
      <c r="AY201" s="469">
        <f>SUMIFS(Income!$G:$G,Income!$H:$H, AY$2,Income!$F:$F, $AT$1, Income!$B:$B, IF($AU201&lt;&gt;"", TEXT($AU201, "MMMM"), ""), Income!$C:$C, YEAR($AU201))</f>
        <v>0</v>
      </c>
      <c r="AZ201" s="464">
        <f>SUMIFS(Income!$G:$G,Income!$H:$H, AZ$2,Income!$F:$F, $AT$1, Income!$B:$B, IF($AU201&lt;&gt;"", TEXT($AU201, "MMMM"), ""), Income!$C:$C, YEAR($AU201))</f>
        <v>0</v>
      </c>
      <c r="BA201" s="471">
        <f>SUMIFS(Income!$G:$G,Income!$H:$H, BA$2,Income!$F:$F, $AT$1, Income!$B:$B, IF($AU201&lt;&gt;"", TEXT($AU201, "MMMM"), ""), Income!$C:$C, YEAR($AU201))</f>
        <v>0</v>
      </c>
      <c r="BB201" s="345"/>
      <c r="BC201" s="345"/>
      <c r="BD201" s="345"/>
      <c r="BE201" s="345"/>
    </row>
    <row r="202" ht="13.5" customHeight="1">
      <c r="A202" s="424">
        <f>'Membership Application List'!A431</f>
        <v>45666.84743</v>
      </c>
      <c r="B202" s="443" t="str">
        <f t="shared" si="6"/>
        <v>January</v>
      </c>
      <c r="C202" s="443">
        <f t="shared" si="7"/>
        <v>2025</v>
      </c>
      <c r="D202" s="426" t="str">
        <f>'Membership Application List'!E431</f>
        <v>Bud Davis</v>
      </c>
      <c r="E202" s="426">
        <f>IF('Membership Application List'!J431 = "Food/Litter Donation", 0, IF('Membership Application List'!J431 = "$15 Donation, Discord Verification", IF('Membership Application List'!N431 = TRUE, 15, 0)))</f>
        <v>15</v>
      </c>
      <c r="F202" s="426">
        <f>if('Membership Application List'!K431=TRUE, 5,0)</f>
        <v>0</v>
      </c>
      <c r="G202" s="426">
        <f t="shared" si="8"/>
        <v>15</v>
      </c>
      <c r="H202" s="427" t="str">
        <f>'Membership Application List'!L431</f>
        <v>Cashapp</v>
      </c>
      <c r="I202" s="428"/>
      <c r="J202" s="463">
        <v>49888.0</v>
      </c>
      <c r="K202" s="464">
        <f t="shared" ref="K202:O202" si="160">SUMIFS($G:$G, $H:$H, K$2, $B:$B, IF($J202&lt;&gt;"", TEXT($J202, "MMMM"), ""), $C:$C, YEAR($J202))</f>
        <v>0</v>
      </c>
      <c r="L202" s="464">
        <f t="shared" si="160"/>
        <v>0</v>
      </c>
      <c r="M202" s="464">
        <f t="shared" si="160"/>
        <v>0</v>
      </c>
      <c r="N202" s="464">
        <f t="shared" si="160"/>
        <v>0</v>
      </c>
      <c r="O202" s="465">
        <f t="shared" si="160"/>
        <v>0</v>
      </c>
      <c r="P202" s="414"/>
      <c r="Q202" s="414"/>
      <c r="R202" s="414"/>
      <c r="S202" s="445"/>
      <c r="T202" s="445"/>
      <c r="U202" s="445"/>
      <c r="V202" s="428"/>
      <c r="W202" s="463">
        <v>49888.0</v>
      </c>
      <c r="X202" s="469">
        <f>SUMIFS(Income!$G:$G,Income!$H:$H, X$2,Income!$F:$F, $V$1, Income!$B:$B, IF($W202&lt;&gt;"", TEXT($W202, "MMMM"), ""), Income!$C:$C, YEAR($W202))</f>
        <v>0</v>
      </c>
      <c r="Y202" s="469">
        <f>SUMIFS(Income!$G:$G,Income!$H:$H, Y$2,Income!$F:$F, $V$1, Income!$B:$B, IF($W202&lt;&gt;"", TEXT($W202, "MMMM"), ""), Income!$C:$C, YEAR($W202))</f>
        <v>0</v>
      </c>
      <c r="Z202" s="469">
        <f>SUMIFS(Income!$G:$G,Income!$H:$H, Z$2,Income!$F:$F, $V$1, Income!$B:$B, IF($W202&lt;&gt;"", TEXT($W202, "MMMM"), ""), Income!$C:$C, YEAR($W202))</f>
        <v>0</v>
      </c>
      <c r="AA202" s="469">
        <f>SUMIFS(Income!$G:$G,Income!$H:$H, AA$2,Income!$F:$F, $V$1, Income!$B:$B, IF($W202&lt;&gt;"", TEXT($W202, "MMMM"), ""), Income!$C:$C, YEAR($W202))</f>
        <v>0</v>
      </c>
      <c r="AB202" s="464">
        <f>SUMIFS(Income!$G:$G,Income!$H:$H, AB$2,Income!$F:$F, $V$1, Income!$B:$B, IF($W202&lt;&gt;"", TEXT($W202, "MMMM"), ""), Income!$C:$C, YEAR($W202))</f>
        <v>0</v>
      </c>
      <c r="AC202" s="470">
        <f>SUMIFS(Income!$G:$G,Income!$H:$H, AC$2,Income!$F:$F, $V$1, Income!$B:$B, IF($W202&lt;&gt;"", TEXT($W202, "MMMM"), ""), Income!$C:$C, YEAR($W202))</f>
        <v>0</v>
      </c>
      <c r="AD202" s="428"/>
      <c r="AE202" s="463">
        <v>49888.0</v>
      </c>
      <c r="AF202" s="469">
        <f>SUMIFS(Income!$G:$G,Income!$H:$H, AF$2,Income!$F:$F, $AD$1, Income!$B:$B, IF($AE202&lt;&gt;"", TEXT($AE202, "MMMM"), ""), Income!$C:$C, YEAR($AE202))</f>
        <v>0</v>
      </c>
      <c r="AG202" s="469">
        <f>SUMIFS(Income!$G:$G,Income!$H:$H, AG$2,Income!$F:$F, $AD$1, Income!$B:$B, IF($AE202&lt;&gt;"", TEXT($AE202, "MMMM"), ""), Income!$C:$C, YEAR($AE202))</f>
        <v>0</v>
      </c>
      <c r="AH202" s="469">
        <f>SUMIFS(Income!$G:$G,Income!$H:$H, AH$2,Income!$F:$F, $AD$1, Income!$B:$B, IF($AE202&lt;&gt;"", TEXT($AE202, "MMMM"), ""), Income!$C:$C, YEAR($AE202))</f>
        <v>0</v>
      </c>
      <c r="AI202" s="469">
        <f>SUMIFS(Income!$G:$G,Income!$H:$H, AI$2,Income!$F:$F, $AD$1, Income!$B:$B, IF($AE202&lt;&gt;"", TEXT($AE202, "MMMM"), ""), Income!$C:$C, YEAR($AE202))</f>
        <v>0</v>
      </c>
      <c r="AJ202" s="464">
        <f>SUMIFS(Income!$G:$G,Income!$H:$H, AJ$2,Income!$F:$F, $AD$1, Income!$B:$B, IF($AE202&lt;&gt;"", TEXT($AE202, "MMMM"), ""), Income!$C:$C, YEAR($AE202))</f>
        <v>0</v>
      </c>
      <c r="AK202" s="470">
        <f>SUMIFS(Income!$G:$G,Income!$H:$H, AK$2,Income!$F:$F, $AD$1, Income!$B:$B, IF($AE202&lt;&gt;"", TEXT($AE202, "MMMM"), ""), Income!$C:$C, YEAR($AE202))</f>
        <v>0</v>
      </c>
      <c r="AL202" s="428"/>
      <c r="AM202" s="463">
        <v>49888.0</v>
      </c>
      <c r="AN202" s="464">
        <f>SUMIFS(Income!$G:$G,Income!$H:$H, AN$2,Income!$F:$F, $AL$1, Income!$B:$B, IF($AM202&lt;&gt;"", TEXT($AM202, "MMMM"), ""), Income!$C:$C, YEAR($AM202))+SUMIFS($T:$T, $U:$U,AN$2,$Q:$Q,IF($AM202&lt;&gt;"", TEXT($AM202, "MMMM"), ""),$R:$R,YEAR($AM202))</f>
        <v>0</v>
      </c>
      <c r="AO202" s="464">
        <f>SUMIFS(Income!$G:$G,Income!$H:$H, AO$2,Income!$F:$F, $AL$1, Income!$B:$B, IF($AM202&lt;&gt;"", TEXT($AM202, "MMMM"), ""), Income!$C:$C, YEAR($AM202))+SUMIFS($T:$T, $U:$U,AO$2,$Q:$Q,IF($AM202&lt;&gt;"", TEXT($AM202, "MMMM"), ""),$R:$R,YEAR($AM202))</f>
        <v>0</v>
      </c>
      <c r="AP202" s="464">
        <f>SUMIFS(Income!$G:$G,Income!$H:$H, AP$2,Income!$F:$F, $AL$1, Income!$B:$B, IF($AM202&lt;&gt;"", TEXT($AM202, "MMMM"), ""), Income!$C:$C, YEAR($AM202))+SUMIFS($T:$T, $U:$U,AP$2,$Q:$Q,IF($AM202&lt;&gt;"", TEXT($AM202, "MMMM"), ""),$R:$R,YEAR($AM202))</f>
        <v>0</v>
      </c>
      <c r="AQ202" s="464">
        <f>SUMIFS(Income!$G:$G,Income!$H:$H, AQ$2,Income!$F:$F, $AL$1, Income!$B:$B, IF($AM202&lt;&gt;"", TEXT($AM202, "MMMM"), ""), Income!$C:$C, YEAR($AM202))+SUMIFS($T:$T, $U:$U,AQ$2,$Q:$Q,IF($AM202&lt;&gt;"", TEXT($AM202, "MMMM"), ""),$R:$R,YEAR($AM202))</f>
        <v>0</v>
      </c>
      <c r="AR202" s="464">
        <f>SUMIFS(Income!$G:$G,Income!$H:$H, AR$2,Income!$F:$F, $AL$1, Income!$B:$B, IF($AM202&lt;&gt;"", TEXT($AM202, "MMMM"), ""), Income!$C:$C, YEAR($AM202))+SUMIFS($T:$T, $U:$U,AR$2,$Q:$Q,IF($AM202&lt;&gt;"", TEXT($AM202, "MMMM"), ""),$R:$R,YEAR($AM202))</f>
        <v>0</v>
      </c>
      <c r="AS202" s="467">
        <f>SUMIFS(Income!$G:$G,Income!$H:$H, AS$2,Income!$F:$F, $AL$1, Income!$B:$B, IF($AM202&lt;&gt;"", TEXT($AM202, "MMMM"), ""), Income!$C:$C, YEAR($AM202))+SUMIFS($T:$T, $U:$U,AS$2,$Q:$Q,IF($AM202&lt;&gt;"", TEXT($AM202, "MMMM"), ""),$R:$R,YEAR($AM202))</f>
        <v>0</v>
      </c>
      <c r="AT202" s="428"/>
      <c r="AU202" s="463">
        <v>49888.0</v>
      </c>
      <c r="AV202" s="469">
        <f>SUMIFS(Income!$G:$G,Income!$H:$H, AV$2,Income!$F:$F, $AT$1, Income!$B:$B, IF($AU202&lt;&gt;"", TEXT($AU202, "MMMM"), ""), Income!$C:$C, YEAR($AU202))</f>
        <v>0</v>
      </c>
      <c r="AW202" s="469">
        <f>SUMIFS(Income!$G:$G,Income!$H:$H, AW$2,Income!$F:$F, $AT$1, Income!$B:$B, IF($AU202&lt;&gt;"", TEXT($AU202, "MMMM"), ""), Income!$C:$C, YEAR($AU202))</f>
        <v>0</v>
      </c>
      <c r="AX202" s="469">
        <f>SUMIFS(Income!$G:$G,Income!$H:$H, AX$2,Income!$F:$F, $AT$1, Income!$B:$B, IF($AU202&lt;&gt;"", TEXT($AU202, "MMMM"), ""), Income!$C:$C, YEAR($AU202))</f>
        <v>0</v>
      </c>
      <c r="AY202" s="469">
        <f>SUMIFS(Income!$G:$G,Income!$H:$H, AY$2,Income!$F:$F, $AT$1, Income!$B:$B, IF($AU202&lt;&gt;"", TEXT($AU202, "MMMM"), ""), Income!$C:$C, YEAR($AU202))</f>
        <v>0</v>
      </c>
      <c r="AZ202" s="464">
        <f>SUMIFS(Income!$G:$G,Income!$H:$H, AZ$2,Income!$F:$F, $AT$1, Income!$B:$B, IF($AU202&lt;&gt;"", TEXT($AU202, "MMMM"), ""), Income!$C:$C, YEAR($AU202))</f>
        <v>0</v>
      </c>
      <c r="BA202" s="471">
        <f>SUMIFS(Income!$G:$G,Income!$H:$H, BA$2,Income!$F:$F, $AT$1, Income!$B:$B, IF($AU202&lt;&gt;"", TEXT($AU202, "MMMM"), ""), Income!$C:$C, YEAR($AU202))</f>
        <v>0</v>
      </c>
      <c r="BB202" s="345"/>
      <c r="BC202" s="345"/>
      <c r="BD202" s="345"/>
      <c r="BE202" s="345"/>
    </row>
    <row r="203" ht="13.5" customHeight="1">
      <c r="A203" s="436">
        <f>'Membership Application List'!A432</f>
        <v>45670.45919</v>
      </c>
      <c r="B203" s="437" t="str">
        <f t="shared" si="6"/>
        <v>January</v>
      </c>
      <c r="C203" s="437">
        <f t="shared" si="7"/>
        <v>2025</v>
      </c>
      <c r="D203" s="438" t="str">
        <f>'Membership Application List'!E432</f>
        <v>Annabelle Delpin </v>
      </c>
      <c r="E203" s="438">
        <f>IF('Membership Application List'!J432 = "Food/Litter Donation", 0, IF('Membership Application List'!J432 = "$15 Donation, Discord Verification", IF('Membership Application List'!N432 = TRUE, 15, 0)))</f>
        <v>15</v>
      </c>
      <c r="F203" s="438">
        <f>if('Membership Application List'!K432=TRUE, 5,0)</f>
        <v>0</v>
      </c>
      <c r="G203" s="438">
        <f t="shared" si="8"/>
        <v>15</v>
      </c>
      <c r="H203" s="439" t="str">
        <f>'Membership Application List'!L432</f>
        <v>Paypal</v>
      </c>
      <c r="I203" s="428"/>
      <c r="J203" s="463">
        <v>49919.0</v>
      </c>
      <c r="K203" s="464">
        <f t="shared" ref="K203:O203" si="161">SUMIFS($G:$G, $H:$H, K$2, $B:$B, IF($J203&lt;&gt;"", TEXT($J203, "MMMM"), ""), $C:$C, YEAR($J203))</f>
        <v>0</v>
      </c>
      <c r="L203" s="464">
        <f t="shared" si="161"/>
        <v>0</v>
      </c>
      <c r="M203" s="464">
        <f t="shared" si="161"/>
        <v>0</v>
      </c>
      <c r="N203" s="464">
        <f t="shared" si="161"/>
        <v>0</v>
      </c>
      <c r="O203" s="465">
        <f t="shared" si="161"/>
        <v>0</v>
      </c>
      <c r="P203" s="414"/>
      <c r="Q203" s="414"/>
      <c r="R203" s="414"/>
      <c r="S203" s="445"/>
      <c r="T203" s="445"/>
      <c r="U203" s="445"/>
      <c r="V203" s="428"/>
      <c r="W203" s="463">
        <v>49919.0</v>
      </c>
      <c r="X203" s="469">
        <f>SUMIFS(Income!$G:$G,Income!$H:$H, X$2,Income!$F:$F, $V$1, Income!$B:$B, IF($W203&lt;&gt;"", TEXT($W203, "MMMM"), ""), Income!$C:$C, YEAR($W203))</f>
        <v>0</v>
      </c>
      <c r="Y203" s="469">
        <f>SUMIFS(Income!$G:$G,Income!$H:$H, Y$2,Income!$F:$F, $V$1, Income!$B:$B, IF($W203&lt;&gt;"", TEXT($W203, "MMMM"), ""), Income!$C:$C, YEAR($W203))</f>
        <v>0</v>
      </c>
      <c r="Z203" s="469">
        <f>SUMIFS(Income!$G:$G,Income!$H:$H, Z$2,Income!$F:$F, $V$1, Income!$B:$B, IF($W203&lt;&gt;"", TEXT($W203, "MMMM"), ""), Income!$C:$C, YEAR($W203))</f>
        <v>0</v>
      </c>
      <c r="AA203" s="469">
        <f>SUMIFS(Income!$G:$G,Income!$H:$H, AA$2,Income!$F:$F, $V$1, Income!$B:$B, IF($W203&lt;&gt;"", TEXT($W203, "MMMM"), ""), Income!$C:$C, YEAR($W203))</f>
        <v>0</v>
      </c>
      <c r="AB203" s="464">
        <f>SUMIFS(Income!$G:$G,Income!$H:$H, AB$2,Income!$F:$F, $V$1, Income!$B:$B, IF($W203&lt;&gt;"", TEXT($W203, "MMMM"), ""), Income!$C:$C, YEAR($W203))</f>
        <v>0</v>
      </c>
      <c r="AC203" s="470">
        <f>SUMIFS(Income!$G:$G,Income!$H:$H, AC$2,Income!$F:$F, $V$1, Income!$B:$B, IF($W203&lt;&gt;"", TEXT($W203, "MMMM"), ""), Income!$C:$C, YEAR($W203))</f>
        <v>0</v>
      </c>
      <c r="AD203" s="428"/>
      <c r="AE203" s="463">
        <v>49919.0</v>
      </c>
      <c r="AF203" s="469">
        <f>SUMIFS(Income!$G:$G,Income!$H:$H, AF$2,Income!$F:$F, $AD$1, Income!$B:$B, IF($AE203&lt;&gt;"", TEXT($AE203, "MMMM"), ""), Income!$C:$C, YEAR($AE203))</f>
        <v>0</v>
      </c>
      <c r="AG203" s="469">
        <f>SUMIFS(Income!$G:$G,Income!$H:$H, AG$2,Income!$F:$F, $AD$1, Income!$B:$B, IF($AE203&lt;&gt;"", TEXT($AE203, "MMMM"), ""), Income!$C:$C, YEAR($AE203))</f>
        <v>0</v>
      </c>
      <c r="AH203" s="469">
        <f>SUMIFS(Income!$G:$G,Income!$H:$H, AH$2,Income!$F:$F, $AD$1, Income!$B:$B, IF($AE203&lt;&gt;"", TEXT($AE203, "MMMM"), ""), Income!$C:$C, YEAR($AE203))</f>
        <v>0</v>
      </c>
      <c r="AI203" s="469">
        <f>SUMIFS(Income!$G:$G,Income!$H:$H, AI$2,Income!$F:$F, $AD$1, Income!$B:$B, IF($AE203&lt;&gt;"", TEXT($AE203, "MMMM"), ""), Income!$C:$C, YEAR($AE203))</f>
        <v>0</v>
      </c>
      <c r="AJ203" s="464">
        <f>SUMIFS(Income!$G:$G,Income!$H:$H, AJ$2,Income!$F:$F, $AD$1, Income!$B:$B, IF($AE203&lt;&gt;"", TEXT($AE203, "MMMM"), ""), Income!$C:$C, YEAR($AE203))</f>
        <v>0</v>
      </c>
      <c r="AK203" s="470">
        <f>SUMIFS(Income!$G:$G,Income!$H:$H, AK$2,Income!$F:$F, $AD$1, Income!$B:$B, IF($AE203&lt;&gt;"", TEXT($AE203, "MMMM"), ""), Income!$C:$C, YEAR($AE203))</f>
        <v>0</v>
      </c>
      <c r="AL203" s="428"/>
      <c r="AM203" s="463">
        <v>49919.0</v>
      </c>
      <c r="AN203" s="464">
        <f>SUMIFS(Income!$G:$G,Income!$H:$H, AN$2,Income!$F:$F, $AL$1, Income!$B:$B, IF($AM203&lt;&gt;"", TEXT($AM203, "MMMM"), ""), Income!$C:$C, YEAR($AM203))+SUMIFS($T:$T, $U:$U,AN$2,$Q:$Q,IF($AM203&lt;&gt;"", TEXT($AM203, "MMMM"), ""),$R:$R,YEAR($AM203))</f>
        <v>0</v>
      </c>
      <c r="AO203" s="464">
        <f>SUMIFS(Income!$G:$G,Income!$H:$H, AO$2,Income!$F:$F, $AL$1, Income!$B:$B, IF($AM203&lt;&gt;"", TEXT($AM203, "MMMM"), ""), Income!$C:$C, YEAR($AM203))+SUMIFS($T:$T, $U:$U,AO$2,$Q:$Q,IF($AM203&lt;&gt;"", TEXT($AM203, "MMMM"), ""),$R:$R,YEAR($AM203))</f>
        <v>0</v>
      </c>
      <c r="AP203" s="464">
        <f>SUMIFS(Income!$G:$G,Income!$H:$H, AP$2,Income!$F:$F, $AL$1, Income!$B:$B, IF($AM203&lt;&gt;"", TEXT($AM203, "MMMM"), ""), Income!$C:$C, YEAR($AM203))+SUMIFS($T:$T, $U:$U,AP$2,$Q:$Q,IF($AM203&lt;&gt;"", TEXT($AM203, "MMMM"), ""),$R:$R,YEAR($AM203))</f>
        <v>0</v>
      </c>
      <c r="AQ203" s="464">
        <f>SUMIFS(Income!$G:$G,Income!$H:$H, AQ$2,Income!$F:$F, $AL$1, Income!$B:$B, IF($AM203&lt;&gt;"", TEXT($AM203, "MMMM"), ""), Income!$C:$C, YEAR($AM203))+SUMIFS($T:$T, $U:$U,AQ$2,$Q:$Q,IF($AM203&lt;&gt;"", TEXT($AM203, "MMMM"), ""),$R:$R,YEAR($AM203))</f>
        <v>0</v>
      </c>
      <c r="AR203" s="464">
        <f>SUMIFS(Income!$G:$G,Income!$H:$H, AR$2,Income!$F:$F, $AL$1, Income!$B:$B, IF($AM203&lt;&gt;"", TEXT($AM203, "MMMM"), ""), Income!$C:$C, YEAR($AM203))+SUMIFS($T:$T, $U:$U,AR$2,$Q:$Q,IF($AM203&lt;&gt;"", TEXT($AM203, "MMMM"), ""),$R:$R,YEAR($AM203))</f>
        <v>0</v>
      </c>
      <c r="AS203" s="467">
        <f>SUMIFS(Income!$G:$G,Income!$H:$H, AS$2,Income!$F:$F, $AL$1, Income!$B:$B, IF($AM203&lt;&gt;"", TEXT($AM203, "MMMM"), ""), Income!$C:$C, YEAR($AM203))+SUMIFS($T:$T, $U:$U,AS$2,$Q:$Q,IF($AM203&lt;&gt;"", TEXT($AM203, "MMMM"), ""),$R:$R,YEAR($AM203))</f>
        <v>0</v>
      </c>
      <c r="AT203" s="428"/>
      <c r="AU203" s="463">
        <v>49919.0</v>
      </c>
      <c r="AV203" s="469">
        <f>SUMIFS(Income!$G:$G,Income!$H:$H, AV$2,Income!$F:$F, $AT$1, Income!$B:$B, IF($AU203&lt;&gt;"", TEXT($AU203, "MMMM"), ""), Income!$C:$C, YEAR($AU203))</f>
        <v>0</v>
      </c>
      <c r="AW203" s="469">
        <f>SUMIFS(Income!$G:$G,Income!$H:$H, AW$2,Income!$F:$F, $AT$1, Income!$B:$B, IF($AU203&lt;&gt;"", TEXT($AU203, "MMMM"), ""), Income!$C:$C, YEAR($AU203))</f>
        <v>0</v>
      </c>
      <c r="AX203" s="469">
        <f>SUMIFS(Income!$G:$G,Income!$H:$H, AX$2,Income!$F:$F, $AT$1, Income!$B:$B, IF($AU203&lt;&gt;"", TEXT($AU203, "MMMM"), ""), Income!$C:$C, YEAR($AU203))</f>
        <v>0</v>
      </c>
      <c r="AY203" s="469">
        <f>SUMIFS(Income!$G:$G,Income!$H:$H, AY$2,Income!$F:$F, $AT$1, Income!$B:$B, IF($AU203&lt;&gt;"", TEXT($AU203, "MMMM"), ""), Income!$C:$C, YEAR($AU203))</f>
        <v>0</v>
      </c>
      <c r="AZ203" s="464">
        <f>SUMIFS(Income!$G:$G,Income!$H:$H, AZ$2,Income!$F:$F, $AT$1, Income!$B:$B, IF($AU203&lt;&gt;"", TEXT($AU203, "MMMM"), ""), Income!$C:$C, YEAR($AU203))</f>
        <v>0</v>
      </c>
      <c r="BA203" s="471">
        <f>SUMIFS(Income!$G:$G,Income!$H:$H, BA$2,Income!$F:$F, $AT$1, Income!$B:$B, IF($AU203&lt;&gt;"", TEXT($AU203, "MMMM"), ""), Income!$C:$C, YEAR($AU203))</f>
        <v>0</v>
      </c>
      <c r="BB203" s="345"/>
      <c r="BC203" s="345"/>
      <c r="BD203" s="345"/>
      <c r="BE203" s="345"/>
    </row>
    <row r="204" ht="13.5" customHeight="1">
      <c r="A204" s="424">
        <f>'Membership Application List'!A433</f>
        <v>45670.4686</v>
      </c>
      <c r="B204" s="443" t="str">
        <f t="shared" si="6"/>
        <v>January</v>
      </c>
      <c r="C204" s="443">
        <f t="shared" si="7"/>
        <v>2025</v>
      </c>
      <c r="D204" s="426" t="str">
        <f>'Membership Application List'!E433</f>
        <v>Kyra Crawford</v>
      </c>
      <c r="E204" s="426">
        <f>IF('Membership Application List'!J433 = "Food/Litter Donation", 0, IF('Membership Application List'!J433 = "$15 Donation, Discord Verification", IF('Membership Application List'!N433 = TRUE, 15, 0)))</f>
        <v>15</v>
      </c>
      <c r="F204" s="426">
        <f>if('Membership Application List'!K433=TRUE, 5,0)</f>
        <v>0</v>
      </c>
      <c r="G204" s="426">
        <f t="shared" si="8"/>
        <v>15</v>
      </c>
      <c r="H204" s="427" t="str">
        <f>'Membership Application List'!L433</f>
        <v>Cashapp</v>
      </c>
      <c r="I204" s="428"/>
      <c r="J204" s="463">
        <v>49949.0</v>
      </c>
      <c r="K204" s="464">
        <f t="shared" ref="K204:O204" si="162">SUMIFS($G:$G, $H:$H, K$2, $B:$B, IF($J204&lt;&gt;"", TEXT($J204, "MMMM"), ""), $C:$C, YEAR($J204))</f>
        <v>0</v>
      </c>
      <c r="L204" s="464">
        <f t="shared" si="162"/>
        <v>0</v>
      </c>
      <c r="M204" s="464">
        <f t="shared" si="162"/>
        <v>0</v>
      </c>
      <c r="N204" s="464">
        <f t="shared" si="162"/>
        <v>0</v>
      </c>
      <c r="O204" s="465">
        <f t="shared" si="162"/>
        <v>0</v>
      </c>
      <c r="P204" s="414"/>
      <c r="Q204" s="414"/>
      <c r="R204" s="414"/>
      <c r="S204" s="445"/>
      <c r="T204" s="445"/>
      <c r="U204" s="445"/>
      <c r="V204" s="428"/>
      <c r="W204" s="463">
        <v>49949.0</v>
      </c>
      <c r="X204" s="469">
        <f>SUMIFS(Income!$G:$G,Income!$H:$H, X$2,Income!$F:$F, $V$1, Income!$B:$B, IF($W204&lt;&gt;"", TEXT($W204, "MMMM"), ""), Income!$C:$C, YEAR($W204))</f>
        <v>0</v>
      </c>
      <c r="Y204" s="469">
        <f>SUMIFS(Income!$G:$G,Income!$H:$H, Y$2,Income!$F:$F, $V$1, Income!$B:$B, IF($W204&lt;&gt;"", TEXT($W204, "MMMM"), ""), Income!$C:$C, YEAR($W204))</f>
        <v>0</v>
      </c>
      <c r="Z204" s="469">
        <f>SUMIFS(Income!$G:$G,Income!$H:$H, Z$2,Income!$F:$F, $V$1, Income!$B:$B, IF($W204&lt;&gt;"", TEXT($W204, "MMMM"), ""), Income!$C:$C, YEAR($W204))</f>
        <v>0</v>
      </c>
      <c r="AA204" s="469">
        <f>SUMIFS(Income!$G:$G,Income!$H:$H, AA$2,Income!$F:$F, $V$1, Income!$B:$B, IF($W204&lt;&gt;"", TEXT($W204, "MMMM"), ""), Income!$C:$C, YEAR($W204))</f>
        <v>0</v>
      </c>
      <c r="AB204" s="464">
        <f>SUMIFS(Income!$G:$G,Income!$H:$H, AB$2,Income!$F:$F, $V$1, Income!$B:$B, IF($W204&lt;&gt;"", TEXT($W204, "MMMM"), ""), Income!$C:$C, YEAR($W204))</f>
        <v>0</v>
      </c>
      <c r="AC204" s="470">
        <f>SUMIFS(Income!$G:$G,Income!$H:$H, AC$2,Income!$F:$F, $V$1, Income!$B:$B, IF($W204&lt;&gt;"", TEXT($W204, "MMMM"), ""), Income!$C:$C, YEAR($W204))</f>
        <v>0</v>
      </c>
      <c r="AD204" s="428"/>
      <c r="AE204" s="463">
        <v>49949.0</v>
      </c>
      <c r="AF204" s="469">
        <f>SUMIFS(Income!$G:$G,Income!$H:$H, AF$2,Income!$F:$F, $AD$1, Income!$B:$B, IF($AE204&lt;&gt;"", TEXT($AE204, "MMMM"), ""), Income!$C:$C, YEAR($AE204))</f>
        <v>0</v>
      </c>
      <c r="AG204" s="469">
        <f>SUMIFS(Income!$G:$G,Income!$H:$H, AG$2,Income!$F:$F, $AD$1, Income!$B:$B, IF($AE204&lt;&gt;"", TEXT($AE204, "MMMM"), ""), Income!$C:$C, YEAR($AE204))</f>
        <v>0</v>
      </c>
      <c r="AH204" s="469">
        <f>SUMIFS(Income!$G:$G,Income!$H:$H, AH$2,Income!$F:$F, $AD$1, Income!$B:$B, IF($AE204&lt;&gt;"", TEXT($AE204, "MMMM"), ""), Income!$C:$C, YEAR($AE204))</f>
        <v>0</v>
      </c>
      <c r="AI204" s="469">
        <f>SUMIFS(Income!$G:$G,Income!$H:$H, AI$2,Income!$F:$F, $AD$1, Income!$B:$B, IF($AE204&lt;&gt;"", TEXT($AE204, "MMMM"), ""), Income!$C:$C, YEAR($AE204))</f>
        <v>0</v>
      </c>
      <c r="AJ204" s="464">
        <f>SUMIFS(Income!$G:$G,Income!$H:$H, AJ$2,Income!$F:$F, $AD$1, Income!$B:$B, IF($AE204&lt;&gt;"", TEXT($AE204, "MMMM"), ""), Income!$C:$C, YEAR($AE204))</f>
        <v>0</v>
      </c>
      <c r="AK204" s="470">
        <f>SUMIFS(Income!$G:$G,Income!$H:$H, AK$2,Income!$F:$F, $AD$1, Income!$B:$B, IF($AE204&lt;&gt;"", TEXT($AE204, "MMMM"), ""), Income!$C:$C, YEAR($AE204))</f>
        <v>0</v>
      </c>
      <c r="AL204" s="428"/>
      <c r="AM204" s="463">
        <v>49949.0</v>
      </c>
      <c r="AN204" s="464">
        <f>SUMIFS(Income!$G:$G,Income!$H:$H, AN$2,Income!$F:$F, $AL$1, Income!$B:$B, IF($AM204&lt;&gt;"", TEXT($AM204, "MMMM"), ""), Income!$C:$C, YEAR($AM204))+SUMIFS($T:$T, $U:$U,AN$2,$Q:$Q,IF($AM204&lt;&gt;"", TEXT($AM204, "MMMM"), ""),$R:$R,YEAR($AM204))</f>
        <v>0</v>
      </c>
      <c r="AO204" s="464">
        <f>SUMIFS(Income!$G:$G,Income!$H:$H, AO$2,Income!$F:$F, $AL$1, Income!$B:$B, IF($AM204&lt;&gt;"", TEXT($AM204, "MMMM"), ""), Income!$C:$C, YEAR($AM204))+SUMIFS($T:$T, $U:$U,AO$2,$Q:$Q,IF($AM204&lt;&gt;"", TEXT($AM204, "MMMM"), ""),$R:$R,YEAR($AM204))</f>
        <v>0</v>
      </c>
      <c r="AP204" s="464">
        <f>SUMIFS(Income!$G:$G,Income!$H:$H, AP$2,Income!$F:$F, $AL$1, Income!$B:$B, IF($AM204&lt;&gt;"", TEXT($AM204, "MMMM"), ""), Income!$C:$C, YEAR($AM204))+SUMIFS($T:$T, $U:$U,AP$2,$Q:$Q,IF($AM204&lt;&gt;"", TEXT($AM204, "MMMM"), ""),$R:$R,YEAR($AM204))</f>
        <v>0</v>
      </c>
      <c r="AQ204" s="464">
        <f>SUMIFS(Income!$G:$G,Income!$H:$H, AQ$2,Income!$F:$F, $AL$1, Income!$B:$B, IF($AM204&lt;&gt;"", TEXT($AM204, "MMMM"), ""), Income!$C:$C, YEAR($AM204))+SUMIFS($T:$T, $U:$U,AQ$2,$Q:$Q,IF($AM204&lt;&gt;"", TEXT($AM204, "MMMM"), ""),$R:$R,YEAR($AM204))</f>
        <v>0</v>
      </c>
      <c r="AR204" s="464">
        <f>SUMIFS(Income!$G:$G,Income!$H:$H, AR$2,Income!$F:$F, $AL$1, Income!$B:$B, IF($AM204&lt;&gt;"", TEXT($AM204, "MMMM"), ""), Income!$C:$C, YEAR($AM204))+SUMIFS($T:$T, $U:$U,AR$2,$Q:$Q,IF($AM204&lt;&gt;"", TEXT($AM204, "MMMM"), ""),$R:$R,YEAR($AM204))</f>
        <v>0</v>
      </c>
      <c r="AS204" s="467">
        <f>SUMIFS(Income!$G:$G,Income!$H:$H, AS$2,Income!$F:$F, $AL$1, Income!$B:$B, IF($AM204&lt;&gt;"", TEXT($AM204, "MMMM"), ""), Income!$C:$C, YEAR($AM204))+SUMIFS($T:$T, $U:$U,AS$2,$Q:$Q,IF($AM204&lt;&gt;"", TEXT($AM204, "MMMM"), ""),$R:$R,YEAR($AM204))</f>
        <v>0</v>
      </c>
      <c r="AT204" s="428"/>
      <c r="AU204" s="463">
        <v>49949.0</v>
      </c>
      <c r="AV204" s="469">
        <f>SUMIFS(Income!$G:$G,Income!$H:$H, AV$2,Income!$F:$F, $AT$1, Income!$B:$B, IF($AU204&lt;&gt;"", TEXT($AU204, "MMMM"), ""), Income!$C:$C, YEAR($AU204))</f>
        <v>0</v>
      </c>
      <c r="AW204" s="469">
        <f>SUMIFS(Income!$G:$G,Income!$H:$H, AW$2,Income!$F:$F, $AT$1, Income!$B:$B, IF($AU204&lt;&gt;"", TEXT($AU204, "MMMM"), ""), Income!$C:$C, YEAR($AU204))</f>
        <v>0</v>
      </c>
      <c r="AX204" s="469">
        <f>SUMIFS(Income!$G:$G,Income!$H:$H, AX$2,Income!$F:$F, $AT$1, Income!$B:$B, IF($AU204&lt;&gt;"", TEXT($AU204, "MMMM"), ""), Income!$C:$C, YEAR($AU204))</f>
        <v>0</v>
      </c>
      <c r="AY204" s="469">
        <f>SUMIFS(Income!$G:$G,Income!$H:$H, AY$2,Income!$F:$F, $AT$1, Income!$B:$B, IF($AU204&lt;&gt;"", TEXT($AU204, "MMMM"), ""), Income!$C:$C, YEAR($AU204))</f>
        <v>0</v>
      </c>
      <c r="AZ204" s="464">
        <f>SUMIFS(Income!$G:$G,Income!$H:$H, AZ$2,Income!$F:$F, $AT$1, Income!$B:$B, IF($AU204&lt;&gt;"", TEXT($AU204, "MMMM"), ""), Income!$C:$C, YEAR($AU204))</f>
        <v>0</v>
      </c>
      <c r="BA204" s="471">
        <f>SUMIFS(Income!$G:$G,Income!$H:$H, BA$2,Income!$F:$F, $AT$1, Income!$B:$B, IF($AU204&lt;&gt;"", TEXT($AU204, "MMMM"), ""), Income!$C:$C, YEAR($AU204))</f>
        <v>0</v>
      </c>
      <c r="BB204" s="345"/>
      <c r="BC204" s="345"/>
      <c r="BD204" s="345"/>
      <c r="BE204" s="345"/>
    </row>
    <row r="205" ht="13.5" customHeight="1">
      <c r="A205" s="436">
        <f>'Membership Application List'!A434</f>
        <v>45670.50704</v>
      </c>
      <c r="B205" s="437" t="str">
        <f t="shared" si="6"/>
        <v>January</v>
      </c>
      <c r="C205" s="437">
        <f t="shared" si="7"/>
        <v>2025</v>
      </c>
      <c r="D205" s="438" t="str">
        <f>'Membership Application List'!E434</f>
        <v>Alysa Potter</v>
      </c>
      <c r="E205" s="438">
        <f>IF('Membership Application List'!J434 = "Food/Litter Donation", 0, IF('Membership Application List'!J434 = "$15 Donation, Discord Verification", IF('Membership Application List'!N434 = TRUE, 15, 0)))</f>
        <v>15</v>
      </c>
      <c r="F205" s="438">
        <f>if('Membership Application List'!K434=TRUE, 5,0)</f>
        <v>0</v>
      </c>
      <c r="G205" s="438">
        <f t="shared" si="8"/>
        <v>15</v>
      </c>
      <c r="H205" s="439" t="str">
        <f>'Membership Application List'!L434</f>
        <v>Paypal</v>
      </c>
      <c r="I205" s="428"/>
      <c r="J205" s="463">
        <v>49980.0</v>
      </c>
      <c r="K205" s="464">
        <f t="shared" ref="K205:O205" si="163">SUMIFS($G:$G, $H:$H, K$2, $B:$B, IF($J205&lt;&gt;"", TEXT($J205, "MMMM"), ""), $C:$C, YEAR($J205))</f>
        <v>0</v>
      </c>
      <c r="L205" s="464">
        <f t="shared" si="163"/>
        <v>0</v>
      </c>
      <c r="M205" s="464">
        <f t="shared" si="163"/>
        <v>0</v>
      </c>
      <c r="N205" s="464">
        <f t="shared" si="163"/>
        <v>0</v>
      </c>
      <c r="O205" s="465">
        <f t="shared" si="163"/>
        <v>0</v>
      </c>
      <c r="P205" s="414"/>
      <c r="Q205" s="414"/>
      <c r="R205" s="414"/>
      <c r="S205" s="445"/>
      <c r="T205" s="445"/>
      <c r="U205" s="445"/>
      <c r="V205" s="428"/>
      <c r="W205" s="463">
        <v>49980.0</v>
      </c>
      <c r="X205" s="469">
        <f>SUMIFS(Income!$G:$G,Income!$H:$H, X$2,Income!$F:$F, $V$1, Income!$B:$B, IF($W205&lt;&gt;"", TEXT($W205, "MMMM"), ""), Income!$C:$C, YEAR($W205))</f>
        <v>0</v>
      </c>
      <c r="Y205" s="469">
        <f>SUMIFS(Income!$G:$G,Income!$H:$H, Y$2,Income!$F:$F, $V$1, Income!$B:$B, IF($W205&lt;&gt;"", TEXT($W205, "MMMM"), ""), Income!$C:$C, YEAR($W205))</f>
        <v>0</v>
      </c>
      <c r="Z205" s="469">
        <f>SUMIFS(Income!$G:$G,Income!$H:$H, Z$2,Income!$F:$F, $V$1, Income!$B:$B, IF($W205&lt;&gt;"", TEXT($W205, "MMMM"), ""), Income!$C:$C, YEAR($W205))</f>
        <v>0</v>
      </c>
      <c r="AA205" s="469">
        <f>SUMIFS(Income!$G:$G,Income!$H:$H, AA$2,Income!$F:$F, $V$1, Income!$B:$B, IF($W205&lt;&gt;"", TEXT($W205, "MMMM"), ""), Income!$C:$C, YEAR($W205))</f>
        <v>0</v>
      </c>
      <c r="AB205" s="464">
        <f>SUMIFS(Income!$G:$G,Income!$H:$H, AB$2,Income!$F:$F, $V$1, Income!$B:$B, IF($W205&lt;&gt;"", TEXT($W205, "MMMM"), ""), Income!$C:$C, YEAR($W205))</f>
        <v>0</v>
      </c>
      <c r="AC205" s="470">
        <f>SUMIFS(Income!$G:$G,Income!$H:$H, AC$2,Income!$F:$F, $V$1, Income!$B:$B, IF($W205&lt;&gt;"", TEXT($W205, "MMMM"), ""), Income!$C:$C, YEAR($W205))</f>
        <v>0</v>
      </c>
      <c r="AD205" s="428"/>
      <c r="AE205" s="463">
        <v>49980.0</v>
      </c>
      <c r="AF205" s="469">
        <f>SUMIFS(Income!$G:$G,Income!$H:$H, AF$2,Income!$F:$F, $AD$1, Income!$B:$B, IF($AE205&lt;&gt;"", TEXT($AE205, "MMMM"), ""), Income!$C:$C, YEAR($AE205))</f>
        <v>0</v>
      </c>
      <c r="AG205" s="469">
        <f>SUMIFS(Income!$G:$G,Income!$H:$H, AG$2,Income!$F:$F, $AD$1, Income!$B:$B, IF($AE205&lt;&gt;"", TEXT($AE205, "MMMM"), ""), Income!$C:$C, YEAR($AE205))</f>
        <v>0</v>
      </c>
      <c r="AH205" s="469">
        <f>SUMIFS(Income!$G:$G,Income!$H:$H, AH$2,Income!$F:$F, $AD$1, Income!$B:$B, IF($AE205&lt;&gt;"", TEXT($AE205, "MMMM"), ""), Income!$C:$C, YEAR($AE205))</f>
        <v>0</v>
      </c>
      <c r="AI205" s="469">
        <f>SUMIFS(Income!$G:$G,Income!$H:$H, AI$2,Income!$F:$F, $AD$1, Income!$B:$B, IF($AE205&lt;&gt;"", TEXT($AE205, "MMMM"), ""), Income!$C:$C, YEAR($AE205))</f>
        <v>0</v>
      </c>
      <c r="AJ205" s="464">
        <f>SUMIFS(Income!$G:$G,Income!$H:$H, AJ$2,Income!$F:$F, $AD$1, Income!$B:$B, IF($AE205&lt;&gt;"", TEXT($AE205, "MMMM"), ""), Income!$C:$C, YEAR($AE205))</f>
        <v>0</v>
      </c>
      <c r="AK205" s="470">
        <f>SUMIFS(Income!$G:$G,Income!$H:$H, AK$2,Income!$F:$F, $AD$1, Income!$B:$B, IF($AE205&lt;&gt;"", TEXT($AE205, "MMMM"), ""), Income!$C:$C, YEAR($AE205))</f>
        <v>0</v>
      </c>
      <c r="AL205" s="428"/>
      <c r="AM205" s="463">
        <v>49980.0</v>
      </c>
      <c r="AN205" s="464">
        <f>SUMIFS(Income!$G:$G,Income!$H:$H, AN$2,Income!$F:$F, $AL$1, Income!$B:$B, IF($AM205&lt;&gt;"", TEXT($AM205, "MMMM"), ""), Income!$C:$C, YEAR($AM205))+SUMIFS($T:$T, $U:$U,AN$2,$Q:$Q,IF($AM205&lt;&gt;"", TEXT($AM205, "MMMM"), ""),$R:$R,YEAR($AM205))</f>
        <v>0</v>
      </c>
      <c r="AO205" s="464">
        <f>SUMIFS(Income!$G:$G,Income!$H:$H, AO$2,Income!$F:$F, $AL$1, Income!$B:$B, IF($AM205&lt;&gt;"", TEXT($AM205, "MMMM"), ""), Income!$C:$C, YEAR($AM205))+SUMIFS($T:$T, $U:$U,AO$2,$Q:$Q,IF($AM205&lt;&gt;"", TEXT($AM205, "MMMM"), ""),$R:$R,YEAR($AM205))</f>
        <v>0</v>
      </c>
      <c r="AP205" s="464">
        <f>SUMIFS(Income!$G:$G,Income!$H:$H, AP$2,Income!$F:$F, $AL$1, Income!$B:$B, IF($AM205&lt;&gt;"", TEXT($AM205, "MMMM"), ""), Income!$C:$C, YEAR($AM205))+SUMIFS($T:$T, $U:$U,AP$2,$Q:$Q,IF($AM205&lt;&gt;"", TEXT($AM205, "MMMM"), ""),$R:$R,YEAR($AM205))</f>
        <v>0</v>
      </c>
      <c r="AQ205" s="464">
        <f>SUMIFS(Income!$G:$G,Income!$H:$H, AQ$2,Income!$F:$F, $AL$1, Income!$B:$B, IF($AM205&lt;&gt;"", TEXT($AM205, "MMMM"), ""), Income!$C:$C, YEAR($AM205))+SUMIFS($T:$T, $U:$U,AQ$2,$Q:$Q,IF($AM205&lt;&gt;"", TEXT($AM205, "MMMM"), ""),$R:$R,YEAR($AM205))</f>
        <v>0</v>
      </c>
      <c r="AR205" s="464">
        <f>SUMIFS(Income!$G:$G,Income!$H:$H, AR$2,Income!$F:$F, $AL$1, Income!$B:$B, IF($AM205&lt;&gt;"", TEXT($AM205, "MMMM"), ""), Income!$C:$C, YEAR($AM205))+SUMIFS($T:$T, $U:$U,AR$2,$Q:$Q,IF($AM205&lt;&gt;"", TEXT($AM205, "MMMM"), ""),$R:$R,YEAR($AM205))</f>
        <v>0</v>
      </c>
      <c r="AS205" s="467">
        <f>SUMIFS(Income!$G:$G,Income!$H:$H, AS$2,Income!$F:$F, $AL$1, Income!$B:$B, IF($AM205&lt;&gt;"", TEXT($AM205, "MMMM"), ""), Income!$C:$C, YEAR($AM205))+SUMIFS($T:$T, $U:$U,AS$2,$Q:$Q,IF($AM205&lt;&gt;"", TEXT($AM205, "MMMM"), ""),$R:$R,YEAR($AM205))</f>
        <v>0</v>
      </c>
      <c r="AT205" s="428"/>
      <c r="AU205" s="463">
        <v>49980.0</v>
      </c>
      <c r="AV205" s="469">
        <f>SUMIFS(Income!$G:$G,Income!$H:$H, AV$2,Income!$F:$F, $AT$1, Income!$B:$B, IF($AU205&lt;&gt;"", TEXT($AU205, "MMMM"), ""), Income!$C:$C, YEAR($AU205))</f>
        <v>0</v>
      </c>
      <c r="AW205" s="469">
        <f>SUMIFS(Income!$G:$G,Income!$H:$H, AW$2,Income!$F:$F, $AT$1, Income!$B:$B, IF($AU205&lt;&gt;"", TEXT($AU205, "MMMM"), ""), Income!$C:$C, YEAR($AU205))</f>
        <v>0</v>
      </c>
      <c r="AX205" s="469">
        <f>SUMIFS(Income!$G:$G,Income!$H:$H, AX$2,Income!$F:$F, $AT$1, Income!$B:$B, IF($AU205&lt;&gt;"", TEXT($AU205, "MMMM"), ""), Income!$C:$C, YEAR($AU205))</f>
        <v>0</v>
      </c>
      <c r="AY205" s="469">
        <f>SUMIFS(Income!$G:$G,Income!$H:$H, AY$2,Income!$F:$F, $AT$1, Income!$B:$B, IF($AU205&lt;&gt;"", TEXT($AU205, "MMMM"), ""), Income!$C:$C, YEAR($AU205))</f>
        <v>0</v>
      </c>
      <c r="AZ205" s="464">
        <f>SUMIFS(Income!$G:$G,Income!$H:$H, AZ$2,Income!$F:$F, $AT$1, Income!$B:$B, IF($AU205&lt;&gt;"", TEXT($AU205, "MMMM"), ""), Income!$C:$C, YEAR($AU205))</f>
        <v>0</v>
      </c>
      <c r="BA205" s="471">
        <f>SUMIFS(Income!$G:$G,Income!$H:$H, BA$2,Income!$F:$F, $AT$1, Income!$B:$B, IF($AU205&lt;&gt;"", TEXT($AU205, "MMMM"), ""), Income!$C:$C, YEAR($AU205))</f>
        <v>0</v>
      </c>
      <c r="BB205" s="345"/>
      <c r="BC205" s="345"/>
      <c r="BD205" s="345"/>
      <c r="BE205" s="345"/>
    </row>
    <row r="206" ht="13.5" customHeight="1">
      <c r="A206" s="424">
        <f>'Membership Application List'!A435</f>
        <v>45670.55655</v>
      </c>
      <c r="B206" s="443" t="str">
        <f t="shared" si="6"/>
        <v>January</v>
      </c>
      <c r="C206" s="443">
        <f t="shared" si="7"/>
        <v>2025</v>
      </c>
      <c r="D206" s="426" t="str">
        <f>'Membership Application List'!E435</f>
        <v>Gunjan Shrestha</v>
      </c>
      <c r="E206" s="426">
        <f>IF('Membership Application List'!J435 = "Food/Litter Donation", 0, IF('Membership Application List'!J435 = "$15 Donation, Discord Verification", IF('Membership Application List'!N435 = TRUE, 15, 0)))</f>
        <v>15</v>
      </c>
      <c r="F206" s="426">
        <f>if('Membership Application List'!K435=TRUE, 5,0)</f>
        <v>0</v>
      </c>
      <c r="G206" s="426">
        <f t="shared" si="8"/>
        <v>15</v>
      </c>
      <c r="H206" s="427" t="str">
        <f>'Membership Application List'!L435</f>
        <v>Paypal</v>
      </c>
      <c r="I206" s="428"/>
      <c r="J206" s="463">
        <v>50010.0</v>
      </c>
      <c r="K206" s="464">
        <f t="shared" ref="K206:O206" si="164">SUMIFS($G:$G, $H:$H, K$2, $B:$B, IF($J206&lt;&gt;"", TEXT($J206, "MMMM"), ""), $C:$C, YEAR($J206))</f>
        <v>0</v>
      </c>
      <c r="L206" s="464">
        <f t="shared" si="164"/>
        <v>0</v>
      </c>
      <c r="M206" s="464">
        <f t="shared" si="164"/>
        <v>0</v>
      </c>
      <c r="N206" s="464">
        <f t="shared" si="164"/>
        <v>0</v>
      </c>
      <c r="O206" s="465">
        <f t="shared" si="164"/>
        <v>0</v>
      </c>
      <c r="P206" s="414"/>
      <c r="Q206" s="414"/>
      <c r="R206" s="414"/>
      <c r="S206" s="445"/>
      <c r="T206" s="445"/>
      <c r="U206" s="445"/>
      <c r="V206" s="428"/>
      <c r="W206" s="463">
        <v>50010.0</v>
      </c>
      <c r="X206" s="469">
        <f>SUMIFS(Income!$G:$G,Income!$H:$H, X$2,Income!$F:$F, $V$1, Income!$B:$B, IF($W206&lt;&gt;"", TEXT($W206, "MMMM"), ""), Income!$C:$C, YEAR($W206))</f>
        <v>0</v>
      </c>
      <c r="Y206" s="469">
        <f>SUMIFS(Income!$G:$G,Income!$H:$H, Y$2,Income!$F:$F, $V$1, Income!$B:$B, IF($W206&lt;&gt;"", TEXT($W206, "MMMM"), ""), Income!$C:$C, YEAR($W206))</f>
        <v>0</v>
      </c>
      <c r="Z206" s="469">
        <f>SUMIFS(Income!$G:$G,Income!$H:$H, Z$2,Income!$F:$F, $V$1, Income!$B:$B, IF($W206&lt;&gt;"", TEXT($W206, "MMMM"), ""), Income!$C:$C, YEAR($W206))</f>
        <v>0</v>
      </c>
      <c r="AA206" s="469">
        <f>SUMIFS(Income!$G:$G,Income!$H:$H, AA$2,Income!$F:$F, $V$1, Income!$B:$B, IF($W206&lt;&gt;"", TEXT($W206, "MMMM"), ""), Income!$C:$C, YEAR($W206))</f>
        <v>0</v>
      </c>
      <c r="AB206" s="464">
        <f>SUMIFS(Income!$G:$G,Income!$H:$H, AB$2,Income!$F:$F, $V$1, Income!$B:$B, IF($W206&lt;&gt;"", TEXT($W206, "MMMM"), ""), Income!$C:$C, YEAR($W206))</f>
        <v>0</v>
      </c>
      <c r="AC206" s="470">
        <f>SUMIFS(Income!$G:$G,Income!$H:$H, AC$2,Income!$F:$F, $V$1, Income!$B:$B, IF($W206&lt;&gt;"", TEXT($W206, "MMMM"), ""), Income!$C:$C, YEAR($W206))</f>
        <v>0</v>
      </c>
      <c r="AD206" s="428"/>
      <c r="AE206" s="463">
        <v>50010.0</v>
      </c>
      <c r="AF206" s="469">
        <f>SUMIFS(Income!$G:$G,Income!$H:$H, AF$2,Income!$F:$F, $AD$1, Income!$B:$B, IF($AE206&lt;&gt;"", TEXT($AE206, "MMMM"), ""), Income!$C:$C, YEAR($AE206))</f>
        <v>0</v>
      </c>
      <c r="AG206" s="469">
        <f>SUMIFS(Income!$G:$G,Income!$H:$H, AG$2,Income!$F:$F, $AD$1, Income!$B:$B, IF($AE206&lt;&gt;"", TEXT($AE206, "MMMM"), ""), Income!$C:$C, YEAR($AE206))</f>
        <v>0</v>
      </c>
      <c r="AH206" s="469">
        <f>SUMIFS(Income!$G:$G,Income!$H:$H, AH$2,Income!$F:$F, $AD$1, Income!$B:$B, IF($AE206&lt;&gt;"", TEXT($AE206, "MMMM"), ""), Income!$C:$C, YEAR($AE206))</f>
        <v>0</v>
      </c>
      <c r="AI206" s="469">
        <f>SUMIFS(Income!$G:$G,Income!$H:$H, AI$2,Income!$F:$F, $AD$1, Income!$B:$B, IF($AE206&lt;&gt;"", TEXT($AE206, "MMMM"), ""), Income!$C:$C, YEAR($AE206))</f>
        <v>0</v>
      </c>
      <c r="AJ206" s="464">
        <f>SUMIFS(Income!$G:$G,Income!$H:$H, AJ$2,Income!$F:$F, $AD$1, Income!$B:$B, IF($AE206&lt;&gt;"", TEXT($AE206, "MMMM"), ""), Income!$C:$C, YEAR($AE206))</f>
        <v>0</v>
      </c>
      <c r="AK206" s="470">
        <f>SUMIFS(Income!$G:$G,Income!$H:$H, AK$2,Income!$F:$F, $AD$1, Income!$B:$B, IF($AE206&lt;&gt;"", TEXT($AE206, "MMMM"), ""), Income!$C:$C, YEAR($AE206))</f>
        <v>0</v>
      </c>
      <c r="AL206" s="428"/>
      <c r="AM206" s="463">
        <v>50010.0</v>
      </c>
      <c r="AN206" s="464">
        <f>SUMIFS(Income!$G:$G,Income!$H:$H, AN$2,Income!$F:$F, $AL$1, Income!$B:$B, IF($AM206&lt;&gt;"", TEXT($AM206, "MMMM"), ""), Income!$C:$C, YEAR($AM206))+SUMIFS($T:$T, $U:$U,AN$2,$Q:$Q,IF($AM206&lt;&gt;"", TEXT($AM206, "MMMM"), ""),$R:$R,YEAR($AM206))</f>
        <v>0</v>
      </c>
      <c r="AO206" s="464">
        <f>SUMIFS(Income!$G:$G,Income!$H:$H, AO$2,Income!$F:$F, $AL$1, Income!$B:$B, IF($AM206&lt;&gt;"", TEXT($AM206, "MMMM"), ""), Income!$C:$C, YEAR($AM206))+SUMIFS($T:$T, $U:$U,AO$2,$Q:$Q,IF($AM206&lt;&gt;"", TEXT($AM206, "MMMM"), ""),$R:$R,YEAR($AM206))</f>
        <v>0</v>
      </c>
      <c r="AP206" s="464">
        <f>SUMIFS(Income!$G:$G,Income!$H:$H, AP$2,Income!$F:$F, $AL$1, Income!$B:$B, IF($AM206&lt;&gt;"", TEXT($AM206, "MMMM"), ""), Income!$C:$C, YEAR($AM206))+SUMIFS($T:$T, $U:$U,AP$2,$Q:$Q,IF($AM206&lt;&gt;"", TEXT($AM206, "MMMM"), ""),$R:$R,YEAR($AM206))</f>
        <v>0</v>
      </c>
      <c r="AQ206" s="464">
        <f>SUMIFS(Income!$G:$G,Income!$H:$H, AQ$2,Income!$F:$F, $AL$1, Income!$B:$B, IF($AM206&lt;&gt;"", TEXT($AM206, "MMMM"), ""), Income!$C:$C, YEAR($AM206))+SUMIFS($T:$T, $U:$U,AQ$2,$Q:$Q,IF($AM206&lt;&gt;"", TEXT($AM206, "MMMM"), ""),$R:$R,YEAR($AM206))</f>
        <v>0</v>
      </c>
      <c r="AR206" s="464">
        <f>SUMIFS(Income!$G:$G,Income!$H:$H, AR$2,Income!$F:$F, $AL$1, Income!$B:$B, IF($AM206&lt;&gt;"", TEXT($AM206, "MMMM"), ""), Income!$C:$C, YEAR($AM206))+SUMIFS($T:$T, $U:$U,AR$2,$Q:$Q,IF($AM206&lt;&gt;"", TEXT($AM206, "MMMM"), ""),$R:$R,YEAR($AM206))</f>
        <v>0</v>
      </c>
      <c r="AS206" s="467">
        <f>SUMIFS(Income!$G:$G,Income!$H:$H, AS$2,Income!$F:$F, $AL$1, Income!$B:$B, IF($AM206&lt;&gt;"", TEXT($AM206, "MMMM"), ""), Income!$C:$C, YEAR($AM206))+SUMIFS($T:$T, $U:$U,AS$2,$Q:$Q,IF($AM206&lt;&gt;"", TEXT($AM206, "MMMM"), ""),$R:$R,YEAR($AM206))</f>
        <v>0</v>
      </c>
      <c r="AT206" s="428"/>
      <c r="AU206" s="463">
        <v>50010.0</v>
      </c>
      <c r="AV206" s="469">
        <f>SUMIFS(Income!$G:$G,Income!$H:$H, AV$2,Income!$F:$F, $AT$1, Income!$B:$B, IF($AU206&lt;&gt;"", TEXT($AU206, "MMMM"), ""), Income!$C:$C, YEAR($AU206))</f>
        <v>0</v>
      </c>
      <c r="AW206" s="469">
        <f>SUMIFS(Income!$G:$G,Income!$H:$H, AW$2,Income!$F:$F, $AT$1, Income!$B:$B, IF($AU206&lt;&gt;"", TEXT($AU206, "MMMM"), ""), Income!$C:$C, YEAR($AU206))</f>
        <v>0</v>
      </c>
      <c r="AX206" s="469">
        <f>SUMIFS(Income!$G:$G,Income!$H:$H, AX$2,Income!$F:$F, $AT$1, Income!$B:$B, IF($AU206&lt;&gt;"", TEXT($AU206, "MMMM"), ""), Income!$C:$C, YEAR($AU206))</f>
        <v>0</v>
      </c>
      <c r="AY206" s="469">
        <f>SUMIFS(Income!$G:$G,Income!$H:$H, AY$2,Income!$F:$F, $AT$1, Income!$B:$B, IF($AU206&lt;&gt;"", TEXT($AU206, "MMMM"), ""), Income!$C:$C, YEAR($AU206))</f>
        <v>0</v>
      </c>
      <c r="AZ206" s="464">
        <f>SUMIFS(Income!$G:$G,Income!$H:$H, AZ$2,Income!$F:$F, $AT$1, Income!$B:$B, IF($AU206&lt;&gt;"", TEXT($AU206, "MMMM"), ""), Income!$C:$C, YEAR($AU206))</f>
        <v>0</v>
      </c>
      <c r="BA206" s="471">
        <f>SUMIFS(Income!$G:$G,Income!$H:$H, BA$2,Income!$F:$F, $AT$1, Income!$B:$B, IF($AU206&lt;&gt;"", TEXT($AU206, "MMMM"), ""), Income!$C:$C, YEAR($AU206))</f>
        <v>0</v>
      </c>
      <c r="BB206" s="345"/>
      <c r="BC206" s="345"/>
      <c r="BD206" s="345"/>
      <c r="BE206" s="345"/>
    </row>
    <row r="207" ht="13.5" customHeight="1">
      <c r="A207" s="436">
        <f>'Membership Application List'!A436</f>
        <v>45671.63746</v>
      </c>
      <c r="B207" s="437" t="str">
        <f t="shared" si="6"/>
        <v>January</v>
      </c>
      <c r="C207" s="437">
        <f t="shared" si="7"/>
        <v>2025</v>
      </c>
      <c r="D207" s="438" t="str">
        <f>'Membership Application List'!E436</f>
        <v>Jane Wang</v>
      </c>
      <c r="E207" s="438">
        <f>IF('Membership Application List'!J436 = "Food/Litter Donation", 0, IF('Membership Application List'!J436 = "$15 Donation, Discord Verification", IF('Membership Application List'!N436 = TRUE, 15, 0)))</f>
        <v>15</v>
      </c>
      <c r="F207" s="438">
        <f>if('Membership Application List'!K436=TRUE, 5,0)</f>
        <v>0</v>
      </c>
      <c r="G207" s="438">
        <f t="shared" si="8"/>
        <v>15</v>
      </c>
      <c r="H207" s="439" t="str">
        <f>'Membership Application List'!L436</f>
        <v>Venmo</v>
      </c>
      <c r="I207" s="407" t="s">
        <v>802</v>
      </c>
      <c r="J207" s="463">
        <v>50041.0</v>
      </c>
      <c r="K207" s="464">
        <f t="shared" ref="K207:O207" si="165">SUMIFS($G:$G, $H:$H, K$2, $B:$B, IF($J207&lt;&gt;"", TEXT($J207, "MMMM"), ""), $C:$C, YEAR($J207))</f>
        <v>0</v>
      </c>
      <c r="L207" s="464">
        <f t="shared" si="165"/>
        <v>0</v>
      </c>
      <c r="M207" s="464">
        <f t="shared" si="165"/>
        <v>0</v>
      </c>
      <c r="N207" s="464">
        <f t="shared" si="165"/>
        <v>0</v>
      </c>
      <c r="O207" s="465">
        <f t="shared" si="165"/>
        <v>0</v>
      </c>
      <c r="P207" s="414"/>
      <c r="Q207" s="414"/>
      <c r="R207" s="414"/>
      <c r="S207" s="445"/>
      <c r="T207" s="445"/>
      <c r="U207" s="445"/>
      <c r="V207" s="407" t="s">
        <v>802</v>
      </c>
      <c r="W207" s="463">
        <v>50041.0</v>
      </c>
      <c r="X207" s="469">
        <f>SUMIFS(Income!$G:$G,Income!$H:$H, X$2,Income!$F:$F, $V$1, Income!$B:$B, IF($W207&lt;&gt;"", TEXT($W207, "MMMM"), ""), Income!$C:$C, YEAR($W207))</f>
        <v>0</v>
      </c>
      <c r="Y207" s="469">
        <f>SUMIFS(Income!$G:$G,Income!$H:$H, Y$2,Income!$F:$F, $V$1, Income!$B:$B, IF($W207&lt;&gt;"", TEXT($W207, "MMMM"), ""), Income!$C:$C, YEAR($W207))</f>
        <v>0</v>
      </c>
      <c r="Z207" s="469">
        <f>SUMIFS(Income!$G:$G,Income!$H:$H, Z$2,Income!$F:$F, $V$1, Income!$B:$B, IF($W207&lt;&gt;"", TEXT($W207, "MMMM"), ""), Income!$C:$C, YEAR($W207))</f>
        <v>0</v>
      </c>
      <c r="AA207" s="469">
        <f>SUMIFS(Income!$G:$G,Income!$H:$H, AA$2,Income!$F:$F, $V$1, Income!$B:$B, IF($W207&lt;&gt;"", TEXT($W207, "MMMM"), ""), Income!$C:$C, YEAR($W207))</f>
        <v>0</v>
      </c>
      <c r="AB207" s="464">
        <f>SUMIFS(Income!$G:$G,Income!$H:$H, AB$2,Income!$F:$F, $V$1, Income!$B:$B, IF($W207&lt;&gt;"", TEXT($W207, "MMMM"), ""), Income!$C:$C, YEAR($W207))</f>
        <v>0</v>
      </c>
      <c r="AC207" s="470">
        <f>SUMIFS(Income!$G:$G,Income!$H:$H, AC$2,Income!$F:$F, $V$1, Income!$B:$B, IF($W207&lt;&gt;"", TEXT($W207, "MMMM"), ""), Income!$C:$C, YEAR($W207))</f>
        <v>0</v>
      </c>
      <c r="AD207" s="407" t="s">
        <v>802</v>
      </c>
      <c r="AE207" s="463">
        <v>50041.0</v>
      </c>
      <c r="AF207" s="469">
        <f>SUMIFS(Income!$G:$G,Income!$H:$H, AF$2,Income!$F:$F, $AD$1, Income!$B:$B, IF($AE207&lt;&gt;"", TEXT($AE207, "MMMM"), ""), Income!$C:$C, YEAR($AE207))</f>
        <v>0</v>
      </c>
      <c r="AG207" s="469">
        <f>SUMIFS(Income!$G:$G,Income!$H:$H, AG$2,Income!$F:$F, $AD$1, Income!$B:$B, IF($AE207&lt;&gt;"", TEXT($AE207, "MMMM"), ""), Income!$C:$C, YEAR($AE207))</f>
        <v>0</v>
      </c>
      <c r="AH207" s="469">
        <f>SUMIFS(Income!$G:$G,Income!$H:$H, AH$2,Income!$F:$F, $AD$1, Income!$B:$B, IF($AE207&lt;&gt;"", TEXT($AE207, "MMMM"), ""), Income!$C:$C, YEAR($AE207))</f>
        <v>0</v>
      </c>
      <c r="AI207" s="469">
        <f>SUMIFS(Income!$G:$G,Income!$H:$H, AI$2,Income!$F:$F, $AD$1, Income!$B:$B, IF($AE207&lt;&gt;"", TEXT($AE207, "MMMM"), ""), Income!$C:$C, YEAR($AE207))</f>
        <v>0</v>
      </c>
      <c r="AJ207" s="464">
        <f>SUMIFS(Income!$G:$G,Income!$H:$H, AJ$2,Income!$F:$F, $AD$1, Income!$B:$B, IF($AE207&lt;&gt;"", TEXT($AE207, "MMMM"), ""), Income!$C:$C, YEAR($AE207))</f>
        <v>0</v>
      </c>
      <c r="AK207" s="470">
        <f>SUMIFS(Income!$G:$G,Income!$H:$H, AK$2,Income!$F:$F, $AD$1, Income!$B:$B, IF($AE207&lt;&gt;"", TEXT($AE207, "MMMM"), ""), Income!$C:$C, YEAR($AE207))</f>
        <v>0</v>
      </c>
      <c r="AL207" s="407" t="s">
        <v>802</v>
      </c>
      <c r="AM207" s="463">
        <v>50041.0</v>
      </c>
      <c r="AN207" s="464">
        <f>SUMIFS(Income!$G:$G,Income!$H:$H, AN$2,Income!$F:$F, $AL$1, Income!$B:$B, IF($AM207&lt;&gt;"", TEXT($AM207, "MMMM"), ""), Income!$C:$C, YEAR($AM207))+SUMIFS($T:$T, $U:$U,AN$2,$Q:$Q,IF($AM207&lt;&gt;"", TEXT($AM207, "MMMM"), ""),$R:$R,YEAR($AM207))</f>
        <v>0</v>
      </c>
      <c r="AO207" s="464">
        <f>SUMIFS(Income!$G:$G,Income!$H:$H, AO$2,Income!$F:$F, $AL$1, Income!$B:$B, IF($AM207&lt;&gt;"", TEXT($AM207, "MMMM"), ""), Income!$C:$C, YEAR($AM207))+SUMIFS($T:$T, $U:$U,AO$2,$Q:$Q,IF($AM207&lt;&gt;"", TEXT($AM207, "MMMM"), ""),$R:$R,YEAR($AM207))</f>
        <v>0</v>
      </c>
      <c r="AP207" s="464">
        <f>SUMIFS(Income!$G:$G,Income!$H:$H, AP$2,Income!$F:$F, $AL$1, Income!$B:$B, IF($AM207&lt;&gt;"", TEXT($AM207, "MMMM"), ""), Income!$C:$C, YEAR($AM207))+SUMIFS($T:$T, $U:$U,AP$2,$Q:$Q,IF($AM207&lt;&gt;"", TEXT($AM207, "MMMM"), ""),$R:$R,YEAR($AM207))</f>
        <v>0</v>
      </c>
      <c r="AQ207" s="464">
        <f>SUMIFS(Income!$G:$G,Income!$H:$H, AQ$2,Income!$F:$F, $AL$1, Income!$B:$B, IF($AM207&lt;&gt;"", TEXT($AM207, "MMMM"), ""), Income!$C:$C, YEAR($AM207))+SUMIFS($T:$T, $U:$U,AQ$2,$Q:$Q,IF($AM207&lt;&gt;"", TEXT($AM207, "MMMM"), ""),$R:$R,YEAR($AM207))</f>
        <v>0</v>
      </c>
      <c r="AR207" s="464">
        <f>SUMIFS(Income!$G:$G,Income!$H:$H, AR$2,Income!$F:$F, $AL$1, Income!$B:$B, IF($AM207&lt;&gt;"", TEXT($AM207, "MMMM"), ""), Income!$C:$C, YEAR($AM207))+SUMIFS($T:$T, $U:$U,AR$2,$Q:$Q,IF($AM207&lt;&gt;"", TEXT($AM207, "MMMM"), ""),$R:$R,YEAR($AM207))</f>
        <v>0</v>
      </c>
      <c r="AS207" s="467">
        <f>SUMIFS(Income!$G:$G,Income!$H:$H, AS$2,Income!$F:$F, $AL$1, Income!$B:$B, IF($AM207&lt;&gt;"", TEXT($AM207, "MMMM"), ""), Income!$C:$C, YEAR($AM207))+SUMIFS($T:$T, $U:$U,AS$2,$Q:$Q,IF($AM207&lt;&gt;"", TEXT($AM207, "MMMM"), ""),$R:$R,YEAR($AM207))</f>
        <v>0</v>
      </c>
      <c r="AT207" s="407" t="s">
        <v>802</v>
      </c>
      <c r="AU207" s="463">
        <v>50041.0</v>
      </c>
      <c r="AV207" s="469">
        <f>SUMIFS(Income!$G:$G,Income!$H:$H, AV$2,Income!$F:$F, $AT$1, Income!$B:$B, IF($AU207&lt;&gt;"", TEXT($AU207, "MMMM"), ""), Income!$C:$C, YEAR($AU207))</f>
        <v>0</v>
      </c>
      <c r="AW207" s="469">
        <f>SUMIFS(Income!$G:$G,Income!$H:$H, AW$2,Income!$F:$F, $AT$1, Income!$B:$B, IF($AU207&lt;&gt;"", TEXT($AU207, "MMMM"), ""), Income!$C:$C, YEAR($AU207))</f>
        <v>0</v>
      </c>
      <c r="AX207" s="469">
        <f>SUMIFS(Income!$G:$G,Income!$H:$H, AX$2,Income!$F:$F, $AT$1, Income!$B:$B, IF($AU207&lt;&gt;"", TEXT($AU207, "MMMM"), ""), Income!$C:$C, YEAR($AU207))</f>
        <v>0</v>
      </c>
      <c r="AY207" s="469">
        <f>SUMIFS(Income!$G:$G,Income!$H:$H, AY$2,Income!$F:$F, $AT$1, Income!$B:$B, IF($AU207&lt;&gt;"", TEXT($AU207, "MMMM"), ""), Income!$C:$C, YEAR($AU207))</f>
        <v>0</v>
      </c>
      <c r="AZ207" s="464">
        <f>SUMIFS(Income!$G:$G,Income!$H:$H, AZ$2,Income!$F:$F, $AT$1, Income!$B:$B, IF($AU207&lt;&gt;"", TEXT($AU207, "MMMM"), ""), Income!$C:$C, YEAR($AU207))</f>
        <v>0</v>
      </c>
      <c r="BA207" s="471">
        <f>SUMIFS(Income!$G:$G,Income!$H:$H, BA$2,Income!$F:$F, $AT$1, Income!$B:$B, IF($AU207&lt;&gt;"", TEXT($AU207, "MMMM"), ""), Income!$C:$C, YEAR($AU207))</f>
        <v>0</v>
      </c>
      <c r="BB207" s="345"/>
      <c r="BC207" s="345"/>
      <c r="BD207" s="345"/>
      <c r="BE207" s="345"/>
    </row>
    <row r="208" ht="13.5" customHeight="1">
      <c r="A208" s="424">
        <f>'Membership Application List'!A437</f>
        <v>45671.92648</v>
      </c>
      <c r="B208" s="443" t="str">
        <f t="shared" si="6"/>
        <v>January</v>
      </c>
      <c r="C208" s="443">
        <f t="shared" si="7"/>
        <v>2025</v>
      </c>
      <c r="D208" s="426" t="str">
        <f>'Membership Application List'!E437</f>
        <v>William Cleland</v>
      </c>
      <c r="E208" s="426">
        <f>IF('Membership Application List'!J437 = "Food/Litter Donation", 0, IF('Membership Application List'!J437 = "$15 Donation, Discord Verification", IF('Membership Application List'!N437 = TRUE, 15, 0)))</f>
        <v>15</v>
      </c>
      <c r="F208" s="426">
        <f>if('Membership Application List'!K437=TRUE, 5,0)</f>
        <v>0</v>
      </c>
      <c r="G208" s="426">
        <f t="shared" si="8"/>
        <v>15</v>
      </c>
      <c r="H208" s="427" t="str">
        <f>'Membership Application List'!L437</f>
        <v>Paypal</v>
      </c>
      <c r="I208" s="428"/>
      <c r="J208" s="463">
        <v>50072.0</v>
      </c>
      <c r="K208" s="464">
        <f t="shared" ref="K208:O208" si="166">SUMIFS($G:$G, $H:$H, K$2, $B:$B, IF($J208&lt;&gt;"", TEXT($J208, "MMMM"), ""), $C:$C, YEAR($J208))</f>
        <v>0</v>
      </c>
      <c r="L208" s="464">
        <f t="shared" si="166"/>
        <v>0</v>
      </c>
      <c r="M208" s="464">
        <f t="shared" si="166"/>
        <v>0</v>
      </c>
      <c r="N208" s="464">
        <f t="shared" si="166"/>
        <v>0</v>
      </c>
      <c r="O208" s="465">
        <f t="shared" si="166"/>
        <v>0</v>
      </c>
      <c r="P208" s="414"/>
      <c r="Q208" s="414"/>
      <c r="R208" s="414"/>
      <c r="S208" s="445"/>
      <c r="T208" s="445"/>
      <c r="U208" s="445"/>
      <c r="V208" s="428"/>
      <c r="W208" s="463">
        <v>50072.0</v>
      </c>
      <c r="X208" s="469">
        <f>SUMIFS(Income!$G:$G,Income!$H:$H, X$2,Income!$F:$F, $V$1, Income!$B:$B, IF($W208&lt;&gt;"", TEXT($W208, "MMMM"), ""), Income!$C:$C, YEAR($W208))</f>
        <v>0</v>
      </c>
      <c r="Y208" s="469">
        <f>SUMIFS(Income!$G:$G,Income!$H:$H, Y$2,Income!$F:$F, $V$1, Income!$B:$B, IF($W208&lt;&gt;"", TEXT($W208, "MMMM"), ""), Income!$C:$C, YEAR($W208))</f>
        <v>0</v>
      </c>
      <c r="Z208" s="469">
        <f>SUMIFS(Income!$G:$G,Income!$H:$H, Z$2,Income!$F:$F, $V$1, Income!$B:$B, IF($W208&lt;&gt;"", TEXT($W208, "MMMM"), ""), Income!$C:$C, YEAR($W208))</f>
        <v>0</v>
      </c>
      <c r="AA208" s="469">
        <f>SUMIFS(Income!$G:$G,Income!$H:$H, AA$2,Income!$F:$F, $V$1, Income!$B:$B, IF($W208&lt;&gt;"", TEXT($W208, "MMMM"), ""), Income!$C:$C, YEAR($W208))</f>
        <v>0</v>
      </c>
      <c r="AB208" s="464">
        <f>SUMIFS(Income!$G:$G,Income!$H:$H, AB$2,Income!$F:$F, $V$1, Income!$B:$B, IF($W208&lt;&gt;"", TEXT($W208, "MMMM"), ""), Income!$C:$C, YEAR($W208))</f>
        <v>0</v>
      </c>
      <c r="AC208" s="470">
        <f>SUMIFS(Income!$G:$G,Income!$H:$H, AC$2,Income!$F:$F, $V$1, Income!$B:$B, IF($W208&lt;&gt;"", TEXT($W208, "MMMM"), ""), Income!$C:$C, YEAR($W208))</f>
        <v>0</v>
      </c>
      <c r="AD208" s="428"/>
      <c r="AE208" s="463">
        <v>50072.0</v>
      </c>
      <c r="AF208" s="469">
        <f>SUMIFS(Income!$G:$G,Income!$H:$H, AF$2,Income!$F:$F, $AD$1, Income!$B:$B, IF($AE208&lt;&gt;"", TEXT($AE208, "MMMM"), ""), Income!$C:$C, YEAR($AE208))</f>
        <v>0</v>
      </c>
      <c r="AG208" s="469">
        <f>SUMIFS(Income!$G:$G,Income!$H:$H, AG$2,Income!$F:$F, $AD$1, Income!$B:$B, IF($AE208&lt;&gt;"", TEXT($AE208, "MMMM"), ""), Income!$C:$C, YEAR($AE208))</f>
        <v>0</v>
      </c>
      <c r="AH208" s="469">
        <f>SUMIFS(Income!$G:$G,Income!$H:$H, AH$2,Income!$F:$F, $AD$1, Income!$B:$B, IF($AE208&lt;&gt;"", TEXT($AE208, "MMMM"), ""), Income!$C:$C, YEAR($AE208))</f>
        <v>0</v>
      </c>
      <c r="AI208" s="469">
        <f>SUMIFS(Income!$G:$G,Income!$H:$H, AI$2,Income!$F:$F, $AD$1, Income!$B:$B, IF($AE208&lt;&gt;"", TEXT($AE208, "MMMM"), ""), Income!$C:$C, YEAR($AE208))</f>
        <v>0</v>
      </c>
      <c r="AJ208" s="464">
        <f>SUMIFS(Income!$G:$G,Income!$H:$H, AJ$2,Income!$F:$F, $AD$1, Income!$B:$B, IF($AE208&lt;&gt;"", TEXT($AE208, "MMMM"), ""), Income!$C:$C, YEAR($AE208))</f>
        <v>0</v>
      </c>
      <c r="AK208" s="470">
        <f>SUMIFS(Income!$G:$G,Income!$H:$H, AK$2,Income!$F:$F, $AD$1, Income!$B:$B, IF($AE208&lt;&gt;"", TEXT($AE208, "MMMM"), ""), Income!$C:$C, YEAR($AE208))</f>
        <v>0</v>
      </c>
      <c r="AL208" s="428"/>
      <c r="AM208" s="463">
        <v>50072.0</v>
      </c>
      <c r="AN208" s="464">
        <f>SUMIFS(Income!$G:$G,Income!$H:$H, AN$2,Income!$F:$F, $AL$1, Income!$B:$B, IF($AM208&lt;&gt;"", TEXT($AM208, "MMMM"), ""), Income!$C:$C, YEAR($AM208))+SUMIFS($T:$T, $U:$U,AN$2,$Q:$Q,IF($AM208&lt;&gt;"", TEXT($AM208, "MMMM"), ""),$R:$R,YEAR($AM208))</f>
        <v>0</v>
      </c>
      <c r="AO208" s="464">
        <f>SUMIFS(Income!$G:$G,Income!$H:$H, AO$2,Income!$F:$F, $AL$1, Income!$B:$B, IF($AM208&lt;&gt;"", TEXT($AM208, "MMMM"), ""), Income!$C:$C, YEAR($AM208))+SUMIFS($T:$T, $U:$U,AO$2,$Q:$Q,IF($AM208&lt;&gt;"", TEXT($AM208, "MMMM"), ""),$R:$R,YEAR($AM208))</f>
        <v>0</v>
      </c>
      <c r="AP208" s="464">
        <f>SUMIFS(Income!$G:$G,Income!$H:$H, AP$2,Income!$F:$F, $AL$1, Income!$B:$B, IF($AM208&lt;&gt;"", TEXT($AM208, "MMMM"), ""), Income!$C:$C, YEAR($AM208))+SUMIFS($T:$T, $U:$U,AP$2,$Q:$Q,IF($AM208&lt;&gt;"", TEXT($AM208, "MMMM"), ""),$R:$R,YEAR($AM208))</f>
        <v>0</v>
      </c>
      <c r="AQ208" s="464">
        <f>SUMIFS(Income!$G:$G,Income!$H:$H, AQ$2,Income!$F:$F, $AL$1, Income!$B:$B, IF($AM208&lt;&gt;"", TEXT($AM208, "MMMM"), ""), Income!$C:$C, YEAR($AM208))+SUMIFS($T:$T, $U:$U,AQ$2,$Q:$Q,IF($AM208&lt;&gt;"", TEXT($AM208, "MMMM"), ""),$R:$R,YEAR($AM208))</f>
        <v>0</v>
      </c>
      <c r="AR208" s="464">
        <f>SUMIFS(Income!$G:$G,Income!$H:$H, AR$2,Income!$F:$F, $AL$1, Income!$B:$B, IF($AM208&lt;&gt;"", TEXT($AM208, "MMMM"), ""), Income!$C:$C, YEAR($AM208))+SUMIFS($T:$T, $U:$U,AR$2,$Q:$Q,IF($AM208&lt;&gt;"", TEXT($AM208, "MMMM"), ""),$R:$R,YEAR($AM208))</f>
        <v>0</v>
      </c>
      <c r="AS208" s="467">
        <f>SUMIFS(Income!$G:$G,Income!$H:$H, AS$2,Income!$F:$F, $AL$1, Income!$B:$B, IF($AM208&lt;&gt;"", TEXT($AM208, "MMMM"), ""), Income!$C:$C, YEAR($AM208))+SUMIFS($T:$T, $U:$U,AS$2,$Q:$Q,IF($AM208&lt;&gt;"", TEXT($AM208, "MMMM"), ""),$R:$R,YEAR($AM208))</f>
        <v>0</v>
      </c>
      <c r="AT208" s="428"/>
      <c r="AU208" s="463">
        <v>50072.0</v>
      </c>
      <c r="AV208" s="469">
        <f>SUMIFS(Income!$G:$G,Income!$H:$H, AV$2,Income!$F:$F, $AT$1, Income!$B:$B, IF($AU208&lt;&gt;"", TEXT($AU208, "MMMM"), ""), Income!$C:$C, YEAR($AU208))</f>
        <v>0</v>
      </c>
      <c r="AW208" s="469">
        <f>SUMIFS(Income!$G:$G,Income!$H:$H, AW$2,Income!$F:$F, $AT$1, Income!$B:$B, IF($AU208&lt;&gt;"", TEXT($AU208, "MMMM"), ""), Income!$C:$C, YEAR($AU208))</f>
        <v>0</v>
      </c>
      <c r="AX208" s="469">
        <f>SUMIFS(Income!$G:$G,Income!$H:$H, AX$2,Income!$F:$F, $AT$1, Income!$B:$B, IF($AU208&lt;&gt;"", TEXT($AU208, "MMMM"), ""), Income!$C:$C, YEAR($AU208))</f>
        <v>0</v>
      </c>
      <c r="AY208" s="469">
        <f>SUMIFS(Income!$G:$G,Income!$H:$H, AY$2,Income!$F:$F, $AT$1, Income!$B:$B, IF($AU208&lt;&gt;"", TEXT($AU208, "MMMM"), ""), Income!$C:$C, YEAR($AU208))</f>
        <v>0</v>
      </c>
      <c r="AZ208" s="464">
        <f>SUMIFS(Income!$G:$G,Income!$H:$H, AZ$2,Income!$F:$F, $AT$1, Income!$B:$B, IF($AU208&lt;&gt;"", TEXT($AU208, "MMMM"), ""), Income!$C:$C, YEAR($AU208))</f>
        <v>0</v>
      </c>
      <c r="BA208" s="471">
        <f>SUMIFS(Income!$G:$G,Income!$H:$H, BA$2,Income!$F:$F, $AT$1, Income!$B:$B, IF($AU208&lt;&gt;"", TEXT($AU208, "MMMM"), ""), Income!$C:$C, YEAR($AU208))</f>
        <v>0</v>
      </c>
      <c r="BB208" s="345"/>
      <c r="BC208" s="345"/>
      <c r="BD208" s="345"/>
      <c r="BE208" s="345"/>
    </row>
    <row r="209" ht="13.5" customHeight="1">
      <c r="A209" s="436">
        <f>'Membership Application List'!A438</f>
        <v>45673.51342</v>
      </c>
      <c r="B209" s="437" t="str">
        <f t="shared" si="6"/>
        <v>January</v>
      </c>
      <c r="C209" s="437">
        <f t="shared" si="7"/>
        <v>2025</v>
      </c>
      <c r="D209" s="438" t="str">
        <f>'Membership Application List'!E438</f>
        <v>Kendall Hendrix</v>
      </c>
      <c r="E209" s="438">
        <f>IF('Membership Application List'!J438 = "Food/Litter Donation", 0, IF('Membership Application List'!J438 = "$15 Donation, Discord Verification", IF('Membership Application List'!N438 = TRUE, 15, 0)))</f>
        <v>15</v>
      </c>
      <c r="F209" s="438">
        <f>if('Membership Application List'!K438=TRUE, 5,0)</f>
        <v>0</v>
      </c>
      <c r="G209" s="438">
        <f t="shared" si="8"/>
        <v>15</v>
      </c>
      <c r="H209" s="439" t="str">
        <f>'Membership Application List'!L438</f>
        <v>Venmo</v>
      </c>
      <c r="I209" s="428"/>
      <c r="J209" s="463">
        <v>50100.0</v>
      </c>
      <c r="K209" s="464">
        <f t="shared" ref="K209:O209" si="167">SUMIFS($G:$G, $H:$H, K$2, $B:$B, IF($J209&lt;&gt;"", TEXT($J209, "MMMM"), ""), $C:$C, YEAR($J209))</f>
        <v>0</v>
      </c>
      <c r="L209" s="464">
        <f t="shared" si="167"/>
        <v>0</v>
      </c>
      <c r="M209" s="464">
        <f t="shared" si="167"/>
        <v>0</v>
      </c>
      <c r="N209" s="464">
        <f t="shared" si="167"/>
        <v>0</v>
      </c>
      <c r="O209" s="465">
        <f t="shared" si="167"/>
        <v>0</v>
      </c>
      <c r="P209" s="414"/>
      <c r="Q209" s="414"/>
      <c r="R209" s="414"/>
      <c r="S209" s="445"/>
      <c r="T209" s="445"/>
      <c r="U209" s="445"/>
      <c r="V209" s="428"/>
      <c r="W209" s="463">
        <v>50100.0</v>
      </c>
      <c r="X209" s="469">
        <f>SUMIFS(Income!$G:$G,Income!$H:$H, X$2,Income!$F:$F, $V$1, Income!$B:$B, IF($W209&lt;&gt;"", TEXT($W209, "MMMM"), ""), Income!$C:$C, YEAR($W209))</f>
        <v>0</v>
      </c>
      <c r="Y209" s="469">
        <f>SUMIFS(Income!$G:$G,Income!$H:$H, Y$2,Income!$F:$F, $V$1, Income!$B:$B, IF($W209&lt;&gt;"", TEXT($W209, "MMMM"), ""), Income!$C:$C, YEAR($W209))</f>
        <v>0</v>
      </c>
      <c r="Z209" s="469">
        <f>SUMIFS(Income!$G:$G,Income!$H:$H, Z$2,Income!$F:$F, $V$1, Income!$B:$B, IF($W209&lt;&gt;"", TEXT($W209, "MMMM"), ""), Income!$C:$C, YEAR($W209))</f>
        <v>0</v>
      </c>
      <c r="AA209" s="469">
        <f>SUMIFS(Income!$G:$G,Income!$H:$H, AA$2,Income!$F:$F, $V$1, Income!$B:$B, IF($W209&lt;&gt;"", TEXT($W209, "MMMM"), ""), Income!$C:$C, YEAR($W209))</f>
        <v>0</v>
      </c>
      <c r="AB209" s="464">
        <f>SUMIFS(Income!$G:$G,Income!$H:$H, AB$2,Income!$F:$F, $V$1, Income!$B:$B, IF($W209&lt;&gt;"", TEXT($W209, "MMMM"), ""), Income!$C:$C, YEAR($W209))</f>
        <v>0</v>
      </c>
      <c r="AC209" s="470">
        <f>SUMIFS(Income!$G:$G,Income!$H:$H, AC$2,Income!$F:$F, $V$1, Income!$B:$B, IF($W209&lt;&gt;"", TEXT($W209, "MMMM"), ""), Income!$C:$C, YEAR($W209))</f>
        <v>0</v>
      </c>
      <c r="AD209" s="428"/>
      <c r="AE209" s="463">
        <v>50100.0</v>
      </c>
      <c r="AF209" s="469">
        <f>SUMIFS(Income!$G:$G,Income!$H:$H, AF$2,Income!$F:$F, $AD$1, Income!$B:$B, IF($AE209&lt;&gt;"", TEXT($AE209, "MMMM"), ""), Income!$C:$C, YEAR($AE209))</f>
        <v>0</v>
      </c>
      <c r="AG209" s="469">
        <f>SUMIFS(Income!$G:$G,Income!$H:$H, AG$2,Income!$F:$F, $AD$1, Income!$B:$B, IF($AE209&lt;&gt;"", TEXT($AE209, "MMMM"), ""), Income!$C:$C, YEAR($AE209))</f>
        <v>0</v>
      </c>
      <c r="AH209" s="469">
        <f>SUMIFS(Income!$G:$G,Income!$H:$H, AH$2,Income!$F:$F, $AD$1, Income!$B:$B, IF($AE209&lt;&gt;"", TEXT($AE209, "MMMM"), ""), Income!$C:$C, YEAR($AE209))</f>
        <v>0</v>
      </c>
      <c r="AI209" s="469">
        <f>SUMIFS(Income!$G:$G,Income!$H:$H, AI$2,Income!$F:$F, $AD$1, Income!$B:$B, IF($AE209&lt;&gt;"", TEXT($AE209, "MMMM"), ""), Income!$C:$C, YEAR($AE209))</f>
        <v>0</v>
      </c>
      <c r="AJ209" s="464">
        <f>SUMIFS(Income!$G:$G,Income!$H:$H, AJ$2,Income!$F:$F, $AD$1, Income!$B:$B, IF($AE209&lt;&gt;"", TEXT($AE209, "MMMM"), ""), Income!$C:$C, YEAR($AE209))</f>
        <v>0</v>
      </c>
      <c r="AK209" s="470">
        <f>SUMIFS(Income!$G:$G,Income!$H:$H, AK$2,Income!$F:$F, $AD$1, Income!$B:$B, IF($AE209&lt;&gt;"", TEXT($AE209, "MMMM"), ""), Income!$C:$C, YEAR($AE209))</f>
        <v>0</v>
      </c>
      <c r="AL209" s="428"/>
      <c r="AM209" s="463">
        <v>50100.0</v>
      </c>
      <c r="AN209" s="464">
        <f>SUMIFS(Income!$G:$G,Income!$H:$H, AN$2,Income!$F:$F, $AL$1, Income!$B:$B, IF($AM209&lt;&gt;"", TEXT($AM209, "MMMM"), ""), Income!$C:$C, YEAR($AM209))+SUMIFS($T:$T, $U:$U,AN$2,$Q:$Q,IF($AM209&lt;&gt;"", TEXT($AM209, "MMMM"), ""),$R:$R,YEAR($AM209))</f>
        <v>0</v>
      </c>
      <c r="AO209" s="464">
        <f>SUMIFS(Income!$G:$G,Income!$H:$H, AO$2,Income!$F:$F, $AL$1, Income!$B:$B, IF($AM209&lt;&gt;"", TEXT($AM209, "MMMM"), ""), Income!$C:$C, YEAR($AM209))+SUMIFS($T:$T, $U:$U,AO$2,$Q:$Q,IF($AM209&lt;&gt;"", TEXT($AM209, "MMMM"), ""),$R:$R,YEAR($AM209))</f>
        <v>0</v>
      </c>
      <c r="AP209" s="464">
        <f>SUMIFS(Income!$G:$G,Income!$H:$H, AP$2,Income!$F:$F, $AL$1, Income!$B:$B, IF($AM209&lt;&gt;"", TEXT($AM209, "MMMM"), ""), Income!$C:$C, YEAR($AM209))+SUMIFS($T:$T, $U:$U,AP$2,$Q:$Q,IF($AM209&lt;&gt;"", TEXT($AM209, "MMMM"), ""),$R:$R,YEAR($AM209))</f>
        <v>0</v>
      </c>
      <c r="AQ209" s="464">
        <f>SUMIFS(Income!$G:$G,Income!$H:$H, AQ$2,Income!$F:$F, $AL$1, Income!$B:$B, IF($AM209&lt;&gt;"", TEXT($AM209, "MMMM"), ""), Income!$C:$C, YEAR($AM209))+SUMIFS($T:$T, $U:$U,AQ$2,$Q:$Q,IF($AM209&lt;&gt;"", TEXT($AM209, "MMMM"), ""),$R:$R,YEAR($AM209))</f>
        <v>0</v>
      </c>
      <c r="AR209" s="464">
        <f>SUMIFS(Income!$G:$G,Income!$H:$H, AR$2,Income!$F:$F, $AL$1, Income!$B:$B, IF($AM209&lt;&gt;"", TEXT($AM209, "MMMM"), ""), Income!$C:$C, YEAR($AM209))+SUMIFS($T:$T, $U:$U,AR$2,$Q:$Q,IF($AM209&lt;&gt;"", TEXT($AM209, "MMMM"), ""),$R:$R,YEAR($AM209))</f>
        <v>0</v>
      </c>
      <c r="AS209" s="467">
        <f>SUMIFS(Income!$G:$G,Income!$H:$H, AS$2,Income!$F:$F, $AL$1, Income!$B:$B, IF($AM209&lt;&gt;"", TEXT($AM209, "MMMM"), ""), Income!$C:$C, YEAR($AM209))+SUMIFS($T:$T, $U:$U,AS$2,$Q:$Q,IF($AM209&lt;&gt;"", TEXT($AM209, "MMMM"), ""),$R:$R,YEAR($AM209))</f>
        <v>0</v>
      </c>
      <c r="AT209" s="428"/>
      <c r="AU209" s="463">
        <v>50100.0</v>
      </c>
      <c r="AV209" s="469">
        <f>SUMIFS(Income!$G:$G,Income!$H:$H, AV$2,Income!$F:$F, $AT$1, Income!$B:$B, IF($AU209&lt;&gt;"", TEXT($AU209, "MMMM"), ""), Income!$C:$C, YEAR($AU209))</f>
        <v>0</v>
      </c>
      <c r="AW209" s="469">
        <f>SUMIFS(Income!$G:$G,Income!$H:$H, AW$2,Income!$F:$F, $AT$1, Income!$B:$B, IF($AU209&lt;&gt;"", TEXT($AU209, "MMMM"), ""), Income!$C:$C, YEAR($AU209))</f>
        <v>0</v>
      </c>
      <c r="AX209" s="469">
        <f>SUMIFS(Income!$G:$G,Income!$H:$H, AX$2,Income!$F:$F, $AT$1, Income!$B:$B, IF($AU209&lt;&gt;"", TEXT($AU209, "MMMM"), ""), Income!$C:$C, YEAR($AU209))</f>
        <v>0</v>
      </c>
      <c r="AY209" s="469">
        <f>SUMIFS(Income!$G:$G,Income!$H:$H, AY$2,Income!$F:$F, $AT$1, Income!$B:$B, IF($AU209&lt;&gt;"", TEXT($AU209, "MMMM"), ""), Income!$C:$C, YEAR($AU209))</f>
        <v>0</v>
      </c>
      <c r="AZ209" s="464">
        <f>SUMIFS(Income!$G:$G,Income!$H:$H, AZ$2,Income!$F:$F, $AT$1, Income!$B:$B, IF($AU209&lt;&gt;"", TEXT($AU209, "MMMM"), ""), Income!$C:$C, YEAR($AU209))</f>
        <v>0</v>
      </c>
      <c r="BA209" s="471">
        <f>SUMIFS(Income!$G:$G,Income!$H:$H, BA$2,Income!$F:$F, $AT$1, Income!$B:$B, IF($AU209&lt;&gt;"", TEXT($AU209, "MMMM"), ""), Income!$C:$C, YEAR($AU209))</f>
        <v>0</v>
      </c>
      <c r="BB209" s="345"/>
      <c r="BC209" s="345"/>
      <c r="BD209" s="345"/>
      <c r="BE209" s="345"/>
    </row>
    <row r="210" ht="13.5" customHeight="1">
      <c r="A210" s="424">
        <f>'Membership Application List'!A439</f>
        <v>45675.05669</v>
      </c>
      <c r="B210" s="443" t="str">
        <f t="shared" si="6"/>
        <v>January</v>
      </c>
      <c r="C210" s="443">
        <f t="shared" si="7"/>
        <v>2025</v>
      </c>
      <c r="D210" s="426" t="str">
        <f>'Membership Application List'!E439</f>
        <v>Amanda Wegner</v>
      </c>
      <c r="E210" s="426">
        <f>IF('Membership Application List'!J439 = "Food/Litter Donation", 0, IF('Membership Application List'!J439 = "$15 Donation, Discord Verification", IF('Membership Application List'!N439 = TRUE, 15, 0)))</f>
        <v>15</v>
      </c>
      <c r="F210" s="426">
        <f>if('Membership Application List'!K439=TRUE, 5,0)</f>
        <v>0</v>
      </c>
      <c r="G210" s="426">
        <f t="shared" si="8"/>
        <v>15</v>
      </c>
      <c r="H210" s="427" t="str">
        <f>'Membership Application List'!L439</f>
        <v>Venmo</v>
      </c>
      <c r="I210" s="428"/>
      <c r="J210" s="463">
        <v>50131.0</v>
      </c>
      <c r="K210" s="464">
        <f t="shared" ref="K210:O210" si="168">SUMIFS($G:$G, $H:$H, K$2, $B:$B, IF($J210&lt;&gt;"", TEXT($J210, "MMMM"), ""), $C:$C, YEAR($J210))</f>
        <v>0</v>
      </c>
      <c r="L210" s="464">
        <f t="shared" si="168"/>
        <v>0</v>
      </c>
      <c r="M210" s="464">
        <f t="shared" si="168"/>
        <v>0</v>
      </c>
      <c r="N210" s="464">
        <f t="shared" si="168"/>
        <v>0</v>
      </c>
      <c r="O210" s="465">
        <f t="shared" si="168"/>
        <v>0</v>
      </c>
      <c r="P210" s="414"/>
      <c r="Q210" s="414"/>
      <c r="R210" s="414"/>
      <c r="S210" s="445"/>
      <c r="T210" s="445"/>
      <c r="U210" s="445"/>
      <c r="V210" s="428"/>
      <c r="W210" s="463">
        <v>50131.0</v>
      </c>
      <c r="X210" s="469">
        <f>SUMIFS(Income!$G:$G,Income!$H:$H, X$2,Income!$F:$F, $V$1, Income!$B:$B, IF($W210&lt;&gt;"", TEXT($W210, "MMMM"), ""), Income!$C:$C, YEAR($W210))</f>
        <v>0</v>
      </c>
      <c r="Y210" s="469">
        <f>SUMIFS(Income!$G:$G,Income!$H:$H, Y$2,Income!$F:$F, $V$1, Income!$B:$B, IF($W210&lt;&gt;"", TEXT($W210, "MMMM"), ""), Income!$C:$C, YEAR($W210))</f>
        <v>0</v>
      </c>
      <c r="Z210" s="469">
        <f>SUMIFS(Income!$G:$G,Income!$H:$H, Z$2,Income!$F:$F, $V$1, Income!$B:$B, IF($W210&lt;&gt;"", TEXT($W210, "MMMM"), ""), Income!$C:$C, YEAR($W210))</f>
        <v>0</v>
      </c>
      <c r="AA210" s="469">
        <f>SUMIFS(Income!$G:$G,Income!$H:$H, AA$2,Income!$F:$F, $V$1, Income!$B:$B, IF($W210&lt;&gt;"", TEXT($W210, "MMMM"), ""), Income!$C:$C, YEAR($W210))</f>
        <v>0</v>
      </c>
      <c r="AB210" s="464">
        <f>SUMIFS(Income!$G:$G,Income!$H:$H, AB$2,Income!$F:$F, $V$1, Income!$B:$B, IF($W210&lt;&gt;"", TEXT($W210, "MMMM"), ""), Income!$C:$C, YEAR($W210))</f>
        <v>0</v>
      </c>
      <c r="AC210" s="470">
        <f>SUMIFS(Income!$G:$G,Income!$H:$H, AC$2,Income!$F:$F, $V$1, Income!$B:$B, IF($W210&lt;&gt;"", TEXT($W210, "MMMM"), ""), Income!$C:$C, YEAR($W210))</f>
        <v>0</v>
      </c>
      <c r="AD210" s="428"/>
      <c r="AE210" s="463">
        <v>50131.0</v>
      </c>
      <c r="AF210" s="469">
        <f>SUMIFS(Income!$G:$G,Income!$H:$H, AF$2,Income!$F:$F, $AD$1, Income!$B:$B, IF($AE210&lt;&gt;"", TEXT($AE210, "MMMM"), ""), Income!$C:$C, YEAR($AE210))</f>
        <v>0</v>
      </c>
      <c r="AG210" s="469">
        <f>SUMIFS(Income!$G:$G,Income!$H:$H, AG$2,Income!$F:$F, $AD$1, Income!$B:$B, IF($AE210&lt;&gt;"", TEXT($AE210, "MMMM"), ""), Income!$C:$C, YEAR($AE210))</f>
        <v>0</v>
      </c>
      <c r="AH210" s="469">
        <f>SUMIFS(Income!$G:$G,Income!$H:$H, AH$2,Income!$F:$F, $AD$1, Income!$B:$B, IF($AE210&lt;&gt;"", TEXT($AE210, "MMMM"), ""), Income!$C:$C, YEAR($AE210))</f>
        <v>0</v>
      </c>
      <c r="AI210" s="469">
        <f>SUMIFS(Income!$G:$G,Income!$H:$H, AI$2,Income!$F:$F, $AD$1, Income!$B:$B, IF($AE210&lt;&gt;"", TEXT($AE210, "MMMM"), ""), Income!$C:$C, YEAR($AE210))</f>
        <v>0</v>
      </c>
      <c r="AJ210" s="464">
        <f>SUMIFS(Income!$G:$G,Income!$H:$H, AJ$2,Income!$F:$F, $AD$1, Income!$B:$B, IF($AE210&lt;&gt;"", TEXT($AE210, "MMMM"), ""), Income!$C:$C, YEAR($AE210))</f>
        <v>0</v>
      </c>
      <c r="AK210" s="470">
        <f>SUMIFS(Income!$G:$G,Income!$H:$H, AK$2,Income!$F:$F, $AD$1, Income!$B:$B, IF($AE210&lt;&gt;"", TEXT($AE210, "MMMM"), ""), Income!$C:$C, YEAR($AE210))</f>
        <v>0</v>
      </c>
      <c r="AL210" s="428"/>
      <c r="AM210" s="463">
        <v>50131.0</v>
      </c>
      <c r="AN210" s="464">
        <f>SUMIFS(Income!$G:$G,Income!$H:$H, AN$2,Income!$F:$F, $AL$1, Income!$B:$B, IF($AM210&lt;&gt;"", TEXT($AM210, "MMMM"), ""), Income!$C:$C, YEAR($AM210))+SUMIFS($T:$T, $U:$U,AN$2,$Q:$Q,IF($AM210&lt;&gt;"", TEXT($AM210, "MMMM"), ""),$R:$R,YEAR($AM210))</f>
        <v>0</v>
      </c>
      <c r="AO210" s="464">
        <f>SUMIFS(Income!$G:$G,Income!$H:$H, AO$2,Income!$F:$F, $AL$1, Income!$B:$B, IF($AM210&lt;&gt;"", TEXT($AM210, "MMMM"), ""), Income!$C:$C, YEAR($AM210))+SUMIFS($T:$T, $U:$U,AO$2,$Q:$Q,IF($AM210&lt;&gt;"", TEXT($AM210, "MMMM"), ""),$R:$R,YEAR($AM210))</f>
        <v>0</v>
      </c>
      <c r="AP210" s="464">
        <f>SUMIFS(Income!$G:$G,Income!$H:$H, AP$2,Income!$F:$F, $AL$1, Income!$B:$B, IF($AM210&lt;&gt;"", TEXT($AM210, "MMMM"), ""), Income!$C:$C, YEAR($AM210))+SUMIFS($T:$T, $U:$U,AP$2,$Q:$Q,IF($AM210&lt;&gt;"", TEXT($AM210, "MMMM"), ""),$R:$R,YEAR($AM210))</f>
        <v>0</v>
      </c>
      <c r="AQ210" s="464">
        <f>SUMIFS(Income!$G:$G,Income!$H:$H, AQ$2,Income!$F:$F, $AL$1, Income!$B:$B, IF($AM210&lt;&gt;"", TEXT($AM210, "MMMM"), ""), Income!$C:$C, YEAR($AM210))+SUMIFS($T:$T, $U:$U,AQ$2,$Q:$Q,IF($AM210&lt;&gt;"", TEXT($AM210, "MMMM"), ""),$R:$R,YEAR($AM210))</f>
        <v>0</v>
      </c>
      <c r="AR210" s="464">
        <f>SUMIFS(Income!$G:$G,Income!$H:$H, AR$2,Income!$F:$F, $AL$1, Income!$B:$B, IF($AM210&lt;&gt;"", TEXT($AM210, "MMMM"), ""), Income!$C:$C, YEAR($AM210))+SUMIFS($T:$T, $U:$U,AR$2,$Q:$Q,IF($AM210&lt;&gt;"", TEXT($AM210, "MMMM"), ""),$R:$R,YEAR($AM210))</f>
        <v>0</v>
      </c>
      <c r="AS210" s="467">
        <f>SUMIFS(Income!$G:$G,Income!$H:$H, AS$2,Income!$F:$F, $AL$1, Income!$B:$B, IF($AM210&lt;&gt;"", TEXT($AM210, "MMMM"), ""), Income!$C:$C, YEAR($AM210))+SUMIFS($T:$T, $U:$U,AS$2,$Q:$Q,IF($AM210&lt;&gt;"", TEXT($AM210, "MMMM"), ""),$R:$R,YEAR($AM210))</f>
        <v>0</v>
      </c>
      <c r="AT210" s="428"/>
      <c r="AU210" s="463">
        <v>50131.0</v>
      </c>
      <c r="AV210" s="469">
        <f>SUMIFS(Income!$G:$G,Income!$H:$H, AV$2,Income!$F:$F, $AT$1, Income!$B:$B, IF($AU210&lt;&gt;"", TEXT($AU210, "MMMM"), ""), Income!$C:$C, YEAR($AU210))</f>
        <v>0</v>
      </c>
      <c r="AW210" s="469">
        <f>SUMIFS(Income!$G:$G,Income!$H:$H, AW$2,Income!$F:$F, $AT$1, Income!$B:$B, IF($AU210&lt;&gt;"", TEXT($AU210, "MMMM"), ""), Income!$C:$C, YEAR($AU210))</f>
        <v>0</v>
      </c>
      <c r="AX210" s="469">
        <f>SUMIFS(Income!$G:$G,Income!$H:$H, AX$2,Income!$F:$F, $AT$1, Income!$B:$B, IF($AU210&lt;&gt;"", TEXT($AU210, "MMMM"), ""), Income!$C:$C, YEAR($AU210))</f>
        <v>0</v>
      </c>
      <c r="AY210" s="469">
        <f>SUMIFS(Income!$G:$G,Income!$H:$H, AY$2,Income!$F:$F, $AT$1, Income!$B:$B, IF($AU210&lt;&gt;"", TEXT($AU210, "MMMM"), ""), Income!$C:$C, YEAR($AU210))</f>
        <v>0</v>
      </c>
      <c r="AZ210" s="464">
        <f>SUMIFS(Income!$G:$G,Income!$H:$H, AZ$2,Income!$F:$F, $AT$1, Income!$B:$B, IF($AU210&lt;&gt;"", TEXT($AU210, "MMMM"), ""), Income!$C:$C, YEAR($AU210))</f>
        <v>0</v>
      </c>
      <c r="BA210" s="471">
        <f>SUMIFS(Income!$G:$G,Income!$H:$H, BA$2,Income!$F:$F, $AT$1, Income!$B:$B, IF($AU210&lt;&gt;"", TEXT($AU210, "MMMM"), ""), Income!$C:$C, YEAR($AU210))</f>
        <v>0</v>
      </c>
      <c r="BB210" s="345"/>
      <c r="BC210" s="345"/>
      <c r="BD210" s="345"/>
      <c r="BE210" s="345"/>
    </row>
    <row r="211" ht="13.5" customHeight="1">
      <c r="A211" s="436">
        <f>'Membership Application List'!A440</f>
        <v>45675.50977</v>
      </c>
      <c r="B211" s="437" t="str">
        <f t="shared" si="6"/>
        <v>January</v>
      </c>
      <c r="C211" s="437">
        <f t="shared" si="7"/>
        <v>2025</v>
      </c>
      <c r="D211" s="438" t="str">
        <f>'Membership Application List'!E440</f>
        <v>Caleb Moran</v>
      </c>
      <c r="E211" s="438">
        <f>IF('Membership Application List'!J440 = "Food/Litter Donation", 0, IF('Membership Application List'!J440 = "$15 Donation, Discord Verification", IF('Membership Application List'!N440 = TRUE, 15, 0)))</f>
        <v>15</v>
      </c>
      <c r="F211" s="438">
        <f>if('Membership Application List'!K440=TRUE, 5,0)</f>
        <v>0</v>
      </c>
      <c r="G211" s="438">
        <f t="shared" si="8"/>
        <v>15</v>
      </c>
      <c r="H211" s="439" t="str">
        <f>'Membership Application List'!L440</f>
        <v>Venmo</v>
      </c>
      <c r="I211" s="428"/>
      <c r="J211" s="463">
        <v>50161.0</v>
      </c>
      <c r="K211" s="464">
        <f t="shared" ref="K211:O211" si="169">SUMIFS($G:$G, $H:$H, K$2, $B:$B, IF($J211&lt;&gt;"", TEXT($J211, "MMMM"), ""), $C:$C, YEAR($J211))</f>
        <v>0</v>
      </c>
      <c r="L211" s="464">
        <f t="shared" si="169"/>
        <v>0</v>
      </c>
      <c r="M211" s="464">
        <f t="shared" si="169"/>
        <v>0</v>
      </c>
      <c r="N211" s="464">
        <f t="shared" si="169"/>
        <v>0</v>
      </c>
      <c r="O211" s="465">
        <f t="shared" si="169"/>
        <v>0</v>
      </c>
      <c r="P211" s="414"/>
      <c r="Q211" s="414"/>
      <c r="R211" s="414"/>
      <c r="S211" s="445"/>
      <c r="T211" s="445"/>
      <c r="U211" s="445"/>
      <c r="V211" s="428"/>
      <c r="W211" s="463">
        <v>50161.0</v>
      </c>
      <c r="X211" s="469">
        <f>SUMIFS(Income!$G:$G,Income!$H:$H, X$2,Income!$F:$F, $V$1, Income!$B:$B, IF($W211&lt;&gt;"", TEXT($W211, "MMMM"), ""), Income!$C:$C, YEAR($W211))</f>
        <v>0</v>
      </c>
      <c r="Y211" s="469">
        <f>SUMIFS(Income!$G:$G,Income!$H:$H, Y$2,Income!$F:$F, $V$1, Income!$B:$B, IF($W211&lt;&gt;"", TEXT($W211, "MMMM"), ""), Income!$C:$C, YEAR($W211))</f>
        <v>0</v>
      </c>
      <c r="Z211" s="469">
        <f>SUMIFS(Income!$G:$G,Income!$H:$H, Z$2,Income!$F:$F, $V$1, Income!$B:$B, IF($W211&lt;&gt;"", TEXT($W211, "MMMM"), ""), Income!$C:$C, YEAR($W211))</f>
        <v>0</v>
      </c>
      <c r="AA211" s="469">
        <f>SUMIFS(Income!$G:$G,Income!$H:$H, AA$2,Income!$F:$F, $V$1, Income!$B:$B, IF($W211&lt;&gt;"", TEXT($W211, "MMMM"), ""), Income!$C:$C, YEAR($W211))</f>
        <v>0</v>
      </c>
      <c r="AB211" s="464">
        <f>SUMIFS(Income!$G:$G,Income!$H:$H, AB$2,Income!$F:$F, $V$1, Income!$B:$B, IF($W211&lt;&gt;"", TEXT($W211, "MMMM"), ""), Income!$C:$C, YEAR($W211))</f>
        <v>0</v>
      </c>
      <c r="AC211" s="470">
        <f>SUMIFS(Income!$G:$G,Income!$H:$H, AC$2,Income!$F:$F, $V$1, Income!$B:$B, IF($W211&lt;&gt;"", TEXT($W211, "MMMM"), ""), Income!$C:$C, YEAR($W211))</f>
        <v>0</v>
      </c>
      <c r="AD211" s="428"/>
      <c r="AE211" s="463">
        <v>50161.0</v>
      </c>
      <c r="AF211" s="469">
        <f>SUMIFS(Income!$G:$G,Income!$H:$H, AF$2,Income!$F:$F, $AD$1, Income!$B:$B, IF($AE211&lt;&gt;"", TEXT($AE211, "MMMM"), ""), Income!$C:$C, YEAR($AE211))</f>
        <v>0</v>
      </c>
      <c r="AG211" s="469">
        <f>SUMIFS(Income!$G:$G,Income!$H:$H, AG$2,Income!$F:$F, $AD$1, Income!$B:$B, IF($AE211&lt;&gt;"", TEXT($AE211, "MMMM"), ""), Income!$C:$C, YEAR($AE211))</f>
        <v>0</v>
      </c>
      <c r="AH211" s="469">
        <f>SUMIFS(Income!$G:$G,Income!$H:$H, AH$2,Income!$F:$F, $AD$1, Income!$B:$B, IF($AE211&lt;&gt;"", TEXT($AE211, "MMMM"), ""), Income!$C:$C, YEAR($AE211))</f>
        <v>0</v>
      </c>
      <c r="AI211" s="469">
        <f>SUMIFS(Income!$G:$G,Income!$H:$H, AI$2,Income!$F:$F, $AD$1, Income!$B:$B, IF($AE211&lt;&gt;"", TEXT($AE211, "MMMM"), ""), Income!$C:$C, YEAR($AE211))</f>
        <v>0</v>
      </c>
      <c r="AJ211" s="464">
        <f>SUMIFS(Income!$G:$G,Income!$H:$H, AJ$2,Income!$F:$F, $AD$1, Income!$B:$B, IF($AE211&lt;&gt;"", TEXT($AE211, "MMMM"), ""), Income!$C:$C, YEAR($AE211))</f>
        <v>0</v>
      </c>
      <c r="AK211" s="470">
        <f>SUMIFS(Income!$G:$G,Income!$H:$H, AK$2,Income!$F:$F, $AD$1, Income!$B:$B, IF($AE211&lt;&gt;"", TEXT($AE211, "MMMM"), ""), Income!$C:$C, YEAR($AE211))</f>
        <v>0</v>
      </c>
      <c r="AL211" s="428"/>
      <c r="AM211" s="463">
        <v>50161.0</v>
      </c>
      <c r="AN211" s="464">
        <f>SUMIFS(Income!$G:$G,Income!$H:$H, AN$2,Income!$F:$F, $AL$1, Income!$B:$B, IF($AM211&lt;&gt;"", TEXT($AM211, "MMMM"), ""), Income!$C:$C, YEAR($AM211))+SUMIFS($T:$T, $U:$U,AN$2,$Q:$Q,IF($AM211&lt;&gt;"", TEXT($AM211, "MMMM"), ""),$R:$R,YEAR($AM211))</f>
        <v>0</v>
      </c>
      <c r="AO211" s="464">
        <f>SUMIFS(Income!$G:$G,Income!$H:$H, AO$2,Income!$F:$F, $AL$1, Income!$B:$B, IF($AM211&lt;&gt;"", TEXT($AM211, "MMMM"), ""), Income!$C:$C, YEAR($AM211))+SUMIFS($T:$T, $U:$U,AO$2,$Q:$Q,IF($AM211&lt;&gt;"", TEXT($AM211, "MMMM"), ""),$R:$R,YEAR($AM211))</f>
        <v>0</v>
      </c>
      <c r="AP211" s="464">
        <f>SUMIFS(Income!$G:$G,Income!$H:$H, AP$2,Income!$F:$F, $AL$1, Income!$B:$B, IF($AM211&lt;&gt;"", TEXT($AM211, "MMMM"), ""), Income!$C:$C, YEAR($AM211))+SUMIFS($T:$T, $U:$U,AP$2,$Q:$Q,IF($AM211&lt;&gt;"", TEXT($AM211, "MMMM"), ""),$R:$R,YEAR($AM211))</f>
        <v>0</v>
      </c>
      <c r="AQ211" s="464">
        <f>SUMIFS(Income!$G:$G,Income!$H:$H, AQ$2,Income!$F:$F, $AL$1, Income!$B:$B, IF($AM211&lt;&gt;"", TEXT($AM211, "MMMM"), ""), Income!$C:$C, YEAR($AM211))+SUMIFS($T:$T, $U:$U,AQ$2,$Q:$Q,IF($AM211&lt;&gt;"", TEXT($AM211, "MMMM"), ""),$R:$R,YEAR($AM211))</f>
        <v>0</v>
      </c>
      <c r="AR211" s="464">
        <f>SUMIFS(Income!$G:$G,Income!$H:$H, AR$2,Income!$F:$F, $AL$1, Income!$B:$B, IF($AM211&lt;&gt;"", TEXT($AM211, "MMMM"), ""), Income!$C:$C, YEAR($AM211))+SUMIFS($T:$T, $U:$U,AR$2,$Q:$Q,IF($AM211&lt;&gt;"", TEXT($AM211, "MMMM"), ""),$R:$R,YEAR($AM211))</f>
        <v>0</v>
      </c>
      <c r="AS211" s="467">
        <f>SUMIFS(Income!$G:$G,Income!$H:$H, AS$2,Income!$F:$F, $AL$1, Income!$B:$B, IF($AM211&lt;&gt;"", TEXT($AM211, "MMMM"), ""), Income!$C:$C, YEAR($AM211))+SUMIFS($T:$T, $U:$U,AS$2,$Q:$Q,IF($AM211&lt;&gt;"", TEXT($AM211, "MMMM"), ""),$R:$R,YEAR($AM211))</f>
        <v>0</v>
      </c>
      <c r="AT211" s="428"/>
      <c r="AU211" s="463">
        <v>50161.0</v>
      </c>
      <c r="AV211" s="469">
        <f>SUMIFS(Income!$G:$G,Income!$H:$H, AV$2,Income!$F:$F, $AT$1, Income!$B:$B, IF($AU211&lt;&gt;"", TEXT($AU211, "MMMM"), ""), Income!$C:$C, YEAR($AU211))</f>
        <v>0</v>
      </c>
      <c r="AW211" s="469">
        <f>SUMIFS(Income!$G:$G,Income!$H:$H, AW$2,Income!$F:$F, $AT$1, Income!$B:$B, IF($AU211&lt;&gt;"", TEXT($AU211, "MMMM"), ""), Income!$C:$C, YEAR($AU211))</f>
        <v>0</v>
      </c>
      <c r="AX211" s="469">
        <f>SUMIFS(Income!$G:$G,Income!$H:$H, AX$2,Income!$F:$F, $AT$1, Income!$B:$B, IF($AU211&lt;&gt;"", TEXT($AU211, "MMMM"), ""), Income!$C:$C, YEAR($AU211))</f>
        <v>0</v>
      </c>
      <c r="AY211" s="469">
        <f>SUMIFS(Income!$G:$G,Income!$H:$H, AY$2,Income!$F:$F, $AT$1, Income!$B:$B, IF($AU211&lt;&gt;"", TEXT($AU211, "MMMM"), ""), Income!$C:$C, YEAR($AU211))</f>
        <v>0</v>
      </c>
      <c r="AZ211" s="464">
        <f>SUMIFS(Income!$G:$G,Income!$H:$H, AZ$2,Income!$F:$F, $AT$1, Income!$B:$B, IF($AU211&lt;&gt;"", TEXT($AU211, "MMMM"), ""), Income!$C:$C, YEAR($AU211))</f>
        <v>0</v>
      </c>
      <c r="BA211" s="471">
        <f>SUMIFS(Income!$G:$G,Income!$H:$H, BA$2,Income!$F:$F, $AT$1, Income!$B:$B, IF($AU211&lt;&gt;"", TEXT($AU211, "MMMM"), ""), Income!$C:$C, YEAR($AU211))</f>
        <v>0</v>
      </c>
      <c r="BB211" s="345"/>
      <c r="BC211" s="345"/>
      <c r="BD211" s="345"/>
      <c r="BE211" s="345"/>
    </row>
    <row r="212" ht="13.5" customHeight="1">
      <c r="A212" s="424">
        <f>'Membership Application List'!A441</f>
        <v>45676.96143</v>
      </c>
      <c r="B212" s="443" t="str">
        <f t="shared" si="6"/>
        <v>January</v>
      </c>
      <c r="C212" s="443">
        <f t="shared" si="7"/>
        <v>2025</v>
      </c>
      <c r="D212" s="426" t="str">
        <f>'Membership Application List'!E441</f>
        <v>Derek Fuentes</v>
      </c>
      <c r="E212" s="426">
        <f>IF('Membership Application List'!J441 = "Food/Litter Donation", 0, IF('Membership Application List'!J441 = "$15 Donation, Discord Verification", IF('Membership Application List'!N441 = TRUE, 15, 0)))</f>
        <v>15</v>
      </c>
      <c r="F212" s="426">
        <f>if('Membership Application List'!K441=TRUE, 5,0)</f>
        <v>0</v>
      </c>
      <c r="G212" s="426">
        <f t="shared" si="8"/>
        <v>15</v>
      </c>
      <c r="H212" s="427" t="str">
        <f>'Membership Application List'!L441</f>
        <v>Paypal</v>
      </c>
      <c r="I212" s="447" t="s">
        <v>803</v>
      </c>
      <c r="J212" s="463">
        <v>50192.0</v>
      </c>
      <c r="K212" s="464">
        <f t="shared" ref="K212:O212" si="170">SUMIFS($G:$G, $H:$H, K$2, $B:$B, IF($J212&lt;&gt;"", TEXT($J212, "MMMM"), ""), $C:$C, YEAR($J212))</f>
        <v>0</v>
      </c>
      <c r="L212" s="464">
        <f t="shared" si="170"/>
        <v>0</v>
      </c>
      <c r="M212" s="464">
        <f t="shared" si="170"/>
        <v>0</v>
      </c>
      <c r="N212" s="464">
        <f t="shared" si="170"/>
        <v>0</v>
      </c>
      <c r="O212" s="465">
        <f t="shared" si="170"/>
        <v>0</v>
      </c>
      <c r="P212" s="414"/>
      <c r="Q212" s="414"/>
      <c r="R212" s="414"/>
      <c r="S212" s="445"/>
      <c r="T212" s="445"/>
      <c r="U212" s="445"/>
      <c r="V212" s="447" t="s">
        <v>803</v>
      </c>
      <c r="W212" s="463">
        <v>50192.0</v>
      </c>
      <c r="X212" s="469">
        <f>SUMIFS(Income!$G:$G,Income!$H:$H, X$2,Income!$F:$F, $V$1, Income!$B:$B, IF($W212&lt;&gt;"", TEXT($W212, "MMMM"), ""), Income!$C:$C, YEAR($W212))</f>
        <v>0</v>
      </c>
      <c r="Y212" s="469">
        <f>SUMIFS(Income!$G:$G,Income!$H:$H, Y$2,Income!$F:$F, $V$1, Income!$B:$B, IF($W212&lt;&gt;"", TEXT($W212, "MMMM"), ""), Income!$C:$C, YEAR($W212))</f>
        <v>0</v>
      </c>
      <c r="Z212" s="469">
        <f>SUMIFS(Income!$G:$G,Income!$H:$H, Z$2,Income!$F:$F, $V$1, Income!$B:$B, IF($W212&lt;&gt;"", TEXT($W212, "MMMM"), ""), Income!$C:$C, YEAR($W212))</f>
        <v>0</v>
      </c>
      <c r="AA212" s="469">
        <f>SUMIFS(Income!$G:$G,Income!$H:$H, AA$2,Income!$F:$F, $V$1, Income!$B:$B, IF($W212&lt;&gt;"", TEXT($W212, "MMMM"), ""), Income!$C:$C, YEAR($W212))</f>
        <v>0</v>
      </c>
      <c r="AB212" s="464">
        <f>SUMIFS(Income!$G:$G,Income!$H:$H, AB$2,Income!$F:$F, $V$1, Income!$B:$B, IF($W212&lt;&gt;"", TEXT($W212, "MMMM"), ""), Income!$C:$C, YEAR($W212))</f>
        <v>0</v>
      </c>
      <c r="AC212" s="470">
        <f>SUMIFS(Income!$G:$G,Income!$H:$H, AC$2,Income!$F:$F, $V$1, Income!$B:$B, IF($W212&lt;&gt;"", TEXT($W212, "MMMM"), ""), Income!$C:$C, YEAR($W212))</f>
        <v>0</v>
      </c>
      <c r="AD212" s="447" t="s">
        <v>803</v>
      </c>
      <c r="AE212" s="463">
        <v>50192.0</v>
      </c>
      <c r="AF212" s="469">
        <f>SUMIFS(Income!$G:$G,Income!$H:$H, AF$2,Income!$F:$F, $AD$1, Income!$B:$B, IF($AE212&lt;&gt;"", TEXT($AE212, "MMMM"), ""), Income!$C:$C, YEAR($AE212))</f>
        <v>0</v>
      </c>
      <c r="AG212" s="469">
        <f>SUMIFS(Income!$G:$G,Income!$H:$H, AG$2,Income!$F:$F, $AD$1, Income!$B:$B, IF($AE212&lt;&gt;"", TEXT($AE212, "MMMM"), ""), Income!$C:$C, YEAR($AE212))</f>
        <v>0</v>
      </c>
      <c r="AH212" s="469">
        <f>SUMIFS(Income!$G:$G,Income!$H:$H, AH$2,Income!$F:$F, $AD$1, Income!$B:$B, IF($AE212&lt;&gt;"", TEXT($AE212, "MMMM"), ""), Income!$C:$C, YEAR($AE212))</f>
        <v>0</v>
      </c>
      <c r="AI212" s="469">
        <f>SUMIFS(Income!$G:$G,Income!$H:$H, AI$2,Income!$F:$F, $AD$1, Income!$B:$B, IF($AE212&lt;&gt;"", TEXT($AE212, "MMMM"), ""), Income!$C:$C, YEAR($AE212))</f>
        <v>0</v>
      </c>
      <c r="AJ212" s="464">
        <f>SUMIFS(Income!$G:$G,Income!$H:$H, AJ$2,Income!$F:$F, $AD$1, Income!$B:$B, IF($AE212&lt;&gt;"", TEXT($AE212, "MMMM"), ""), Income!$C:$C, YEAR($AE212))</f>
        <v>0</v>
      </c>
      <c r="AK212" s="470">
        <f>SUMIFS(Income!$G:$G,Income!$H:$H, AK$2,Income!$F:$F, $AD$1, Income!$B:$B, IF($AE212&lt;&gt;"", TEXT($AE212, "MMMM"), ""), Income!$C:$C, YEAR($AE212))</f>
        <v>0</v>
      </c>
      <c r="AL212" s="447" t="s">
        <v>803</v>
      </c>
      <c r="AM212" s="463">
        <v>50192.0</v>
      </c>
      <c r="AN212" s="464">
        <f>SUMIFS(Income!$G:$G,Income!$H:$H, AN$2,Income!$F:$F, $AL$1, Income!$B:$B, IF($AM212&lt;&gt;"", TEXT($AM212, "MMMM"), ""), Income!$C:$C, YEAR($AM212))+SUMIFS($T:$T, $U:$U,AN$2,$Q:$Q,IF($AM212&lt;&gt;"", TEXT($AM212, "MMMM"), ""),$R:$R,YEAR($AM212))</f>
        <v>0</v>
      </c>
      <c r="AO212" s="464">
        <f>SUMIFS(Income!$G:$G,Income!$H:$H, AO$2,Income!$F:$F, $AL$1, Income!$B:$B, IF($AM212&lt;&gt;"", TEXT($AM212, "MMMM"), ""), Income!$C:$C, YEAR($AM212))+SUMIFS($T:$T, $U:$U,AO$2,$Q:$Q,IF($AM212&lt;&gt;"", TEXT($AM212, "MMMM"), ""),$R:$R,YEAR($AM212))</f>
        <v>0</v>
      </c>
      <c r="AP212" s="464">
        <f>SUMIFS(Income!$G:$G,Income!$H:$H, AP$2,Income!$F:$F, $AL$1, Income!$B:$B, IF($AM212&lt;&gt;"", TEXT($AM212, "MMMM"), ""), Income!$C:$C, YEAR($AM212))+SUMIFS($T:$T, $U:$U,AP$2,$Q:$Q,IF($AM212&lt;&gt;"", TEXT($AM212, "MMMM"), ""),$R:$R,YEAR($AM212))</f>
        <v>0</v>
      </c>
      <c r="AQ212" s="464">
        <f>SUMIFS(Income!$G:$G,Income!$H:$H, AQ$2,Income!$F:$F, $AL$1, Income!$B:$B, IF($AM212&lt;&gt;"", TEXT($AM212, "MMMM"), ""), Income!$C:$C, YEAR($AM212))+SUMIFS($T:$T, $U:$U,AQ$2,$Q:$Q,IF($AM212&lt;&gt;"", TEXT($AM212, "MMMM"), ""),$R:$R,YEAR($AM212))</f>
        <v>0</v>
      </c>
      <c r="AR212" s="464">
        <f>SUMIFS(Income!$G:$G,Income!$H:$H, AR$2,Income!$F:$F, $AL$1, Income!$B:$B, IF($AM212&lt;&gt;"", TEXT($AM212, "MMMM"), ""), Income!$C:$C, YEAR($AM212))+SUMIFS($T:$T, $U:$U,AR$2,$Q:$Q,IF($AM212&lt;&gt;"", TEXT($AM212, "MMMM"), ""),$R:$R,YEAR($AM212))</f>
        <v>0</v>
      </c>
      <c r="AS212" s="467">
        <f>SUMIFS(Income!$G:$G,Income!$H:$H, AS$2,Income!$F:$F, $AL$1, Income!$B:$B, IF($AM212&lt;&gt;"", TEXT($AM212, "MMMM"), ""), Income!$C:$C, YEAR($AM212))+SUMIFS($T:$T, $U:$U,AS$2,$Q:$Q,IF($AM212&lt;&gt;"", TEXT($AM212, "MMMM"), ""),$R:$R,YEAR($AM212))</f>
        <v>0</v>
      </c>
      <c r="AT212" s="447" t="s">
        <v>803</v>
      </c>
      <c r="AU212" s="463">
        <v>50192.0</v>
      </c>
      <c r="AV212" s="469">
        <f>SUMIFS(Income!$G:$G,Income!$H:$H, AV$2,Income!$F:$F, $AT$1, Income!$B:$B, IF($AU212&lt;&gt;"", TEXT($AU212, "MMMM"), ""), Income!$C:$C, YEAR($AU212))</f>
        <v>0</v>
      </c>
      <c r="AW212" s="469">
        <f>SUMIFS(Income!$G:$G,Income!$H:$H, AW$2,Income!$F:$F, $AT$1, Income!$B:$B, IF($AU212&lt;&gt;"", TEXT($AU212, "MMMM"), ""), Income!$C:$C, YEAR($AU212))</f>
        <v>0</v>
      </c>
      <c r="AX212" s="469">
        <f>SUMIFS(Income!$G:$G,Income!$H:$H, AX$2,Income!$F:$F, $AT$1, Income!$B:$B, IF($AU212&lt;&gt;"", TEXT($AU212, "MMMM"), ""), Income!$C:$C, YEAR($AU212))</f>
        <v>0</v>
      </c>
      <c r="AY212" s="469">
        <f>SUMIFS(Income!$G:$G,Income!$H:$H, AY$2,Income!$F:$F, $AT$1, Income!$B:$B, IF($AU212&lt;&gt;"", TEXT($AU212, "MMMM"), ""), Income!$C:$C, YEAR($AU212))</f>
        <v>0</v>
      </c>
      <c r="AZ212" s="464">
        <f>SUMIFS(Income!$G:$G,Income!$H:$H, AZ$2,Income!$F:$F, $AT$1, Income!$B:$B, IF($AU212&lt;&gt;"", TEXT($AU212, "MMMM"), ""), Income!$C:$C, YEAR($AU212))</f>
        <v>0</v>
      </c>
      <c r="BA212" s="471">
        <f>SUMIFS(Income!$G:$G,Income!$H:$H, BA$2,Income!$F:$F, $AT$1, Income!$B:$B, IF($AU212&lt;&gt;"", TEXT($AU212, "MMMM"), ""), Income!$C:$C, YEAR($AU212))</f>
        <v>0</v>
      </c>
      <c r="BB212" s="345"/>
      <c r="BC212" s="345"/>
      <c r="BD212" s="345"/>
      <c r="BE212" s="345"/>
    </row>
    <row r="213" ht="13.5" customHeight="1">
      <c r="A213" s="436">
        <f>'Membership Application List'!A442</f>
        <v>45677.47202</v>
      </c>
      <c r="B213" s="437" t="str">
        <f t="shared" si="6"/>
        <v>January</v>
      </c>
      <c r="C213" s="437">
        <f t="shared" si="7"/>
        <v>2025</v>
      </c>
      <c r="D213" s="438" t="str">
        <f>'Membership Application List'!E442</f>
        <v>Isabel Silva</v>
      </c>
      <c r="E213" s="438">
        <f>IF('Membership Application List'!J442 = "Food/Litter Donation", 0, IF('Membership Application List'!J442 = "$15 Donation, Discord Verification", IF('Membership Application List'!N442 = TRUE, 15, 0)))</f>
        <v>15</v>
      </c>
      <c r="F213" s="438">
        <f>if('Membership Application List'!K442=TRUE, 5,0)</f>
        <v>0</v>
      </c>
      <c r="G213" s="438">
        <f t="shared" si="8"/>
        <v>15</v>
      </c>
      <c r="H213" s="439" t="str">
        <f>'Membership Application List'!L442</f>
        <v>Venmo</v>
      </c>
      <c r="I213" s="428"/>
      <c r="J213" s="463">
        <v>50222.0</v>
      </c>
      <c r="K213" s="464">
        <f t="shared" ref="K213:O213" si="171">SUMIFS($G:$G, $H:$H, K$2, $B:$B, IF($J213&lt;&gt;"", TEXT($J213, "MMMM"), ""), $C:$C, YEAR($J213))</f>
        <v>0</v>
      </c>
      <c r="L213" s="464">
        <f t="shared" si="171"/>
        <v>0</v>
      </c>
      <c r="M213" s="464">
        <f t="shared" si="171"/>
        <v>0</v>
      </c>
      <c r="N213" s="464">
        <f t="shared" si="171"/>
        <v>0</v>
      </c>
      <c r="O213" s="465">
        <f t="shared" si="171"/>
        <v>0</v>
      </c>
      <c r="P213" s="414"/>
      <c r="Q213" s="414"/>
      <c r="R213" s="414"/>
      <c r="S213" s="445"/>
      <c r="T213" s="445"/>
      <c r="U213" s="445"/>
      <c r="V213" s="428"/>
      <c r="W213" s="463">
        <v>50222.0</v>
      </c>
      <c r="X213" s="469">
        <f>SUMIFS(Income!$G:$G,Income!$H:$H, X$2,Income!$F:$F, $V$1, Income!$B:$B, IF($W213&lt;&gt;"", TEXT($W213, "MMMM"), ""), Income!$C:$C, YEAR($W213))</f>
        <v>0</v>
      </c>
      <c r="Y213" s="469">
        <f>SUMIFS(Income!$G:$G,Income!$H:$H, Y$2,Income!$F:$F, $V$1, Income!$B:$B, IF($W213&lt;&gt;"", TEXT($W213, "MMMM"), ""), Income!$C:$C, YEAR($W213))</f>
        <v>0</v>
      </c>
      <c r="Z213" s="469">
        <f>SUMIFS(Income!$G:$G,Income!$H:$H, Z$2,Income!$F:$F, $V$1, Income!$B:$B, IF($W213&lt;&gt;"", TEXT($W213, "MMMM"), ""), Income!$C:$C, YEAR($W213))</f>
        <v>0</v>
      </c>
      <c r="AA213" s="469">
        <f>SUMIFS(Income!$G:$G,Income!$H:$H, AA$2,Income!$F:$F, $V$1, Income!$B:$B, IF($W213&lt;&gt;"", TEXT($W213, "MMMM"), ""), Income!$C:$C, YEAR($W213))</f>
        <v>0</v>
      </c>
      <c r="AB213" s="464">
        <f>SUMIFS(Income!$G:$G,Income!$H:$H, AB$2,Income!$F:$F, $V$1, Income!$B:$B, IF($W213&lt;&gt;"", TEXT($W213, "MMMM"), ""), Income!$C:$C, YEAR($W213))</f>
        <v>0</v>
      </c>
      <c r="AC213" s="470">
        <f>SUMIFS(Income!$G:$G,Income!$H:$H, AC$2,Income!$F:$F, $V$1, Income!$B:$B, IF($W213&lt;&gt;"", TEXT($W213, "MMMM"), ""), Income!$C:$C, YEAR($W213))</f>
        <v>0</v>
      </c>
      <c r="AD213" s="428"/>
      <c r="AE213" s="463">
        <v>50222.0</v>
      </c>
      <c r="AF213" s="469">
        <f>SUMIFS(Income!$G:$G,Income!$H:$H, AF$2,Income!$F:$F, $AD$1, Income!$B:$B, IF($AE213&lt;&gt;"", TEXT($AE213, "MMMM"), ""), Income!$C:$C, YEAR($AE213))</f>
        <v>0</v>
      </c>
      <c r="AG213" s="469">
        <f>SUMIFS(Income!$G:$G,Income!$H:$H, AG$2,Income!$F:$F, $AD$1, Income!$B:$B, IF($AE213&lt;&gt;"", TEXT($AE213, "MMMM"), ""), Income!$C:$C, YEAR($AE213))</f>
        <v>0</v>
      </c>
      <c r="AH213" s="469">
        <f>SUMIFS(Income!$G:$G,Income!$H:$H, AH$2,Income!$F:$F, $AD$1, Income!$B:$B, IF($AE213&lt;&gt;"", TEXT($AE213, "MMMM"), ""), Income!$C:$C, YEAR($AE213))</f>
        <v>0</v>
      </c>
      <c r="AI213" s="469">
        <f>SUMIFS(Income!$G:$G,Income!$H:$H, AI$2,Income!$F:$F, $AD$1, Income!$B:$B, IF($AE213&lt;&gt;"", TEXT($AE213, "MMMM"), ""), Income!$C:$C, YEAR($AE213))</f>
        <v>0</v>
      </c>
      <c r="AJ213" s="464">
        <f>SUMIFS(Income!$G:$G,Income!$H:$H, AJ$2,Income!$F:$F, $AD$1, Income!$B:$B, IF($AE213&lt;&gt;"", TEXT($AE213, "MMMM"), ""), Income!$C:$C, YEAR($AE213))</f>
        <v>0</v>
      </c>
      <c r="AK213" s="470">
        <f>SUMIFS(Income!$G:$G,Income!$H:$H, AK$2,Income!$F:$F, $AD$1, Income!$B:$B, IF($AE213&lt;&gt;"", TEXT($AE213, "MMMM"), ""), Income!$C:$C, YEAR($AE213))</f>
        <v>0</v>
      </c>
      <c r="AL213" s="428"/>
      <c r="AM213" s="463">
        <v>50222.0</v>
      </c>
      <c r="AN213" s="464">
        <f>SUMIFS(Income!$G:$G,Income!$H:$H, AN$2,Income!$F:$F, $AL$1, Income!$B:$B, IF($AM213&lt;&gt;"", TEXT($AM213, "MMMM"), ""), Income!$C:$C, YEAR($AM213))+SUMIFS($T:$T, $U:$U,AN$2,$Q:$Q,IF($AM213&lt;&gt;"", TEXT($AM213, "MMMM"), ""),$R:$R,YEAR($AM213))</f>
        <v>0</v>
      </c>
      <c r="AO213" s="464">
        <f>SUMIFS(Income!$G:$G,Income!$H:$H, AO$2,Income!$F:$F, $AL$1, Income!$B:$B, IF($AM213&lt;&gt;"", TEXT($AM213, "MMMM"), ""), Income!$C:$C, YEAR($AM213))+SUMIFS($T:$T, $U:$U,AO$2,$Q:$Q,IF($AM213&lt;&gt;"", TEXT($AM213, "MMMM"), ""),$R:$R,YEAR($AM213))</f>
        <v>0</v>
      </c>
      <c r="AP213" s="464">
        <f>SUMIFS(Income!$G:$G,Income!$H:$H, AP$2,Income!$F:$F, $AL$1, Income!$B:$B, IF($AM213&lt;&gt;"", TEXT($AM213, "MMMM"), ""), Income!$C:$C, YEAR($AM213))+SUMIFS($T:$T, $U:$U,AP$2,$Q:$Q,IF($AM213&lt;&gt;"", TEXT($AM213, "MMMM"), ""),$R:$R,YEAR($AM213))</f>
        <v>0</v>
      </c>
      <c r="AQ213" s="464">
        <f>SUMIFS(Income!$G:$G,Income!$H:$H, AQ$2,Income!$F:$F, $AL$1, Income!$B:$B, IF($AM213&lt;&gt;"", TEXT($AM213, "MMMM"), ""), Income!$C:$C, YEAR($AM213))+SUMIFS($T:$T, $U:$U,AQ$2,$Q:$Q,IF($AM213&lt;&gt;"", TEXT($AM213, "MMMM"), ""),$R:$R,YEAR($AM213))</f>
        <v>0</v>
      </c>
      <c r="AR213" s="464">
        <f>SUMIFS(Income!$G:$G,Income!$H:$H, AR$2,Income!$F:$F, $AL$1, Income!$B:$B, IF($AM213&lt;&gt;"", TEXT($AM213, "MMMM"), ""), Income!$C:$C, YEAR($AM213))+SUMIFS($T:$T, $U:$U,AR$2,$Q:$Q,IF($AM213&lt;&gt;"", TEXT($AM213, "MMMM"), ""),$R:$R,YEAR($AM213))</f>
        <v>0</v>
      </c>
      <c r="AS213" s="467">
        <f>SUMIFS(Income!$G:$G,Income!$H:$H, AS$2,Income!$F:$F, $AL$1, Income!$B:$B, IF($AM213&lt;&gt;"", TEXT($AM213, "MMMM"), ""), Income!$C:$C, YEAR($AM213))+SUMIFS($T:$T, $U:$U,AS$2,$Q:$Q,IF($AM213&lt;&gt;"", TEXT($AM213, "MMMM"), ""),$R:$R,YEAR($AM213))</f>
        <v>0</v>
      </c>
      <c r="AT213" s="428"/>
      <c r="AU213" s="463">
        <v>50222.0</v>
      </c>
      <c r="AV213" s="469">
        <f>SUMIFS(Income!$G:$G,Income!$H:$H, AV$2,Income!$F:$F, $AT$1, Income!$B:$B, IF($AU213&lt;&gt;"", TEXT($AU213, "MMMM"), ""), Income!$C:$C, YEAR($AU213))</f>
        <v>0</v>
      </c>
      <c r="AW213" s="469">
        <f>SUMIFS(Income!$G:$G,Income!$H:$H, AW$2,Income!$F:$F, $AT$1, Income!$B:$B, IF($AU213&lt;&gt;"", TEXT($AU213, "MMMM"), ""), Income!$C:$C, YEAR($AU213))</f>
        <v>0</v>
      </c>
      <c r="AX213" s="469">
        <f>SUMIFS(Income!$G:$G,Income!$H:$H, AX$2,Income!$F:$F, $AT$1, Income!$B:$B, IF($AU213&lt;&gt;"", TEXT($AU213, "MMMM"), ""), Income!$C:$C, YEAR($AU213))</f>
        <v>0</v>
      </c>
      <c r="AY213" s="469">
        <f>SUMIFS(Income!$G:$G,Income!$H:$H, AY$2,Income!$F:$F, $AT$1, Income!$B:$B, IF($AU213&lt;&gt;"", TEXT($AU213, "MMMM"), ""), Income!$C:$C, YEAR($AU213))</f>
        <v>0</v>
      </c>
      <c r="AZ213" s="464">
        <f>SUMIFS(Income!$G:$G,Income!$H:$H, AZ$2,Income!$F:$F, $AT$1, Income!$B:$B, IF($AU213&lt;&gt;"", TEXT($AU213, "MMMM"), ""), Income!$C:$C, YEAR($AU213))</f>
        <v>0</v>
      </c>
      <c r="BA213" s="471">
        <f>SUMIFS(Income!$G:$G,Income!$H:$H, BA$2,Income!$F:$F, $AT$1, Income!$B:$B, IF($AU213&lt;&gt;"", TEXT($AU213, "MMMM"), ""), Income!$C:$C, YEAR($AU213))</f>
        <v>0</v>
      </c>
      <c r="BB213" s="345"/>
      <c r="BC213" s="345"/>
      <c r="BD213" s="345"/>
      <c r="BE213" s="345"/>
    </row>
    <row r="214" ht="13.5" customHeight="1">
      <c r="A214" s="424">
        <f>'Membership Application List'!A443</f>
        <v>45677.71501</v>
      </c>
      <c r="B214" s="443" t="str">
        <f t="shared" si="6"/>
        <v>January</v>
      </c>
      <c r="C214" s="443">
        <f t="shared" si="7"/>
        <v>2025</v>
      </c>
      <c r="D214" s="426" t="str">
        <f>'Membership Application List'!E443</f>
        <v>Celeste Smith</v>
      </c>
      <c r="E214" s="426">
        <f>IF('Membership Application List'!J443 = "Food/Litter Donation", 0, IF('Membership Application List'!J443 = "$15 Donation, Discord Verification", IF('Membership Application List'!N443 = TRUE, 15, 0)))</f>
        <v>15</v>
      </c>
      <c r="F214" s="426">
        <f>if('Membership Application List'!K443=TRUE, 5,0)</f>
        <v>0</v>
      </c>
      <c r="G214" s="426">
        <f t="shared" si="8"/>
        <v>15</v>
      </c>
      <c r="H214" s="427" t="str">
        <f>'Membership Application List'!L443</f>
        <v>Cashapp</v>
      </c>
      <c r="I214" s="428"/>
      <c r="J214" s="463">
        <v>50253.0</v>
      </c>
      <c r="K214" s="464">
        <f t="shared" ref="K214:O214" si="172">SUMIFS($G:$G, $H:$H, K$2, $B:$B, IF($J214&lt;&gt;"", TEXT($J214, "MMMM"), ""), $C:$C, YEAR($J214))</f>
        <v>0</v>
      </c>
      <c r="L214" s="464">
        <f t="shared" si="172"/>
        <v>0</v>
      </c>
      <c r="M214" s="464">
        <f t="shared" si="172"/>
        <v>0</v>
      </c>
      <c r="N214" s="464">
        <f t="shared" si="172"/>
        <v>0</v>
      </c>
      <c r="O214" s="465">
        <f t="shared" si="172"/>
        <v>0</v>
      </c>
      <c r="P214" s="414"/>
      <c r="Q214" s="414"/>
      <c r="R214" s="414"/>
      <c r="S214" s="445"/>
      <c r="T214" s="445"/>
      <c r="U214" s="445"/>
      <c r="V214" s="428"/>
      <c r="W214" s="463">
        <v>50253.0</v>
      </c>
      <c r="X214" s="469">
        <f>SUMIFS(Income!$G:$G,Income!$H:$H, X$2,Income!$F:$F, $V$1, Income!$B:$B, IF($W214&lt;&gt;"", TEXT($W214, "MMMM"), ""), Income!$C:$C, YEAR($W214))</f>
        <v>0</v>
      </c>
      <c r="Y214" s="469">
        <f>SUMIFS(Income!$G:$G,Income!$H:$H, Y$2,Income!$F:$F, $V$1, Income!$B:$B, IF($W214&lt;&gt;"", TEXT($W214, "MMMM"), ""), Income!$C:$C, YEAR($W214))</f>
        <v>0</v>
      </c>
      <c r="Z214" s="469">
        <f>SUMIFS(Income!$G:$G,Income!$H:$H, Z$2,Income!$F:$F, $V$1, Income!$B:$B, IF($W214&lt;&gt;"", TEXT($W214, "MMMM"), ""), Income!$C:$C, YEAR($W214))</f>
        <v>0</v>
      </c>
      <c r="AA214" s="469">
        <f>SUMIFS(Income!$G:$G,Income!$H:$H, AA$2,Income!$F:$F, $V$1, Income!$B:$B, IF($W214&lt;&gt;"", TEXT($W214, "MMMM"), ""), Income!$C:$C, YEAR($W214))</f>
        <v>0</v>
      </c>
      <c r="AB214" s="464">
        <f>SUMIFS(Income!$G:$G,Income!$H:$H, AB$2,Income!$F:$F, $V$1, Income!$B:$B, IF($W214&lt;&gt;"", TEXT($W214, "MMMM"), ""), Income!$C:$C, YEAR($W214))</f>
        <v>0</v>
      </c>
      <c r="AC214" s="470">
        <f>SUMIFS(Income!$G:$G,Income!$H:$H, AC$2,Income!$F:$F, $V$1, Income!$B:$B, IF($W214&lt;&gt;"", TEXT($W214, "MMMM"), ""), Income!$C:$C, YEAR($W214))</f>
        <v>0</v>
      </c>
      <c r="AD214" s="428"/>
      <c r="AE214" s="463">
        <v>50253.0</v>
      </c>
      <c r="AF214" s="469">
        <f>SUMIFS(Income!$G:$G,Income!$H:$H, AF$2,Income!$F:$F, $AD$1, Income!$B:$B, IF($AE214&lt;&gt;"", TEXT($AE214, "MMMM"), ""), Income!$C:$C, YEAR($AE214))</f>
        <v>0</v>
      </c>
      <c r="AG214" s="469">
        <f>SUMIFS(Income!$G:$G,Income!$H:$H, AG$2,Income!$F:$F, $AD$1, Income!$B:$B, IF($AE214&lt;&gt;"", TEXT($AE214, "MMMM"), ""), Income!$C:$C, YEAR($AE214))</f>
        <v>0</v>
      </c>
      <c r="AH214" s="469">
        <f>SUMIFS(Income!$G:$G,Income!$H:$H, AH$2,Income!$F:$F, $AD$1, Income!$B:$B, IF($AE214&lt;&gt;"", TEXT($AE214, "MMMM"), ""), Income!$C:$C, YEAR($AE214))</f>
        <v>0</v>
      </c>
      <c r="AI214" s="469">
        <f>SUMIFS(Income!$G:$G,Income!$H:$H, AI$2,Income!$F:$F, $AD$1, Income!$B:$B, IF($AE214&lt;&gt;"", TEXT($AE214, "MMMM"), ""), Income!$C:$C, YEAR($AE214))</f>
        <v>0</v>
      </c>
      <c r="AJ214" s="464">
        <f>SUMIFS(Income!$G:$G,Income!$H:$H, AJ$2,Income!$F:$F, $AD$1, Income!$B:$B, IF($AE214&lt;&gt;"", TEXT($AE214, "MMMM"), ""), Income!$C:$C, YEAR($AE214))</f>
        <v>0</v>
      </c>
      <c r="AK214" s="470">
        <f>SUMIFS(Income!$G:$G,Income!$H:$H, AK$2,Income!$F:$F, $AD$1, Income!$B:$B, IF($AE214&lt;&gt;"", TEXT($AE214, "MMMM"), ""), Income!$C:$C, YEAR($AE214))</f>
        <v>0</v>
      </c>
      <c r="AL214" s="428"/>
      <c r="AM214" s="463">
        <v>50253.0</v>
      </c>
      <c r="AN214" s="464">
        <f>SUMIFS(Income!$G:$G,Income!$H:$H, AN$2,Income!$F:$F, $AL$1, Income!$B:$B, IF($AM214&lt;&gt;"", TEXT($AM214, "MMMM"), ""), Income!$C:$C, YEAR($AM214))+SUMIFS($T:$T, $U:$U,AN$2,$Q:$Q,IF($AM214&lt;&gt;"", TEXT($AM214, "MMMM"), ""),$R:$R,YEAR($AM214))</f>
        <v>0</v>
      </c>
      <c r="AO214" s="464">
        <f>SUMIFS(Income!$G:$G,Income!$H:$H, AO$2,Income!$F:$F, $AL$1, Income!$B:$B, IF($AM214&lt;&gt;"", TEXT($AM214, "MMMM"), ""), Income!$C:$C, YEAR($AM214))+SUMIFS($T:$T, $U:$U,AO$2,$Q:$Q,IF($AM214&lt;&gt;"", TEXT($AM214, "MMMM"), ""),$R:$R,YEAR($AM214))</f>
        <v>0</v>
      </c>
      <c r="AP214" s="464">
        <f>SUMIFS(Income!$G:$G,Income!$H:$H, AP$2,Income!$F:$F, $AL$1, Income!$B:$B, IF($AM214&lt;&gt;"", TEXT($AM214, "MMMM"), ""), Income!$C:$C, YEAR($AM214))+SUMIFS($T:$T, $U:$U,AP$2,$Q:$Q,IF($AM214&lt;&gt;"", TEXT($AM214, "MMMM"), ""),$R:$R,YEAR($AM214))</f>
        <v>0</v>
      </c>
      <c r="AQ214" s="464">
        <f>SUMIFS(Income!$G:$G,Income!$H:$H, AQ$2,Income!$F:$F, $AL$1, Income!$B:$B, IF($AM214&lt;&gt;"", TEXT($AM214, "MMMM"), ""), Income!$C:$C, YEAR($AM214))+SUMIFS($T:$T, $U:$U,AQ$2,$Q:$Q,IF($AM214&lt;&gt;"", TEXT($AM214, "MMMM"), ""),$R:$R,YEAR($AM214))</f>
        <v>0</v>
      </c>
      <c r="AR214" s="464">
        <f>SUMIFS(Income!$G:$G,Income!$H:$H, AR$2,Income!$F:$F, $AL$1, Income!$B:$B, IF($AM214&lt;&gt;"", TEXT($AM214, "MMMM"), ""), Income!$C:$C, YEAR($AM214))+SUMIFS($T:$T, $U:$U,AR$2,$Q:$Q,IF($AM214&lt;&gt;"", TEXT($AM214, "MMMM"), ""),$R:$R,YEAR($AM214))</f>
        <v>0</v>
      </c>
      <c r="AS214" s="467">
        <f>SUMIFS(Income!$G:$G,Income!$H:$H, AS$2,Income!$F:$F, $AL$1, Income!$B:$B, IF($AM214&lt;&gt;"", TEXT($AM214, "MMMM"), ""), Income!$C:$C, YEAR($AM214))+SUMIFS($T:$T, $U:$U,AS$2,$Q:$Q,IF($AM214&lt;&gt;"", TEXT($AM214, "MMMM"), ""),$R:$R,YEAR($AM214))</f>
        <v>0</v>
      </c>
      <c r="AT214" s="428"/>
      <c r="AU214" s="463">
        <v>50253.0</v>
      </c>
      <c r="AV214" s="469">
        <f>SUMIFS(Income!$G:$G,Income!$H:$H, AV$2,Income!$F:$F, $AT$1, Income!$B:$B, IF($AU214&lt;&gt;"", TEXT($AU214, "MMMM"), ""), Income!$C:$C, YEAR($AU214))</f>
        <v>0</v>
      </c>
      <c r="AW214" s="469">
        <f>SUMIFS(Income!$G:$G,Income!$H:$H, AW$2,Income!$F:$F, $AT$1, Income!$B:$B, IF($AU214&lt;&gt;"", TEXT($AU214, "MMMM"), ""), Income!$C:$C, YEAR($AU214))</f>
        <v>0</v>
      </c>
      <c r="AX214" s="469">
        <f>SUMIFS(Income!$G:$G,Income!$H:$H, AX$2,Income!$F:$F, $AT$1, Income!$B:$B, IF($AU214&lt;&gt;"", TEXT($AU214, "MMMM"), ""), Income!$C:$C, YEAR($AU214))</f>
        <v>0</v>
      </c>
      <c r="AY214" s="469">
        <f>SUMIFS(Income!$G:$G,Income!$H:$H, AY$2,Income!$F:$F, $AT$1, Income!$B:$B, IF($AU214&lt;&gt;"", TEXT($AU214, "MMMM"), ""), Income!$C:$C, YEAR($AU214))</f>
        <v>0</v>
      </c>
      <c r="AZ214" s="464">
        <f>SUMIFS(Income!$G:$G,Income!$H:$H, AZ$2,Income!$F:$F, $AT$1, Income!$B:$B, IF($AU214&lt;&gt;"", TEXT($AU214, "MMMM"), ""), Income!$C:$C, YEAR($AU214))</f>
        <v>0</v>
      </c>
      <c r="BA214" s="471">
        <f>SUMIFS(Income!$G:$G,Income!$H:$H, BA$2,Income!$F:$F, $AT$1, Income!$B:$B, IF($AU214&lt;&gt;"", TEXT($AU214, "MMMM"), ""), Income!$C:$C, YEAR($AU214))</f>
        <v>0</v>
      </c>
      <c r="BB214" s="345"/>
      <c r="BC214" s="345"/>
      <c r="BD214" s="345"/>
      <c r="BE214" s="345"/>
    </row>
    <row r="215" ht="13.5" customHeight="1">
      <c r="A215" s="436">
        <f>'Membership Application List'!A444</f>
        <v>45677.73088</v>
      </c>
      <c r="B215" s="437" t="str">
        <f t="shared" si="6"/>
        <v>January</v>
      </c>
      <c r="C215" s="437">
        <f t="shared" si="7"/>
        <v>2025</v>
      </c>
      <c r="D215" s="438" t="str">
        <f>'Membership Application List'!E444</f>
        <v>Dorcha Whitney </v>
      </c>
      <c r="E215" s="438">
        <f>IF('Membership Application List'!J444 = "Food/Litter Donation", 0, IF('Membership Application List'!J444 = "$15 Donation, Discord Verification", IF('Membership Application List'!N444 = TRUE, 15, 0)))</f>
        <v>0</v>
      </c>
      <c r="F215" s="438">
        <f>if('Membership Application List'!K444=TRUE, 5,0)</f>
        <v>0</v>
      </c>
      <c r="G215" s="438">
        <f t="shared" si="8"/>
        <v>0</v>
      </c>
      <c r="H215" s="439" t="str">
        <f>'Membership Application List'!L444</f>
        <v/>
      </c>
      <c r="I215" s="428"/>
      <c r="J215" s="463">
        <v>50284.0</v>
      </c>
      <c r="K215" s="464">
        <f t="shared" ref="K215:O215" si="173">SUMIFS($G:$G, $H:$H, K$2, $B:$B, IF($J215&lt;&gt;"", TEXT($J215, "MMMM"), ""), $C:$C, YEAR($J215))</f>
        <v>0</v>
      </c>
      <c r="L215" s="464">
        <f t="shared" si="173"/>
        <v>0</v>
      </c>
      <c r="M215" s="464">
        <f t="shared" si="173"/>
        <v>0</v>
      </c>
      <c r="N215" s="464">
        <f t="shared" si="173"/>
        <v>0</v>
      </c>
      <c r="O215" s="465">
        <f t="shared" si="173"/>
        <v>0</v>
      </c>
      <c r="P215" s="414"/>
      <c r="Q215" s="414"/>
      <c r="R215" s="414"/>
      <c r="S215" s="445"/>
      <c r="T215" s="445"/>
      <c r="U215" s="445"/>
      <c r="V215" s="428"/>
      <c r="W215" s="463">
        <v>50284.0</v>
      </c>
      <c r="X215" s="469">
        <f>SUMIFS(Income!$G:$G,Income!$H:$H, X$2,Income!$F:$F, $V$1, Income!$B:$B, IF($W215&lt;&gt;"", TEXT($W215, "MMMM"), ""), Income!$C:$C, YEAR($W215))</f>
        <v>0</v>
      </c>
      <c r="Y215" s="469">
        <f>SUMIFS(Income!$G:$G,Income!$H:$H, Y$2,Income!$F:$F, $V$1, Income!$B:$B, IF($W215&lt;&gt;"", TEXT($W215, "MMMM"), ""), Income!$C:$C, YEAR($W215))</f>
        <v>0</v>
      </c>
      <c r="Z215" s="469">
        <f>SUMIFS(Income!$G:$G,Income!$H:$H, Z$2,Income!$F:$F, $V$1, Income!$B:$B, IF($W215&lt;&gt;"", TEXT($W215, "MMMM"), ""), Income!$C:$C, YEAR($W215))</f>
        <v>0</v>
      </c>
      <c r="AA215" s="469">
        <f>SUMIFS(Income!$G:$G,Income!$H:$H, AA$2,Income!$F:$F, $V$1, Income!$B:$B, IF($W215&lt;&gt;"", TEXT($W215, "MMMM"), ""), Income!$C:$C, YEAR($W215))</f>
        <v>0</v>
      </c>
      <c r="AB215" s="464">
        <f>SUMIFS(Income!$G:$G,Income!$H:$H, AB$2,Income!$F:$F, $V$1, Income!$B:$B, IF($W215&lt;&gt;"", TEXT($W215, "MMMM"), ""), Income!$C:$C, YEAR($W215))</f>
        <v>0</v>
      </c>
      <c r="AC215" s="470">
        <f>SUMIFS(Income!$G:$G,Income!$H:$H, AC$2,Income!$F:$F, $V$1, Income!$B:$B, IF($W215&lt;&gt;"", TEXT($W215, "MMMM"), ""), Income!$C:$C, YEAR($W215))</f>
        <v>0</v>
      </c>
      <c r="AD215" s="428"/>
      <c r="AE215" s="463">
        <v>50284.0</v>
      </c>
      <c r="AF215" s="469">
        <f>SUMIFS(Income!$G:$G,Income!$H:$H, AF$2,Income!$F:$F, $AD$1, Income!$B:$B, IF($AE215&lt;&gt;"", TEXT($AE215, "MMMM"), ""), Income!$C:$C, YEAR($AE215))</f>
        <v>0</v>
      </c>
      <c r="AG215" s="469">
        <f>SUMIFS(Income!$G:$G,Income!$H:$H, AG$2,Income!$F:$F, $AD$1, Income!$B:$B, IF($AE215&lt;&gt;"", TEXT($AE215, "MMMM"), ""), Income!$C:$C, YEAR($AE215))</f>
        <v>0</v>
      </c>
      <c r="AH215" s="469">
        <f>SUMIFS(Income!$G:$G,Income!$H:$H, AH$2,Income!$F:$F, $AD$1, Income!$B:$B, IF($AE215&lt;&gt;"", TEXT($AE215, "MMMM"), ""), Income!$C:$C, YEAR($AE215))</f>
        <v>0</v>
      </c>
      <c r="AI215" s="469">
        <f>SUMIFS(Income!$G:$G,Income!$H:$H, AI$2,Income!$F:$F, $AD$1, Income!$B:$B, IF($AE215&lt;&gt;"", TEXT($AE215, "MMMM"), ""), Income!$C:$C, YEAR($AE215))</f>
        <v>0</v>
      </c>
      <c r="AJ215" s="464">
        <f>SUMIFS(Income!$G:$G,Income!$H:$H, AJ$2,Income!$F:$F, $AD$1, Income!$B:$B, IF($AE215&lt;&gt;"", TEXT($AE215, "MMMM"), ""), Income!$C:$C, YEAR($AE215))</f>
        <v>0</v>
      </c>
      <c r="AK215" s="470">
        <f>SUMIFS(Income!$G:$G,Income!$H:$H, AK$2,Income!$F:$F, $AD$1, Income!$B:$B, IF($AE215&lt;&gt;"", TEXT($AE215, "MMMM"), ""), Income!$C:$C, YEAR($AE215))</f>
        <v>0</v>
      </c>
      <c r="AL215" s="428"/>
      <c r="AM215" s="463">
        <v>50284.0</v>
      </c>
      <c r="AN215" s="464">
        <f>SUMIFS(Income!$G:$G,Income!$H:$H, AN$2,Income!$F:$F, $AL$1, Income!$B:$B, IF($AM215&lt;&gt;"", TEXT($AM215, "MMMM"), ""), Income!$C:$C, YEAR($AM215))+SUMIFS($T:$T, $U:$U,AN$2,$Q:$Q,IF($AM215&lt;&gt;"", TEXT($AM215, "MMMM"), ""),$R:$R,YEAR($AM215))</f>
        <v>0</v>
      </c>
      <c r="AO215" s="464">
        <f>SUMIFS(Income!$G:$G,Income!$H:$H, AO$2,Income!$F:$F, $AL$1, Income!$B:$B, IF($AM215&lt;&gt;"", TEXT($AM215, "MMMM"), ""), Income!$C:$C, YEAR($AM215))+SUMIFS($T:$T, $U:$U,AO$2,$Q:$Q,IF($AM215&lt;&gt;"", TEXT($AM215, "MMMM"), ""),$R:$R,YEAR($AM215))</f>
        <v>0</v>
      </c>
      <c r="AP215" s="464">
        <f>SUMIFS(Income!$G:$G,Income!$H:$H, AP$2,Income!$F:$F, $AL$1, Income!$B:$B, IF($AM215&lt;&gt;"", TEXT($AM215, "MMMM"), ""), Income!$C:$C, YEAR($AM215))+SUMIFS($T:$T, $U:$U,AP$2,$Q:$Q,IF($AM215&lt;&gt;"", TEXT($AM215, "MMMM"), ""),$R:$R,YEAR($AM215))</f>
        <v>0</v>
      </c>
      <c r="AQ215" s="464">
        <f>SUMIFS(Income!$G:$G,Income!$H:$H, AQ$2,Income!$F:$F, $AL$1, Income!$B:$B, IF($AM215&lt;&gt;"", TEXT($AM215, "MMMM"), ""), Income!$C:$C, YEAR($AM215))+SUMIFS($T:$T, $U:$U,AQ$2,$Q:$Q,IF($AM215&lt;&gt;"", TEXT($AM215, "MMMM"), ""),$R:$R,YEAR($AM215))</f>
        <v>0</v>
      </c>
      <c r="AR215" s="464">
        <f>SUMIFS(Income!$G:$G,Income!$H:$H, AR$2,Income!$F:$F, $AL$1, Income!$B:$B, IF($AM215&lt;&gt;"", TEXT($AM215, "MMMM"), ""), Income!$C:$C, YEAR($AM215))+SUMIFS($T:$T, $U:$U,AR$2,$Q:$Q,IF($AM215&lt;&gt;"", TEXT($AM215, "MMMM"), ""),$R:$R,YEAR($AM215))</f>
        <v>0</v>
      </c>
      <c r="AS215" s="467">
        <f>SUMIFS(Income!$G:$G,Income!$H:$H, AS$2,Income!$F:$F, $AL$1, Income!$B:$B, IF($AM215&lt;&gt;"", TEXT($AM215, "MMMM"), ""), Income!$C:$C, YEAR($AM215))+SUMIFS($T:$T, $U:$U,AS$2,$Q:$Q,IF($AM215&lt;&gt;"", TEXT($AM215, "MMMM"), ""),$R:$R,YEAR($AM215))</f>
        <v>0</v>
      </c>
      <c r="AT215" s="428"/>
      <c r="AU215" s="463">
        <v>50284.0</v>
      </c>
      <c r="AV215" s="469">
        <f>SUMIFS(Income!$G:$G,Income!$H:$H, AV$2,Income!$F:$F, $AT$1, Income!$B:$B, IF($AU215&lt;&gt;"", TEXT($AU215, "MMMM"), ""), Income!$C:$C, YEAR($AU215))</f>
        <v>0</v>
      </c>
      <c r="AW215" s="469">
        <f>SUMIFS(Income!$G:$G,Income!$H:$H, AW$2,Income!$F:$F, $AT$1, Income!$B:$B, IF($AU215&lt;&gt;"", TEXT($AU215, "MMMM"), ""), Income!$C:$C, YEAR($AU215))</f>
        <v>0</v>
      </c>
      <c r="AX215" s="469">
        <f>SUMIFS(Income!$G:$G,Income!$H:$H, AX$2,Income!$F:$F, $AT$1, Income!$B:$B, IF($AU215&lt;&gt;"", TEXT($AU215, "MMMM"), ""), Income!$C:$C, YEAR($AU215))</f>
        <v>0</v>
      </c>
      <c r="AY215" s="469">
        <f>SUMIFS(Income!$G:$G,Income!$H:$H, AY$2,Income!$F:$F, $AT$1, Income!$B:$B, IF($AU215&lt;&gt;"", TEXT($AU215, "MMMM"), ""), Income!$C:$C, YEAR($AU215))</f>
        <v>0</v>
      </c>
      <c r="AZ215" s="464">
        <f>SUMIFS(Income!$G:$G,Income!$H:$H, AZ$2,Income!$F:$F, $AT$1, Income!$B:$B, IF($AU215&lt;&gt;"", TEXT($AU215, "MMMM"), ""), Income!$C:$C, YEAR($AU215))</f>
        <v>0</v>
      </c>
      <c r="BA215" s="471">
        <f>SUMIFS(Income!$G:$G,Income!$H:$H, BA$2,Income!$F:$F, $AT$1, Income!$B:$B, IF($AU215&lt;&gt;"", TEXT($AU215, "MMMM"), ""), Income!$C:$C, YEAR($AU215))</f>
        <v>0</v>
      </c>
      <c r="BB215" s="345"/>
      <c r="BC215" s="345"/>
      <c r="BD215" s="345"/>
      <c r="BE215" s="345"/>
    </row>
    <row r="216" ht="13.5" customHeight="1">
      <c r="A216" s="424">
        <f>'Membership Application List'!A445</f>
        <v>45678.60585</v>
      </c>
      <c r="B216" s="443" t="str">
        <f t="shared" si="6"/>
        <v>January</v>
      </c>
      <c r="C216" s="443">
        <f t="shared" si="7"/>
        <v>2025</v>
      </c>
      <c r="D216" s="426" t="str">
        <f>'Membership Application List'!E445</f>
        <v>Eduardo Barrera</v>
      </c>
      <c r="E216" s="426">
        <f>IF('Membership Application List'!J445 = "Food/Litter Donation", 0, IF('Membership Application List'!J445 = "$15 Donation, Discord Verification", IF('Membership Application List'!N445 = TRUE, 15, 0)))</f>
        <v>15</v>
      </c>
      <c r="F216" s="426">
        <f>if('Membership Application List'!K445=TRUE, 5,0)</f>
        <v>0</v>
      </c>
      <c r="G216" s="426">
        <f t="shared" si="8"/>
        <v>15</v>
      </c>
      <c r="H216" s="427" t="str">
        <f>'Membership Application List'!L445</f>
        <v>Paypal</v>
      </c>
      <c r="I216" s="428"/>
      <c r="J216" s="463">
        <v>50314.0</v>
      </c>
      <c r="K216" s="464">
        <f t="shared" ref="K216:O216" si="174">SUMIFS($G:$G, $H:$H, K$2, $B:$B, IF($J216&lt;&gt;"", TEXT($J216, "MMMM"), ""), $C:$C, YEAR($J216))</f>
        <v>0</v>
      </c>
      <c r="L216" s="464">
        <f t="shared" si="174"/>
        <v>0</v>
      </c>
      <c r="M216" s="464">
        <f t="shared" si="174"/>
        <v>0</v>
      </c>
      <c r="N216" s="464">
        <f t="shared" si="174"/>
        <v>0</v>
      </c>
      <c r="O216" s="465">
        <f t="shared" si="174"/>
        <v>0</v>
      </c>
      <c r="P216" s="414"/>
      <c r="Q216" s="414"/>
      <c r="R216" s="414"/>
      <c r="S216" s="445"/>
      <c r="T216" s="445"/>
      <c r="U216" s="445"/>
      <c r="V216" s="428"/>
      <c r="W216" s="463">
        <v>50314.0</v>
      </c>
      <c r="X216" s="469">
        <f>SUMIFS(Income!$G:$G,Income!$H:$H, X$2,Income!$F:$F, $V$1, Income!$B:$B, IF($W216&lt;&gt;"", TEXT($W216, "MMMM"), ""), Income!$C:$C, YEAR($W216))</f>
        <v>0</v>
      </c>
      <c r="Y216" s="469">
        <f>SUMIFS(Income!$G:$G,Income!$H:$H, Y$2,Income!$F:$F, $V$1, Income!$B:$B, IF($W216&lt;&gt;"", TEXT($W216, "MMMM"), ""), Income!$C:$C, YEAR($W216))</f>
        <v>0</v>
      </c>
      <c r="Z216" s="469">
        <f>SUMIFS(Income!$G:$G,Income!$H:$H, Z$2,Income!$F:$F, $V$1, Income!$B:$B, IF($W216&lt;&gt;"", TEXT($W216, "MMMM"), ""), Income!$C:$C, YEAR($W216))</f>
        <v>0</v>
      </c>
      <c r="AA216" s="469">
        <f>SUMIFS(Income!$G:$G,Income!$H:$H, AA$2,Income!$F:$F, $V$1, Income!$B:$B, IF($W216&lt;&gt;"", TEXT($W216, "MMMM"), ""), Income!$C:$C, YEAR($W216))</f>
        <v>0</v>
      </c>
      <c r="AB216" s="464">
        <f>SUMIFS(Income!$G:$G,Income!$H:$H, AB$2,Income!$F:$F, $V$1, Income!$B:$B, IF($W216&lt;&gt;"", TEXT($W216, "MMMM"), ""), Income!$C:$C, YEAR($W216))</f>
        <v>0</v>
      </c>
      <c r="AC216" s="470">
        <f>SUMIFS(Income!$G:$G,Income!$H:$H, AC$2,Income!$F:$F, $V$1, Income!$B:$B, IF($W216&lt;&gt;"", TEXT($W216, "MMMM"), ""), Income!$C:$C, YEAR($W216))</f>
        <v>0</v>
      </c>
      <c r="AD216" s="428"/>
      <c r="AE216" s="463">
        <v>50314.0</v>
      </c>
      <c r="AF216" s="469">
        <f>SUMIFS(Income!$G:$G,Income!$H:$H, AF$2,Income!$F:$F, $AD$1, Income!$B:$B, IF($AE216&lt;&gt;"", TEXT($AE216, "MMMM"), ""), Income!$C:$C, YEAR($AE216))</f>
        <v>0</v>
      </c>
      <c r="AG216" s="469">
        <f>SUMIFS(Income!$G:$G,Income!$H:$H, AG$2,Income!$F:$F, $AD$1, Income!$B:$B, IF($AE216&lt;&gt;"", TEXT($AE216, "MMMM"), ""), Income!$C:$C, YEAR($AE216))</f>
        <v>0</v>
      </c>
      <c r="AH216" s="469">
        <f>SUMIFS(Income!$G:$G,Income!$H:$H, AH$2,Income!$F:$F, $AD$1, Income!$B:$B, IF($AE216&lt;&gt;"", TEXT($AE216, "MMMM"), ""), Income!$C:$C, YEAR($AE216))</f>
        <v>0</v>
      </c>
      <c r="AI216" s="469">
        <f>SUMIFS(Income!$G:$G,Income!$H:$H, AI$2,Income!$F:$F, $AD$1, Income!$B:$B, IF($AE216&lt;&gt;"", TEXT($AE216, "MMMM"), ""), Income!$C:$C, YEAR($AE216))</f>
        <v>0</v>
      </c>
      <c r="AJ216" s="464">
        <f>SUMIFS(Income!$G:$G,Income!$H:$H, AJ$2,Income!$F:$F, $AD$1, Income!$B:$B, IF($AE216&lt;&gt;"", TEXT($AE216, "MMMM"), ""), Income!$C:$C, YEAR($AE216))</f>
        <v>0</v>
      </c>
      <c r="AK216" s="470">
        <f>SUMIFS(Income!$G:$G,Income!$H:$H, AK$2,Income!$F:$F, $AD$1, Income!$B:$B, IF($AE216&lt;&gt;"", TEXT($AE216, "MMMM"), ""), Income!$C:$C, YEAR($AE216))</f>
        <v>0</v>
      </c>
      <c r="AL216" s="428"/>
      <c r="AM216" s="463">
        <v>50314.0</v>
      </c>
      <c r="AN216" s="464">
        <f>SUMIFS(Income!$G:$G,Income!$H:$H, AN$2,Income!$F:$F, $AL$1, Income!$B:$B, IF($AM216&lt;&gt;"", TEXT($AM216, "MMMM"), ""), Income!$C:$C, YEAR($AM216))+SUMIFS($T:$T, $U:$U,AN$2,$Q:$Q,IF($AM216&lt;&gt;"", TEXT($AM216, "MMMM"), ""),$R:$R,YEAR($AM216))</f>
        <v>0</v>
      </c>
      <c r="AO216" s="464">
        <f>SUMIFS(Income!$G:$G,Income!$H:$H, AO$2,Income!$F:$F, $AL$1, Income!$B:$B, IF($AM216&lt;&gt;"", TEXT($AM216, "MMMM"), ""), Income!$C:$C, YEAR($AM216))+SUMIFS($T:$T, $U:$U,AO$2,$Q:$Q,IF($AM216&lt;&gt;"", TEXT($AM216, "MMMM"), ""),$R:$R,YEAR($AM216))</f>
        <v>0</v>
      </c>
      <c r="AP216" s="464">
        <f>SUMIFS(Income!$G:$G,Income!$H:$H, AP$2,Income!$F:$F, $AL$1, Income!$B:$B, IF($AM216&lt;&gt;"", TEXT($AM216, "MMMM"), ""), Income!$C:$C, YEAR($AM216))+SUMIFS($T:$T, $U:$U,AP$2,$Q:$Q,IF($AM216&lt;&gt;"", TEXT($AM216, "MMMM"), ""),$R:$R,YEAR($AM216))</f>
        <v>0</v>
      </c>
      <c r="AQ216" s="464">
        <f>SUMIFS(Income!$G:$G,Income!$H:$H, AQ$2,Income!$F:$F, $AL$1, Income!$B:$B, IF($AM216&lt;&gt;"", TEXT($AM216, "MMMM"), ""), Income!$C:$C, YEAR($AM216))+SUMIFS($T:$T, $U:$U,AQ$2,$Q:$Q,IF($AM216&lt;&gt;"", TEXT($AM216, "MMMM"), ""),$R:$R,YEAR($AM216))</f>
        <v>0</v>
      </c>
      <c r="AR216" s="464">
        <f>SUMIFS(Income!$G:$G,Income!$H:$H, AR$2,Income!$F:$F, $AL$1, Income!$B:$B, IF($AM216&lt;&gt;"", TEXT($AM216, "MMMM"), ""), Income!$C:$C, YEAR($AM216))+SUMIFS($T:$T, $U:$U,AR$2,$Q:$Q,IF($AM216&lt;&gt;"", TEXT($AM216, "MMMM"), ""),$R:$R,YEAR($AM216))</f>
        <v>0</v>
      </c>
      <c r="AS216" s="467">
        <f>SUMIFS(Income!$G:$G,Income!$H:$H, AS$2,Income!$F:$F, $AL$1, Income!$B:$B, IF($AM216&lt;&gt;"", TEXT($AM216, "MMMM"), ""), Income!$C:$C, YEAR($AM216))+SUMIFS($T:$T, $U:$U,AS$2,$Q:$Q,IF($AM216&lt;&gt;"", TEXT($AM216, "MMMM"), ""),$R:$R,YEAR($AM216))</f>
        <v>0</v>
      </c>
      <c r="AT216" s="428"/>
      <c r="AU216" s="463">
        <v>50314.0</v>
      </c>
      <c r="AV216" s="469">
        <f>SUMIFS(Income!$G:$G,Income!$H:$H, AV$2,Income!$F:$F, $AT$1, Income!$B:$B, IF($AU216&lt;&gt;"", TEXT($AU216, "MMMM"), ""), Income!$C:$C, YEAR($AU216))</f>
        <v>0</v>
      </c>
      <c r="AW216" s="469">
        <f>SUMIFS(Income!$G:$G,Income!$H:$H, AW$2,Income!$F:$F, $AT$1, Income!$B:$B, IF($AU216&lt;&gt;"", TEXT($AU216, "MMMM"), ""), Income!$C:$C, YEAR($AU216))</f>
        <v>0</v>
      </c>
      <c r="AX216" s="469">
        <f>SUMIFS(Income!$G:$G,Income!$H:$H, AX$2,Income!$F:$F, $AT$1, Income!$B:$B, IF($AU216&lt;&gt;"", TEXT($AU216, "MMMM"), ""), Income!$C:$C, YEAR($AU216))</f>
        <v>0</v>
      </c>
      <c r="AY216" s="469">
        <f>SUMIFS(Income!$G:$G,Income!$H:$H, AY$2,Income!$F:$F, $AT$1, Income!$B:$B, IF($AU216&lt;&gt;"", TEXT($AU216, "MMMM"), ""), Income!$C:$C, YEAR($AU216))</f>
        <v>0</v>
      </c>
      <c r="AZ216" s="464">
        <f>SUMIFS(Income!$G:$G,Income!$H:$H, AZ$2,Income!$F:$F, $AT$1, Income!$B:$B, IF($AU216&lt;&gt;"", TEXT($AU216, "MMMM"), ""), Income!$C:$C, YEAR($AU216))</f>
        <v>0</v>
      </c>
      <c r="BA216" s="471">
        <f>SUMIFS(Income!$G:$G,Income!$H:$H, BA$2,Income!$F:$F, $AT$1, Income!$B:$B, IF($AU216&lt;&gt;"", TEXT($AU216, "MMMM"), ""), Income!$C:$C, YEAR($AU216))</f>
        <v>0</v>
      </c>
      <c r="BB216" s="345"/>
      <c r="BC216" s="345"/>
      <c r="BD216" s="345"/>
      <c r="BE216" s="345"/>
    </row>
    <row r="217" ht="13.5" customHeight="1">
      <c r="A217" s="436">
        <f>'Membership Application List'!A446</f>
        <v>45679.51563</v>
      </c>
      <c r="B217" s="437" t="str">
        <f t="shared" si="6"/>
        <v>January</v>
      </c>
      <c r="C217" s="437">
        <f t="shared" si="7"/>
        <v>2025</v>
      </c>
      <c r="D217" s="438" t="str">
        <f>'Membership Application List'!E446</f>
        <v>Han Gia Le</v>
      </c>
      <c r="E217" s="438">
        <f>IF('Membership Application List'!J446 = "Food/Litter Donation", 0, IF('Membership Application List'!J446 = "$15 Donation, Discord Verification", IF('Membership Application List'!N446 = TRUE, 15, 0)))</f>
        <v>15</v>
      </c>
      <c r="F217" s="438">
        <f>if('Membership Application List'!K446=TRUE, 5,0)</f>
        <v>0</v>
      </c>
      <c r="G217" s="438">
        <f t="shared" si="8"/>
        <v>15</v>
      </c>
      <c r="H217" s="439" t="str">
        <f>'Membership Application List'!L446</f>
        <v>Paypal</v>
      </c>
      <c r="I217" s="428"/>
      <c r="J217" s="463">
        <v>50345.0</v>
      </c>
      <c r="K217" s="464">
        <f t="shared" ref="K217:O217" si="175">SUMIFS($G:$G, $H:$H, K$2, $B:$B, IF($J217&lt;&gt;"", TEXT($J217, "MMMM"), ""), $C:$C, YEAR($J217))</f>
        <v>0</v>
      </c>
      <c r="L217" s="464">
        <f t="shared" si="175"/>
        <v>0</v>
      </c>
      <c r="M217" s="464">
        <f t="shared" si="175"/>
        <v>0</v>
      </c>
      <c r="N217" s="464">
        <f t="shared" si="175"/>
        <v>0</v>
      </c>
      <c r="O217" s="465">
        <f t="shared" si="175"/>
        <v>0</v>
      </c>
      <c r="P217" s="414"/>
      <c r="Q217" s="414"/>
      <c r="R217" s="414"/>
      <c r="S217" s="445"/>
      <c r="T217" s="445"/>
      <c r="U217" s="445"/>
      <c r="V217" s="428"/>
      <c r="W217" s="463">
        <v>50345.0</v>
      </c>
      <c r="X217" s="469">
        <f>SUMIFS(Income!$G:$G,Income!$H:$H, X$2,Income!$F:$F, $V$1, Income!$B:$B, IF($W217&lt;&gt;"", TEXT($W217, "MMMM"), ""), Income!$C:$C, YEAR($W217))</f>
        <v>0</v>
      </c>
      <c r="Y217" s="469">
        <f>SUMIFS(Income!$G:$G,Income!$H:$H, Y$2,Income!$F:$F, $V$1, Income!$B:$B, IF($W217&lt;&gt;"", TEXT($W217, "MMMM"), ""), Income!$C:$C, YEAR($W217))</f>
        <v>0</v>
      </c>
      <c r="Z217" s="469">
        <f>SUMIFS(Income!$G:$G,Income!$H:$H, Z$2,Income!$F:$F, $V$1, Income!$B:$B, IF($W217&lt;&gt;"", TEXT($W217, "MMMM"), ""), Income!$C:$C, YEAR($W217))</f>
        <v>0</v>
      </c>
      <c r="AA217" s="469">
        <f>SUMIFS(Income!$G:$G,Income!$H:$H, AA$2,Income!$F:$F, $V$1, Income!$B:$B, IF($W217&lt;&gt;"", TEXT($W217, "MMMM"), ""), Income!$C:$C, YEAR($W217))</f>
        <v>0</v>
      </c>
      <c r="AB217" s="464">
        <f>SUMIFS(Income!$G:$G,Income!$H:$H, AB$2,Income!$F:$F, $V$1, Income!$B:$B, IF($W217&lt;&gt;"", TEXT($W217, "MMMM"), ""), Income!$C:$C, YEAR($W217))</f>
        <v>0</v>
      </c>
      <c r="AC217" s="470">
        <f>SUMIFS(Income!$G:$G,Income!$H:$H, AC$2,Income!$F:$F, $V$1, Income!$B:$B, IF($W217&lt;&gt;"", TEXT($W217, "MMMM"), ""), Income!$C:$C, YEAR($W217))</f>
        <v>0</v>
      </c>
      <c r="AD217" s="428"/>
      <c r="AE217" s="463">
        <v>50345.0</v>
      </c>
      <c r="AF217" s="469">
        <f>SUMIFS(Income!$G:$G,Income!$H:$H, AF$2,Income!$F:$F, $AD$1, Income!$B:$B, IF($AE217&lt;&gt;"", TEXT($AE217, "MMMM"), ""), Income!$C:$C, YEAR($AE217))</f>
        <v>0</v>
      </c>
      <c r="AG217" s="469">
        <f>SUMIFS(Income!$G:$G,Income!$H:$H, AG$2,Income!$F:$F, $AD$1, Income!$B:$B, IF($AE217&lt;&gt;"", TEXT($AE217, "MMMM"), ""), Income!$C:$C, YEAR($AE217))</f>
        <v>0</v>
      </c>
      <c r="AH217" s="469">
        <f>SUMIFS(Income!$G:$G,Income!$H:$H, AH$2,Income!$F:$F, $AD$1, Income!$B:$B, IF($AE217&lt;&gt;"", TEXT($AE217, "MMMM"), ""), Income!$C:$C, YEAR($AE217))</f>
        <v>0</v>
      </c>
      <c r="AI217" s="469">
        <f>SUMIFS(Income!$G:$G,Income!$H:$H, AI$2,Income!$F:$F, $AD$1, Income!$B:$B, IF($AE217&lt;&gt;"", TEXT($AE217, "MMMM"), ""), Income!$C:$C, YEAR($AE217))</f>
        <v>0</v>
      </c>
      <c r="AJ217" s="464">
        <f>SUMIFS(Income!$G:$G,Income!$H:$H, AJ$2,Income!$F:$F, $AD$1, Income!$B:$B, IF($AE217&lt;&gt;"", TEXT($AE217, "MMMM"), ""), Income!$C:$C, YEAR($AE217))</f>
        <v>0</v>
      </c>
      <c r="AK217" s="470">
        <f>SUMIFS(Income!$G:$G,Income!$H:$H, AK$2,Income!$F:$F, $AD$1, Income!$B:$B, IF($AE217&lt;&gt;"", TEXT($AE217, "MMMM"), ""), Income!$C:$C, YEAR($AE217))</f>
        <v>0</v>
      </c>
      <c r="AL217" s="428"/>
      <c r="AM217" s="463">
        <v>50345.0</v>
      </c>
      <c r="AN217" s="464">
        <f>SUMIFS(Income!$G:$G,Income!$H:$H, AN$2,Income!$F:$F, $AL$1, Income!$B:$B, IF($AM217&lt;&gt;"", TEXT($AM217, "MMMM"), ""), Income!$C:$C, YEAR($AM217))+SUMIFS($T:$T, $U:$U,AN$2,$Q:$Q,IF($AM217&lt;&gt;"", TEXT($AM217, "MMMM"), ""),$R:$R,YEAR($AM217))</f>
        <v>0</v>
      </c>
      <c r="AO217" s="464">
        <f>SUMIFS(Income!$G:$G,Income!$H:$H, AO$2,Income!$F:$F, $AL$1, Income!$B:$B, IF($AM217&lt;&gt;"", TEXT($AM217, "MMMM"), ""), Income!$C:$C, YEAR($AM217))+SUMIFS($T:$T, $U:$U,AO$2,$Q:$Q,IF($AM217&lt;&gt;"", TEXT($AM217, "MMMM"), ""),$R:$R,YEAR($AM217))</f>
        <v>0</v>
      </c>
      <c r="AP217" s="464">
        <f>SUMIFS(Income!$G:$G,Income!$H:$H, AP$2,Income!$F:$F, $AL$1, Income!$B:$B, IF($AM217&lt;&gt;"", TEXT($AM217, "MMMM"), ""), Income!$C:$C, YEAR($AM217))+SUMIFS($T:$T, $U:$U,AP$2,$Q:$Q,IF($AM217&lt;&gt;"", TEXT($AM217, "MMMM"), ""),$R:$R,YEAR($AM217))</f>
        <v>0</v>
      </c>
      <c r="AQ217" s="464">
        <f>SUMIFS(Income!$G:$G,Income!$H:$H, AQ$2,Income!$F:$F, $AL$1, Income!$B:$B, IF($AM217&lt;&gt;"", TEXT($AM217, "MMMM"), ""), Income!$C:$C, YEAR($AM217))+SUMIFS($T:$T, $U:$U,AQ$2,$Q:$Q,IF($AM217&lt;&gt;"", TEXT($AM217, "MMMM"), ""),$R:$R,YEAR($AM217))</f>
        <v>0</v>
      </c>
      <c r="AR217" s="464">
        <f>SUMIFS(Income!$G:$G,Income!$H:$H, AR$2,Income!$F:$F, $AL$1, Income!$B:$B, IF($AM217&lt;&gt;"", TEXT($AM217, "MMMM"), ""), Income!$C:$C, YEAR($AM217))+SUMIFS($T:$T, $U:$U,AR$2,$Q:$Q,IF($AM217&lt;&gt;"", TEXT($AM217, "MMMM"), ""),$R:$R,YEAR($AM217))</f>
        <v>0</v>
      </c>
      <c r="AS217" s="467">
        <f>SUMIFS(Income!$G:$G,Income!$H:$H, AS$2,Income!$F:$F, $AL$1, Income!$B:$B, IF($AM217&lt;&gt;"", TEXT($AM217, "MMMM"), ""), Income!$C:$C, YEAR($AM217))+SUMIFS($T:$T, $U:$U,AS$2,$Q:$Q,IF($AM217&lt;&gt;"", TEXT($AM217, "MMMM"), ""),$R:$R,YEAR($AM217))</f>
        <v>0</v>
      </c>
      <c r="AT217" s="428"/>
      <c r="AU217" s="463">
        <v>50345.0</v>
      </c>
      <c r="AV217" s="469">
        <f>SUMIFS(Income!$G:$G,Income!$H:$H, AV$2,Income!$F:$F, $AT$1, Income!$B:$B, IF($AU217&lt;&gt;"", TEXT($AU217, "MMMM"), ""), Income!$C:$C, YEAR($AU217))</f>
        <v>0</v>
      </c>
      <c r="AW217" s="469">
        <f>SUMIFS(Income!$G:$G,Income!$H:$H, AW$2,Income!$F:$F, $AT$1, Income!$B:$B, IF($AU217&lt;&gt;"", TEXT($AU217, "MMMM"), ""), Income!$C:$C, YEAR($AU217))</f>
        <v>0</v>
      </c>
      <c r="AX217" s="469">
        <f>SUMIFS(Income!$G:$G,Income!$H:$H, AX$2,Income!$F:$F, $AT$1, Income!$B:$B, IF($AU217&lt;&gt;"", TEXT($AU217, "MMMM"), ""), Income!$C:$C, YEAR($AU217))</f>
        <v>0</v>
      </c>
      <c r="AY217" s="469">
        <f>SUMIFS(Income!$G:$G,Income!$H:$H, AY$2,Income!$F:$F, $AT$1, Income!$B:$B, IF($AU217&lt;&gt;"", TEXT($AU217, "MMMM"), ""), Income!$C:$C, YEAR($AU217))</f>
        <v>0</v>
      </c>
      <c r="AZ217" s="464">
        <f>SUMIFS(Income!$G:$G,Income!$H:$H, AZ$2,Income!$F:$F, $AT$1, Income!$B:$B, IF($AU217&lt;&gt;"", TEXT($AU217, "MMMM"), ""), Income!$C:$C, YEAR($AU217))</f>
        <v>0</v>
      </c>
      <c r="BA217" s="471">
        <f>SUMIFS(Income!$G:$G,Income!$H:$H, BA$2,Income!$F:$F, $AT$1, Income!$B:$B, IF($AU217&lt;&gt;"", TEXT($AU217, "MMMM"), ""), Income!$C:$C, YEAR($AU217))</f>
        <v>0</v>
      </c>
      <c r="BB217" s="345"/>
      <c r="BC217" s="345"/>
      <c r="BD217" s="345"/>
      <c r="BE217" s="345"/>
    </row>
    <row r="218" ht="13.5" customHeight="1">
      <c r="A218" s="424">
        <f>'Membership Application List'!A447</f>
        <v>45679.54662</v>
      </c>
      <c r="B218" s="443" t="str">
        <f t="shared" si="6"/>
        <v>January</v>
      </c>
      <c r="C218" s="443">
        <f t="shared" si="7"/>
        <v>2025</v>
      </c>
      <c r="D218" s="426" t="str">
        <f>'Membership Application List'!E447</f>
        <v>Alexander Cusano </v>
      </c>
      <c r="E218" s="426">
        <f>IF('Membership Application List'!J447 = "Food/Litter Donation", 0, IF('Membership Application List'!J447 = "$15 Donation, Discord Verification", IF('Membership Application List'!N447 = TRUE, 15, 0)))</f>
        <v>15</v>
      </c>
      <c r="F218" s="426">
        <f>if('Membership Application List'!K447=TRUE, 5,0)</f>
        <v>0</v>
      </c>
      <c r="G218" s="426">
        <f t="shared" si="8"/>
        <v>15</v>
      </c>
      <c r="H218" s="427" t="str">
        <f>'Membership Application List'!L447</f>
        <v>Paypal</v>
      </c>
      <c r="I218" s="428"/>
      <c r="J218" s="463">
        <v>50375.0</v>
      </c>
      <c r="K218" s="464">
        <f t="shared" ref="K218:O218" si="176">SUMIFS($G:$G, $H:$H, K$2, $B:$B, IF($J218&lt;&gt;"", TEXT($J218, "MMMM"), ""), $C:$C, YEAR($J218))</f>
        <v>0</v>
      </c>
      <c r="L218" s="464">
        <f t="shared" si="176"/>
        <v>0</v>
      </c>
      <c r="M218" s="464">
        <f t="shared" si="176"/>
        <v>0</v>
      </c>
      <c r="N218" s="464">
        <f t="shared" si="176"/>
        <v>0</v>
      </c>
      <c r="O218" s="465">
        <f t="shared" si="176"/>
        <v>0</v>
      </c>
      <c r="P218" s="414"/>
      <c r="Q218" s="414"/>
      <c r="R218" s="414"/>
      <c r="S218" s="445"/>
      <c r="T218" s="445"/>
      <c r="U218" s="445"/>
      <c r="V218" s="428"/>
      <c r="W218" s="463">
        <v>50375.0</v>
      </c>
      <c r="X218" s="469">
        <f>SUMIFS(Income!$G:$G,Income!$H:$H, X$2,Income!$F:$F, $V$1, Income!$B:$B, IF($W218&lt;&gt;"", TEXT($W218, "MMMM"), ""), Income!$C:$C, YEAR($W218))</f>
        <v>0</v>
      </c>
      <c r="Y218" s="469">
        <f>SUMIFS(Income!$G:$G,Income!$H:$H, Y$2,Income!$F:$F, $V$1, Income!$B:$B, IF($W218&lt;&gt;"", TEXT($W218, "MMMM"), ""), Income!$C:$C, YEAR($W218))</f>
        <v>0</v>
      </c>
      <c r="Z218" s="469">
        <f>SUMIFS(Income!$G:$G,Income!$H:$H, Z$2,Income!$F:$F, $V$1, Income!$B:$B, IF($W218&lt;&gt;"", TEXT($W218, "MMMM"), ""), Income!$C:$C, YEAR($W218))</f>
        <v>0</v>
      </c>
      <c r="AA218" s="469">
        <f>SUMIFS(Income!$G:$G,Income!$H:$H, AA$2,Income!$F:$F, $V$1, Income!$B:$B, IF($W218&lt;&gt;"", TEXT($W218, "MMMM"), ""), Income!$C:$C, YEAR($W218))</f>
        <v>0</v>
      </c>
      <c r="AB218" s="464">
        <f>SUMIFS(Income!$G:$G,Income!$H:$H, AB$2,Income!$F:$F, $V$1, Income!$B:$B, IF($W218&lt;&gt;"", TEXT($W218, "MMMM"), ""), Income!$C:$C, YEAR($W218))</f>
        <v>0</v>
      </c>
      <c r="AC218" s="470">
        <f>SUMIFS(Income!$G:$G,Income!$H:$H, AC$2,Income!$F:$F, $V$1, Income!$B:$B, IF($W218&lt;&gt;"", TEXT($W218, "MMMM"), ""), Income!$C:$C, YEAR($W218))</f>
        <v>0</v>
      </c>
      <c r="AD218" s="428"/>
      <c r="AE218" s="463">
        <v>50375.0</v>
      </c>
      <c r="AF218" s="469">
        <f>SUMIFS(Income!$G:$G,Income!$H:$H, AF$2,Income!$F:$F, $AD$1, Income!$B:$B, IF($AE218&lt;&gt;"", TEXT($AE218, "MMMM"), ""), Income!$C:$C, YEAR($AE218))</f>
        <v>0</v>
      </c>
      <c r="AG218" s="469">
        <f>SUMIFS(Income!$G:$G,Income!$H:$H, AG$2,Income!$F:$F, $AD$1, Income!$B:$B, IF($AE218&lt;&gt;"", TEXT($AE218, "MMMM"), ""), Income!$C:$C, YEAR($AE218))</f>
        <v>0</v>
      </c>
      <c r="AH218" s="469">
        <f>SUMIFS(Income!$G:$G,Income!$H:$H, AH$2,Income!$F:$F, $AD$1, Income!$B:$B, IF($AE218&lt;&gt;"", TEXT($AE218, "MMMM"), ""), Income!$C:$C, YEAR($AE218))</f>
        <v>0</v>
      </c>
      <c r="AI218" s="469">
        <f>SUMIFS(Income!$G:$G,Income!$H:$H, AI$2,Income!$F:$F, $AD$1, Income!$B:$B, IF($AE218&lt;&gt;"", TEXT($AE218, "MMMM"), ""), Income!$C:$C, YEAR($AE218))</f>
        <v>0</v>
      </c>
      <c r="AJ218" s="464">
        <f>SUMIFS(Income!$G:$G,Income!$H:$H, AJ$2,Income!$F:$F, $AD$1, Income!$B:$B, IF($AE218&lt;&gt;"", TEXT($AE218, "MMMM"), ""), Income!$C:$C, YEAR($AE218))</f>
        <v>0</v>
      </c>
      <c r="AK218" s="470">
        <f>SUMIFS(Income!$G:$G,Income!$H:$H, AK$2,Income!$F:$F, $AD$1, Income!$B:$B, IF($AE218&lt;&gt;"", TEXT($AE218, "MMMM"), ""), Income!$C:$C, YEAR($AE218))</f>
        <v>0</v>
      </c>
      <c r="AL218" s="428"/>
      <c r="AM218" s="463">
        <v>50375.0</v>
      </c>
      <c r="AN218" s="464">
        <f>SUMIFS(Income!$G:$G,Income!$H:$H, AN$2,Income!$F:$F, $AL$1, Income!$B:$B, IF($AM218&lt;&gt;"", TEXT($AM218, "MMMM"), ""), Income!$C:$C, YEAR($AM218))+SUMIFS($T:$T, $U:$U,AN$2,$Q:$Q,IF($AM218&lt;&gt;"", TEXT($AM218, "MMMM"), ""),$R:$R,YEAR($AM218))</f>
        <v>0</v>
      </c>
      <c r="AO218" s="464">
        <f>SUMIFS(Income!$G:$G,Income!$H:$H, AO$2,Income!$F:$F, $AL$1, Income!$B:$B, IF($AM218&lt;&gt;"", TEXT($AM218, "MMMM"), ""), Income!$C:$C, YEAR($AM218))+SUMIFS($T:$T, $U:$U,AO$2,$Q:$Q,IF($AM218&lt;&gt;"", TEXT($AM218, "MMMM"), ""),$R:$R,YEAR($AM218))</f>
        <v>0</v>
      </c>
      <c r="AP218" s="464">
        <f>SUMIFS(Income!$G:$G,Income!$H:$H, AP$2,Income!$F:$F, $AL$1, Income!$B:$B, IF($AM218&lt;&gt;"", TEXT($AM218, "MMMM"), ""), Income!$C:$C, YEAR($AM218))+SUMIFS($T:$T, $U:$U,AP$2,$Q:$Q,IF($AM218&lt;&gt;"", TEXT($AM218, "MMMM"), ""),$R:$R,YEAR($AM218))</f>
        <v>0</v>
      </c>
      <c r="AQ218" s="464">
        <f>SUMIFS(Income!$G:$G,Income!$H:$H, AQ$2,Income!$F:$F, $AL$1, Income!$B:$B, IF($AM218&lt;&gt;"", TEXT($AM218, "MMMM"), ""), Income!$C:$C, YEAR($AM218))+SUMIFS($T:$T, $U:$U,AQ$2,$Q:$Q,IF($AM218&lt;&gt;"", TEXT($AM218, "MMMM"), ""),$R:$R,YEAR($AM218))</f>
        <v>0</v>
      </c>
      <c r="AR218" s="464">
        <f>SUMIFS(Income!$G:$G,Income!$H:$H, AR$2,Income!$F:$F, $AL$1, Income!$B:$B, IF($AM218&lt;&gt;"", TEXT($AM218, "MMMM"), ""), Income!$C:$C, YEAR($AM218))+SUMIFS($T:$T, $U:$U,AR$2,$Q:$Q,IF($AM218&lt;&gt;"", TEXT($AM218, "MMMM"), ""),$R:$R,YEAR($AM218))</f>
        <v>0</v>
      </c>
      <c r="AS218" s="467">
        <f>SUMIFS(Income!$G:$G,Income!$H:$H, AS$2,Income!$F:$F, $AL$1, Income!$B:$B, IF($AM218&lt;&gt;"", TEXT($AM218, "MMMM"), ""), Income!$C:$C, YEAR($AM218))+SUMIFS($T:$T, $U:$U,AS$2,$Q:$Q,IF($AM218&lt;&gt;"", TEXT($AM218, "MMMM"), ""),$R:$R,YEAR($AM218))</f>
        <v>0</v>
      </c>
      <c r="AT218" s="428"/>
      <c r="AU218" s="463">
        <v>50375.0</v>
      </c>
      <c r="AV218" s="469">
        <f>SUMIFS(Income!$G:$G,Income!$H:$H, AV$2,Income!$F:$F, $AT$1, Income!$B:$B, IF($AU218&lt;&gt;"", TEXT($AU218, "MMMM"), ""), Income!$C:$C, YEAR($AU218))</f>
        <v>0</v>
      </c>
      <c r="AW218" s="469">
        <f>SUMIFS(Income!$G:$G,Income!$H:$H, AW$2,Income!$F:$F, $AT$1, Income!$B:$B, IF($AU218&lt;&gt;"", TEXT($AU218, "MMMM"), ""), Income!$C:$C, YEAR($AU218))</f>
        <v>0</v>
      </c>
      <c r="AX218" s="469">
        <f>SUMIFS(Income!$G:$G,Income!$H:$H, AX$2,Income!$F:$F, $AT$1, Income!$B:$B, IF($AU218&lt;&gt;"", TEXT($AU218, "MMMM"), ""), Income!$C:$C, YEAR($AU218))</f>
        <v>0</v>
      </c>
      <c r="AY218" s="469">
        <f>SUMIFS(Income!$G:$G,Income!$H:$H, AY$2,Income!$F:$F, $AT$1, Income!$B:$B, IF($AU218&lt;&gt;"", TEXT($AU218, "MMMM"), ""), Income!$C:$C, YEAR($AU218))</f>
        <v>0</v>
      </c>
      <c r="AZ218" s="464">
        <f>SUMIFS(Income!$G:$G,Income!$H:$H, AZ$2,Income!$F:$F, $AT$1, Income!$B:$B, IF($AU218&lt;&gt;"", TEXT($AU218, "MMMM"), ""), Income!$C:$C, YEAR($AU218))</f>
        <v>0</v>
      </c>
      <c r="BA218" s="471">
        <f>SUMIFS(Income!$G:$G,Income!$H:$H, BA$2,Income!$F:$F, $AT$1, Income!$B:$B, IF($AU218&lt;&gt;"", TEXT($AU218, "MMMM"), ""), Income!$C:$C, YEAR($AU218))</f>
        <v>0</v>
      </c>
      <c r="BB218" s="345"/>
      <c r="BC218" s="345"/>
      <c r="BD218" s="345"/>
      <c r="BE218" s="345"/>
    </row>
    <row r="219" ht="13.5" customHeight="1">
      <c r="A219" s="436">
        <f>'Membership Application List'!A448</f>
        <v>45679.5981</v>
      </c>
      <c r="B219" s="437" t="str">
        <f t="shared" si="6"/>
        <v>January</v>
      </c>
      <c r="C219" s="437">
        <f t="shared" si="7"/>
        <v>2025</v>
      </c>
      <c r="D219" s="438" t="str">
        <f>'Membership Application List'!E448</f>
        <v>Tracey Huynh</v>
      </c>
      <c r="E219" s="438">
        <f>IF('Membership Application List'!J448 = "Food/Litter Donation", 0, IF('Membership Application List'!J448 = "$15 Donation, Discord Verification", IF('Membership Application List'!N448 = TRUE, 15, 0)))</f>
        <v>15</v>
      </c>
      <c r="F219" s="438">
        <f>if('Membership Application List'!K448=TRUE, 5,0)</f>
        <v>0</v>
      </c>
      <c r="G219" s="438">
        <f t="shared" si="8"/>
        <v>15</v>
      </c>
      <c r="H219" s="439" t="str">
        <f>'Membership Application List'!L448</f>
        <v>Cash</v>
      </c>
      <c r="I219" s="407" t="s">
        <v>804</v>
      </c>
      <c r="J219" s="463">
        <v>50406.0</v>
      </c>
      <c r="K219" s="464">
        <f t="shared" ref="K219:O219" si="177">SUMIFS($G:$G, $H:$H, K$2, $B:$B, IF($J219&lt;&gt;"", TEXT($J219, "MMMM"), ""), $C:$C, YEAR($J219))</f>
        <v>0</v>
      </c>
      <c r="L219" s="464">
        <f t="shared" si="177"/>
        <v>0</v>
      </c>
      <c r="M219" s="464">
        <f t="shared" si="177"/>
        <v>0</v>
      </c>
      <c r="N219" s="464">
        <f t="shared" si="177"/>
        <v>0</v>
      </c>
      <c r="O219" s="465">
        <f t="shared" si="177"/>
        <v>0</v>
      </c>
      <c r="P219" s="414"/>
      <c r="Q219" s="414"/>
      <c r="R219" s="414"/>
      <c r="S219" s="445"/>
      <c r="T219" s="445"/>
      <c r="U219" s="445"/>
      <c r="V219" s="407" t="s">
        <v>804</v>
      </c>
      <c r="W219" s="463">
        <v>50406.0</v>
      </c>
      <c r="X219" s="469">
        <f>SUMIFS(Income!$G:$G,Income!$H:$H, X$2,Income!$F:$F, $V$1, Income!$B:$B, IF($W219&lt;&gt;"", TEXT($W219, "MMMM"), ""), Income!$C:$C, YEAR($W219))</f>
        <v>0</v>
      </c>
      <c r="Y219" s="469">
        <f>SUMIFS(Income!$G:$G,Income!$H:$H, Y$2,Income!$F:$F, $V$1, Income!$B:$B, IF($W219&lt;&gt;"", TEXT($W219, "MMMM"), ""), Income!$C:$C, YEAR($W219))</f>
        <v>0</v>
      </c>
      <c r="Z219" s="469">
        <f>SUMIFS(Income!$G:$G,Income!$H:$H, Z$2,Income!$F:$F, $V$1, Income!$B:$B, IF($W219&lt;&gt;"", TEXT($W219, "MMMM"), ""), Income!$C:$C, YEAR($W219))</f>
        <v>0</v>
      </c>
      <c r="AA219" s="469">
        <f>SUMIFS(Income!$G:$G,Income!$H:$H, AA$2,Income!$F:$F, $V$1, Income!$B:$B, IF($W219&lt;&gt;"", TEXT($W219, "MMMM"), ""), Income!$C:$C, YEAR($W219))</f>
        <v>0</v>
      </c>
      <c r="AB219" s="464">
        <f>SUMIFS(Income!$G:$G,Income!$H:$H, AB$2,Income!$F:$F, $V$1, Income!$B:$B, IF($W219&lt;&gt;"", TEXT($W219, "MMMM"), ""), Income!$C:$C, YEAR($W219))</f>
        <v>0</v>
      </c>
      <c r="AC219" s="470">
        <f>SUMIFS(Income!$G:$G,Income!$H:$H, AC$2,Income!$F:$F, $V$1, Income!$B:$B, IF($W219&lt;&gt;"", TEXT($W219, "MMMM"), ""), Income!$C:$C, YEAR($W219))</f>
        <v>0</v>
      </c>
      <c r="AD219" s="407" t="s">
        <v>804</v>
      </c>
      <c r="AE219" s="463">
        <v>50406.0</v>
      </c>
      <c r="AF219" s="469">
        <f>SUMIFS(Income!$G:$G,Income!$H:$H, AF$2,Income!$F:$F, $AD$1, Income!$B:$B, IF($AE219&lt;&gt;"", TEXT($AE219, "MMMM"), ""), Income!$C:$C, YEAR($AE219))</f>
        <v>0</v>
      </c>
      <c r="AG219" s="469">
        <f>SUMIFS(Income!$G:$G,Income!$H:$H, AG$2,Income!$F:$F, $AD$1, Income!$B:$B, IF($AE219&lt;&gt;"", TEXT($AE219, "MMMM"), ""), Income!$C:$C, YEAR($AE219))</f>
        <v>0</v>
      </c>
      <c r="AH219" s="469">
        <f>SUMIFS(Income!$G:$G,Income!$H:$H, AH$2,Income!$F:$F, $AD$1, Income!$B:$B, IF($AE219&lt;&gt;"", TEXT($AE219, "MMMM"), ""), Income!$C:$C, YEAR($AE219))</f>
        <v>0</v>
      </c>
      <c r="AI219" s="469">
        <f>SUMIFS(Income!$G:$G,Income!$H:$H, AI$2,Income!$F:$F, $AD$1, Income!$B:$B, IF($AE219&lt;&gt;"", TEXT($AE219, "MMMM"), ""), Income!$C:$C, YEAR($AE219))</f>
        <v>0</v>
      </c>
      <c r="AJ219" s="464">
        <f>SUMIFS(Income!$G:$G,Income!$H:$H, AJ$2,Income!$F:$F, $AD$1, Income!$B:$B, IF($AE219&lt;&gt;"", TEXT($AE219, "MMMM"), ""), Income!$C:$C, YEAR($AE219))</f>
        <v>0</v>
      </c>
      <c r="AK219" s="470">
        <f>SUMIFS(Income!$G:$G,Income!$H:$H, AK$2,Income!$F:$F, $AD$1, Income!$B:$B, IF($AE219&lt;&gt;"", TEXT($AE219, "MMMM"), ""), Income!$C:$C, YEAR($AE219))</f>
        <v>0</v>
      </c>
      <c r="AL219" s="407" t="s">
        <v>804</v>
      </c>
      <c r="AM219" s="463">
        <v>50406.0</v>
      </c>
      <c r="AN219" s="464">
        <f>SUMIFS(Income!$G:$G,Income!$H:$H, AN$2,Income!$F:$F, $AL$1, Income!$B:$B, IF($AM219&lt;&gt;"", TEXT($AM219, "MMMM"), ""), Income!$C:$C, YEAR($AM219))+SUMIFS($T:$T, $U:$U,AN$2,$Q:$Q,IF($AM219&lt;&gt;"", TEXT($AM219, "MMMM"), ""),$R:$R,YEAR($AM219))</f>
        <v>0</v>
      </c>
      <c r="AO219" s="464">
        <f>SUMIFS(Income!$G:$G,Income!$H:$H, AO$2,Income!$F:$F, $AL$1, Income!$B:$B, IF($AM219&lt;&gt;"", TEXT($AM219, "MMMM"), ""), Income!$C:$C, YEAR($AM219))+SUMIFS($T:$T, $U:$U,AO$2,$Q:$Q,IF($AM219&lt;&gt;"", TEXT($AM219, "MMMM"), ""),$R:$R,YEAR($AM219))</f>
        <v>0</v>
      </c>
      <c r="AP219" s="464">
        <f>SUMIFS(Income!$G:$G,Income!$H:$H, AP$2,Income!$F:$F, $AL$1, Income!$B:$B, IF($AM219&lt;&gt;"", TEXT($AM219, "MMMM"), ""), Income!$C:$C, YEAR($AM219))+SUMIFS($T:$T, $U:$U,AP$2,$Q:$Q,IF($AM219&lt;&gt;"", TEXT($AM219, "MMMM"), ""),$R:$R,YEAR($AM219))</f>
        <v>0</v>
      </c>
      <c r="AQ219" s="464">
        <f>SUMIFS(Income!$G:$G,Income!$H:$H, AQ$2,Income!$F:$F, $AL$1, Income!$B:$B, IF($AM219&lt;&gt;"", TEXT($AM219, "MMMM"), ""), Income!$C:$C, YEAR($AM219))+SUMIFS($T:$T, $U:$U,AQ$2,$Q:$Q,IF($AM219&lt;&gt;"", TEXT($AM219, "MMMM"), ""),$R:$R,YEAR($AM219))</f>
        <v>0</v>
      </c>
      <c r="AR219" s="464">
        <f>SUMIFS(Income!$G:$G,Income!$H:$H, AR$2,Income!$F:$F, $AL$1, Income!$B:$B, IF($AM219&lt;&gt;"", TEXT($AM219, "MMMM"), ""), Income!$C:$C, YEAR($AM219))+SUMIFS($T:$T, $U:$U,AR$2,$Q:$Q,IF($AM219&lt;&gt;"", TEXT($AM219, "MMMM"), ""),$R:$R,YEAR($AM219))</f>
        <v>0</v>
      </c>
      <c r="AS219" s="467">
        <f>SUMIFS(Income!$G:$G,Income!$H:$H, AS$2,Income!$F:$F, $AL$1, Income!$B:$B, IF($AM219&lt;&gt;"", TEXT($AM219, "MMMM"), ""), Income!$C:$C, YEAR($AM219))+SUMIFS($T:$T, $U:$U,AS$2,$Q:$Q,IF($AM219&lt;&gt;"", TEXT($AM219, "MMMM"), ""),$R:$R,YEAR($AM219))</f>
        <v>0</v>
      </c>
      <c r="AT219" s="407" t="s">
        <v>804</v>
      </c>
      <c r="AU219" s="463">
        <v>50406.0</v>
      </c>
      <c r="AV219" s="469">
        <f>SUMIFS(Income!$G:$G,Income!$H:$H, AV$2,Income!$F:$F, $AT$1, Income!$B:$B, IF($AU219&lt;&gt;"", TEXT($AU219, "MMMM"), ""), Income!$C:$C, YEAR($AU219))</f>
        <v>0</v>
      </c>
      <c r="AW219" s="469">
        <f>SUMIFS(Income!$G:$G,Income!$H:$H, AW$2,Income!$F:$F, $AT$1, Income!$B:$B, IF($AU219&lt;&gt;"", TEXT($AU219, "MMMM"), ""), Income!$C:$C, YEAR($AU219))</f>
        <v>0</v>
      </c>
      <c r="AX219" s="469">
        <f>SUMIFS(Income!$G:$G,Income!$H:$H, AX$2,Income!$F:$F, $AT$1, Income!$B:$B, IF($AU219&lt;&gt;"", TEXT($AU219, "MMMM"), ""), Income!$C:$C, YEAR($AU219))</f>
        <v>0</v>
      </c>
      <c r="AY219" s="469">
        <f>SUMIFS(Income!$G:$G,Income!$H:$H, AY$2,Income!$F:$F, $AT$1, Income!$B:$B, IF($AU219&lt;&gt;"", TEXT($AU219, "MMMM"), ""), Income!$C:$C, YEAR($AU219))</f>
        <v>0</v>
      </c>
      <c r="AZ219" s="464">
        <f>SUMIFS(Income!$G:$G,Income!$H:$H, AZ$2,Income!$F:$F, $AT$1, Income!$B:$B, IF($AU219&lt;&gt;"", TEXT($AU219, "MMMM"), ""), Income!$C:$C, YEAR($AU219))</f>
        <v>0</v>
      </c>
      <c r="BA219" s="471">
        <f>SUMIFS(Income!$G:$G,Income!$H:$H, BA$2,Income!$F:$F, $AT$1, Income!$B:$B, IF($AU219&lt;&gt;"", TEXT($AU219, "MMMM"), ""), Income!$C:$C, YEAR($AU219))</f>
        <v>0</v>
      </c>
      <c r="BB219" s="345"/>
      <c r="BC219" s="345"/>
      <c r="BD219" s="345"/>
      <c r="BE219" s="345"/>
    </row>
    <row r="220" ht="13.5" customHeight="1">
      <c r="A220" s="424">
        <f>'Membership Application List'!A449</f>
        <v>45679.70227</v>
      </c>
      <c r="B220" s="443" t="str">
        <f t="shared" si="6"/>
        <v>January</v>
      </c>
      <c r="C220" s="443">
        <f t="shared" si="7"/>
        <v>2025</v>
      </c>
      <c r="D220" s="426" t="str">
        <f>'Membership Application List'!E449</f>
        <v>Jesse Jarrell</v>
      </c>
      <c r="E220" s="426">
        <f>IF('Membership Application List'!J449 = "Food/Litter Donation", 0, IF('Membership Application List'!J449 = "$15 Donation, Discord Verification", IF('Membership Application List'!N449 = TRUE, 15, 0)))</f>
        <v>15</v>
      </c>
      <c r="F220" s="426">
        <f>if('Membership Application List'!K449=TRUE, 5,0)</f>
        <v>0</v>
      </c>
      <c r="G220" s="426">
        <f t="shared" si="8"/>
        <v>15</v>
      </c>
      <c r="H220" s="427" t="str">
        <f>'Membership Application List'!L449</f>
        <v>Paypal</v>
      </c>
      <c r="I220" s="428"/>
      <c r="J220" s="463">
        <v>50437.0</v>
      </c>
      <c r="K220" s="464">
        <f t="shared" ref="K220:O220" si="178">SUMIFS($G:$G, $H:$H, K$2, $B:$B, IF($J220&lt;&gt;"", TEXT($J220, "MMMM"), ""), $C:$C, YEAR($J220))</f>
        <v>0</v>
      </c>
      <c r="L220" s="464">
        <f t="shared" si="178"/>
        <v>0</v>
      </c>
      <c r="M220" s="464">
        <f t="shared" si="178"/>
        <v>0</v>
      </c>
      <c r="N220" s="464">
        <f t="shared" si="178"/>
        <v>0</v>
      </c>
      <c r="O220" s="465">
        <f t="shared" si="178"/>
        <v>0</v>
      </c>
      <c r="P220" s="414"/>
      <c r="Q220" s="414"/>
      <c r="R220" s="414"/>
      <c r="S220" s="445"/>
      <c r="T220" s="445"/>
      <c r="U220" s="445"/>
      <c r="V220" s="428"/>
      <c r="W220" s="463">
        <v>50437.0</v>
      </c>
      <c r="X220" s="469">
        <f>SUMIFS(Income!$G:$G,Income!$H:$H, X$2,Income!$F:$F, $V$1, Income!$B:$B, IF($W220&lt;&gt;"", TEXT($W220, "MMMM"), ""), Income!$C:$C, YEAR($W220))</f>
        <v>0</v>
      </c>
      <c r="Y220" s="469">
        <f>SUMIFS(Income!$G:$G,Income!$H:$H, Y$2,Income!$F:$F, $V$1, Income!$B:$B, IF($W220&lt;&gt;"", TEXT($W220, "MMMM"), ""), Income!$C:$C, YEAR($W220))</f>
        <v>0</v>
      </c>
      <c r="Z220" s="469">
        <f>SUMIFS(Income!$G:$G,Income!$H:$H, Z$2,Income!$F:$F, $V$1, Income!$B:$B, IF($W220&lt;&gt;"", TEXT($W220, "MMMM"), ""), Income!$C:$C, YEAR($W220))</f>
        <v>0</v>
      </c>
      <c r="AA220" s="469">
        <f>SUMIFS(Income!$G:$G,Income!$H:$H, AA$2,Income!$F:$F, $V$1, Income!$B:$B, IF($W220&lt;&gt;"", TEXT($W220, "MMMM"), ""), Income!$C:$C, YEAR($W220))</f>
        <v>0</v>
      </c>
      <c r="AB220" s="464">
        <f>SUMIFS(Income!$G:$G,Income!$H:$H, AB$2,Income!$F:$F, $V$1, Income!$B:$B, IF($W220&lt;&gt;"", TEXT($W220, "MMMM"), ""), Income!$C:$C, YEAR($W220))</f>
        <v>0</v>
      </c>
      <c r="AC220" s="470">
        <f>SUMIFS(Income!$G:$G,Income!$H:$H, AC$2,Income!$F:$F, $V$1, Income!$B:$B, IF($W220&lt;&gt;"", TEXT($W220, "MMMM"), ""), Income!$C:$C, YEAR($W220))</f>
        <v>0</v>
      </c>
      <c r="AD220" s="428"/>
      <c r="AE220" s="463">
        <v>50437.0</v>
      </c>
      <c r="AF220" s="469">
        <f>SUMIFS(Income!$G:$G,Income!$H:$H, AF$2,Income!$F:$F, $AD$1, Income!$B:$B, IF($AE220&lt;&gt;"", TEXT($AE220, "MMMM"), ""), Income!$C:$C, YEAR($AE220))</f>
        <v>0</v>
      </c>
      <c r="AG220" s="469">
        <f>SUMIFS(Income!$G:$G,Income!$H:$H, AG$2,Income!$F:$F, $AD$1, Income!$B:$B, IF($AE220&lt;&gt;"", TEXT($AE220, "MMMM"), ""), Income!$C:$C, YEAR($AE220))</f>
        <v>0</v>
      </c>
      <c r="AH220" s="469">
        <f>SUMIFS(Income!$G:$G,Income!$H:$H, AH$2,Income!$F:$F, $AD$1, Income!$B:$B, IF($AE220&lt;&gt;"", TEXT($AE220, "MMMM"), ""), Income!$C:$C, YEAR($AE220))</f>
        <v>0</v>
      </c>
      <c r="AI220" s="469">
        <f>SUMIFS(Income!$G:$G,Income!$H:$H, AI$2,Income!$F:$F, $AD$1, Income!$B:$B, IF($AE220&lt;&gt;"", TEXT($AE220, "MMMM"), ""), Income!$C:$C, YEAR($AE220))</f>
        <v>0</v>
      </c>
      <c r="AJ220" s="464">
        <f>SUMIFS(Income!$G:$G,Income!$H:$H, AJ$2,Income!$F:$F, $AD$1, Income!$B:$B, IF($AE220&lt;&gt;"", TEXT($AE220, "MMMM"), ""), Income!$C:$C, YEAR($AE220))</f>
        <v>0</v>
      </c>
      <c r="AK220" s="470">
        <f>SUMIFS(Income!$G:$G,Income!$H:$H, AK$2,Income!$F:$F, $AD$1, Income!$B:$B, IF($AE220&lt;&gt;"", TEXT($AE220, "MMMM"), ""), Income!$C:$C, YEAR($AE220))</f>
        <v>0</v>
      </c>
      <c r="AL220" s="428"/>
      <c r="AM220" s="463">
        <v>50437.0</v>
      </c>
      <c r="AN220" s="464">
        <f>SUMIFS(Income!$G:$G,Income!$H:$H, AN$2,Income!$F:$F, $AL$1, Income!$B:$B, IF($AM220&lt;&gt;"", TEXT($AM220, "MMMM"), ""), Income!$C:$C, YEAR($AM220))+SUMIFS($T:$T, $U:$U,AN$2,$Q:$Q,IF($AM220&lt;&gt;"", TEXT($AM220, "MMMM"), ""),$R:$R,YEAR($AM220))</f>
        <v>0</v>
      </c>
      <c r="AO220" s="464">
        <f>SUMIFS(Income!$G:$G,Income!$H:$H, AO$2,Income!$F:$F, $AL$1, Income!$B:$B, IF($AM220&lt;&gt;"", TEXT($AM220, "MMMM"), ""), Income!$C:$C, YEAR($AM220))+SUMIFS($T:$T, $U:$U,AO$2,$Q:$Q,IF($AM220&lt;&gt;"", TEXT($AM220, "MMMM"), ""),$R:$R,YEAR($AM220))</f>
        <v>0</v>
      </c>
      <c r="AP220" s="464">
        <f>SUMIFS(Income!$G:$G,Income!$H:$H, AP$2,Income!$F:$F, $AL$1, Income!$B:$B, IF($AM220&lt;&gt;"", TEXT($AM220, "MMMM"), ""), Income!$C:$C, YEAR($AM220))+SUMIFS($T:$T, $U:$U,AP$2,$Q:$Q,IF($AM220&lt;&gt;"", TEXT($AM220, "MMMM"), ""),$R:$R,YEAR($AM220))</f>
        <v>0</v>
      </c>
      <c r="AQ220" s="464">
        <f>SUMIFS(Income!$G:$G,Income!$H:$H, AQ$2,Income!$F:$F, $AL$1, Income!$B:$B, IF($AM220&lt;&gt;"", TEXT($AM220, "MMMM"), ""), Income!$C:$C, YEAR($AM220))+SUMIFS($T:$T, $U:$U,AQ$2,$Q:$Q,IF($AM220&lt;&gt;"", TEXT($AM220, "MMMM"), ""),$R:$R,YEAR($AM220))</f>
        <v>0</v>
      </c>
      <c r="AR220" s="464">
        <f>SUMIFS(Income!$G:$G,Income!$H:$H, AR$2,Income!$F:$F, $AL$1, Income!$B:$B, IF($AM220&lt;&gt;"", TEXT($AM220, "MMMM"), ""), Income!$C:$C, YEAR($AM220))+SUMIFS($T:$T, $U:$U,AR$2,$Q:$Q,IF($AM220&lt;&gt;"", TEXT($AM220, "MMMM"), ""),$R:$R,YEAR($AM220))</f>
        <v>0</v>
      </c>
      <c r="AS220" s="467">
        <f>SUMIFS(Income!$G:$G,Income!$H:$H, AS$2,Income!$F:$F, $AL$1, Income!$B:$B, IF($AM220&lt;&gt;"", TEXT($AM220, "MMMM"), ""), Income!$C:$C, YEAR($AM220))+SUMIFS($T:$T, $U:$U,AS$2,$Q:$Q,IF($AM220&lt;&gt;"", TEXT($AM220, "MMMM"), ""),$R:$R,YEAR($AM220))</f>
        <v>0</v>
      </c>
      <c r="AT220" s="428"/>
      <c r="AU220" s="463">
        <v>50437.0</v>
      </c>
      <c r="AV220" s="469">
        <f>SUMIFS(Income!$G:$G,Income!$H:$H, AV$2,Income!$F:$F, $AT$1, Income!$B:$B, IF($AU220&lt;&gt;"", TEXT($AU220, "MMMM"), ""), Income!$C:$C, YEAR($AU220))</f>
        <v>0</v>
      </c>
      <c r="AW220" s="469">
        <f>SUMIFS(Income!$G:$G,Income!$H:$H, AW$2,Income!$F:$F, $AT$1, Income!$B:$B, IF($AU220&lt;&gt;"", TEXT($AU220, "MMMM"), ""), Income!$C:$C, YEAR($AU220))</f>
        <v>0</v>
      </c>
      <c r="AX220" s="469">
        <f>SUMIFS(Income!$G:$G,Income!$H:$H, AX$2,Income!$F:$F, $AT$1, Income!$B:$B, IF($AU220&lt;&gt;"", TEXT($AU220, "MMMM"), ""), Income!$C:$C, YEAR($AU220))</f>
        <v>0</v>
      </c>
      <c r="AY220" s="469">
        <f>SUMIFS(Income!$G:$G,Income!$H:$H, AY$2,Income!$F:$F, $AT$1, Income!$B:$B, IF($AU220&lt;&gt;"", TEXT($AU220, "MMMM"), ""), Income!$C:$C, YEAR($AU220))</f>
        <v>0</v>
      </c>
      <c r="AZ220" s="464">
        <f>SUMIFS(Income!$G:$G,Income!$H:$H, AZ$2,Income!$F:$F, $AT$1, Income!$B:$B, IF($AU220&lt;&gt;"", TEXT($AU220, "MMMM"), ""), Income!$C:$C, YEAR($AU220))</f>
        <v>0</v>
      </c>
      <c r="BA220" s="471">
        <f>SUMIFS(Income!$G:$G,Income!$H:$H, BA$2,Income!$F:$F, $AT$1, Income!$B:$B, IF($AU220&lt;&gt;"", TEXT($AU220, "MMMM"), ""), Income!$C:$C, YEAR($AU220))</f>
        <v>0</v>
      </c>
      <c r="BB220" s="345"/>
      <c r="BC220" s="345"/>
      <c r="BD220" s="345"/>
      <c r="BE220" s="345"/>
    </row>
    <row r="221" ht="13.5" customHeight="1">
      <c r="A221" s="436">
        <f>'Membership Application List'!A450</f>
        <v>45679.88892</v>
      </c>
      <c r="B221" s="437" t="str">
        <f t="shared" si="6"/>
        <v>January</v>
      </c>
      <c r="C221" s="437">
        <f t="shared" si="7"/>
        <v>2025</v>
      </c>
      <c r="D221" s="438" t="str">
        <f>'Membership Application List'!E450</f>
        <v>Bryan Huynh</v>
      </c>
      <c r="E221" s="438">
        <f>IF('Membership Application List'!J450 = "Food/Litter Donation", 0, IF('Membership Application List'!J450 = "$15 Donation, Discord Verification", IF('Membership Application List'!N450 = TRUE, 15, 0)))</f>
        <v>15</v>
      </c>
      <c r="F221" s="438">
        <f>if('Membership Application List'!K450=TRUE, 5,0)</f>
        <v>0</v>
      </c>
      <c r="G221" s="438">
        <f t="shared" si="8"/>
        <v>15</v>
      </c>
      <c r="H221" s="439" t="str">
        <f>'Membership Application List'!L450</f>
        <v>Venmo</v>
      </c>
      <c r="I221" s="428"/>
      <c r="J221" s="463">
        <v>50465.0</v>
      </c>
      <c r="K221" s="464">
        <f t="shared" ref="K221:O221" si="179">SUMIFS($G:$G, $H:$H, K$2, $B:$B, IF($J221&lt;&gt;"", TEXT($J221, "MMMM"), ""), $C:$C, YEAR($J221))</f>
        <v>0</v>
      </c>
      <c r="L221" s="464">
        <f t="shared" si="179"/>
        <v>0</v>
      </c>
      <c r="M221" s="464">
        <f t="shared" si="179"/>
        <v>0</v>
      </c>
      <c r="N221" s="464">
        <f t="shared" si="179"/>
        <v>0</v>
      </c>
      <c r="O221" s="465">
        <f t="shared" si="179"/>
        <v>0</v>
      </c>
      <c r="P221" s="414"/>
      <c r="Q221" s="414"/>
      <c r="R221" s="414"/>
      <c r="S221" s="445"/>
      <c r="T221" s="445"/>
      <c r="U221" s="445"/>
      <c r="V221" s="428"/>
      <c r="W221" s="463">
        <v>50465.0</v>
      </c>
      <c r="X221" s="469">
        <f>SUMIFS(Income!$G:$G,Income!$H:$H, X$2,Income!$F:$F, $V$1, Income!$B:$B, IF($W221&lt;&gt;"", TEXT($W221, "MMMM"), ""), Income!$C:$C, YEAR($W221))</f>
        <v>0</v>
      </c>
      <c r="Y221" s="469">
        <f>SUMIFS(Income!$G:$G,Income!$H:$H, Y$2,Income!$F:$F, $V$1, Income!$B:$B, IF($W221&lt;&gt;"", TEXT($W221, "MMMM"), ""), Income!$C:$C, YEAR($W221))</f>
        <v>0</v>
      </c>
      <c r="Z221" s="469">
        <f>SUMIFS(Income!$G:$G,Income!$H:$H, Z$2,Income!$F:$F, $V$1, Income!$B:$B, IF($W221&lt;&gt;"", TEXT($W221, "MMMM"), ""), Income!$C:$C, YEAR($W221))</f>
        <v>0</v>
      </c>
      <c r="AA221" s="469">
        <f>SUMIFS(Income!$G:$G,Income!$H:$H, AA$2,Income!$F:$F, $V$1, Income!$B:$B, IF($W221&lt;&gt;"", TEXT($W221, "MMMM"), ""), Income!$C:$C, YEAR($W221))</f>
        <v>0</v>
      </c>
      <c r="AB221" s="464">
        <f>SUMIFS(Income!$G:$G,Income!$H:$H, AB$2,Income!$F:$F, $V$1, Income!$B:$B, IF($W221&lt;&gt;"", TEXT($W221, "MMMM"), ""), Income!$C:$C, YEAR($W221))</f>
        <v>0</v>
      </c>
      <c r="AC221" s="470">
        <f>SUMIFS(Income!$G:$G,Income!$H:$H, AC$2,Income!$F:$F, $V$1, Income!$B:$B, IF($W221&lt;&gt;"", TEXT($W221, "MMMM"), ""), Income!$C:$C, YEAR($W221))</f>
        <v>0</v>
      </c>
      <c r="AD221" s="428"/>
      <c r="AE221" s="463">
        <v>50465.0</v>
      </c>
      <c r="AF221" s="469">
        <f>SUMIFS(Income!$G:$G,Income!$H:$H, AF$2,Income!$F:$F, $AD$1, Income!$B:$B, IF($AE221&lt;&gt;"", TEXT($AE221, "MMMM"), ""), Income!$C:$C, YEAR($AE221))</f>
        <v>0</v>
      </c>
      <c r="AG221" s="469">
        <f>SUMIFS(Income!$G:$G,Income!$H:$H, AG$2,Income!$F:$F, $AD$1, Income!$B:$B, IF($AE221&lt;&gt;"", TEXT($AE221, "MMMM"), ""), Income!$C:$C, YEAR($AE221))</f>
        <v>0</v>
      </c>
      <c r="AH221" s="469">
        <f>SUMIFS(Income!$G:$G,Income!$H:$H, AH$2,Income!$F:$F, $AD$1, Income!$B:$B, IF($AE221&lt;&gt;"", TEXT($AE221, "MMMM"), ""), Income!$C:$C, YEAR($AE221))</f>
        <v>0</v>
      </c>
      <c r="AI221" s="469">
        <f>SUMIFS(Income!$G:$G,Income!$H:$H, AI$2,Income!$F:$F, $AD$1, Income!$B:$B, IF($AE221&lt;&gt;"", TEXT($AE221, "MMMM"), ""), Income!$C:$C, YEAR($AE221))</f>
        <v>0</v>
      </c>
      <c r="AJ221" s="464">
        <f>SUMIFS(Income!$G:$G,Income!$H:$H, AJ$2,Income!$F:$F, $AD$1, Income!$B:$B, IF($AE221&lt;&gt;"", TEXT($AE221, "MMMM"), ""), Income!$C:$C, YEAR($AE221))</f>
        <v>0</v>
      </c>
      <c r="AK221" s="470">
        <f>SUMIFS(Income!$G:$G,Income!$H:$H, AK$2,Income!$F:$F, $AD$1, Income!$B:$B, IF($AE221&lt;&gt;"", TEXT($AE221, "MMMM"), ""), Income!$C:$C, YEAR($AE221))</f>
        <v>0</v>
      </c>
      <c r="AL221" s="428"/>
      <c r="AM221" s="463">
        <v>50465.0</v>
      </c>
      <c r="AN221" s="464">
        <f>SUMIFS(Income!$G:$G,Income!$H:$H, AN$2,Income!$F:$F, $AL$1, Income!$B:$B, IF($AM221&lt;&gt;"", TEXT($AM221, "MMMM"), ""), Income!$C:$C, YEAR($AM221))+SUMIFS($T:$T, $U:$U,AN$2,$Q:$Q,IF($AM221&lt;&gt;"", TEXT($AM221, "MMMM"), ""),$R:$R,YEAR($AM221))</f>
        <v>0</v>
      </c>
      <c r="AO221" s="464">
        <f>SUMIFS(Income!$G:$G,Income!$H:$H, AO$2,Income!$F:$F, $AL$1, Income!$B:$B, IF($AM221&lt;&gt;"", TEXT($AM221, "MMMM"), ""), Income!$C:$C, YEAR($AM221))+SUMIFS($T:$T, $U:$U,AO$2,$Q:$Q,IF($AM221&lt;&gt;"", TEXT($AM221, "MMMM"), ""),$R:$R,YEAR($AM221))</f>
        <v>0</v>
      </c>
      <c r="AP221" s="464">
        <f>SUMIFS(Income!$G:$G,Income!$H:$H, AP$2,Income!$F:$F, $AL$1, Income!$B:$B, IF($AM221&lt;&gt;"", TEXT($AM221, "MMMM"), ""), Income!$C:$C, YEAR($AM221))+SUMIFS($T:$T, $U:$U,AP$2,$Q:$Q,IF($AM221&lt;&gt;"", TEXT($AM221, "MMMM"), ""),$R:$R,YEAR($AM221))</f>
        <v>0</v>
      </c>
      <c r="AQ221" s="464">
        <f>SUMIFS(Income!$G:$G,Income!$H:$H, AQ$2,Income!$F:$F, $AL$1, Income!$B:$B, IF($AM221&lt;&gt;"", TEXT($AM221, "MMMM"), ""), Income!$C:$C, YEAR($AM221))+SUMIFS($T:$T, $U:$U,AQ$2,$Q:$Q,IF($AM221&lt;&gt;"", TEXT($AM221, "MMMM"), ""),$R:$R,YEAR($AM221))</f>
        <v>0</v>
      </c>
      <c r="AR221" s="464">
        <f>SUMIFS(Income!$G:$G,Income!$H:$H, AR$2,Income!$F:$F, $AL$1, Income!$B:$B, IF($AM221&lt;&gt;"", TEXT($AM221, "MMMM"), ""), Income!$C:$C, YEAR($AM221))+SUMIFS($T:$T, $U:$U,AR$2,$Q:$Q,IF($AM221&lt;&gt;"", TEXT($AM221, "MMMM"), ""),$R:$R,YEAR($AM221))</f>
        <v>0</v>
      </c>
      <c r="AS221" s="467">
        <f>SUMIFS(Income!$G:$G,Income!$H:$H, AS$2,Income!$F:$F, $AL$1, Income!$B:$B, IF($AM221&lt;&gt;"", TEXT($AM221, "MMMM"), ""), Income!$C:$C, YEAR($AM221))+SUMIFS($T:$T, $U:$U,AS$2,$Q:$Q,IF($AM221&lt;&gt;"", TEXT($AM221, "MMMM"), ""),$R:$R,YEAR($AM221))</f>
        <v>0</v>
      </c>
      <c r="AT221" s="428"/>
      <c r="AU221" s="463">
        <v>50465.0</v>
      </c>
      <c r="AV221" s="469">
        <f>SUMIFS(Income!$G:$G,Income!$H:$H, AV$2,Income!$F:$F, $AT$1, Income!$B:$B, IF($AU221&lt;&gt;"", TEXT($AU221, "MMMM"), ""), Income!$C:$C, YEAR($AU221))</f>
        <v>0</v>
      </c>
      <c r="AW221" s="469">
        <f>SUMIFS(Income!$G:$G,Income!$H:$H, AW$2,Income!$F:$F, $AT$1, Income!$B:$B, IF($AU221&lt;&gt;"", TEXT($AU221, "MMMM"), ""), Income!$C:$C, YEAR($AU221))</f>
        <v>0</v>
      </c>
      <c r="AX221" s="469">
        <f>SUMIFS(Income!$G:$G,Income!$H:$H, AX$2,Income!$F:$F, $AT$1, Income!$B:$B, IF($AU221&lt;&gt;"", TEXT($AU221, "MMMM"), ""), Income!$C:$C, YEAR($AU221))</f>
        <v>0</v>
      </c>
      <c r="AY221" s="469">
        <f>SUMIFS(Income!$G:$G,Income!$H:$H, AY$2,Income!$F:$F, $AT$1, Income!$B:$B, IF($AU221&lt;&gt;"", TEXT($AU221, "MMMM"), ""), Income!$C:$C, YEAR($AU221))</f>
        <v>0</v>
      </c>
      <c r="AZ221" s="464">
        <f>SUMIFS(Income!$G:$G,Income!$H:$H, AZ$2,Income!$F:$F, $AT$1, Income!$B:$B, IF($AU221&lt;&gt;"", TEXT($AU221, "MMMM"), ""), Income!$C:$C, YEAR($AU221))</f>
        <v>0</v>
      </c>
      <c r="BA221" s="471">
        <f>SUMIFS(Income!$G:$G,Income!$H:$H, BA$2,Income!$F:$F, $AT$1, Income!$B:$B, IF($AU221&lt;&gt;"", TEXT($AU221, "MMMM"), ""), Income!$C:$C, YEAR($AU221))</f>
        <v>0</v>
      </c>
      <c r="BB221" s="345"/>
      <c r="BC221" s="345"/>
      <c r="BD221" s="345"/>
      <c r="BE221" s="345"/>
    </row>
    <row r="222" ht="13.5" customHeight="1">
      <c r="A222" s="424">
        <f>'Membership Application List'!A451</f>
        <v>45684.95552</v>
      </c>
      <c r="B222" s="443" t="str">
        <f t="shared" si="6"/>
        <v>January</v>
      </c>
      <c r="C222" s="443">
        <f t="shared" si="7"/>
        <v>2025</v>
      </c>
      <c r="D222" s="426" t="str">
        <f>'Membership Application List'!E451</f>
        <v>Mary Abby Goss</v>
      </c>
      <c r="E222" s="426">
        <f>IF('Membership Application List'!J451 = "Food/Litter Donation", 0, IF('Membership Application List'!J451 = "$15 Donation, Discord Verification", IF('Membership Application List'!N451 = TRUE, 15, 0)))</f>
        <v>15</v>
      </c>
      <c r="F222" s="426">
        <f>if('Membership Application List'!K451=TRUE, 5,0)</f>
        <v>0</v>
      </c>
      <c r="G222" s="426">
        <f t="shared" si="8"/>
        <v>15</v>
      </c>
      <c r="H222" s="427" t="str">
        <f>'Membership Application List'!L451</f>
        <v>Venmo</v>
      </c>
      <c r="I222" s="428"/>
      <c r="J222" s="463">
        <v>50496.0</v>
      </c>
      <c r="K222" s="464">
        <f t="shared" ref="K222:O222" si="180">SUMIFS($G:$G, $H:$H, K$2, $B:$B, IF($J222&lt;&gt;"", TEXT($J222, "MMMM"), ""), $C:$C, YEAR($J222))</f>
        <v>0</v>
      </c>
      <c r="L222" s="464">
        <f t="shared" si="180"/>
        <v>0</v>
      </c>
      <c r="M222" s="464">
        <f t="shared" si="180"/>
        <v>0</v>
      </c>
      <c r="N222" s="464">
        <f t="shared" si="180"/>
        <v>0</v>
      </c>
      <c r="O222" s="465">
        <f t="shared" si="180"/>
        <v>0</v>
      </c>
      <c r="P222" s="414"/>
      <c r="Q222" s="414"/>
      <c r="R222" s="414"/>
      <c r="S222" s="445"/>
      <c r="T222" s="445"/>
      <c r="U222" s="445"/>
      <c r="V222" s="428"/>
      <c r="W222" s="463">
        <v>50496.0</v>
      </c>
      <c r="X222" s="469">
        <f>SUMIFS(Income!$G:$G,Income!$H:$H, X$2,Income!$F:$F, $V$1, Income!$B:$B, IF($W222&lt;&gt;"", TEXT($W222, "MMMM"), ""), Income!$C:$C, YEAR($W222))</f>
        <v>0</v>
      </c>
      <c r="Y222" s="469">
        <f>SUMIFS(Income!$G:$G,Income!$H:$H, Y$2,Income!$F:$F, $V$1, Income!$B:$B, IF($W222&lt;&gt;"", TEXT($W222, "MMMM"), ""), Income!$C:$C, YEAR($W222))</f>
        <v>0</v>
      </c>
      <c r="Z222" s="469">
        <f>SUMIFS(Income!$G:$G,Income!$H:$H, Z$2,Income!$F:$F, $V$1, Income!$B:$B, IF($W222&lt;&gt;"", TEXT($W222, "MMMM"), ""), Income!$C:$C, YEAR($W222))</f>
        <v>0</v>
      </c>
      <c r="AA222" s="469">
        <f>SUMIFS(Income!$G:$G,Income!$H:$H, AA$2,Income!$F:$F, $V$1, Income!$B:$B, IF($W222&lt;&gt;"", TEXT($W222, "MMMM"), ""), Income!$C:$C, YEAR($W222))</f>
        <v>0</v>
      </c>
      <c r="AB222" s="464">
        <f>SUMIFS(Income!$G:$G,Income!$H:$H, AB$2,Income!$F:$F, $V$1, Income!$B:$B, IF($W222&lt;&gt;"", TEXT($W222, "MMMM"), ""), Income!$C:$C, YEAR($W222))</f>
        <v>0</v>
      </c>
      <c r="AC222" s="470">
        <f>SUMIFS(Income!$G:$G,Income!$H:$H, AC$2,Income!$F:$F, $V$1, Income!$B:$B, IF($W222&lt;&gt;"", TEXT($W222, "MMMM"), ""), Income!$C:$C, YEAR($W222))</f>
        <v>0</v>
      </c>
      <c r="AD222" s="428"/>
      <c r="AE222" s="463">
        <v>50496.0</v>
      </c>
      <c r="AF222" s="469">
        <f>SUMIFS(Income!$G:$G,Income!$H:$H, AF$2,Income!$F:$F, $AD$1, Income!$B:$B, IF($AE222&lt;&gt;"", TEXT($AE222, "MMMM"), ""), Income!$C:$C, YEAR($AE222))</f>
        <v>0</v>
      </c>
      <c r="AG222" s="469">
        <f>SUMIFS(Income!$G:$G,Income!$H:$H, AG$2,Income!$F:$F, $AD$1, Income!$B:$B, IF($AE222&lt;&gt;"", TEXT($AE222, "MMMM"), ""), Income!$C:$C, YEAR($AE222))</f>
        <v>0</v>
      </c>
      <c r="AH222" s="469">
        <f>SUMIFS(Income!$G:$G,Income!$H:$H, AH$2,Income!$F:$F, $AD$1, Income!$B:$B, IF($AE222&lt;&gt;"", TEXT($AE222, "MMMM"), ""), Income!$C:$C, YEAR($AE222))</f>
        <v>0</v>
      </c>
      <c r="AI222" s="469">
        <f>SUMIFS(Income!$G:$G,Income!$H:$H, AI$2,Income!$F:$F, $AD$1, Income!$B:$B, IF($AE222&lt;&gt;"", TEXT($AE222, "MMMM"), ""), Income!$C:$C, YEAR($AE222))</f>
        <v>0</v>
      </c>
      <c r="AJ222" s="464">
        <f>SUMIFS(Income!$G:$G,Income!$H:$H, AJ$2,Income!$F:$F, $AD$1, Income!$B:$B, IF($AE222&lt;&gt;"", TEXT($AE222, "MMMM"), ""), Income!$C:$C, YEAR($AE222))</f>
        <v>0</v>
      </c>
      <c r="AK222" s="470">
        <f>SUMIFS(Income!$G:$G,Income!$H:$H, AK$2,Income!$F:$F, $AD$1, Income!$B:$B, IF($AE222&lt;&gt;"", TEXT($AE222, "MMMM"), ""), Income!$C:$C, YEAR($AE222))</f>
        <v>0</v>
      </c>
      <c r="AL222" s="428"/>
      <c r="AM222" s="463">
        <v>50496.0</v>
      </c>
      <c r="AN222" s="464">
        <f>SUMIFS(Income!$G:$G,Income!$H:$H, AN$2,Income!$F:$F, $AL$1, Income!$B:$B, IF($AM222&lt;&gt;"", TEXT($AM222, "MMMM"), ""), Income!$C:$C, YEAR($AM222))+SUMIFS($T:$T, $U:$U,AN$2,$Q:$Q,IF($AM222&lt;&gt;"", TEXT($AM222, "MMMM"), ""),$R:$R,YEAR($AM222))</f>
        <v>0</v>
      </c>
      <c r="AO222" s="464">
        <f>SUMIFS(Income!$G:$G,Income!$H:$H, AO$2,Income!$F:$F, $AL$1, Income!$B:$B, IF($AM222&lt;&gt;"", TEXT($AM222, "MMMM"), ""), Income!$C:$C, YEAR($AM222))+SUMIFS($T:$T, $U:$U,AO$2,$Q:$Q,IF($AM222&lt;&gt;"", TEXT($AM222, "MMMM"), ""),$R:$R,YEAR($AM222))</f>
        <v>0</v>
      </c>
      <c r="AP222" s="464">
        <f>SUMIFS(Income!$G:$G,Income!$H:$H, AP$2,Income!$F:$F, $AL$1, Income!$B:$B, IF($AM222&lt;&gt;"", TEXT($AM222, "MMMM"), ""), Income!$C:$C, YEAR($AM222))+SUMIFS($T:$T, $U:$U,AP$2,$Q:$Q,IF($AM222&lt;&gt;"", TEXT($AM222, "MMMM"), ""),$R:$R,YEAR($AM222))</f>
        <v>0</v>
      </c>
      <c r="AQ222" s="464">
        <f>SUMIFS(Income!$G:$G,Income!$H:$H, AQ$2,Income!$F:$F, $AL$1, Income!$B:$B, IF($AM222&lt;&gt;"", TEXT($AM222, "MMMM"), ""), Income!$C:$C, YEAR($AM222))+SUMIFS($T:$T, $U:$U,AQ$2,$Q:$Q,IF($AM222&lt;&gt;"", TEXT($AM222, "MMMM"), ""),$R:$R,YEAR($AM222))</f>
        <v>0</v>
      </c>
      <c r="AR222" s="464">
        <f>SUMIFS(Income!$G:$G,Income!$H:$H, AR$2,Income!$F:$F, $AL$1, Income!$B:$B, IF($AM222&lt;&gt;"", TEXT($AM222, "MMMM"), ""), Income!$C:$C, YEAR($AM222))+SUMIFS($T:$T, $U:$U,AR$2,$Q:$Q,IF($AM222&lt;&gt;"", TEXT($AM222, "MMMM"), ""),$R:$R,YEAR($AM222))</f>
        <v>0</v>
      </c>
      <c r="AS222" s="467">
        <f>SUMIFS(Income!$G:$G,Income!$H:$H, AS$2,Income!$F:$F, $AL$1, Income!$B:$B, IF($AM222&lt;&gt;"", TEXT($AM222, "MMMM"), ""), Income!$C:$C, YEAR($AM222))+SUMIFS($T:$T, $U:$U,AS$2,$Q:$Q,IF($AM222&lt;&gt;"", TEXT($AM222, "MMMM"), ""),$R:$R,YEAR($AM222))</f>
        <v>0</v>
      </c>
      <c r="AT222" s="428"/>
      <c r="AU222" s="463">
        <v>50496.0</v>
      </c>
      <c r="AV222" s="469">
        <f>SUMIFS(Income!$G:$G,Income!$H:$H, AV$2,Income!$F:$F, $AT$1, Income!$B:$B, IF($AU222&lt;&gt;"", TEXT($AU222, "MMMM"), ""), Income!$C:$C, YEAR($AU222))</f>
        <v>0</v>
      </c>
      <c r="AW222" s="469">
        <f>SUMIFS(Income!$G:$G,Income!$H:$H, AW$2,Income!$F:$F, $AT$1, Income!$B:$B, IF($AU222&lt;&gt;"", TEXT($AU222, "MMMM"), ""), Income!$C:$C, YEAR($AU222))</f>
        <v>0</v>
      </c>
      <c r="AX222" s="469">
        <f>SUMIFS(Income!$G:$G,Income!$H:$H, AX$2,Income!$F:$F, $AT$1, Income!$B:$B, IF($AU222&lt;&gt;"", TEXT($AU222, "MMMM"), ""), Income!$C:$C, YEAR($AU222))</f>
        <v>0</v>
      </c>
      <c r="AY222" s="469">
        <f>SUMIFS(Income!$G:$G,Income!$H:$H, AY$2,Income!$F:$F, $AT$1, Income!$B:$B, IF($AU222&lt;&gt;"", TEXT($AU222, "MMMM"), ""), Income!$C:$C, YEAR($AU222))</f>
        <v>0</v>
      </c>
      <c r="AZ222" s="464">
        <f>SUMIFS(Income!$G:$G,Income!$H:$H, AZ$2,Income!$F:$F, $AT$1, Income!$B:$B, IF($AU222&lt;&gt;"", TEXT($AU222, "MMMM"), ""), Income!$C:$C, YEAR($AU222))</f>
        <v>0</v>
      </c>
      <c r="BA222" s="471">
        <f>SUMIFS(Income!$G:$G,Income!$H:$H, BA$2,Income!$F:$F, $AT$1, Income!$B:$B, IF($AU222&lt;&gt;"", TEXT($AU222, "MMMM"), ""), Income!$C:$C, YEAR($AU222))</f>
        <v>0</v>
      </c>
      <c r="BB222" s="345"/>
      <c r="BC222" s="345"/>
      <c r="BD222" s="345"/>
      <c r="BE222" s="345"/>
    </row>
    <row r="223" ht="13.5" customHeight="1">
      <c r="A223" s="436">
        <f>'Membership Application List'!A452</f>
        <v>45686.12257</v>
      </c>
      <c r="B223" s="437" t="str">
        <f t="shared" si="6"/>
        <v>January</v>
      </c>
      <c r="C223" s="437">
        <f t="shared" si="7"/>
        <v>2025</v>
      </c>
      <c r="D223" s="438" t="str">
        <f>'Membership Application List'!E452</f>
        <v>Julie Tran</v>
      </c>
      <c r="E223" s="438">
        <f>IF('Membership Application List'!J452 = "Food/Litter Donation", 0, IF('Membership Application List'!J452 = "$15 Donation, Discord Verification", IF('Membership Application List'!N452 = TRUE, 15, 0)))</f>
        <v>0</v>
      </c>
      <c r="F223" s="438">
        <f>if('Membership Application List'!K452=TRUE, 5,0)</f>
        <v>0</v>
      </c>
      <c r="G223" s="438">
        <f t="shared" si="8"/>
        <v>0</v>
      </c>
      <c r="H223" s="439" t="str">
        <f>'Membership Application List'!L452</f>
        <v/>
      </c>
      <c r="I223" s="428"/>
      <c r="J223" s="463">
        <v>50526.0</v>
      </c>
      <c r="K223" s="464">
        <f t="shared" ref="K223:O223" si="181">SUMIFS($G:$G, $H:$H, K$2, $B:$B, IF($J223&lt;&gt;"", TEXT($J223, "MMMM"), ""), $C:$C, YEAR($J223))</f>
        <v>0</v>
      </c>
      <c r="L223" s="464">
        <f t="shared" si="181"/>
        <v>0</v>
      </c>
      <c r="M223" s="464">
        <f t="shared" si="181"/>
        <v>0</v>
      </c>
      <c r="N223" s="464">
        <f t="shared" si="181"/>
        <v>0</v>
      </c>
      <c r="O223" s="465">
        <f t="shared" si="181"/>
        <v>0</v>
      </c>
      <c r="P223" s="414"/>
      <c r="Q223" s="414"/>
      <c r="R223" s="414"/>
      <c r="S223" s="445"/>
      <c r="T223" s="445"/>
      <c r="U223" s="445"/>
      <c r="V223" s="428"/>
      <c r="W223" s="463">
        <v>50526.0</v>
      </c>
      <c r="X223" s="469">
        <f>SUMIFS(Income!$G:$G,Income!$H:$H, X$2,Income!$F:$F, $V$1, Income!$B:$B, IF($W223&lt;&gt;"", TEXT($W223, "MMMM"), ""), Income!$C:$C, YEAR($W223))</f>
        <v>0</v>
      </c>
      <c r="Y223" s="469">
        <f>SUMIFS(Income!$G:$G,Income!$H:$H, Y$2,Income!$F:$F, $V$1, Income!$B:$B, IF($W223&lt;&gt;"", TEXT($W223, "MMMM"), ""), Income!$C:$C, YEAR($W223))</f>
        <v>0</v>
      </c>
      <c r="Z223" s="469">
        <f>SUMIFS(Income!$G:$G,Income!$H:$H, Z$2,Income!$F:$F, $V$1, Income!$B:$B, IF($W223&lt;&gt;"", TEXT($W223, "MMMM"), ""), Income!$C:$C, YEAR($W223))</f>
        <v>0</v>
      </c>
      <c r="AA223" s="469">
        <f>SUMIFS(Income!$G:$G,Income!$H:$H, AA$2,Income!$F:$F, $V$1, Income!$B:$B, IF($W223&lt;&gt;"", TEXT($W223, "MMMM"), ""), Income!$C:$C, YEAR($W223))</f>
        <v>0</v>
      </c>
      <c r="AB223" s="464">
        <f>SUMIFS(Income!$G:$G,Income!$H:$H, AB$2,Income!$F:$F, $V$1, Income!$B:$B, IF($W223&lt;&gt;"", TEXT($W223, "MMMM"), ""), Income!$C:$C, YEAR($W223))</f>
        <v>0</v>
      </c>
      <c r="AC223" s="470">
        <f>SUMIFS(Income!$G:$G,Income!$H:$H, AC$2,Income!$F:$F, $V$1, Income!$B:$B, IF($W223&lt;&gt;"", TEXT($W223, "MMMM"), ""), Income!$C:$C, YEAR($W223))</f>
        <v>0</v>
      </c>
      <c r="AD223" s="428"/>
      <c r="AE223" s="463">
        <v>50526.0</v>
      </c>
      <c r="AF223" s="469">
        <f>SUMIFS(Income!$G:$G,Income!$H:$H, AF$2,Income!$F:$F, $AD$1, Income!$B:$B, IF($AE223&lt;&gt;"", TEXT($AE223, "MMMM"), ""), Income!$C:$C, YEAR($AE223))</f>
        <v>0</v>
      </c>
      <c r="AG223" s="469">
        <f>SUMIFS(Income!$G:$G,Income!$H:$H, AG$2,Income!$F:$F, $AD$1, Income!$B:$B, IF($AE223&lt;&gt;"", TEXT($AE223, "MMMM"), ""), Income!$C:$C, YEAR($AE223))</f>
        <v>0</v>
      </c>
      <c r="AH223" s="469">
        <f>SUMIFS(Income!$G:$G,Income!$H:$H, AH$2,Income!$F:$F, $AD$1, Income!$B:$B, IF($AE223&lt;&gt;"", TEXT($AE223, "MMMM"), ""), Income!$C:$C, YEAR($AE223))</f>
        <v>0</v>
      </c>
      <c r="AI223" s="469">
        <f>SUMIFS(Income!$G:$G,Income!$H:$H, AI$2,Income!$F:$F, $AD$1, Income!$B:$B, IF($AE223&lt;&gt;"", TEXT($AE223, "MMMM"), ""), Income!$C:$C, YEAR($AE223))</f>
        <v>0</v>
      </c>
      <c r="AJ223" s="464">
        <f>SUMIFS(Income!$G:$G,Income!$H:$H, AJ$2,Income!$F:$F, $AD$1, Income!$B:$B, IF($AE223&lt;&gt;"", TEXT($AE223, "MMMM"), ""), Income!$C:$C, YEAR($AE223))</f>
        <v>0</v>
      </c>
      <c r="AK223" s="470">
        <f>SUMIFS(Income!$G:$G,Income!$H:$H, AK$2,Income!$F:$F, $AD$1, Income!$B:$B, IF($AE223&lt;&gt;"", TEXT($AE223, "MMMM"), ""), Income!$C:$C, YEAR($AE223))</f>
        <v>0</v>
      </c>
      <c r="AL223" s="428"/>
      <c r="AM223" s="463">
        <v>50526.0</v>
      </c>
      <c r="AN223" s="464">
        <f>SUMIFS(Income!$G:$G,Income!$H:$H, AN$2,Income!$F:$F, $AL$1, Income!$B:$B, IF($AM223&lt;&gt;"", TEXT($AM223, "MMMM"), ""), Income!$C:$C, YEAR($AM223))+SUMIFS($T:$T, $U:$U,AN$2,$Q:$Q,IF($AM223&lt;&gt;"", TEXT($AM223, "MMMM"), ""),$R:$R,YEAR($AM223))</f>
        <v>0</v>
      </c>
      <c r="AO223" s="464">
        <f>SUMIFS(Income!$G:$G,Income!$H:$H, AO$2,Income!$F:$F, $AL$1, Income!$B:$B, IF($AM223&lt;&gt;"", TEXT($AM223, "MMMM"), ""), Income!$C:$C, YEAR($AM223))+SUMIFS($T:$T, $U:$U,AO$2,$Q:$Q,IF($AM223&lt;&gt;"", TEXT($AM223, "MMMM"), ""),$R:$R,YEAR($AM223))</f>
        <v>0</v>
      </c>
      <c r="AP223" s="464">
        <f>SUMIFS(Income!$G:$G,Income!$H:$H, AP$2,Income!$F:$F, $AL$1, Income!$B:$B, IF($AM223&lt;&gt;"", TEXT($AM223, "MMMM"), ""), Income!$C:$C, YEAR($AM223))+SUMIFS($T:$T, $U:$U,AP$2,$Q:$Q,IF($AM223&lt;&gt;"", TEXT($AM223, "MMMM"), ""),$R:$R,YEAR($AM223))</f>
        <v>0</v>
      </c>
      <c r="AQ223" s="464">
        <f>SUMIFS(Income!$G:$G,Income!$H:$H, AQ$2,Income!$F:$F, $AL$1, Income!$B:$B, IF($AM223&lt;&gt;"", TEXT($AM223, "MMMM"), ""), Income!$C:$C, YEAR($AM223))+SUMIFS($T:$T, $U:$U,AQ$2,$Q:$Q,IF($AM223&lt;&gt;"", TEXT($AM223, "MMMM"), ""),$R:$R,YEAR($AM223))</f>
        <v>0</v>
      </c>
      <c r="AR223" s="464">
        <f>SUMIFS(Income!$G:$G,Income!$H:$H, AR$2,Income!$F:$F, $AL$1, Income!$B:$B, IF($AM223&lt;&gt;"", TEXT($AM223, "MMMM"), ""), Income!$C:$C, YEAR($AM223))+SUMIFS($T:$T, $U:$U,AR$2,$Q:$Q,IF($AM223&lt;&gt;"", TEXT($AM223, "MMMM"), ""),$R:$R,YEAR($AM223))</f>
        <v>0</v>
      </c>
      <c r="AS223" s="467">
        <f>SUMIFS(Income!$G:$G,Income!$H:$H, AS$2,Income!$F:$F, $AL$1, Income!$B:$B, IF($AM223&lt;&gt;"", TEXT($AM223, "MMMM"), ""), Income!$C:$C, YEAR($AM223))+SUMIFS($T:$T, $U:$U,AS$2,$Q:$Q,IF($AM223&lt;&gt;"", TEXT($AM223, "MMMM"), ""),$R:$R,YEAR($AM223))</f>
        <v>0</v>
      </c>
      <c r="AT223" s="428"/>
      <c r="AU223" s="463">
        <v>50526.0</v>
      </c>
      <c r="AV223" s="469">
        <f>SUMIFS(Income!$G:$G,Income!$H:$H, AV$2,Income!$F:$F, $AT$1, Income!$B:$B, IF($AU223&lt;&gt;"", TEXT($AU223, "MMMM"), ""), Income!$C:$C, YEAR($AU223))</f>
        <v>0</v>
      </c>
      <c r="AW223" s="469">
        <f>SUMIFS(Income!$G:$G,Income!$H:$H, AW$2,Income!$F:$F, $AT$1, Income!$B:$B, IF($AU223&lt;&gt;"", TEXT($AU223, "MMMM"), ""), Income!$C:$C, YEAR($AU223))</f>
        <v>0</v>
      </c>
      <c r="AX223" s="469">
        <f>SUMIFS(Income!$G:$G,Income!$H:$H, AX$2,Income!$F:$F, $AT$1, Income!$B:$B, IF($AU223&lt;&gt;"", TEXT($AU223, "MMMM"), ""), Income!$C:$C, YEAR($AU223))</f>
        <v>0</v>
      </c>
      <c r="AY223" s="469">
        <f>SUMIFS(Income!$G:$G,Income!$H:$H, AY$2,Income!$F:$F, $AT$1, Income!$B:$B, IF($AU223&lt;&gt;"", TEXT($AU223, "MMMM"), ""), Income!$C:$C, YEAR($AU223))</f>
        <v>0</v>
      </c>
      <c r="AZ223" s="464">
        <f>SUMIFS(Income!$G:$G,Income!$H:$H, AZ$2,Income!$F:$F, $AT$1, Income!$B:$B, IF($AU223&lt;&gt;"", TEXT($AU223, "MMMM"), ""), Income!$C:$C, YEAR($AU223))</f>
        <v>0</v>
      </c>
      <c r="BA223" s="471">
        <f>SUMIFS(Income!$G:$G,Income!$H:$H, BA$2,Income!$F:$F, $AT$1, Income!$B:$B, IF($AU223&lt;&gt;"", TEXT($AU223, "MMMM"), ""), Income!$C:$C, YEAR($AU223))</f>
        <v>0</v>
      </c>
      <c r="BB223" s="345"/>
      <c r="BC223" s="345"/>
      <c r="BD223" s="345"/>
      <c r="BE223" s="345"/>
    </row>
    <row r="224" ht="13.5" customHeight="1">
      <c r="A224" s="424">
        <f>'Membership Application List'!A453</f>
        <v>45686.72206</v>
      </c>
      <c r="B224" s="443" t="str">
        <f t="shared" si="6"/>
        <v>January</v>
      </c>
      <c r="C224" s="443">
        <f t="shared" si="7"/>
        <v>2025</v>
      </c>
      <c r="D224" s="426" t="str">
        <f>'Membership Application List'!E453</f>
        <v>Cassandra (Cici) Nelson</v>
      </c>
      <c r="E224" s="426">
        <f>IF('Membership Application List'!J453 = "Food/Litter Donation", 0, IF('Membership Application List'!J453 = "$15 Donation, Discord Verification", IF('Membership Application List'!N453 = TRUE, 15, 0)))</f>
        <v>15</v>
      </c>
      <c r="F224" s="426">
        <f>if('Membership Application List'!K453=TRUE, 5,0)</f>
        <v>0</v>
      </c>
      <c r="G224" s="426">
        <f t="shared" si="8"/>
        <v>15</v>
      </c>
      <c r="H224" s="427" t="str">
        <f>'Membership Application List'!L453</f>
        <v>Cashapp</v>
      </c>
      <c r="I224" s="447" t="s">
        <v>805</v>
      </c>
      <c r="J224" s="463">
        <v>50557.0</v>
      </c>
      <c r="K224" s="464">
        <f t="shared" ref="K224:O224" si="182">SUMIFS($G:$G, $H:$H, K$2, $B:$B, IF($J224&lt;&gt;"", TEXT($J224, "MMMM"), ""), $C:$C, YEAR($J224))</f>
        <v>0</v>
      </c>
      <c r="L224" s="464">
        <f t="shared" si="182"/>
        <v>0</v>
      </c>
      <c r="M224" s="464">
        <f t="shared" si="182"/>
        <v>0</v>
      </c>
      <c r="N224" s="464">
        <f t="shared" si="182"/>
        <v>0</v>
      </c>
      <c r="O224" s="465">
        <f t="shared" si="182"/>
        <v>0</v>
      </c>
      <c r="P224" s="414"/>
      <c r="Q224" s="414"/>
      <c r="R224" s="414"/>
      <c r="S224" s="445"/>
      <c r="T224" s="445"/>
      <c r="U224" s="445"/>
      <c r="V224" s="447" t="s">
        <v>805</v>
      </c>
      <c r="W224" s="463">
        <v>50557.0</v>
      </c>
      <c r="X224" s="469">
        <f>SUMIFS(Income!$G:$G,Income!$H:$H, X$2,Income!$F:$F, $V$1, Income!$B:$B, IF($W224&lt;&gt;"", TEXT($W224, "MMMM"), ""), Income!$C:$C, YEAR($W224))</f>
        <v>0</v>
      </c>
      <c r="Y224" s="469">
        <f>SUMIFS(Income!$G:$G,Income!$H:$H, Y$2,Income!$F:$F, $V$1, Income!$B:$B, IF($W224&lt;&gt;"", TEXT($W224, "MMMM"), ""), Income!$C:$C, YEAR($W224))</f>
        <v>0</v>
      </c>
      <c r="Z224" s="469">
        <f>SUMIFS(Income!$G:$G,Income!$H:$H, Z$2,Income!$F:$F, $V$1, Income!$B:$B, IF($W224&lt;&gt;"", TEXT($W224, "MMMM"), ""), Income!$C:$C, YEAR($W224))</f>
        <v>0</v>
      </c>
      <c r="AA224" s="469">
        <f>SUMIFS(Income!$G:$G,Income!$H:$H, AA$2,Income!$F:$F, $V$1, Income!$B:$B, IF($W224&lt;&gt;"", TEXT($W224, "MMMM"), ""), Income!$C:$C, YEAR($W224))</f>
        <v>0</v>
      </c>
      <c r="AB224" s="464">
        <f>SUMIFS(Income!$G:$G,Income!$H:$H, AB$2,Income!$F:$F, $V$1, Income!$B:$B, IF($W224&lt;&gt;"", TEXT($W224, "MMMM"), ""), Income!$C:$C, YEAR($W224))</f>
        <v>0</v>
      </c>
      <c r="AC224" s="470">
        <f>SUMIFS(Income!$G:$G,Income!$H:$H, AC$2,Income!$F:$F, $V$1, Income!$B:$B, IF($W224&lt;&gt;"", TEXT($W224, "MMMM"), ""), Income!$C:$C, YEAR($W224))</f>
        <v>0</v>
      </c>
      <c r="AD224" s="447" t="s">
        <v>805</v>
      </c>
      <c r="AE224" s="463">
        <v>50557.0</v>
      </c>
      <c r="AF224" s="469">
        <f>SUMIFS(Income!$G:$G,Income!$H:$H, AF$2,Income!$F:$F, $AD$1, Income!$B:$B, IF($AE224&lt;&gt;"", TEXT($AE224, "MMMM"), ""), Income!$C:$C, YEAR($AE224))</f>
        <v>0</v>
      </c>
      <c r="AG224" s="469">
        <f>SUMIFS(Income!$G:$G,Income!$H:$H, AG$2,Income!$F:$F, $AD$1, Income!$B:$B, IF($AE224&lt;&gt;"", TEXT($AE224, "MMMM"), ""), Income!$C:$C, YEAR($AE224))</f>
        <v>0</v>
      </c>
      <c r="AH224" s="469">
        <f>SUMIFS(Income!$G:$G,Income!$H:$H, AH$2,Income!$F:$F, $AD$1, Income!$B:$B, IF($AE224&lt;&gt;"", TEXT($AE224, "MMMM"), ""), Income!$C:$C, YEAR($AE224))</f>
        <v>0</v>
      </c>
      <c r="AI224" s="469">
        <f>SUMIFS(Income!$G:$G,Income!$H:$H, AI$2,Income!$F:$F, $AD$1, Income!$B:$B, IF($AE224&lt;&gt;"", TEXT($AE224, "MMMM"), ""), Income!$C:$C, YEAR($AE224))</f>
        <v>0</v>
      </c>
      <c r="AJ224" s="464">
        <f>SUMIFS(Income!$G:$G,Income!$H:$H, AJ$2,Income!$F:$F, $AD$1, Income!$B:$B, IF($AE224&lt;&gt;"", TEXT($AE224, "MMMM"), ""), Income!$C:$C, YEAR($AE224))</f>
        <v>0</v>
      </c>
      <c r="AK224" s="470">
        <f>SUMIFS(Income!$G:$G,Income!$H:$H, AK$2,Income!$F:$F, $AD$1, Income!$B:$B, IF($AE224&lt;&gt;"", TEXT($AE224, "MMMM"), ""), Income!$C:$C, YEAR($AE224))</f>
        <v>0</v>
      </c>
      <c r="AL224" s="447" t="s">
        <v>805</v>
      </c>
      <c r="AM224" s="463">
        <v>50557.0</v>
      </c>
      <c r="AN224" s="464">
        <f>SUMIFS(Income!$G:$G,Income!$H:$H, AN$2,Income!$F:$F, $AL$1, Income!$B:$B, IF($AM224&lt;&gt;"", TEXT($AM224, "MMMM"), ""), Income!$C:$C, YEAR($AM224))+SUMIFS($T:$T, $U:$U,AN$2,$Q:$Q,IF($AM224&lt;&gt;"", TEXT($AM224, "MMMM"), ""),$R:$R,YEAR($AM224))</f>
        <v>0</v>
      </c>
      <c r="AO224" s="464">
        <f>SUMIFS(Income!$G:$G,Income!$H:$H, AO$2,Income!$F:$F, $AL$1, Income!$B:$B, IF($AM224&lt;&gt;"", TEXT($AM224, "MMMM"), ""), Income!$C:$C, YEAR($AM224))+SUMIFS($T:$T, $U:$U,AO$2,$Q:$Q,IF($AM224&lt;&gt;"", TEXT($AM224, "MMMM"), ""),$R:$R,YEAR($AM224))</f>
        <v>0</v>
      </c>
      <c r="AP224" s="464">
        <f>SUMIFS(Income!$G:$G,Income!$H:$H, AP$2,Income!$F:$F, $AL$1, Income!$B:$B, IF($AM224&lt;&gt;"", TEXT($AM224, "MMMM"), ""), Income!$C:$C, YEAR($AM224))+SUMIFS($T:$T, $U:$U,AP$2,$Q:$Q,IF($AM224&lt;&gt;"", TEXT($AM224, "MMMM"), ""),$R:$R,YEAR($AM224))</f>
        <v>0</v>
      </c>
      <c r="AQ224" s="464">
        <f>SUMIFS(Income!$G:$G,Income!$H:$H, AQ$2,Income!$F:$F, $AL$1, Income!$B:$B, IF($AM224&lt;&gt;"", TEXT($AM224, "MMMM"), ""), Income!$C:$C, YEAR($AM224))+SUMIFS($T:$T, $U:$U,AQ$2,$Q:$Q,IF($AM224&lt;&gt;"", TEXT($AM224, "MMMM"), ""),$R:$R,YEAR($AM224))</f>
        <v>0</v>
      </c>
      <c r="AR224" s="464">
        <f>SUMIFS(Income!$G:$G,Income!$H:$H, AR$2,Income!$F:$F, $AL$1, Income!$B:$B, IF($AM224&lt;&gt;"", TEXT($AM224, "MMMM"), ""), Income!$C:$C, YEAR($AM224))+SUMIFS($T:$T, $U:$U,AR$2,$Q:$Q,IF($AM224&lt;&gt;"", TEXT($AM224, "MMMM"), ""),$R:$R,YEAR($AM224))</f>
        <v>0</v>
      </c>
      <c r="AS224" s="467">
        <f>SUMIFS(Income!$G:$G,Income!$H:$H, AS$2,Income!$F:$F, $AL$1, Income!$B:$B, IF($AM224&lt;&gt;"", TEXT($AM224, "MMMM"), ""), Income!$C:$C, YEAR($AM224))+SUMIFS($T:$T, $U:$U,AS$2,$Q:$Q,IF($AM224&lt;&gt;"", TEXT($AM224, "MMMM"), ""),$R:$R,YEAR($AM224))</f>
        <v>0</v>
      </c>
      <c r="AT224" s="447" t="s">
        <v>805</v>
      </c>
      <c r="AU224" s="463">
        <v>50557.0</v>
      </c>
      <c r="AV224" s="469">
        <f>SUMIFS(Income!$G:$G,Income!$H:$H, AV$2,Income!$F:$F, $AT$1, Income!$B:$B, IF($AU224&lt;&gt;"", TEXT($AU224, "MMMM"), ""), Income!$C:$C, YEAR($AU224))</f>
        <v>0</v>
      </c>
      <c r="AW224" s="469">
        <f>SUMIFS(Income!$G:$G,Income!$H:$H, AW$2,Income!$F:$F, $AT$1, Income!$B:$B, IF($AU224&lt;&gt;"", TEXT($AU224, "MMMM"), ""), Income!$C:$C, YEAR($AU224))</f>
        <v>0</v>
      </c>
      <c r="AX224" s="469">
        <f>SUMIFS(Income!$G:$G,Income!$H:$H, AX$2,Income!$F:$F, $AT$1, Income!$B:$B, IF($AU224&lt;&gt;"", TEXT($AU224, "MMMM"), ""), Income!$C:$C, YEAR($AU224))</f>
        <v>0</v>
      </c>
      <c r="AY224" s="469">
        <f>SUMIFS(Income!$G:$G,Income!$H:$H, AY$2,Income!$F:$F, $AT$1, Income!$B:$B, IF($AU224&lt;&gt;"", TEXT($AU224, "MMMM"), ""), Income!$C:$C, YEAR($AU224))</f>
        <v>0</v>
      </c>
      <c r="AZ224" s="464">
        <f>SUMIFS(Income!$G:$G,Income!$H:$H, AZ$2,Income!$F:$F, $AT$1, Income!$B:$B, IF($AU224&lt;&gt;"", TEXT($AU224, "MMMM"), ""), Income!$C:$C, YEAR($AU224))</f>
        <v>0</v>
      </c>
      <c r="BA224" s="471">
        <f>SUMIFS(Income!$G:$G,Income!$H:$H, BA$2,Income!$F:$F, $AT$1, Income!$B:$B, IF($AU224&lt;&gt;"", TEXT($AU224, "MMMM"), ""), Income!$C:$C, YEAR($AU224))</f>
        <v>0</v>
      </c>
      <c r="BB224" s="345"/>
      <c r="BC224" s="345"/>
      <c r="BD224" s="345"/>
      <c r="BE224" s="345"/>
    </row>
    <row r="225" ht="13.5" customHeight="1">
      <c r="A225" s="436">
        <f>'Membership Application List'!A454</f>
        <v>45686.85291</v>
      </c>
      <c r="B225" s="437" t="str">
        <f t="shared" si="6"/>
        <v>January</v>
      </c>
      <c r="C225" s="437">
        <f t="shared" si="7"/>
        <v>2025</v>
      </c>
      <c r="D225" s="438" t="str">
        <f>'Membership Application List'!E454</f>
        <v>Nicholas Ho</v>
      </c>
      <c r="E225" s="438">
        <f>IF('Membership Application List'!J454 = "Food/Litter Donation", 0, IF('Membership Application List'!J454 = "$15 Donation, Discord Verification", IF('Membership Application List'!N454 = TRUE, 15, 0)))</f>
        <v>15</v>
      </c>
      <c r="F225" s="438">
        <f>if('Membership Application List'!K454=TRUE, 5,0)</f>
        <v>0</v>
      </c>
      <c r="G225" s="438">
        <f t="shared" si="8"/>
        <v>15</v>
      </c>
      <c r="H225" s="439" t="str">
        <f>'Membership Application List'!L454</f>
        <v>Paypal</v>
      </c>
      <c r="I225" s="428"/>
      <c r="J225" s="463">
        <v>50587.0</v>
      </c>
      <c r="K225" s="464">
        <f t="shared" ref="K225:O225" si="183">SUMIFS($G:$G, $H:$H, K$2, $B:$B, IF($J225&lt;&gt;"", TEXT($J225, "MMMM"), ""), $C:$C, YEAR($J225))</f>
        <v>0</v>
      </c>
      <c r="L225" s="464">
        <f t="shared" si="183"/>
        <v>0</v>
      </c>
      <c r="M225" s="464">
        <f t="shared" si="183"/>
        <v>0</v>
      </c>
      <c r="N225" s="464">
        <f t="shared" si="183"/>
        <v>0</v>
      </c>
      <c r="O225" s="465">
        <f t="shared" si="183"/>
        <v>0</v>
      </c>
      <c r="P225" s="414"/>
      <c r="Q225" s="414"/>
      <c r="R225" s="414"/>
      <c r="S225" s="445"/>
      <c r="T225" s="445"/>
      <c r="U225" s="445"/>
      <c r="V225" s="428"/>
      <c r="W225" s="463">
        <v>50587.0</v>
      </c>
      <c r="X225" s="469">
        <f>SUMIFS(Income!$G:$G,Income!$H:$H, X$2,Income!$F:$F, $V$1, Income!$B:$B, IF($W225&lt;&gt;"", TEXT($W225, "MMMM"), ""), Income!$C:$C, YEAR($W225))</f>
        <v>0</v>
      </c>
      <c r="Y225" s="469">
        <f>SUMIFS(Income!$G:$G,Income!$H:$H, Y$2,Income!$F:$F, $V$1, Income!$B:$B, IF($W225&lt;&gt;"", TEXT($W225, "MMMM"), ""), Income!$C:$C, YEAR($W225))</f>
        <v>0</v>
      </c>
      <c r="Z225" s="469">
        <f>SUMIFS(Income!$G:$G,Income!$H:$H, Z$2,Income!$F:$F, $V$1, Income!$B:$B, IF($W225&lt;&gt;"", TEXT($W225, "MMMM"), ""), Income!$C:$C, YEAR($W225))</f>
        <v>0</v>
      </c>
      <c r="AA225" s="469">
        <f>SUMIFS(Income!$G:$G,Income!$H:$H, AA$2,Income!$F:$F, $V$1, Income!$B:$B, IF($W225&lt;&gt;"", TEXT($W225, "MMMM"), ""), Income!$C:$C, YEAR($W225))</f>
        <v>0</v>
      </c>
      <c r="AB225" s="464">
        <f>SUMIFS(Income!$G:$G,Income!$H:$H, AB$2,Income!$F:$F, $V$1, Income!$B:$B, IF($W225&lt;&gt;"", TEXT($W225, "MMMM"), ""), Income!$C:$C, YEAR($W225))</f>
        <v>0</v>
      </c>
      <c r="AC225" s="470">
        <f>SUMIFS(Income!$G:$G,Income!$H:$H, AC$2,Income!$F:$F, $V$1, Income!$B:$B, IF($W225&lt;&gt;"", TEXT($W225, "MMMM"), ""), Income!$C:$C, YEAR($W225))</f>
        <v>0</v>
      </c>
      <c r="AD225" s="428"/>
      <c r="AE225" s="463">
        <v>50587.0</v>
      </c>
      <c r="AF225" s="469">
        <f>SUMIFS(Income!$G:$G,Income!$H:$H, AF$2,Income!$F:$F, $AD$1, Income!$B:$B, IF($AE225&lt;&gt;"", TEXT($AE225, "MMMM"), ""), Income!$C:$C, YEAR($AE225))</f>
        <v>0</v>
      </c>
      <c r="AG225" s="469">
        <f>SUMIFS(Income!$G:$G,Income!$H:$H, AG$2,Income!$F:$F, $AD$1, Income!$B:$B, IF($AE225&lt;&gt;"", TEXT($AE225, "MMMM"), ""), Income!$C:$C, YEAR($AE225))</f>
        <v>0</v>
      </c>
      <c r="AH225" s="469">
        <f>SUMIFS(Income!$G:$G,Income!$H:$H, AH$2,Income!$F:$F, $AD$1, Income!$B:$B, IF($AE225&lt;&gt;"", TEXT($AE225, "MMMM"), ""), Income!$C:$C, YEAR($AE225))</f>
        <v>0</v>
      </c>
      <c r="AI225" s="469">
        <f>SUMIFS(Income!$G:$G,Income!$H:$H, AI$2,Income!$F:$F, $AD$1, Income!$B:$B, IF($AE225&lt;&gt;"", TEXT($AE225, "MMMM"), ""), Income!$C:$C, YEAR($AE225))</f>
        <v>0</v>
      </c>
      <c r="AJ225" s="464">
        <f>SUMIFS(Income!$G:$G,Income!$H:$H, AJ$2,Income!$F:$F, $AD$1, Income!$B:$B, IF($AE225&lt;&gt;"", TEXT($AE225, "MMMM"), ""), Income!$C:$C, YEAR($AE225))</f>
        <v>0</v>
      </c>
      <c r="AK225" s="470">
        <f>SUMIFS(Income!$G:$G,Income!$H:$H, AK$2,Income!$F:$F, $AD$1, Income!$B:$B, IF($AE225&lt;&gt;"", TEXT($AE225, "MMMM"), ""), Income!$C:$C, YEAR($AE225))</f>
        <v>0</v>
      </c>
      <c r="AL225" s="428"/>
      <c r="AM225" s="463">
        <v>50587.0</v>
      </c>
      <c r="AN225" s="464">
        <f>SUMIFS(Income!$G:$G,Income!$H:$H, AN$2,Income!$F:$F, $AL$1, Income!$B:$B, IF($AM225&lt;&gt;"", TEXT($AM225, "MMMM"), ""), Income!$C:$C, YEAR($AM225))+SUMIFS($T:$T, $U:$U,AN$2,$Q:$Q,IF($AM225&lt;&gt;"", TEXT($AM225, "MMMM"), ""),$R:$R,YEAR($AM225))</f>
        <v>0</v>
      </c>
      <c r="AO225" s="464">
        <f>SUMIFS(Income!$G:$G,Income!$H:$H, AO$2,Income!$F:$F, $AL$1, Income!$B:$B, IF($AM225&lt;&gt;"", TEXT($AM225, "MMMM"), ""), Income!$C:$C, YEAR($AM225))+SUMIFS($T:$T, $U:$U,AO$2,$Q:$Q,IF($AM225&lt;&gt;"", TEXT($AM225, "MMMM"), ""),$R:$R,YEAR($AM225))</f>
        <v>0</v>
      </c>
      <c r="AP225" s="464">
        <f>SUMIFS(Income!$G:$G,Income!$H:$H, AP$2,Income!$F:$F, $AL$1, Income!$B:$B, IF($AM225&lt;&gt;"", TEXT($AM225, "MMMM"), ""), Income!$C:$C, YEAR($AM225))+SUMIFS($T:$T, $U:$U,AP$2,$Q:$Q,IF($AM225&lt;&gt;"", TEXT($AM225, "MMMM"), ""),$R:$R,YEAR($AM225))</f>
        <v>0</v>
      </c>
      <c r="AQ225" s="464">
        <f>SUMIFS(Income!$G:$G,Income!$H:$H, AQ$2,Income!$F:$F, $AL$1, Income!$B:$B, IF($AM225&lt;&gt;"", TEXT($AM225, "MMMM"), ""), Income!$C:$C, YEAR($AM225))+SUMIFS($T:$T, $U:$U,AQ$2,$Q:$Q,IF($AM225&lt;&gt;"", TEXT($AM225, "MMMM"), ""),$R:$R,YEAR($AM225))</f>
        <v>0</v>
      </c>
      <c r="AR225" s="464">
        <f>SUMIFS(Income!$G:$G,Income!$H:$H, AR$2,Income!$F:$F, $AL$1, Income!$B:$B, IF($AM225&lt;&gt;"", TEXT($AM225, "MMMM"), ""), Income!$C:$C, YEAR($AM225))+SUMIFS($T:$T, $U:$U,AR$2,$Q:$Q,IF($AM225&lt;&gt;"", TEXT($AM225, "MMMM"), ""),$R:$R,YEAR($AM225))</f>
        <v>0</v>
      </c>
      <c r="AS225" s="467">
        <f>SUMIFS(Income!$G:$G,Income!$H:$H, AS$2,Income!$F:$F, $AL$1, Income!$B:$B, IF($AM225&lt;&gt;"", TEXT($AM225, "MMMM"), ""), Income!$C:$C, YEAR($AM225))+SUMIFS($T:$T, $U:$U,AS$2,$Q:$Q,IF($AM225&lt;&gt;"", TEXT($AM225, "MMMM"), ""),$R:$R,YEAR($AM225))</f>
        <v>0</v>
      </c>
      <c r="AT225" s="428"/>
      <c r="AU225" s="463">
        <v>50587.0</v>
      </c>
      <c r="AV225" s="469">
        <f>SUMIFS(Income!$G:$G,Income!$H:$H, AV$2,Income!$F:$F, $AT$1, Income!$B:$B, IF($AU225&lt;&gt;"", TEXT($AU225, "MMMM"), ""), Income!$C:$C, YEAR($AU225))</f>
        <v>0</v>
      </c>
      <c r="AW225" s="469">
        <f>SUMIFS(Income!$G:$G,Income!$H:$H, AW$2,Income!$F:$F, $AT$1, Income!$B:$B, IF($AU225&lt;&gt;"", TEXT($AU225, "MMMM"), ""), Income!$C:$C, YEAR($AU225))</f>
        <v>0</v>
      </c>
      <c r="AX225" s="469">
        <f>SUMIFS(Income!$G:$G,Income!$H:$H, AX$2,Income!$F:$F, $AT$1, Income!$B:$B, IF($AU225&lt;&gt;"", TEXT($AU225, "MMMM"), ""), Income!$C:$C, YEAR($AU225))</f>
        <v>0</v>
      </c>
      <c r="AY225" s="469">
        <f>SUMIFS(Income!$G:$G,Income!$H:$H, AY$2,Income!$F:$F, $AT$1, Income!$B:$B, IF($AU225&lt;&gt;"", TEXT($AU225, "MMMM"), ""), Income!$C:$C, YEAR($AU225))</f>
        <v>0</v>
      </c>
      <c r="AZ225" s="464">
        <f>SUMIFS(Income!$G:$G,Income!$H:$H, AZ$2,Income!$F:$F, $AT$1, Income!$B:$B, IF($AU225&lt;&gt;"", TEXT($AU225, "MMMM"), ""), Income!$C:$C, YEAR($AU225))</f>
        <v>0</v>
      </c>
      <c r="BA225" s="471">
        <f>SUMIFS(Income!$G:$G,Income!$H:$H, BA$2,Income!$F:$F, $AT$1, Income!$B:$B, IF($AU225&lt;&gt;"", TEXT($AU225, "MMMM"), ""), Income!$C:$C, YEAR($AU225))</f>
        <v>0</v>
      </c>
      <c r="BB225" s="345"/>
      <c r="BC225" s="345"/>
      <c r="BD225" s="345"/>
      <c r="BE225" s="345"/>
    </row>
    <row r="226" ht="13.5" customHeight="1">
      <c r="A226" s="424">
        <f>'Membership Application List'!A455</f>
        <v>45687.48966</v>
      </c>
      <c r="B226" s="443" t="str">
        <f t="shared" si="6"/>
        <v>January</v>
      </c>
      <c r="C226" s="443">
        <f t="shared" si="7"/>
        <v>2025</v>
      </c>
      <c r="D226" s="426" t="str">
        <f>'Membership Application List'!E455</f>
        <v>Cecelia Murphy</v>
      </c>
      <c r="E226" s="426">
        <f>IF('Membership Application List'!J455 = "Food/Litter Donation", 0, IF('Membership Application List'!J455 = "$15 Donation, Discord Verification", IF('Membership Application List'!N455 = TRUE, 15, 0)))</f>
        <v>15</v>
      </c>
      <c r="F226" s="426">
        <f>if('Membership Application List'!K455=TRUE, 5,0)</f>
        <v>0</v>
      </c>
      <c r="G226" s="426">
        <f t="shared" si="8"/>
        <v>15</v>
      </c>
      <c r="H226" s="427" t="str">
        <f>'Membership Application List'!L455</f>
        <v>Venmo</v>
      </c>
      <c r="I226" s="428"/>
      <c r="J226" s="463">
        <v>50618.0</v>
      </c>
      <c r="K226" s="464">
        <f t="shared" ref="K226:O226" si="184">SUMIFS($G:$G, $H:$H, K$2, $B:$B, IF($J226&lt;&gt;"", TEXT($J226, "MMMM"), ""), $C:$C, YEAR($J226))</f>
        <v>0</v>
      </c>
      <c r="L226" s="464">
        <f t="shared" si="184"/>
        <v>0</v>
      </c>
      <c r="M226" s="464">
        <f t="shared" si="184"/>
        <v>0</v>
      </c>
      <c r="N226" s="464">
        <f t="shared" si="184"/>
        <v>0</v>
      </c>
      <c r="O226" s="465">
        <f t="shared" si="184"/>
        <v>0</v>
      </c>
      <c r="P226" s="414"/>
      <c r="Q226" s="414"/>
      <c r="R226" s="414"/>
      <c r="S226" s="445"/>
      <c r="T226" s="445"/>
      <c r="U226" s="445"/>
      <c r="V226" s="428"/>
      <c r="W226" s="463">
        <v>50618.0</v>
      </c>
      <c r="X226" s="469">
        <f>SUMIFS(Income!$G:$G,Income!$H:$H, X$2,Income!$F:$F, $V$1, Income!$B:$B, IF($W226&lt;&gt;"", TEXT($W226, "MMMM"), ""), Income!$C:$C, YEAR($W226))</f>
        <v>0</v>
      </c>
      <c r="Y226" s="469">
        <f>SUMIFS(Income!$G:$G,Income!$H:$H, Y$2,Income!$F:$F, $V$1, Income!$B:$B, IF($W226&lt;&gt;"", TEXT($W226, "MMMM"), ""), Income!$C:$C, YEAR($W226))</f>
        <v>0</v>
      </c>
      <c r="Z226" s="469">
        <f>SUMIFS(Income!$G:$G,Income!$H:$H, Z$2,Income!$F:$F, $V$1, Income!$B:$B, IF($W226&lt;&gt;"", TEXT($W226, "MMMM"), ""), Income!$C:$C, YEAR($W226))</f>
        <v>0</v>
      </c>
      <c r="AA226" s="469">
        <f>SUMIFS(Income!$G:$G,Income!$H:$H, AA$2,Income!$F:$F, $V$1, Income!$B:$B, IF($W226&lt;&gt;"", TEXT($W226, "MMMM"), ""), Income!$C:$C, YEAR($W226))</f>
        <v>0</v>
      </c>
      <c r="AB226" s="464">
        <f>SUMIFS(Income!$G:$G,Income!$H:$H, AB$2,Income!$F:$F, $V$1, Income!$B:$B, IF($W226&lt;&gt;"", TEXT($W226, "MMMM"), ""), Income!$C:$C, YEAR($W226))</f>
        <v>0</v>
      </c>
      <c r="AC226" s="470">
        <f>SUMIFS(Income!$G:$G,Income!$H:$H, AC$2,Income!$F:$F, $V$1, Income!$B:$B, IF($W226&lt;&gt;"", TEXT($W226, "MMMM"), ""), Income!$C:$C, YEAR($W226))</f>
        <v>0</v>
      </c>
      <c r="AD226" s="428"/>
      <c r="AE226" s="463">
        <v>50618.0</v>
      </c>
      <c r="AF226" s="469">
        <f>SUMIFS(Income!$G:$G,Income!$H:$H, AF$2,Income!$F:$F, $AD$1, Income!$B:$B, IF($AE226&lt;&gt;"", TEXT($AE226, "MMMM"), ""), Income!$C:$C, YEAR($AE226))</f>
        <v>0</v>
      </c>
      <c r="AG226" s="469">
        <f>SUMIFS(Income!$G:$G,Income!$H:$H, AG$2,Income!$F:$F, $AD$1, Income!$B:$B, IF($AE226&lt;&gt;"", TEXT($AE226, "MMMM"), ""), Income!$C:$C, YEAR($AE226))</f>
        <v>0</v>
      </c>
      <c r="AH226" s="469">
        <f>SUMIFS(Income!$G:$G,Income!$H:$H, AH$2,Income!$F:$F, $AD$1, Income!$B:$B, IF($AE226&lt;&gt;"", TEXT($AE226, "MMMM"), ""), Income!$C:$C, YEAR($AE226))</f>
        <v>0</v>
      </c>
      <c r="AI226" s="469">
        <f>SUMIFS(Income!$G:$G,Income!$H:$H, AI$2,Income!$F:$F, $AD$1, Income!$B:$B, IF($AE226&lt;&gt;"", TEXT($AE226, "MMMM"), ""), Income!$C:$C, YEAR($AE226))</f>
        <v>0</v>
      </c>
      <c r="AJ226" s="464">
        <f>SUMIFS(Income!$G:$G,Income!$H:$H, AJ$2,Income!$F:$F, $AD$1, Income!$B:$B, IF($AE226&lt;&gt;"", TEXT($AE226, "MMMM"), ""), Income!$C:$C, YEAR($AE226))</f>
        <v>0</v>
      </c>
      <c r="AK226" s="470">
        <f>SUMIFS(Income!$G:$G,Income!$H:$H, AK$2,Income!$F:$F, $AD$1, Income!$B:$B, IF($AE226&lt;&gt;"", TEXT($AE226, "MMMM"), ""), Income!$C:$C, YEAR($AE226))</f>
        <v>0</v>
      </c>
      <c r="AL226" s="428"/>
      <c r="AM226" s="463">
        <v>50618.0</v>
      </c>
      <c r="AN226" s="464">
        <f>SUMIFS(Income!$G:$G,Income!$H:$H, AN$2,Income!$F:$F, $AL$1, Income!$B:$B, IF($AM226&lt;&gt;"", TEXT($AM226, "MMMM"), ""), Income!$C:$C, YEAR($AM226))+SUMIFS($T:$T, $U:$U,AN$2,$Q:$Q,IF($AM226&lt;&gt;"", TEXT($AM226, "MMMM"), ""),$R:$R,YEAR($AM226))</f>
        <v>0</v>
      </c>
      <c r="AO226" s="464">
        <f>SUMIFS(Income!$G:$G,Income!$H:$H, AO$2,Income!$F:$F, $AL$1, Income!$B:$B, IF($AM226&lt;&gt;"", TEXT($AM226, "MMMM"), ""), Income!$C:$C, YEAR($AM226))+SUMIFS($T:$T, $U:$U,AO$2,$Q:$Q,IF($AM226&lt;&gt;"", TEXT($AM226, "MMMM"), ""),$R:$R,YEAR($AM226))</f>
        <v>0</v>
      </c>
      <c r="AP226" s="464">
        <f>SUMIFS(Income!$G:$G,Income!$H:$H, AP$2,Income!$F:$F, $AL$1, Income!$B:$B, IF($AM226&lt;&gt;"", TEXT($AM226, "MMMM"), ""), Income!$C:$C, YEAR($AM226))+SUMIFS($T:$T, $U:$U,AP$2,$Q:$Q,IF($AM226&lt;&gt;"", TEXT($AM226, "MMMM"), ""),$R:$R,YEAR($AM226))</f>
        <v>0</v>
      </c>
      <c r="AQ226" s="464">
        <f>SUMIFS(Income!$G:$G,Income!$H:$H, AQ$2,Income!$F:$F, $AL$1, Income!$B:$B, IF($AM226&lt;&gt;"", TEXT($AM226, "MMMM"), ""), Income!$C:$C, YEAR($AM226))+SUMIFS($T:$T, $U:$U,AQ$2,$Q:$Q,IF($AM226&lt;&gt;"", TEXT($AM226, "MMMM"), ""),$R:$R,YEAR($AM226))</f>
        <v>0</v>
      </c>
      <c r="AR226" s="464">
        <f>SUMIFS(Income!$G:$G,Income!$H:$H, AR$2,Income!$F:$F, $AL$1, Income!$B:$B, IF($AM226&lt;&gt;"", TEXT($AM226, "MMMM"), ""), Income!$C:$C, YEAR($AM226))+SUMIFS($T:$T, $U:$U,AR$2,$Q:$Q,IF($AM226&lt;&gt;"", TEXT($AM226, "MMMM"), ""),$R:$R,YEAR($AM226))</f>
        <v>0</v>
      </c>
      <c r="AS226" s="467">
        <f>SUMIFS(Income!$G:$G,Income!$H:$H, AS$2,Income!$F:$F, $AL$1, Income!$B:$B, IF($AM226&lt;&gt;"", TEXT($AM226, "MMMM"), ""), Income!$C:$C, YEAR($AM226))+SUMIFS($T:$T, $U:$U,AS$2,$Q:$Q,IF($AM226&lt;&gt;"", TEXT($AM226, "MMMM"), ""),$R:$R,YEAR($AM226))</f>
        <v>0</v>
      </c>
      <c r="AT226" s="428"/>
      <c r="AU226" s="463">
        <v>50618.0</v>
      </c>
      <c r="AV226" s="469">
        <f>SUMIFS(Income!$G:$G,Income!$H:$H, AV$2,Income!$F:$F, $AT$1, Income!$B:$B, IF($AU226&lt;&gt;"", TEXT($AU226, "MMMM"), ""), Income!$C:$C, YEAR($AU226))</f>
        <v>0</v>
      </c>
      <c r="AW226" s="469">
        <f>SUMIFS(Income!$G:$G,Income!$H:$H, AW$2,Income!$F:$F, $AT$1, Income!$B:$B, IF($AU226&lt;&gt;"", TEXT($AU226, "MMMM"), ""), Income!$C:$C, YEAR($AU226))</f>
        <v>0</v>
      </c>
      <c r="AX226" s="469">
        <f>SUMIFS(Income!$G:$G,Income!$H:$H, AX$2,Income!$F:$F, $AT$1, Income!$B:$B, IF($AU226&lt;&gt;"", TEXT($AU226, "MMMM"), ""), Income!$C:$C, YEAR($AU226))</f>
        <v>0</v>
      </c>
      <c r="AY226" s="469">
        <f>SUMIFS(Income!$G:$G,Income!$H:$H, AY$2,Income!$F:$F, $AT$1, Income!$B:$B, IF($AU226&lt;&gt;"", TEXT($AU226, "MMMM"), ""), Income!$C:$C, YEAR($AU226))</f>
        <v>0</v>
      </c>
      <c r="AZ226" s="464">
        <f>SUMIFS(Income!$G:$G,Income!$H:$H, AZ$2,Income!$F:$F, $AT$1, Income!$B:$B, IF($AU226&lt;&gt;"", TEXT($AU226, "MMMM"), ""), Income!$C:$C, YEAR($AU226))</f>
        <v>0</v>
      </c>
      <c r="BA226" s="471">
        <f>SUMIFS(Income!$G:$G,Income!$H:$H, BA$2,Income!$F:$F, $AT$1, Income!$B:$B, IF($AU226&lt;&gt;"", TEXT($AU226, "MMMM"), ""), Income!$C:$C, YEAR($AU226))</f>
        <v>0</v>
      </c>
      <c r="BB226" s="345"/>
      <c r="BC226" s="345"/>
      <c r="BD226" s="345"/>
      <c r="BE226" s="345"/>
    </row>
    <row r="227" ht="13.5" customHeight="1">
      <c r="A227" s="436">
        <f>'Membership Application List'!A456</f>
        <v>45687.56476</v>
      </c>
      <c r="B227" s="437" t="str">
        <f t="shared" si="6"/>
        <v>January</v>
      </c>
      <c r="C227" s="437">
        <f t="shared" si="7"/>
        <v>2025</v>
      </c>
      <c r="D227" s="438" t="str">
        <f>'Membership Application List'!E456</f>
        <v>Carlos Chevez</v>
      </c>
      <c r="E227" s="438">
        <f>IF('Membership Application List'!J456 = "Food/Litter Donation", 0, IF('Membership Application List'!J456 = "$15 Donation, Discord Verification", IF('Membership Application List'!N456 = TRUE, 15, 0)))</f>
        <v>15</v>
      </c>
      <c r="F227" s="438">
        <f>if('Membership Application List'!K456=TRUE, 5,0)</f>
        <v>0</v>
      </c>
      <c r="G227" s="438">
        <f t="shared" si="8"/>
        <v>15</v>
      </c>
      <c r="H227" s="439" t="str">
        <f>'Membership Application List'!L456</f>
        <v>Paypal</v>
      </c>
      <c r="I227" s="428"/>
      <c r="J227" s="463">
        <v>50649.0</v>
      </c>
      <c r="K227" s="464">
        <f t="shared" ref="K227:O227" si="185">SUMIFS($G:$G, $H:$H, K$2, $B:$B, IF($J227&lt;&gt;"", TEXT($J227, "MMMM"), ""), $C:$C, YEAR($J227))</f>
        <v>0</v>
      </c>
      <c r="L227" s="464">
        <f t="shared" si="185"/>
        <v>0</v>
      </c>
      <c r="M227" s="464">
        <f t="shared" si="185"/>
        <v>0</v>
      </c>
      <c r="N227" s="464">
        <f t="shared" si="185"/>
        <v>0</v>
      </c>
      <c r="O227" s="465">
        <f t="shared" si="185"/>
        <v>0</v>
      </c>
      <c r="P227" s="414"/>
      <c r="Q227" s="414"/>
      <c r="R227" s="414"/>
      <c r="S227" s="445"/>
      <c r="T227" s="445"/>
      <c r="U227" s="445"/>
      <c r="V227" s="428"/>
      <c r="W227" s="463">
        <v>50649.0</v>
      </c>
      <c r="X227" s="469">
        <f>SUMIFS(Income!$G:$G,Income!$H:$H, X$2,Income!$F:$F, $V$1, Income!$B:$B, IF($W227&lt;&gt;"", TEXT($W227, "MMMM"), ""), Income!$C:$C, YEAR($W227))</f>
        <v>0</v>
      </c>
      <c r="Y227" s="469">
        <f>SUMIFS(Income!$G:$G,Income!$H:$H, Y$2,Income!$F:$F, $V$1, Income!$B:$B, IF($W227&lt;&gt;"", TEXT($W227, "MMMM"), ""), Income!$C:$C, YEAR($W227))</f>
        <v>0</v>
      </c>
      <c r="Z227" s="469">
        <f>SUMIFS(Income!$G:$G,Income!$H:$H, Z$2,Income!$F:$F, $V$1, Income!$B:$B, IF($W227&lt;&gt;"", TEXT($W227, "MMMM"), ""), Income!$C:$C, YEAR($W227))</f>
        <v>0</v>
      </c>
      <c r="AA227" s="469">
        <f>SUMIFS(Income!$G:$G,Income!$H:$H, AA$2,Income!$F:$F, $V$1, Income!$B:$B, IF($W227&lt;&gt;"", TEXT($W227, "MMMM"), ""), Income!$C:$C, YEAR($W227))</f>
        <v>0</v>
      </c>
      <c r="AB227" s="464">
        <f>SUMIFS(Income!$G:$G,Income!$H:$H, AB$2,Income!$F:$F, $V$1, Income!$B:$B, IF($W227&lt;&gt;"", TEXT($W227, "MMMM"), ""), Income!$C:$C, YEAR($W227))</f>
        <v>0</v>
      </c>
      <c r="AC227" s="470">
        <f>SUMIFS(Income!$G:$G,Income!$H:$H, AC$2,Income!$F:$F, $V$1, Income!$B:$B, IF($W227&lt;&gt;"", TEXT($W227, "MMMM"), ""), Income!$C:$C, YEAR($W227))</f>
        <v>0</v>
      </c>
      <c r="AD227" s="428"/>
      <c r="AE227" s="463">
        <v>50649.0</v>
      </c>
      <c r="AF227" s="469">
        <f>SUMIFS(Income!$G:$G,Income!$H:$H, AF$2,Income!$F:$F, $AD$1, Income!$B:$B, IF($AE227&lt;&gt;"", TEXT($AE227, "MMMM"), ""), Income!$C:$C, YEAR($AE227))</f>
        <v>0</v>
      </c>
      <c r="AG227" s="469">
        <f>SUMIFS(Income!$G:$G,Income!$H:$H, AG$2,Income!$F:$F, $AD$1, Income!$B:$B, IF($AE227&lt;&gt;"", TEXT($AE227, "MMMM"), ""), Income!$C:$C, YEAR($AE227))</f>
        <v>0</v>
      </c>
      <c r="AH227" s="469">
        <f>SUMIFS(Income!$G:$G,Income!$H:$H, AH$2,Income!$F:$F, $AD$1, Income!$B:$B, IF($AE227&lt;&gt;"", TEXT($AE227, "MMMM"), ""), Income!$C:$C, YEAR($AE227))</f>
        <v>0</v>
      </c>
      <c r="AI227" s="469">
        <f>SUMIFS(Income!$G:$G,Income!$H:$H, AI$2,Income!$F:$F, $AD$1, Income!$B:$B, IF($AE227&lt;&gt;"", TEXT($AE227, "MMMM"), ""), Income!$C:$C, YEAR($AE227))</f>
        <v>0</v>
      </c>
      <c r="AJ227" s="464">
        <f>SUMIFS(Income!$G:$G,Income!$H:$H, AJ$2,Income!$F:$F, $AD$1, Income!$B:$B, IF($AE227&lt;&gt;"", TEXT($AE227, "MMMM"), ""), Income!$C:$C, YEAR($AE227))</f>
        <v>0</v>
      </c>
      <c r="AK227" s="470">
        <f>SUMIFS(Income!$G:$G,Income!$H:$H, AK$2,Income!$F:$F, $AD$1, Income!$B:$B, IF($AE227&lt;&gt;"", TEXT($AE227, "MMMM"), ""), Income!$C:$C, YEAR($AE227))</f>
        <v>0</v>
      </c>
      <c r="AL227" s="428"/>
      <c r="AM227" s="463">
        <v>50649.0</v>
      </c>
      <c r="AN227" s="464">
        <f>SUMIFS(Income!$G:$G,Income!$H:$H, AN$2,Income!$F:$F, $AL$1, Income!$B:$B, IF($AM227&lt;&gt;"", TEXT($AM227, "MMMM"), ""), Income!$C:$C, YEAR($AM227))+SUMIFS($T:$T, $U:$U,AN$2,$Q:$Q,IF($AM227&lt;&gt;"", TEXT($AM227, "MMMM"), ""),$R:$R,YEAR($AM227))</f>
        <v>0</v>
      </c>
      <c r="AO227" s="464">
        <f>SUMIFS(Income!$G:$G,Income!$H:$H, AO$2,Income!$F:$F, $AL$1, Income!$B:$B, IF($AM227&lt;&gt;"", TEXT($AM227, "MMMM"), ""), Income!$C:$C, YEAR($AM227))+SUMIFS($T:$T, $U:$U,AO$2,$Q:$Q,IF($AM227&lt;&gt;"", TEXT($AM227, "MMMM"), ""),$R:$R,YEAR($AM227))</f>
        <v>0</v>
      </c>
      <c r="AP227" s="464">
        <f>SUMIFS(Income!$G:$G,Income!$H:$H, AP$2,Income!$F:$F, $AL$1, Income!$B:$B, IF($AM227&lt;&gt;"", TEXT($AM227, "MMMM"), ""), Income!$C:$C, YEAR($AM227))+SUMIFS($T:$T, $U:$U,AP$2,$Q:$Q,IF($AM227&lt;&gt;"", TEXT($AM227, "MMMM"), ""),$R:$R,YEAR($AM227))</f>
        <v>0</v>
      </c>
      <c r="AQ227" s="464">
        <f>SUMIFS(Income!$G:$G,Income!$H:$H, AQ$2,Income!$F:$F, $AL$1, Income!$B:$B, IF($AM227&lt;&gt;"", TEXT($AM227, "MMMM"), ""), Income!$C:$C, YEAR($AM227))+SUMIFS($T:$T, $U:$U,AQ$2,$Q:$Q,IF($AM227&lt;&gt;"", TEXT($AM227, "MMMM"), ""),$R:$R,YEAR($AM227))</f>
        <v>0</v>
      </c>
      <c r="AR227" s="464">
        <f>SUMIFS(Income!$G:$G,Income!$H:$H, AR$2,Income!$F:$F, $AL$1, Income!$B:$B, IF($AM227&lt;&gt;"", TEXT($AM227, "MMMM"), ""), Income!$C:$C, YEAR($AM227))+SUMIFS($T:$T, $U:$U,AR$2,$Q:$Q,IF($AM227&lt;&gt;"", TEXT($AM227, "MMMM"), ""),$R:$R,YEAR($AM227))</f>
        <v>0</v>
      </c>
      <c r="AS227" s="467">
        <f>SUMIFS(Income!$G:$G,Income!$H:$H, AS$2,Income!$F:$F, $AL$1, Income!$B:$B, IF($AM227&lt;&gt;"", TEXT($AM227, "MMMM"), ""), Income!$C:$C, YEAR($AM227))+SUMIFS($T:$T, $U:$U,AS$2,$Q:$Q,IF($AM227&lt;&gt;"", TEXT($AM227, "MMMM"), ""),$R:$R,YEAR($AM227))</f>
        <v>0</v>
      </c>
      <c r="AT227" s="428"/>
      <c r="AU227" s="463">
        <v>50649.0</v>
      </c>
      <c r="AV227" s="469">
        <f>SUMIFS(Income!$G:$G,Income!$H:$H, AV$2,Income!$F:$F, $AT$1, Income!$B:$B, IF($AU227&lt;&gt;"", TEXT($AU227, "MMMM"), ""), Income!$C:$C, YEAR($AU227))</f>
        <v>0</v>
      </c>
      <c r="AW227" s="469">
        <f>SUMIFS(Income!$G:$G,Income!$H:$H, AW$2,Income!$F:$F, $AT$1, Income!$B:$B, IF($AU227&lt;&gt;"", TEXT($AU227, "MMMM"), ""), Income!$C:$C, YEAR($AU227))</f>
        <v>0</v>
      </c>
      <c r="AX227" s="469">
        <f>SUMIFS(Income!$G:$G,Income!$H:$H, AX$2,Income!$F:$F, $AT$1, Income!$B:$B, IF($AU227&lt;&gt;"", TEXT($AU227, "MMMM"), ""), Income!$C:$C, YEAR($AU227))</f>
        <v>0</v>
      </c>
      <c r="AY227" s="469">
        <f>SUMIFS(Income!$G:$G,Income!$H:$H, AY$2,Income!$F:$F, $AT$1, Income!$B:$B, IF($AU227&lt;&gt;"", TEXT($AU227, "MMMM"), ""), Income!$C:$C, YEAR($AU227))</f>
        <v>0</v>
      </c>
      <c r="AZ227" s="464">
        <f>SUMIFS(Income!$G:$G,Income!$H:$H, AZ$2,Income!$F:$F, $AT$1, Income!$B:$B, IF($AU227&lt;&gt;"", TEXT($AU227, "MMMM"), ""), Income!$C:$C, YEAR($AU227))</f>
        <v>0</v>
      </c>
      <c r="BA227" s="471">
        <f>SUMIFS(Income!$G:$G,Income!$H:$H, BA$2,Income!$F:$F, $AT$1, Income!$B:$B, IF($AU227&lt;&gt;"", TEXT($AU227, "MMMM"), ""), Income!$C:$C, YEAR($AU227))</f>
        <v>0</v>
      </c>
      <c r="BB227" s="345"/>
      <c r="BC227" s="345"/>
      <c r="BD227" s="345"/>
      <c r="BE227" s="345"/>
    </row>
    <row r="228" ht="13.5" customHeight="1">
      <c r="A228" s="424">
        <f>'Membership Application List'!A457</f>
        <v>45687.80263</v>
      </c>
      <c r="B228" s="443" t="str">
        <f t="shared" si="6"/>
        <v>January</v>
      </c>
      <c r="C228" s="443">
        <f t="shared" si="7"/>
        <v>2025</v>
      </c>
      <c r="D228" s="426" t="str">
        <f>'Membership Application List'!E457</f>
        <v>Nick Hatcher</v>
      </c>
      <c r="E228" s="426">
        <f>IF('Membership Application List'!J457 = "Food/Litter Donation", 0, IF('Membership Application List'!J457 = "$15 Donation, Discord Verification", IF('Membership Application List'!N457 = TRUE, 15, 0)))</f>
        <v>15</v>
      </c>
      <c r="F228" s="426">
        <f>if('Membership Application List'!K457=TRUE, 5,0)</f>
        <v>0</v>
      </c>
      <c r="G228" s="426">
        <f t="shared" si="8"/>
        <v>15</v>
      </c>
      <c r="H228" s="427" t="str">
        <f>'Membership Application List'!L457</f>
        <v>Venmo</v>
      </c>
      <c r="I228" s="428"/>
      <c r="J228" s="463">
        <v>50679.0</v>
      </c>
      <c r="K228" s="464">
        <f t="shared" ref="K228:O228" si="186">SUMIFS($G:$G, $H:$H, K$2, $B:$B, IF($J228&lt;&gt;"", TEXT($J228, "MMMM"), ""), $C:$C, YEAR($J228))</f>
        <v>0</v>
      </c>
      <c r="L228" s="464">
        <f t="shared" si="186"/>
        <v>0</v>
      </c>
      <c r="M228" s="464">
        <f t="shared" si="186"/>
        <v>0</v>
      </c>
      <c r="N228" s="464">
        <f t="shared" si="186"/>
        <v>0</v>
      </c>
      <c r="O228" s="465">
        <f t="shared" si="186"/>
        <v>0</v>
      </c>
      <c r="P228" s="414"/>
      <c r="Q228" s="414"/>
      <c r="R228" s="414"/>
      <c r="S228" s="445"/>
      <c r="T228" s="445"/>
      <c r="U228" s="445"/>
      <c r="V228" s="428"/>
      <c r="W228" s="463">
        <v>50679.0</v>
      </c>
      <c r="X228" s="469">
        <f>SUMIFS(Income!$G:$G,Income!$H:$H, X$2,Income!$F:$F, $V$1, Income!$B:$B, IF($W228&lt;&gt;"", TEXT($W228, "MMMM"), ""), Income!$C:$C, YEAR($W228))</f>
        <v>0</v>
      </c>
      <c r="Y228" s="469">
        <f>SUMIFS(Income!$G:$G,Income!$H:$H, Y$2,Income!$F:$F, $V$1, Income!$B:$B, IF($W228&lt;&gt;"", TEXT($W228, "MMMM"), ""), Income!$C:$C, YEAR($W228))</f>
        <v>0</v>
      </c>
      <c r="Z228" s="469">
        <f>SUMIFS(Income!$G:$G,Income!$H:$H, Z$2,Income!$F:$F, $V$1, Income!$B:$B, IF($W228&lt;&gt;"", TEXT($W228, "MMMM"), ""), Income!$C:$C, YEAR($W228))</f>
        <v>0</v>
      </c>
      <c r="AA228" s="469">
        <f>SUMIFS(Income!$G:$G,Income!$H:$H, AA$2,Income!$F:$F, $V$1, Income!$B:$B, IF($W228&lt;&gt;"", TEXT($W228, "MMMM"), ""), Income!$C:$C, YEAR($W228))</f>
        <v>0</v>
      </c>
      <c r="AB228" s="464">
        <f>SUMIFS(Income!$G:$G,Income!$H:$H, AB$2,Income!$F:$F, $V$1, Income!$B:$B, IF($W228&lt;&gt;"", TEXT($W228, "MMMM"), ""), Income!$C:$C, YEAR($W228))</f>
        <v>0</v>
      </c>
      <c r="AC228" s="470">
        <f>SUMIFS(Income!$G:$G,Income!$H:$H, AC$2,Income!$F:$F, $V$1, Income!$B:$B, IF($W228&lt;&gt;"", TEXT($W228, "MMMM"), ""), Income!$C:$C, YEAR($W228))</f>
        <v>0</v>
      </c>
      <c r="AD228" s="428"/>
      <c r="AE228" s="463">
        <v>50679.0</v>
      </c>
      <c r="AF228" s="469">
        <f>SUMIFS(Income!$G:$G,Income!$H:$H, AF$2,Income!$F:$F, $AD$1, Income!$B:$B, IF($AE228&lt;&gt;"", TEXT($AE228, "MMMM"), ""), Income!$C:$C, YEAR($AE228))</f>
        <v>0</v>
      </c>
      <c r="AG228" s="469">
        <f>SUMIFS(Income!$G:$G,Income!$H:$H, AG$2,Income!$F:$F, $AD$1, Income!$B:$B, IF($AE228&lt;&gt;"", TEXT($AE228, "MMMM"), ""), Income!$C:$C, YEAR($AE228))</f>
        <v>0</v>
      </c>
      <c r="AH228" s="469">
        <f>SUMIFS(Income!$G:$G,Income!$H:$H, AH$2,Income!$F:$F, $AD$1, Income!$B:$B, IF($AE228&lt;&gt;"", TEXT($AE228, "MMMM"), ""), Income!$C:$C, YEAR($AE228))</f>
        <v>0</v>
      </c>
      <c r="AI228" s="469">
        <f>SUMIFS(Income!$G:$G,Income!$H:$H, AI$2,Income!$F:$F, $AD$1, Income!$B:$B, IF($AE228&lt;&gt;"", TEXT($AE228, "MMMM"), ""), Income!$C:$C, YEAR($AE228))</f>
        <v>0</v>
      </c>
      <c r="AJ228" s="464">
        <f>SUMIFS(Income!$G:$G,Income!$H:$H, AJ$2,Income!$F:$F, $AD$1, Income!$B:$B, IF($AE228&lt;&gt;"", TEXT($AE228, "MMMM"), ""), Income!$C:$C, YEAR($AE228))</f>
        <v>0</v>
      </c>
      <c r="AK228" s="470">
        <f>SUMIFS(Income!$G:$G,Income!$H:$H, AK$2,Income!$F:$F, $AD$1, Income!$B:$B, IF($AE228&lt;&gt;"", TEXT($AE228, "MMMM"), ""), Income!$C:$C, YEAR($AE228))</f>
        <v>0</v>
      </c>
      <c r="AL228" s="428"/>
      <c r="AM228" s="463">
        <v>50679.0</v>
      </c>
      <c r="AN228" s="464">
        <f>SUMIFS(Income!$G:$G,Income!$H:$H, AN$2,Income!$F:$F, $AL$1, Income!$B:$B, IF($AM228&lt;&gt;"", TEXT($AM228, "MMMM"), ""), Income!$C:$C, YEAR($AM228))+SUMIFS($T:$T, $U:$U,AN$2,$Q:$Q,IF($AM228&lt;&gt;"", TEXT($AM228, "MMMM"), ""),$R:$R,YEAR($AM228))</f>
        <v>0</v>
      </c>
      <c r="AO228" s="464">
        <f>SUMIFS(Income!$G:$G,Income!$H:$H, AO$2,Income!$F:$F, $AL$1, Income!$B:$B, IF($AM228&lt;&gt;"", TEXT($AM228, "MMMM"), ""), Income!$C:$C, YEAR($AM228))+SUMIFS($T:$T, $U:$U,AO$2,$Q:$Q,IF($AM228&lt;&gt;"", TEXT($AM228, "MMMM"), ""),$R:$R,YEAR($AM228))</f>
        <v>0</v>
      </c>
      <c r="AP228" s="464">
        <f>SUMIFS(Income!$G:$G,Income!$H:$H, AP$2,Income!$F:$F, $AL$1, Income!$B:$B, IF($AM228&lt;&gt;"", TEXT($AM228, "MMMM"), ""), Income!$C:$C, YEAR($AM228))+SUMIFS($T:$T, $U:$U,AP$2,$Q:$Q,IF($AM228&lt;&gt;"", TEXT($AM228, "MMMM"), ""),$R:$R,YEAR($AM228))</f>
        <v>0</v>
      </c>
      <c r="AQ228" s="464">
        <f>SUMIFS(Income!$G:$G,Income!$H:$H, AQ$2,Income!$F:$F, $AL$1, Income!$B:$B, IF($AM228&lt;&gt;"", TEXT($AM228, "MMMM"), ""), Income!$C:$C, YEAR($AM228))+SUMIFS($T:$T, $U:$U,AQ$2,$Q:$Q,IF($AM228&lt;&gt;"", TEXT($AM228, "MMMM"), ""),$R:$R,YEAR($AM228))</f>
        <v>0</v>
      </c>
      <c r="AR228" s="464">
        <f>SUMIFS(Income!$G:$G,Income!$H:$H, AR$2,Income!$F:$F, $AL$1, Income!$B:$B, IF($AM228&lt;&gt;"", TEXT($AM228, "MMMM"), ""), Income!$C:$C, YEAR($AM228))+SUMIFS($T:$T, $U:$U,AR$2,$Q:$Q,IF($AM228&lt;&gt;"", TEXT($AM228, "MMMM"), ""),$R:$R,YEAR($AM228))</f>
        <v>0</v>
      </c>
      <c r="AS228" s="467">
        <f>SUMIFS(Income!$G:$G,Income!$H:$H, AS$2,Income!$F:$F, $AL$1, Income!$B:$B, IF($AM228&lt;&gt;"", TEXT($AM228, "MMMM"), ""), Income!$C:$C, YEAR($AM228))+SUMIFS($T:$T, $U:$U,AS$2,$Q:$Q,IF($AM228&lt;&gt;"", TEXT($AM228, "MMMM"), ""),$R:$R,YEAR($AM228))</f>
        <v>0</v>
      </c>
      <c r="AT228" s="428"/>
      <c r="AU228" s="463">
        <v>50679.0</v>
      </c>
      <c r="AV228" s="469">
        <f>SUMIFS(Income!$G:$G,Income!$H:$H, AV$2,Income!$F:$F, $AT$1, Income!$B:$B, IF($AU228&lt;&gt;"", TEXT($AU228, "MMMM"), ""), Income!$C:$C, YEAR($AU228))</f>
        <v>0</v>
      </c>
      <c r="AW228" s="469">
        <f>SUMIFS(Income!$G:$G,Income!$H:$H, AW$2,Income!$F:$F, $AT$1, Income!$B:$B, IF($AU228&lt;&gt;"", TEXT($AU228, "MMMM"), ""), Income!$C:$C, YEAR($AU228))</f>
        <v>0</v>
      </c>
      <c r="AX228" s="469">
        <f>SUMIFS(Income!$G:$G,Income!$H:$H, AX$2,Income!$F:$F, $AT$1, Income!$B:$B, IF($AU228&lt;&gt;"", TEXT($AU228, "MMMM"), ""), Income!$C:$C, YEAR($AU228))</f>
        <v>0</v>
      </c>
      <c r="AY228" s="469">
        <f>SUMIFS(Income!$G:$G,Income!$H:$H, AY$2,Income!$F:$F, $AT$1, Income!$B:$B, IF($AU228&lt;&gt;"", TEXT($AU228, "MMMM"), ""), Income!$C:$C, YEAR($AU228))</f>
        <v>0</v>
      </c>
      <c r="AZ228" s="464">
        <f>SUMIFS(Income!$G:$G,Income!$H:$H, AZ$2,Income!$F:$F, $AT$1, Income!$B:$B, IF($AU228&lt;&gt;"", TEXT($AU228, "MMMM"), ""), Income!$C:$C, YEAR($AU228))</f>
        <v>0</v>
      </c>
      <c r="BA228" s="471">
        <f>SUMIFS(Income!$G:$G,Income!$H:$H, BA$2,Income!$F:$F, $AT$1, Income!$B:$B, IF($AU228&lt;&gt;"", TEXT($AU228, "MMMM"), ""), Income!$C:$C, YEAR($AU228))</f>
        <v>0</v>
      </c>
      <c r="BB228" s="345"/>
      <c r="BC228" s="345"/>
      <c r="BD228" s="345"/>
      <c r="BE228" s="345"/>
    </row>
    <row r="229" ht="13.5" customHeight="1">
      <c r="A229" s="436">
        <f>'Membership Application List'!A458</f>
        <v>45688.51896</v>
      </c>
      <c r="B229" s="437" t="str">
        <f t="shared" si="6"/>
        <v>January</v>
      </c>
      <c r="C229" s="437">
        <f t="shared" si="7"/>
        <v>2025</v>
      </c>
      <c r="D229" s="438" t="str">
        <f>'Membership Application List'!E458</f>
        <v>Anabelle Garcia </v>
      </c>
      <c r="E229" s="438">
        <f>IF('Membership Application List'!J458 = "Food/Litter Donation", 0, IF('Membership Application List'!J458 = "$15 Donation, Discord Verification", IF('Membership Application List'!N458 = TRUE, 15, 0)))</f>
        <v>15</v>
      </c>
      <c r="F229" s="438">
        <f>if('Membership Application List'!K458=TRUE, 5,0)</f>
        <v>0</v>
      </c>
      <c r="G229" s="438">
        <f t="shared" si="8"/>
        <v>15</v>
      </c>
      <c r="H229" s="439" t="str">
        <f>'Membership Application List'!L458</f>
        <v>Cash</v>
      </c>
      <c r="I229" s="428"/>
      <c r="J229" s="463">
        <v>50710.0</v>
      </c>
      <c r="K229" s="464">
        <f t="shared" ref="K229:O229" si="187">SUMIFS($G:$G, $H:$H, K$2, $B:$B, IF($J229&lt;&gt;"", TEXT($J229, "MMMM"), ""), $C:$C, YEAR($J229))</f>
        <v>0</v>
      </c>
      <c r="L229" s="464">
        <f t="shared" si="187"/>
        <v>0</v>
      </c>
      <c r="M229" s="464">
        <f t="shared" si="187"/>
        <v>0</v>
      </c>
      <c r="N229" s="464">
        <f t="shared" si="187"/>
        <v>0</v>
      </c>
      <c r="O229" s="465">
        <f t="shared" si="187"/>
        <v>0</v>
      </c>
      <c r="P229" s="414"/>
      <c r="Q229" s="414"/>
      <c r="R229" s="414"/>
      <c r="S229" s="445"/>
      <c r="T229" s="445"/>
      <c r="U229" s="445"/>
      <c r="V229" s="428"/>
      <c r="W229" s="463">
        <v>50710.0</v>
      </c>
      <c r="X229" s="469">
        <f>SUMIFS(Income!$G:$G,Income!$H:$H, X$2,Income!$F:$F, $V$1, Income!$B:$B, IF($W229&lt;&gt;"", TEXT($W229, "MMMM"), ""), Income!$C:$C, YEAR($W229))</f>
        <v>0</v>
      </c>
      <c r="Y229" s="469">
        <f>SUMIFS(Income!$G:$G,Income!$H:$H, Y$2,Income!$F:$F, $V$1, Income!$B:$B, IF($W229&lt;&gt;"", TEXT($W229, "MMMM"), ""), Income!$C:$C, YEAR($W229))</f>
        <v>0</v>
      </c>
      <c r="Z229" s="469">
        <f>SUMIFS(Income!$G:$G,Income!$H:$H, Z$2,Income!$F:$F, $V$1, Income!$B:$B, IF($W229&lt;&gt;"", TEXT($W229, "MMMM"), ""), Income!$C:$C, YEAR($W229))</f>
        <v>0</v>
      </c>
      <c r="AA229" s="469">
        <f>SUMIFS(Income!$G:$G,Income!$H:$H, AA$2,Income!$F:$F, $V$1, Income!$B:$B, IF($W229&lt;&gt;"", TEXT($W229, "MMMM"), ""), Income!$C:$C, YEAR($W229))</f>
        <v>0</v>
      </c>
      <c r="AB229" s="464">
        <f>SUMIFS(Income!$G:$G,Income!$H:$H, AB$2,Income!$F:$F, $V$1, Income!$B:$B, IF($W229&lt;&gt;"", TEXT($W229, "MMMM"), ""), Income!$C:$C, YEAR($W229))</f>
        <v>0</v>
      </c>
      <c r="AC229" s="470">
        <f>SUMIFS(Income!$G:$G,Income!$H:$H, AC$2,Income!$F:$F, $V$1, Income!$B:$B, IF($W229&lt;&gt;"", TEXT($W229, "MMMM"), ""), Income!$C:$C, YEAR($W229))</f>
        <v>0</v>
      </c>
      <c r="AD229" s="428"/>
      <c r="AE229" s="463">
        <v>50710.0</v>
      </c>
      <c r="AF229" s="469">
        <f>SUMIFS(Income!$G:$G,Income!$H:$H, AF$2,Income!$F:$F, $AD$1, Income!$B:$B, IF($AE229&lt;&gt;"", TEXT($AE229, "MMMM"), ""), Income!$C:$C, YEAR($AE229))</f>
        <v>0</v>
      </c>
      <c r="AG229" s="469">
        <f>SUMIFS(Income!$G:$G,Income!$H:$H, AG$2,Income!$F:$F, $AD$1, Income!$B:$B, IF($AE229&lt;&gt;"", TEXT($AE229, "MMMM"), ""), Income!$C:$C, YEAR($AE229))</f>
        <v>0</v>
      </c>
      <c r="AH229" s="469">
        <f>SUMIFS(Income!$G:$G,Income!$H:$H, AH$2,Income!$F:$F, $AD$1, Income!$B:$B, IF($AE229&lt;&gt;"", TEXT($AE229, "MMMM"), ""), Income!$C:$C, YEAR($AE229))</f>
        <v>0</v>
      </c>
      <c r="AI229" s="469">
        <f>SUMIFS(Income!$G:$G,Income!$H:$H, AI$2,Income!$F:$F, $AD$1, Income!$B:$B, IF($AE229&lt;&gt;"", TEXT($AE229, "MMMM"), ""), Income!$C:$C, YEAR($AE229))</f>
        <v>0</v>
      </c>
      <c r="AJ229" s="464">
        <f>SUMIFS(Income!$G:$G,Income!$H:$H, AJ$2,Income!$F:$F, $AD$1, Income!$B:$B, IF($AE229&lt;&gt;"", TEXT($AE229, "MMMM"), ""), Income!$C:$C, YEAR($AE229))</f>
        <v>0</v>
      </c>
      <c r="AK229" s="470">
        <f>SUMIFS(Income!$G:$G,Income!$H:$H, AK$2,Income!$F:$F, $AD$1, Income!$B:$B, IF($AE229&lt;&gt;"", TEXT($AE229, "MMMM"), ""), Income!$C:$C, YEAR($AE229))</f>
        <v>0</v>
      </c>
      <c r="AL229" s="428"/>
      <c r="AM229" s="463">
        <v>50710.0</v>
      </c>
      <c r="AN229" s="464">
        <f>SUMIFS(Income!$G:$G,Income!$H:$H, AN$2,Income!$F:$F, $AL$1, Income!$B:$B, IF($AM229&lt;&gt;"", TEXT($AM229, "MMMM"), ""), Income!$C:$C, YEAR($AM229))+SUMIFS($T:$T, $U:$U,AN$2,$Q:$Q,IF($AM229&lt;&gt;"", TEXT($AM229, "MMMM"), ""),$R:$R,YEAR($AM229))</f>
        <v>0</v>
      </c>
      <c r="AO229" s="464">
        <f>SUMIFS(Income!$G:$G,Income!$H:$H, AO$2,Income!$F:$F, $AL$1, Income!$B:$B, IF($AM229&lt;&gt;"", TEXT($AM229, "MMMM"), ""), Income!$C:$C, YEAR($AM229))+SUMIFS($T:$T, $U:$U,AO$2,$Q:$Q,IF($AM229&lt;&gt;"", TEXT($AM229, "MMMM"), ""),$R:$R,YEAR($AM229))</f>
        <v>0</v>
      </c>
      <c r="AP229" s="464">
        <f>SUMIFS(Income!$G:$G,Income!$H:$H, AP$2,Income!$F:$F, $AL$1, Income!$B:$B, IF($AM229&lt;&gt;"", TEXT($AM229, "MMMM"), ""), Income!$C:$C, YEAR($AM229))+SUMIFS($T:$T, $U:$U,AP$2,$Q:$Q,IF($AM229&lt;&gt;"", TEXT($AM229, "MMMM"), ""),$R:$R,YEAR($AM229))</f>
        <v>0</v>
      </c>
      <c r="AQ229" s="464">
        <f>SUMIFS(Income!$G:$G,Income!$H:$H, AQ$2,Income!$F:$F, $AL$1, Income!$B:$B, IF($AM229&lt;&gt;"", TEXT($AM229, "MMMM"), ""), Income!$C:$C, YEAR($AM229))+SUMIFS($T:$T, $U:$U,AQ$2,$Q:$Q,IF($AM229&lt;&gt;"", TEXT($AM229, "MMMM"), ""),$R:$R,YEAR($AM229))</f>
        <v>0</v>
      </c>
      <c r="AR229" s="464">
        <f>SUMIFS(Income!$G:$G,Income!$H:$H, AR$2,Income!$F:$F, $AL$1, Income!$B:$B, IF($AM229&lt;&gt;"", TEXT($AM229, "MMMM"), ""), Income!$C:$C, YEAR($AM229))+SUMIFS($T:$T, $U:$U,AR$2,$Q:$Q,IF($AM229&lt;&gt;"", TEXT($AM229, "MMMM"), ""),$R:$R,YEAR($AM229))</f>
        <v>0</v>
      </c>
      <c r="AS229" s="467">
        <f>SUMIFS(Income!$G:$G,Income!$H:$H, AS$2,Income!$F:$F, $AL$1, Income!$B:$B, IF($AM229&lt;&gt;"", TEXT($AM229, "MMMM"), ""), Income!$C:$C, YEAR($AM229))+SUMIFS($T:$T, $U:$U,AS$2,$Q:$Q,IF($AM229&lt;&gt;"", TEXT($AM229, "MMMM"), ""),$R:$R,YEAR($AM229))</f>
        <v>0</v>
      </c>
      <c r="AT229" s="428"/>
      <c r="AU229" s="463">
        <v>50710.0</v>
      </c>
      <c r="AV229" s="469">
        <f>SUMIFS(Income!$G:$G,Income!$H:$H, AV$2,Income!$F:$F, $AT$1, Income!$B:$B, IF($AU229&lt;&gt;"", TEXT($AU229, "MMMM"), ""), Income!$C:$C, YEAR($AU229))</f>
        <v>0</v>
      </c>
      <c r="AW229" s="469">
        <f>SUMIFS(Income!$G:$G,Income!$H:$H, AW$2,Income!$F:$F, $AT$1, Income!$B:$B, IF($AU229&lt;&gt;"", TEXT($AU229, "MMMM"), ""), Income!$C:$C, YEAR($AU229))</f>
        <v>0</v>
      </c>
      <c r="AX229" s="469">
        <f>SUMIFS(Income!$G:$G,Income!$H:$H, AX$2,Income!$F:$F, $AT$1, Income!$B:$B, IF($AU229&lt;&gt;"", TEXT($AU229, "MMMM"), ""), Income!$C:$C, YEAR($AU229))</f>
        <v>0</v>
      </c>
      <c r="AY229" s="469">
        <f>SUMIFS(Income!$G:$G,Income!$H:$H, AY$2,Income!$F:$F, $AT$1, Income!$B:$B, IF($AU229&lt;&gt;"", TEXT($AU229, "MMMM"), ""), Income!$C:$C, YEAR($AU229))</f>
        <v>0</v>
      </c>
      <c r="AZ229" s="464">
        <f>SUMIFS(Income!$G:$G,Income!$H:$H, AZ$2,Income!$F:$F, $AT$1, Income!$B:$B, IF($AU229&lt;&gt;"", TEXT($AU229, "MMMM"), ""), Income!$C:$C, YEAR($AU229))</f>
        <v>0</v>
      </c>
      <c r="BA229" s="471">
        <f>SUMIFS(Income!$G:$G,Income!$H:$H, BA$2,Income!$F:$F, $AT$1, Income!$B:$B, IF($AU229&lt;&gt;"", TEXT($AU229, "MMMM"), ""), Income!$C:$C, YEAR($AU229))</f>
        <v>0</v>
      </c>
      <c r="BB229" s="345"/>
      <c r="BC229" s="345"/>
      <c r="BD229" s="345"/>
      <c r="BE229" s="345"/>
    </row>
    <row r="230" ht="13.5" customHeight="1">
      <c r="A230" s="424">
        <f>'Membership Application List'!A459</f>
        <v>45688.63318</v>
      </c>
      <c r="B230" s="443" t="str">
        <f t="shared" si="6"/>
        <v>January</v>
      </c>
      <c r="C230" s="443">
        <f t="shared" si="7"/>
        <v>2025</v>
      </c>
      <c r="D230" s="426" t="str">
        <f>'Membership Application List'!E459</f>
        <v>Jordan Escobedo</v>
      </c>
      <c r="E230" s="426">
        <f>IF('Membership Application List'!J459 = "Food/Litter Donation", 0, IF('Membership Application List'!J459 = "$15 Donation, Discord Verification", IF('Membership Application List'!N459 = TRUE, 15, 0)))</f>
        <v>15</v>
      </c>
      <c r="F230" s="426">
        <f>if('Membership Application List'!K459=TRUE, 5,0)</f>
        <v>0</v>
      </c>
      <c r="G230" s="426">
        <f t="shared" si="8"/>
        <v>15</v>
      </c>
      <c r="H230" s="427" t="str">
        <f>'Membership Application List'!L459</f>
        <v>Venmo</v>
      </c>
      <c r="I230" s="428"/>
      <c r="J230" s="463">
        <v>50740.0</v>
      </c>
      <c r="K230" s="464">
        <f t="shared" ref="K230:O230" si="188">SUMIFS($G:$G, $H:$H, K$2, $B:$B, IF($J230&lt;&gt;"", TEXT($J230, "MMMM"), ""), $C:$C, YEAR($J230))</f>
        <v>0</v>
      </c>
      <c r="L230" s="464">
        <f t="shared" si="188"/>
        <v>0</v>
      </c>
      <c r="M230" s="464">
        <f t="shared" si="188"/>
        <v>0</v>
      </c>
      <c r="N230" s="464">
        <f t="shared" si="188"/>
        <v>0</v>
      </c>
      <c r="O230" s="465">
        <f t="shared" si="188"/>
        <v>0</v>
      </c>
      <c r="P230" s="414"/>
      <c r="Q230" s="414"/>
      <c r="R230" s="414"/>
      <c r="S230" s="445"/>
      <c r="T230" s="445"/>
      <c r="U230" s="445"/>
      <c r="V230" s="428"/>
      <c r="W230" s="463">
        <v>50740.0</v>
      </c>
      <c r="X230" s="469">
        <f>SUMIFS(Income!$G:$G,Income!$H:$H, X$2,Income!$F:$F, $V$1, Income!$B:$B, IF($W230&lt;&gt;"", TEXT($W230, "MMMM"), ""), Income!$C:$C, YEAR($W230))</f>
        <v>0</v>
      </c>
      <c r="Y230" s="469">
        <f>SUMIFS(Income!$G:$G,Income!$H:$H, Y$2,Income!$F:$F, $V$1, Income!$B:$B, IF($W230&lt;&gt;"", TEXT($W230, "MMMM"), ""), Income!$C:$C, YEAR($W230))</f>
        <v>0</v>
      </c>
      <c r="Z230" s="469">
        <f>SUMIFS(Income!$G:$G,Income!$H:$H, Z$2,Income!$F:$F, $V$1, Income!$B:$B, IF($W230&lt;&gt;"", TEXT($W230, "MMMM"), ""), Income!$C:$C, YEAR($W230))</f>
        <v>0</v>
      </c>
      <c r="AA230" s="469">
        <f>SUMIFS(Income!$G:$G,Income!$H:$H, AA$2,Income!$F:$F, $V$1, Income!$B:$B, IF($W230&lt;&gt;"", TEXT($W230, "MMMM"), ""), Income!$C:$C, YEAR($W230))</f>
        <v>0</v>
      </c>
      <c r="AB230" s="464">
        <f>SUMIFS(Income!$G:$G,Income!$H:$H, AB$2,Income!$F:$F, $V$1, Income!$B:$B, IF($W230&lt;&gt;"", TEXT($W230, "MMMM"), ""), Income!$C:$C, YEAR($W230))</f>
        <v>0</v>
      </c>
      <c r="AC230" s="470">
        <f>SUMIFS(Income!$G:$G,Income!$H:$H, AC$2,Income!$F:$F, $V$1, Income!$B:$B, IF($W230&lt;&gt;"", TEXT($W230, "MMMM"), ""), Income!$C:$C, YEAR($W230))</f>
        <v>0</v>
      </c>
      <c r="AD230" s="428"/>
      <c r="AE230" s="463">
        <v>50740.0</v>
      </c>
      <c r="AF230" s="469">
        <f>SUMIFS(Income!$G:$G,Income!$H:$H, AF$2,Income!$F:$F, $AD$1, Income!$B:$B, IF($AE230&lt;&gt;"", TEXT($AE230, "MMMM"), ""), Income!$C:$C, YEAR($AE230))</f>
        <v>0</v>
      </c>
      <c r="AG230" s="469">
        <f>SUMIFS(Income!$G:$G,Income!$H:$H, AG$2,Income!$F:$F, $AD$1, Income!$B:$B, IF($AE230&lt;&gt;"", TEXT($AE230, "MMMM"), ""), Income!$C:$C, YEAR($AE230))</f>
        <v>0</v>
      </c>
      <c r="AH230" s="469">
        <f>SUMIFS(Income!$G:$G,Income!$H:$H, AH$2,Income!$F:$F, $AD$1, Income!$B:$B, IF($AE230&lt;&gt;"", TEXT($AE230, "MMMM"), ""), Income!$C:$C, YEAR($AE230))</f>
        <v>0</v>
      </c>
      <c r="AI230" s="469">
        <f>SUMIFS(Income!$G:$G,Income!$H:$H, AI$2,Income!$F:$F, $AD$1, Income!$B:$B, IF($AE230&lt;&gt;"", TEXT($AE230, "MMMM"), ""), Income!$C:$C, YEAR($AE230))</f>
        <v>0</v>
      </c>
      <c r="AJ230" s="464">
        <f>SUMIFS(Income!$G:$G,Income!$H:$H, AJ$2,Income!$F:$F, $AD$1, Income!$B:$B, IF($AE230&lt;&gt;"", TEXT($AE230, "MMMM"), ""), Income!$C:$C, YEAR($AE230))</f>
        <v>0</v>
      </c>
      <c r="AK230" s="470">
        <f>SUMIFS(Income!$G:$G,Income!$H:$H, AK$2,Income!$F:$F, $AD$1, Income!$B:$B, IF($AE230&lt;&gt;"", TEXT($AE230, "MMMM"), ""), Income!$C:$C, YEAR($AE230))</f>
        <v>0</v>
      </c>
      <c r="AL230" s="428"/>
      <c r="AM230" s="463">
        <v>50740.0</v>
      </c>
      <c r="AN230" s="464">
        <f>SUMIFS(Income!$G:$G,Income!$H:$H, AN$2,Income!$F:$F, $AL$1, Income!$B:$B, IF($AM230&lt;&gt;"", TEXT($AM230, "MMMM"), ""), Income!$C:$C, YEAR($AM230))+SUMIFS($T:$T, $U:$U,AN$2,$Q:$Q,IF($AM230&lt;&gt;"", TEXT($AM230, "MMMM"), ""),$R:$R,YEAR($AM230))</f>
        <v>0</v>
      </c>
      <c r="AO230" s="464">
        <f>SUMIFS(Income!$G:$G,Income!$H:$H, AO$2,Income!$F:$F, $AL$1, Income!$B:$B, IF($AM230&lt;&gt;"", TEXT($AM230, "MMMM"), ""), Income!$C:$C, YEAR($AM230))+SUMIFS($T:$T, $U:$U,AO$2,$Q:$Q,IF($AM230&lt;&gt;"", TEXT($AM230, "MMMM"), ""),$R:$R,YEAR($AM230))</f>
        <v>0</v>
      </c>
      <c r="AP230" s="464">
        <f>SUMIFS(Income!$G:$G,Income!$H:$H, AP$2,Income!$F:$F, $AL$1, Income!$B:$B, IF($AM230&lt;&gt;"", TEXT($AM230, "MMMM"), ""), Income!$C:$C, YEAR($AM230))+SUMIFS($T:$T, $U:$U,AP$2,$Q:$Q,IF($AM230&lt;&gt;"", TEXT($AM230, "MMMM"), ""),$R:$R,YEAR($AM230))</f>
        <v>0</v>
      </c>
      <c r="AQ230" s="464">
        <f>SUMIFS(Income!$G:$G,Income!$H:$H, AQ$2,Income!$F:$F, $AL$1, Income!$B:$B, IF($AM230&lt;&gt;"", TEXT($AM230, "MMMM"), ""), Income!$C:$C, YEAR($AM230))+SUMIFS($T:$T, $U:$U,AQ$2,$Q:$Q,IF($AM230&lt;&gt;"", TEXT($AM230, "MMMM"), ""),$R:$R,YEAR($AM230))</f>
        <v>0</v>
      </c>
      <c r="AR230" s="464">
        <f>SUMIFS(Income!$G:$G,Income!$H:$H, AR$2,Income!$F:$F, $AL$1, Income!$B:$B, IF($AM230&lt;&gt;"", TEXT($AM230, "MMMM"), ""), Income!$C:$C, YEAR($AM230))+SUMIFS($T:$T, $U:$U,AR$2,$Q:$Q,IF($AM230&lt;&gt;"", TEXT($AM230, "MMMM"), ""),$R:$R,YEAR($AM230))</f>
        <v>0</v>
      </c>
      <c r="AS230" s="467">
        <f>SUMIFS(Income!$G:$G,Income!$H:$H, AS$2,Income!$F:$F, $AL$1, Income!$B:$B, IF($AM230&lt;&gt;"", TEXT($AM230, "MMMM"), ""), Income!$C:$C, YEAR($AM230))+SUMIFS($T:$T, $U:$U,AS$2,$Q:$Q,IF($AM230&lt;&gt;"", TEXT($AM230, "MMMM"), ""),$R:$R,YEAR($AM230))</f>
        <v>0</v>
      </c>
      <c r="AT230" s="428"/>
      <c r="AU230" s="463">
        <v>50740.0</v>
      </c>
      <c r="AV230" s="469">
        <f>SUMIFS(Income!$G:$G,Income!$H:$H, AV$2,Income!$F:$F, $AT$1, Income!$B:$B, IF($AU230&lt;&gt;"", TEXT($AU230, "MMMM"), ""), Income!$C:$C, YEAR($AU230))</f>
        <v>0</v>
      </c>
      <c r="AW230" s="469">
        <f>SUMIFS(Income!$G:$G,Income!$H:$H, AW$2,Income!$F:$F, $AT$1, Income!$B:$B, IF($AU230&lt;&gt;"", TEXT($AU230, "MMMM"), ""), Income!$C:$C, YEAR($AU230))</f>
        <v>0</v>
      </c>
      <c r="AX230" s="469">
        <f>SUMIFS(Income!$G:$G,Income!$H:$H, AX$2,Income!$F:$F, $AT$1, Income!$B:$B, IF($AU230&lt;&gt;"", TEXT($AU230, "MMMM"), ""), Income!$C:$C, YEAR($AU230))</f>
        <v>0</v>
      </c>
      <c r="AY230" s="469">
        <f>SUMIFS(Income!$G:$G,Income!$H:$H, AY$2,Income!$F:$F, $AT$1, Income!$B:$B, IF($AU230&lt;&gt;"", TEXT($AU230, "MMMM"), ""), Income!$C:$C, YEAR($AU230))</f>
        <v>0</v>
      </c>
      <c r="AZ230" s="464">
        <f>SUMIFS(Income!$G:$G,Income!$H:$H, AZ$2,Income!$F:$F, $AT$1, Income!$B:$B, IF($AU230&lt;&gt;"", TEXT($AU230, "MMMM"), ""), Income!$C:$C, YEAR($AU230))</f>
        <v>0</v>
      </c>
      <c r="BA230" s="471">
        <f>SUMIFS(Income!$G:$G,Income!$H:$H, BA$2,Income!$F:$F, $AT$1, Income!$B:$B, IF($AU230&lt;&gt;"", TEXT($AU230, "MMMM"), ""), Income!$C:$C, YEAR($AU230))</f>
        <v>0</v>
      </c>
      <c r="BB230" s="345"/>
      <c r="BC230" s="345"/>
      <c r="BD230" s="345"/>
      <c r="BE230" s="345"/>
    </row>
    <row r="231" ht="13.5" customHeight="1">
      <c r="A231" s="436">
        <f>'Membership Application List'!A460</f>
        <v>45688.76668</v>
      </c>
      <c r="B231" s="437" t="str">
        <f t="shared" si="6"/>
        <v>January</v>
      </c>
      <c r="C231" s="437">
        <f t="shared" si="7"/>
        <v>2025</v>
      </c>
      <c r="D231" s="438" t="str">
        <f>'Membership Application List'!E460</f>
        <v>Nicole Guajardo</v>
      </c>
      <c r="E231" s="438">
        <f>IF('Membership Application List'!J460 = "Food/Litter Donation", 0, IF('Membership Application List'!J460 = "$15 Donation, Discord Verification", IF('Membership Application List'!N460 = TRUE, 15, 0)))</f>
        <v>15</v>
      </c>
      <c r="F231" s="438">
        <f>if('Membership Application List'!K460=TRUE, 5,0)</f>
        <v>0</v>
      </c>
      <c r="G231" s="438">
        <f t="shared" si="8"/>
        <v>15</v>
      </c>
      <c r="H231" s="439" t="str">
        <f>'Membership Application List'!L460</f>
        <v>Paypal</v>
      </c>
      <c r="I231" s="407" t="s">
        <v>806</v>
      </c>
      <c r="J231" s="463">
        <v>50771.0</v>
      </c>
      <c r="K231" s="464">
        <f t="shared" ref="K231:O231" si="189">SUMIFS($G:$G, $H:$H, K$2, $B:$B, IF($J231&lt;&gt;"", TEXT($J231, "MMMM"), ""), $C:$C, YEAR($J231))</f>
        <v>0</v>
      </c>
      <c r="L231" s="464">
        <f t="shared" si="189"/>
        <v>0</v>
      </c>
      <c r="M231" s="464">
        <f t="shared" si="189"/>
        <v>0</v>
      </c>
      <c r="N231" s="464">
        <f t="shared" si="189"/>
        <v>0</v>
      </c>
      <c r="O231" s="465">
        <f t="shared" si="189"/>
        <v>0</v>
      </c>
      <c r="P231" s="414"/>
      <c r="Q231" s="414"/>
      <c r="R231" s="414"/>
      <c r="S231" s="445"/>
      <c r="T231" s="445"/>
      <c r="U231" s="445"/>
      <c r="V231" s="407" t="s">
        <v>806</v>
      </c>
      <c r="W231" s="463">
        <v>50771.0</v>
      </c>
      <c r="X231" s="469">
        <f>SUMIFS(Income!$G:$G,Income!$H:$H, X$2,Income!$F:$F, $V$1, Income!$B:$B, IF($W231&lt;&gt;"", TEXT($W231, "MMMM"), ""), Income!$C:$C, YEAR($W231))</f>
        <v>0</v>
      </c>
      <c r="Y231" s="469">
        <f>SUMIFS(Income!$G:$G,Income!$H:$H, Y$2,Income!$F:$F, $V$1, Income!$B:$B, IF($W231&lt;&gt;"", TEXT($W231, "MMMM"), ""), Income!$C:$C, YEAR($W231))</f>
        <v>0</v>
      </c>
      <c r="Z231" s="469">
        <f>SUMIFS(Income!$G:$G,Income!$H:$H, Z$2,Income!$F:$F, $V$1, Income!$B:$B, IF($W231&lt;&gt;"", TEXT($W231, "MMMM"), ""), Income!$C:$C, YEAR($W231))</f>
        <v>0</v>
      </c>
      <c r="AA231" s="469">
        <f>SUMIFS(Income!$G:$G,Income!$H:$H, AA$2,Income!$F:$F, $V$1, Income!$B:$B, IF($W231&lt;&gt;"", TEXT($W231, "MMMM"), ""), Income!$C:$C, YEAR($W231))</f>
        <v>0</v>
      </c>
      <c r="AB231" s="464">
        <f>SUMIFS(Income!$G:$G,Income!$H:$H, AB$2,Income!$F:$F, $V$1, Income!$B:$B, IF($W231&lt;&gt;"", TEXT($W231, "MMMM"), ""), Income!$C:$C, YEAR($W231))</f>
        <v>0</v>
      </c>
      <c r="AC231" s="470">
        <f>SUMIFS(Income!$G:$G,Income!$H:$H, AC$2,Income!$F:$F, $V$1, Income!$B:$B, IF($W231&lt;&gt;"", TEXT($W231, "MMMM"), ""), Income!$C:$C, YEAR($W231))</f>
        <v>0</v>
      </c>
      <c r="AD231" s="407" t="s">
        <v>806</v>
      </c>
      <c r="AE231" s="463">
        <v>50771.0</v>
      </c>
      <c r="AF231" s="469">
        <f>SUMIFS(Income!$G:$G,Income!$H:$H, AF$2,Income!$F:$F, $AD$1, Income!$B:$B, IF($AE231&lt;&gt;"", TEXT($AE231, "MMMM"), ""), Income!$C:$C, YEAR($AE231))</f>
        <v>0</v>
      </c>
      <c r="AG231" s="469">
        <f>SUMIFS(Income!$G:$G,Income!$H:$H, AG$2,Income!$F:$F, $AD$1, Income!$B:$B, IF($AE231&lt;&gt;"", TEXT($AE231, "MMMM"), ""), Income!$C:$C, YEAR($AE231))</f>
        <v>0</v>
      </c>
      <c r="AH231" s="469">
        <f>SUMIFS(Income!$G:$G,Income!$H:$H, AH$2,Income!$F:$F, $AD$1, Income!$B:$B, IF($AE231&lt;&gt;"", TEXT($AE231, "MMMM"), ""), Income!$C:$C, YEAR($AE231))</f>
        <v>0</v>
      </c>
      <c r="AI231" s="469">
        <f>SUMIFS(Income!$G:$G,Income!$H:$H, AI$2,Income!$F:$F, $AD$1, Income!$B:$B, IF($AE231&lt;&gt;"", TEXT($AE231, "MMMM"), ""), Income!$C:$C, YEAR($AE231))</f>
        <v>0</v>
      </c>
      <c r="AJ231" s="464">
        <f>SUMIFS(Income!$G:$G,Income!$H:$H, AJ$2,Income!$F:$F, $AD$1, Income!$B:$B, IF($AE231&lt;&gt;"", TEXT($AE231, "MMMM"), ""), Income!$C:$C, YEAR($AE231))</f>
        <v>0</v>
      </c>
      <c r="AK231" s="470">
        <f>SUMIFS(Income!$G:$G,Income!$H:$H, AK$2,Income!$F:$F, $AD$1, Income!$B:$B, IF($AE231&lt;&gt;"", TEXT($AE231, "MMMM"), ""), Income!$C:$C, YEAR($AE231))</f>
        <v>0</v>
      </c>
      <c r="AL231" s="407" t="s">
        <v>806</v>
      </c>
      <c r="AM231" s="463">
        <v>50771.0</v>
      </c>
      <c r="AN231" s="464">
        <f>SUMIFS(Income!$G:$G,Income!$H:$H, AN$2,Income!$F:$F, $AL$1, Income!$B:$B, IF($AM231&lt;&gt;"", TEXT($AM231, "MMMM"), ""), Income!$C:$C, YEAR($AM231))+SUMIFS($T:$T, $U:$U,AN$2,$Q:$Q,IF($AM231&lt;&gt;"", TEXT($AM231, "MMMM"), ""),$R:$R,YEAR($AM231))</f>
        <v>0</v>
      </c>
      <c r="AO231" s="464">
        <f>SUMIFS(Income!$G:$G,Income!$H:$H, AO$2,Income!$F:$F, $AL$1, Income!$B:$B, IF($AM231&lt;&gt;"", TEXT($AM231, "MMMM"), ""), Income!$C:$C, YEAR($AM231))+SUMIFS($T:$T, $U:$U,AO$2,$Q:$Q,IF($AM231&lt;&gt;"", TEXT($AM231, "MMMM"), ""),$R:$R,YEAR($AM231))</f>
        <v>0</v>
      </c>
      <c r="AP231" s="464">
        <f>SUMIFS(Income!$G:$G,Income!$H:$H, AP$2,Income!$F:$F, $AL$1, Income!$B:$B, IF($AM231&lt;&gt;"", TEXT($AM231, "MMMM"), ""), Income!$C:$C, YEAR($AM231))+SUMIFS($T:$T, $U:$U,AP$2,$Q:$Q,IF($AM231&lt;&gt;"", TEXT($AM231, "MMMM"), ""),$R:$R,YEAR($AM231))</f>
        <v>0</v>
      </c>
      <c r="AQ231" s="464">
        <f>SUMIFS(Income!$G:$G,Income!$H:$H, AQ$2,Income!$F:$F, $AL$1, Income!$B:$B, IF($AM231&lt;&gt;"", TEXT($AM231, "MMMM"), ""), Income!$C:$C, YEAR($AM231))+SUMIFS($T:$T, $U:$U,AQ$2,$Q:$Q,IF($AM231&lt;&gt;"", TEXT($AM231, "MMMM"), ""),$R:$R,YEAR($AM231))</f>
        <v>0</v>
      </c>
      <c r="AR231" s="464">
        <f>SUMIFS(Income!$G:$G,Income!$H:$H, AR$2,Income!$F:$F, $AL$1, Income!$B:$B, IF($AM231&lt;&gt;"", TEXT($AM231, "MMMM"), ""), Income!$C:$C, YEAR($AM231))+SUMIFS($T:$T, $U:$U,AR$2,$Q:$Q,IF($AM231&lt;&gt;"", TEXT($AM231, "MMMM"), ""),$R:$R,YEAR($AM231))</f>
        <v>0</v>
      </c>
      <c r="AS231" s="467">
        <f>SUMIFS(Income!$G:$G,Income!$H:$H, AS$2,Income!$F:$F, $AL$1, Income!$B:$B, IF($AM231&lt;&gt;"", TEXT($AM231, "MMMM"), ""), Income!$C:$C, YEAR($AM231))+SUMIFS($T:$T, $U:$U,AS$2,$Q:$Q,IF($AM231&lt;&gt;"", TEXT($AM231, "MMMM"), ""),$R:$R,YEAR($AM231))</f>
        <v>0</v>
      </c>
      <c r="AT231" s="407" t="s">
        <v>806</v>
      </c>
      <c r="AU231" s="463">
        <v>50771.0</v>
      </c>
      <c r="AV231" s="469">
        <f>SUMIFS(Income!$G:$G,Income!$H:$H, AV$2,Income!$F:$F, $AT$1, Income!$B:$B, IF($AU231&lt;&gt;"", TEXT($AU231, "MMMM"), ""), Income!$C:$C, YEAR($AU231))</f>
        <v>0</v>
      </c>
      <c r="AW231" s="469">
        <f>SUMIFS(Income!$G:$G,Income!$H:$H, AW$2,Income!$F:$F, $AT$1, Income!$B:$B, IF($AU231&lt;&gt;"", TEXT($AU231, "MMMM"), ""), Income!$C:$C, YEAR($AU231))</f>
        <v>0</v>
      </c>
      <c r="AX231" s="469">
        <f>SUMIFS(Income!$G:$G,Income!$H:$H, AX$2,Income!$F:$F, $AT$1, Income!$B:$B, IF($AU231&lt;&gt;"", TEXT($AU231, "MMMM"), ""), Income!$C:$C, YEAR($AU231))</f>
        <v>0</v>
      </c>
      <c r="AY231" s="469">
        <f>SUMIFS(Income!$G:$G,Income!$H:$H, AY$2,Income!$F:$F, $AT$1, Income!$B:$B, IF($AU231&lt;&gt;"", TEXT($AU231, "MMMM"), ""), Income!$C:$C, YEAR($AU231))</f>
        <v>0</v>
      </c>
      <c r="AZ231" s="464">
        <f>SUMIFS(Income!$G:$G,Income!$H:$H, AZ$2,Income!$F:$F, $AT$1, Income!$B:$B, IF($AU231&lt;&gt;"", TEXT($AU231, "MMMM"), ""), Income!$C:$C, YEAR($AU231))</f>
        <v>0</v>
      </c>
      <c r="BA231" s="471">
        <f>SUMIFS(Income!$G:$G,Income!$H:$H, BA$2,Income!$F:$F, $AT$1, Income!$B:$B, IF($AU231&lt;&gt;"", TEXT($AU231, "MMMM"), ""), Income!$C:$C, YEAR($AU231))</f>
        <v>0</v>
      </c>
      <c r="BB231" s="345"/>
      <c r="BC231" s="345"/>
      <c r="BD231" s="345"/>
      <c r="BE231" s="345"/>
    </row>
    <row r="232" ht="13.5" customHeight="1">
      <c r="A232" s="424">
        <f>'Membership Application List'!A461</f>
        <v>45688.82075</v>
      </c>
      <c r="B232" s="443" t="str">
        <f t="shared" si="6"/>
        <v>January</v>
      </c>
      <c r="C232" s="443">
        <f t="shared" si="7"/>
        <v>2025</v>
      </c>
      <c r="D232" s="426" t="str">
        <f>'Membership Application List'!E461</f>
        <v>Kevin Molina</v>
      </c>
      <c r="E232" s="426">
        <f>IF('Membership Application List'!J461 = "Food/Litter Donation", 0, IF('Membership Application List'!J461 = "$15 Donation, Discord Verification", IF('Membership Application List'!N461 = TRUE, 15, 0)))</f>
        <v>15</v>
      </c>
      <c r="F232" s="426">
        <f>if('Membership Application List'!K461=TRUE, 5,0)</f>
        <v>0</v>
      </c>
      <c r="G232" s="426">
        <f t="shared" si="8"/>
        <v>15</v>
      </c>
      <c r="H232" s="427" t="str">
        <f>'Membership Application List'!L461</f>
        <v>Venmo</v>
      </c>
      <c r="I232" s="428"/>
      <c r="J232" s="463">
        <v>50802.0</v>
      </c>
      <c r="K232" s="464">
        <f t="shared" ref="K232:O232" si="190">SUMIFS($G:$G, $H:$H, K$2, $B:$B, IF($J232&lt;&gt;"", TEXT($J232, "MMMM"), ""), $C:$C, YEAR($J232))</f>
        <v>0</v>
      </c>
      <c r="L232" s="464">
        <f t="shared" si="190"/>
        <v>0</v>
      </c>
      <c r="M232" s="464">
        <f t="shared" si="190"/>
        <v>0</v>
      </c>
      <c r="N232" s="464">
        <f t="shared" si="190"/>
        <v>0</v>
      </c>
      <c r="O232" s="465">
        <f t="shared" si="190"/>
        <v>0</v>
      </c>
      <c r="P232" s="414"/>
      <c r="Q232" s="414"/>
      <c r="R232" s="414"/>
      <c r="S232" s="445"/>
      <c r="T232" s="445"/>
      <c r="U232" s="445"/>
      <c r="V232" s="428"/>
      <c r="W232" s="463">
        <v>50802.0</v>
      </c>
      <c r="X232" s="469">
        <f>SUMIFS(Income!$G:$G,Income!$H:$H, X$2,Income!$F:$F, $V$1, Income!$B:$B, IF($W232&lt;&gt;"", TEXT($W232, "MMMM"), ""), Income!$C:$C, YEAR($W232))</f>
        <v>0</v>
      </c>
      <c r="Y232" s="469">
        <f>SUMIFS(Income!$G:$G,Income!$H:$H, Y$2,Income!$F:$F, $V$1, Income!$B:$B, IF($W232&lt;&gt;"", TEXT($W232, "MMMM"), ""), Income!$C:$C, YEAR($W232))</f>
        <v>0</v>
      </c>
      <c r="Z232" s="469">
        <f>SUMIFS(Income!$G:$G,Income!$H:$H, Z$2,Income!$F:$F, $V$1, Income!$B:$B, IF($W232&lt;&gt;"", TEXT($W232, "MMMM"), ""), Income!$C:$C, YEAR($W232))</f>
        <v>0</v>
      </c>
      <c r="AA232" s="469">
        <f>SUMIFS(Income!$G:$G,Income!$H:$H, AA$2,Income!$F:$F, $V$1, Income!$B:$B, IF($W232&lt;&gt;"", TEXT($W232, "MMMM"), ""), Income!$C:$C, YEAR($W232))</f>
        <v>0</v>
      </c>
      <c r="AB232" s="464">
        <f>SUMIFS(Income!$G:$G,Income!$H:$H, AB$2,Income!$F:$F, $V$1, Income!$B:$B, IF($W232&lt;&gt;"", TEXT($W232, "MMMM"), ""), Income!$C:$C, YEAR($W232))</f>
        <v>0</v>
      </c>
      <c r="AC232" s="470">
        <f>SUMIFS(Income!$G:$G,Income!$H:$H, AC$2,Income!$F:$F, $V$1, Income!$B:$B, IF($W232&lt;&gt;"", TEXT($W232, "MMMM"), ""), Income!$C:$C, YEAR($W232))</f>
        <v>0</v>
      </c>
      <c r="AD232" s="428"/>
      <c r="AE232" s="463">
        <v>50802.0</v>
      </c>
      <c r="AF232" s="469">
        <f>SUMIFS(Income!$G:$G,Income!$H:$H, AF$2,Income!$F:$F, $AD$1, Income!$B:$B, IF($AE232&lt;&gt;"", TEXT($AE232, "MMMM"), ""), Income!$C:$C, YEAR($AE232))</f>
        <v>0</v>
      </c>
      <c r="AG232" s="469">
        <f>SUMIFS(Income!$G:$G,Income!$H:$H, AG$2,Income!$F:$F, $AD$1, Income!$B:$B, IF($AE232&lt;&gt;"", TEXT($AE232, "MMMM"), ""), Income!$C:$C, YEAR($AE232))</f>
        <v>0</v>
      </c>
      <c r="AH232" s="469">
        <f>SUMIFS(Income!$G:$G,Income!$H:$H, AH$2,Income!$F:$F, $AD$1, Income!$B:$B, IF($AE232&lt;&gt;"", TEXT($AE232, "MMMM"), ""), Income!$C:$C, YEAR($AE232))</f>
        <v>0</v>
      </c>
      <c r="AI232" s="469">
        <f>SUMIFS(Income!$G:$G,Income!$H:$H, AI$2,Income!$F:$F, $AD$1, Income!$B:$B, IF($AE232&lt;&gt;"", TEXT($AE232, "MMMM"), ""), Income!$C:$C, YEAR($AE232))</f>
        <v>0</v>
      </c>
      <c r="AJ232" s="464">
        <f>SUMIFS(Income!$G:$G,Income!$H:$H, AJ$2,Income!$F:$F, $AD$1, Income!$B:$B, IF($AE232&lt;&gt;"", TEXT($AE232, "MMMM"), ""), Income!$C:$C, YEAR($AE232))</f>
        <v>0</v>
      </c>
      <c r="AK232" s="470">
        <f>SUMIFS(Income!$G:$G,Income!$H:$H, AK$2,Income!$F:$F, $AD$1, Income!$B:$B, IF($AE232&lt;&gt;"", TEXT($AE232, "MMMM"), ""), Income!$C:$C, YEAR($AE232))</f>
        <v>0</v>
      </c>
      <c r="AL232" s="428"/>
      <c r="AM232" s="463">
        <v>50802.0</v>
      </c>
      <c r="AN232" s="464">
        <f>SUMIFS(Income!$G:$G,Income!$H:$H, AN$2,Income!$F:$F, $AL$1, Income!$B:$B, IF($AM232&lt;&gt;"", TEXT($AM232, "MMMM"), ""), Income!$C:$C, YEAR($AM232))+SUMIFS($T:$T, $U:$U,AN$2,$Q:$Q,IF($AM232&lt;&gt;"", TEXT($AM232, "MMMM"), ""),$R:$R,YEAR($AM232))</f>
        <v>0</v>
      </c>
      <c r="AO232" s="464">
        <f>SUMIFS(Income!$G:$G,Income!$H:$H, AO$2,Income!$F:$F, $AL$1, Income!$B:$B, IF($AM232&lt;&gt;"", TEXT($AM232, "MMMM"), ""), Income!$C:$C, YEAR($AM232))+SUMIFS($T:$T, $U:$U,AO$2,$Q:$Q,IF($AM232&lt;&gt;"", TEXT($AM232, "MMMM"), ""),$R:$R,YEAR($AM232))</f>
        <v>0</v>
      </c>
      <c r="AP232" s="464">
        <f>SUMIFS(Income!$G:$G,Income!$H:$H, AP$2,Income!$F:$F, $AL$1, Income!$B:$B, IF($AM232&lt;&gt;"", TEXT($AM232, "MMMM"), ""), Income!$C:$C, YEAR($AM232))+SUMIFS($T:$T, $U:$U,AP$2,$Q:$Q,IF($AM232&lt;&gt;"", TEXT($AM232, "MMMM"), ""),$R:$R,YEAR($AM232))</f>
        <v>0</v>
      </c>
      <c r="AQ232" s="464">
        <f>SUMIFS(Income!$G:$G,Income!$H:$H, AQ$2,Income!$F:$F, $AL$1, Income!$B:$B, IF($AM232&lt;&gt;"", TEXT($AM232, "MMMM"), ""), Income!$C:$C, YEAR($AM232))+SUMIFS($T:$T, $U:$U,AQ$2,$Q:$Q,IF($AM232&lt;&gt;"", TEXT($AM232, "MMMM"), ""),$R:$R,YEAR($AM232))</f>
        <v>0</v>
      </c>
      <c r="AR232" s="464">
        <f>SUMIFS(Income!$G:$G,Income!$H:$H, AR$2,Income!$F:$F, $AL$1, Income!$B:$B, IF($AM232&lt;&gt;"", TEXT($AM232, "MMMM"), ""), Income!$C:$C, YEAR($AM232))+SUMIFS($T:$T, $U:$U,AR$2,$Q:$Q,IF($AM232&lt;&gt;"", TEXT($AM232, "MMMM"), ""),$R:$R,YEAR($AM232))</f>
        <v>0</v>
      </c>
      <c r="AS232" s="467">
        <f>SUMIFS(Income!$G:$G,Income!$H:$H, AS$2,Income!$F:$F, $AL$1, Income!$B:$B, IF($AM232&lt;&gt;"", TEXT($AM232, "MMMM"), ""), Income!$C:$C, YEAR($AM232))+SUMIFS($T:$T, $U:$U,AS$2,$Q:$Q,IF($AM232&lt;&gt;"", TEXT($AM232, "MMMM"), ""),$R:$R,YEAR($AM232))</f>
        <v>0</v>
      </c>
      <c r="AT232" s="428"/>
      <c r="AU232" s="463">
        <v>50802.0</v>
      </c>
      <c r="AV232" s="469">
        <f>SUMIFS(Income!$G:$G,Income!$H:$H, AV$2,Income!$F:$F, $AT$1, Income!$B:$B, IF($AU232&lt;&gt;"", TEXT($AU232, "MMMM"), ""), Income!$C:$C, YEAR($AU232))</f>
        <v>0</v>
      </c>
      <c r="AW232" s="469">
        <f>SUMIFS(Income!$G:$G,Income!$H:$H, AW$2,Income!$F:$F, $AT$1, Income!$B:$B, IF($AU232&lt;&gt;"", TEXT($AU232, "MMMM"), ""), Income!$C:$C, YEAR($AU232))</f>
        <v>0</v>
      </c>
      <c r="AX232" s="469">
        <f>SUMIFS(Income!$G:$G,Income!$H:$H, AX$2,Income!$F:$F, $AT$1, Income!$B:$B, IF($AU232&lt;&gt;"", TEXT($AU232, "MMMM"), ""), Income!$C:$C, YEAR($AU232))</f>
        <v>0</v>
      </c>
      <c r="AY232" s="469">
        <f>SUMIFS(Income!$G:$G,Income!$H:$H, AY$2,Income!$F:$F, $AT$1, Income!$B:$B, IF($AU232&lt;&gt;"", TEXT($AU232, "MMMM"), ""), Income!$C:$C, YEAR($AU232))</f>
        <v>0</v>
      </c>
      <c r="AZ232" s="464">
        <f>SUMIFS(Income!$G:$G,Income!$H:$H, AZ$2,Income!$F:$F, $AT$1, Income!$B:$B, IF($AU232&lt;&gt;"", TEXT($AU232, "MMMM"), ""), Income!$C:$C, YEAR($AU232))</f>
        <v>0</v>
      </c>
      <c r="BA232" s="471">
        <f>SUMIFS(Income!$G:$G,Income!$H:$H, BA$2,Income!$F:$F, $AT$1, Income!$B:$B, IF($AU232&lt;&gt;"", TEXT($AU232, "MMMM"), ""), Income!$C:$C, YEAR($AU232))</f>
        <v>0</v>
      </c>
      <c r="BB232" s="345"/>
      <c r="BC232" s="345"/>
      <c r="BD232" s="345"/>
      <c r="BE232" s="345"/>
    </row>
    <row r="233" ht="13.5" customHeight="1">
      <c r="A233" s="436">
        <f>'Membership Application List'!A462</f>
        <v>45691.62762</v>
      </c>
      <c r="B233" s="437" t="str">
        <f t="shared" si="6"/>
        <v>February</v>
      </c>
      <c r="C233" s="437">
        <f t="shared" si="7"/>
        <v>2025</v>
      </c>
      <c r="D233" s="438" t="str">
        <f>'Membership Application List'!E462</f>
        <v>Miranda Lee</v>
      </c>
      <c r="E233" s="438">
        <f>IF('Membership Application List'!J462 = "Food/Litter Donation", 0, IF('Membership Application List'!J462 = "$15 Donation, Discord Verification", IF('Membership Application List'!N462 = TRUE, 15, 0)))</f>
        <v>15</v>
      </c>
      <c r="F233" s="438">
        <f>if('Membership Application List'!K462=TRUE, 5,0)</f>
        <v>0</v>
      </c>
      <c r="G233" s="438">
        <f t="shared" si="8"/>
        <v>15</v>
      </c>
      <c r="H233" s="439" t="str">
        <f>'Membership Application List'!L462</f>
        <v>Cashapp</v>
      </c>
      <c r="I233" s="428"/>
      <c r="J233" s="463">
        <v>50830.0</v>
      </c>
      <c r="K233" s="464">
        <f t="shared" ref="K233:O233" si="191">SUMIFS($G:$G, $H:$H, K$2, $B:$B, IF($J233&lt;&gt;"", TEXT($J233, "MMMM"), ""), $C:$C, YEAR($J233))</f>
        <v>0</v>
      </c>
      <c r="L233" s="464">
        <f t="shared" si="191"/>
        <v>0</v>
      </c>
      <c r="M233" s="464">
        <f t="shared" si="191"/>
        <v>0</v>
      </c>
      <c r="N233" s="464">
        <f t="shared" si="191"/>
        <v>0</v>
      </c>
      <c r="O233" s="465">
        <f t="shared" si="191"/>
        <v>0</v>
      </c>
      <c r="P233" s="414"/>
      <c r="Q233" s="414"/>
      <c r="R233" s="414"/>
      <c r="S233" s="445"/>
      <c r="T233" s="445"/>
      <c r="U233" s="445"/>
      <c r="V233" s="428"/>
      <c r="W233" s="463">
        <v>50830.0</v>
      </c>
      <c r="X233" s="469">
        <f>SUMIFS(Income!$G:$G,Income!$H:$H, X$2,Income!$F:$F, $V$1, Income!$B:$B, IF($W233&lt;&gt;"", TEXT($W233, "MMMM"), ""), Income!$C:$C, YEAR($W233))</f>
        <v>0</v>
      </c>
      <c r="Y233" s="469">
        <f>SUMIFS(Income!$G:$G,Income!$H:$H, Y$2,Income!$F:$F, $V$1, Income!$B:$B, IF($W233&lt;&gt;"", TEXT($W233, "MMMM"), ""), Income!$C:$C, YEAR($W233))</f>
        <v>0</v>
      </c>
      <c r="Z233" s="469">
        <f>SUMIFS(Income!$G:$G,Income!$H:$H, Z$2,Income!$F:$F, $V$1, Income!$B:$B, IF($W233&lt;&gt;"", TEXT($W233, "MMMM"), ""), Income!$C:$C, YEAR($W233))</f>
        <v>0</v>
      </c>
      <c r="AA233" s="469">
        <f>SUMIFS(Income!$G:$G,Income!$H:$H, AA$2,Income!$F:$F, $V$1, Income!$B:$B, IF($W233&lt;&gt;"", TEXT($W233, "MMMM"), ""), Income!$C:$C, YEAR($W233))</f>
        <v>0</v>
      </c>
      <c r="AB233" s="464">
        <f>SUMIFS(Income!$G:$G,Income!$H:$H, AB$2,Income!$F:$F, $V$1, Income!$B:$B, IF($W233&lt;&gt;"", TEXT($W233, "MMMM"), ""), Income!$C:$C, YEAR($W233))</f>
        <v>0</v>
      </c>
      <c r="AC233" s="470">
        <f>SUMIFS(Income!$G:$G,Income!$H:$H, AC$2,Income!$F:$F, $V$1, Income!$B:$B, IF($W233&lt;&gt;"", TEXT($W233, "MMMM"), ""), Income!$C:$C, YEAR($W233))</f>
        <v>0</v>
      </c>
      <c r="AD233" s="428"/>
      <c r="AE233" s="463">
        <v>50830.0</v>
      </c>
      <c r="AF233" s="469">
        <f>SUMIFS(Income!$G:$G,Income!$H:$H, AF$2,Income!$F:$F, $AD$1, Income!$B:$B, IF($AE233&lt;&gt;"", TEXT($AE233, "MMMM"), ""), Income!$C:$C, YEAR($AE233))</f>
        <v>0</v>
      </c>
      <c r="AG233" s="469">
        <f>SUMIFS(Income!$G:$G,Income!$H:$H, AG$2,Income!$F:$F, $AD$1, Income!$B:$B, IF($AE233&lt;&gt;"", TEXT($AE233, "MMMM"), ""), Income!$C:$C, YEAR($AE233))</f>
        <v>0</v>
      </c>
      <c r="AH233" s="469">
        <f>SUMIFS(Income!$G:$G,Income!$H:$H, AH$2,Income!$F:$F, $AD$1, Income!$B:$B, IF($AE233&lt;&gt;"", TEXT($AE233, "MMMM"), ""), Income!$C:$C, YEAR($AE233))</f>
        <v>0</v>
      </c>
      <c r="AI233" s="469">
        <f>SUMIFS(Income!$G:$G,Income!$H:$H, AI$2,Income!$F:$F, $AD$1, Income!$B:$B, IF($AE233&lt;&gt;"", TEXT($AE233, "MMMM"), ""), Income!$C:$C, YEAR($AE233))</f>
        <v>0</v>
      </c>
      <c r="AJ233" s="464">
        <f>SUMIFS(Income!$G:$G,Income!$H:$H, AJ$2,Income!$F:$F, $AD$1, Income!$B:$B, IF($AE233&lt;&gt;"", TEXT($AE233, "MMMM"), ""), Income!$C:$C, YEAR($AE233))</f>
        <v>0</v>
      </c>
      <c r="AK233" s="470">
        <f>SUMIFS(Income!$G:$G,Income!$H:$H, AK$2,Income!$F:$F, $AD$1, Income!$B:$B, IF($AE233&lt;&gt;"", TEXT($AE233, "MMMM"), ""), Income!$C:$C, YEAR($AE233))</f>
        <v>0</v>
      </c>
      <c r="AL233" s="428"/>
      <c r="AM233" s="463">
        <v>50830.0</v>
      </c>
      <c r="AN233" s="464">
        <f>SUMIFS(Income!$G:$G,Income!$H:$H, AN$2,Income!$F:$F, $AL$1, Income!$B:$B, IF($AM233&lt;&gt;"", TEXT($AM233, "MMMM"), ""), Income!$C:$C, YEAR($AM233))+SUMIFS($T:$T, $U:$U,AN$2,$Q:$Q,IF($AM233&lt;&gt;"", TEXT($AM233, "MMMM"), ""),$R:$R,YEAR($AM233))</f>
        <v>0</v>
      </c>
      <c r="AO233" s="464">
        <f>SUMIFS(Income!$G:$G,Income!$H:$H, AO$2,Income!$F:$F, $AL$1, Income!$B:$B, IF($AM233&lt;&gt;"", TEXT($AM233, "MMMM"), ""), Income!$C:$C, YEAR($AM233))+SUMIFS($T:$T, $U:$U,AO$2,$Q:$Q,IF($AM233&lt;&gt;"", TEXT($AM233, "MMMM"), ""),$R:$R,YEAR($AM233))</f>
        <v>0</v>
      </c>
      <c r="AP233" s="464">
        <f>SUMIFS(Income!$G:$G,Income!$H:$H, AP$2,Income!$F:$F, $AL$1, Income!$B:$B, IF($AM233&lt;&gt;"", TEXT($AM233, "MMMM"), ""), Income!$C:$C, YEAR($AM233))+SUMIFS($T:$T, $U:$U,AP$2,$Q:$Q,IF($AM233&lt;&gt;"", TEXT($AM233, "MMMM"), ""),$R:$R,YEAR($AM233))</f>
        <v>0</v>
      </c>
      <c r="AQ233" s="464">
        <f>SUMIFS(Income!$G:$G,Income!$H:$H, AQ$2,Income!$F:$F, $AL$1, Income!$B:$B, IF($AM233&lt;&gt;"", TEXT($AM233, "MMMM"), ""), Income!$C:$C, YEAR($AM233))+SUMIFS($T:$T, $U:$U,AQ$2,$Q:$Q,IF($AM233&lt;&gt;"", TEXT($AM233, "MMMM"), ""),$R:$R,YEAR($AM233))</f>
        <v>0</v>
      </c>
      <c r="AR233" s="464">
        <f>SUMIFS(Income!$G:$G,Income!$H:$H, AR$2,Income!$F:$F, $AL$1, Income!$B:$B, IF($AM233&lt;&gt;"", TEXT($AM233, "MMMM"), ""), Income!$C:$C, YEAR($AM233))+SUMIFS($T:$T, $U:$U,AR$2,$Q:$Q,IF($AM233&lt;&gt;"", TEXT($AM233, "MMMM"), ""),$R:$R,YEAR($AM233))</f>
        <v>0</v>
      </c>
      <c r="AS233" s="467">
        <f>SUMIFS(Income!$G:$G,Income!$H:$H, AS$2,Income!$F:$F, $AL$1, Income!$B:$B, IF($AM233&lt;&gt;"", TEXT($AM233, "MMMM"), ""), Income!$C:$C, YEAR($AM233))+SUMIFS($T:$T, $U:$U,AS$2,$Q:$Q,IF($AM233&lt;&gt;"", TEXT($AM233, "MMMM"), ""),$R:$R,YEAR($AM233))</f>
        <v>0</v>
      </c>
      <c r="AT233" s="428"/>
      <c r="AU233" s="463">
        <v>50830.0</v>
      </c>
      <c r="AV233" s="469">
        <f>SUMIFS(Income!$G:$G,Income!$H:$H, AV$2,Income!$F:$F, $AT$1, Income!$B:$B, IF($AU233&lt;&gt;"", TEXT($AU233, "MMMM"), ""), Income!$C:$C, YEAR($AU233))</f>
        <v>0</v>
      </c>
      <c r="AW233" s="469">
        <f>SUMIFS(Income!$G:$G,Income!$H:$H, AW$2,Income!$F:$F, $AT$1, Income!$B:$B, IF($AU233&lt;&gt;"", TEXT($AU233, "MMMM"), ""), Income!$C:$C, YEAR($AU233))</f>
        <v>0</v>
      </c>
      <c r="AX233" s="469">
        <f>SUMIFS(Income!$G:$G,Income!$H:$H, AX$2,Income!$F:$F, $AT$1, Income!$B:$B, IF($AU233&lt;&gt;"", TEXT($AU233, "MMMM"), ""), Income!$C:$C, YEAR($AU233))</f>
        <v>0</v>
      </c>
      <c r="AY233" s="469">
        <f>SUMIFS(Income!$G:$G,Income!$H:$H, AY$2,Income!$F:$F, $AT$1, Income!$B:$B, IF($AU233&lt;&gt;"", TEXT($AU233, "MMMM"), ""), Income!$C:$C, YEAR($AU233))</f>
        <v>0</v>
      </c>
      <c r="AZ233" s="464">
        <f>SUMIFS(Income!$G:$G,Income!$H:$H, AZ$2,Income!$F:$F, $AT$1, Income!$B:$B, IF($AU233&lt;&gt;"", TEXT($AU233, "MMMM"), ""), Income!$C:$C, YEAR($AU233))</f>
        <v>0</v>
      </c>
      <c r="BA233" s="471">
        <f>SUMIFS(Income!$G:$G,Income!$H:$H, BA$2,Income!$F:$F, $AT$1, Income!$B:$B, IF($AU233&lt;&gt;"", TEXT($AU233, "MMMM"), ""), Income!$C:$C, YEAR($AU233))</f>
        <v>0</v>
      </c>
      <c r="BB233" s="345"/>
      <c r="BC233" s="345"/>
      <c r="BD233" s="345"/>
      <c r="BE233" s="345"/>
    </row>
    <row r="234" ht="13.5" customHeight="1">
      <c r="A234" s="424">
        <f>'Membership Application List'!A463</f>
        <v>45691.682</v>
      </c>
      <c r="B234" s="443" t="str">
        <f t="shared" si="6"/>
        <v>February</v>
      </c>
      <c r="C234" s="443">
        <f t="shared" si="7"/>
        <v>2025</v>
      </c>
      <c r="D234" s="426" t="str">
        <f>'Membership Application List'!E463</f>
        <v>Austin Brown</v>
      </c>
      <c r="E234" s="426">
        <f>IF('Membership Application List'!J463 = "Food/Litter Donation", 0, IF('Membership Application List'!J463 = "$15 Donation, Discord Verification", IF('Membership Application List'!N463 = TRUE, 15, 0)))</f>
        <v>15</v>
      </c>
      <c r="F234" s="426">
        <f>if('Membership Application List'!K463=TRUE, 5,0)</f>
        <v>0</v>
      </c>
      <c r="G234" s="426">
        <f t="shared" si="8"/>
        <v>15</v>
      </c>
      <c r="H234" s="427" t="str">
        <f>'Membership Application List'!L463</f>
        <v>Paypal</v>
      </c>
      <c r="I234" s="428"/>
      <c r="J234" s="463">
        <v>50861.0</v>
      </c>
      <c r="K234" s="464">
        <f t="shared" ref="K234:O234" si="192">SUMIFS($G:$G, $H:$H, K$2, $B:$B, IF($J234&lt;&gt;"", TEXT($J234, "MMMM"), ""), $C:$C, YEAR($J234))</f>
        <v>0</v>
      </c>
      <c r="L234" s="464">
        <f t="shared" si="192"/>
        <v>0</v>
      </c>
      <c r="M234" s="464">
        <f t="shared" si="192"/>
        <v>0</v>
      </c>
      <c r="N234" s="464">
        <f t="shared" si="192"/>
        <v>0</v>
      </c>
      <c r="O234" s="465">
        <f t="shared" si="192"/>
        <v>0</v>
      </c>
      <c r="P234" s="414"/>
      <c r="Q234" s="414"/>
      <c r="R234" s="414"/>
      <c r="S234" s="445"/>
      <c r="T234" s="445"/>
      <c r="U234" s="445"/>
      <c r="V234" s="428"/>
      <c r="W234" s="463">
        <v>50861.0</v>
      </c>
      <c r="X234" s="469">
        <f>SUMIFS(Income!$G:$G,Income!$H:$H, X$2,Income!$F:$F, $V$1, Income!$B:$B, IF($W234&lt;&gt;"", TEXT($W234, "MMMM"), ""), Income!$C:$C, YEAR($W234))</f>
        <v>0</v>
      </c>
      <c r="Y234" s="469">
        <f>SUMIFS(Income!$G:$G,Income!$H:$H, Y$2,Income!$F:$F, $V$1, Income!$B:$B, IF($W234&lt;&gt;"", TEXT($W234, "MMMM"), ""), Income!$C:$C, YEAR($W234))</f>
        <v>0</v>
      </c>
      <c r="Z234" s="469">
        <f>SUMIFS(Income!$G:$G,Income!$H:$H, Z$2,Income!$F:$F, $V$1, Income!$B:$B, IF($W234&lt;&gt;"", TEXT($W234, "MMMM"), ""), Income!$C:$C, YEAR($W234))</f>
        <v>0</v>
      </c>
      <c r="AA234" s="469">
        <f>SUMIFS(Income!$G:$G,Income!$H:$H, AA$2,Income!$F:$F, $V$1, Income!$B:$B, IF($W234&lt;&gt;"", TEXT($W234, "MMMM"), ""), Income!$C:$C, YEAR($W234))</f>
        <v>0</v>
      </c>
      <c r="AB234" s="464">
        <f>SUMIFS(Income!$G:$G,Income!$H:$H, AB$2,Income!$F:$F, $V$1, Income!$B:$B, IF($W234&lt;&gt;"", TEXT($W234, "MMMM"), ""), Income!$C:$C, YEAR($W234))</f>
        <v>0</v>
      </c>
      <c r="AC234" s="470">
        <f>SUMIFS(Income!$G:$G,Income!$H:$H, AC$2,Income!$F:$F, $V$1, Income!$B:$B, IF($W234&lt;&gt;"", TEXT($W234, "MMMM"), ""), Income!$C:$C, YEAR($W234))</f>
        <v>0</v>
      </c>
      <c r="AD234" s="428"/>
      <c r="AE234" s="463">
        <v>50861.0</v>
      </c>
      <c r="AF234" s="469">
        <f>SUMIFS(Income!$G:$G,Income!$H:$H, AF$2,Income!$F:$F, $AD$1, Income!$B:$B, IF($AE234&lt;&gt;"", TEXT($AE234, "MMMM"), ""), Income!$C:$C, YEAR($AE234))</f>
        <v>0</v>
      </c>
      <c r="AG234" s="469">
        <f>SUMIFS(Income!$G:$G,Income!$H:$H, AG$2,Income!$F:$F, $AD$1, Income!$B:$B, IF($AE234&lt;&gt;"", TEXT($AE234, "MMMM"), ""), Income!$C:$C, YEAR($AE234))</f>
        <v>0</v>
      </c>
      <c r="AH234" s="469">
        <f>SUMIFS(Income!$G:$G,Income!$H:$H, AH$2,Income!$F:$F, $AD$1, Income!$B:$B, IF($AE234&lt;&gt;"", TEXT($AE234, "MMMM"), ""), Income!$C:$C, YEAR($AE234))</f>
        <v>0</v>
      </c>
      <c r="AI234" s="469">
        <f>SUMIFS(Income!$G:$G,Income!$H:$H, AI$2,Income!$F:$F, $AD$1, Income!$B:$B, IF($AE234&lt;&gt;"", TEXT($AE234, "MMMM"), ""), Income!$C:$C, YEAR($AE234))</f>
        <v>0</v>
      </c>
      <c r="AJ234" s="464">
        <f>SUMIFS(Income!$G:$G,Income!$H:$H, AJ$2,Income!$F:$F, $AD$1, Income!$B:$B, IF($AE234&lt;&gt;"", TEXT($AE234, "MMMM"), ""), Income!$C:$C, YEAR($AE234))</f>
        <v>0</v>
      </c>
      <c r="AK234" s="470">
        <f>SUMIFS(Income!$G:$G,Income!$H:$H, AK$2,Income!$F:$F, $AD$1, Income!$B:$B, IF($AE234&lt;&gt;"", TEXT($AE234, "MMMM"), ""), Income!$C:$C, YEAR($AE234))</f>
        <v>0</v>
      </c>
      <c r="AL234" s="428"/>
      <c r="AM234" s="463">
        <v>50861.0</v>
      </c>
      <c r="AN234" s="464">
        <f>SUMIFS(Income!$G:$G,Income!$H:$H, AN$2,Income!$F:$F, $AL$1, Income!$B:$B, IF($AM234&lt;&gt;"", TEXT($AM234, "MMMM"), ""), Income!$C:$C, YEAR($AM234))+SUMIFS($T:$T, $U:$U,AN$2,$Q:$Q,IF($AM234&lt;&gt;"", TEXT($AM234, "MMMM"), ""),$R:$R,YEAR($AM234))</f>
        <v>0</v>
      </c>
      <c r="AO234" s="464">
        <f>SUMIFS(Income!$G:$G,Income!$H:$H, AO$2,Income!$F:$F, $AL$1, Income!$B:$B, IF($AM234&lt;&gt;"", TEXT($AM234, "MMMM"), ""), Income!$C:$C, YEAR($AM234))+SUMIFS($T:$T, $U:$U,AO$2,$Q:$Q,IF($AM234&lt;&gt;"", TEXT($AM234, "MMMM"), ""),$R:$R,YEAR($AM234))</f>
        <v>0</v>
      </c>
      <c r="AP234" s="464">
        <f>SUMIFS(Income!$G:$G,Income!$H:$H, AP$2,Income!$F:$F, $AL$1, Income!$B:$B, IF($AM234&lt;&gt;"", TEXT($AM234, "MMMM"), ""), Income!$C:$C, YEAR($AM234))+SUMIFS($T:$T, $U:$U,AP$2,$Q:$Q,IF($AM234&lt;&gt;"", TEXT($AM234, "MMMM"), ""),$R:$R,YEAR($AM234))</f>
        <v>0</v>
      </c>
      <c r="AQ234" s="464">
        <f>SUMIFS(Income!$G:$G,Income!$H:$H, AQ$2,Income!$F:$F, $AL$1, Income!$B:$B, IF($AM234&lt;&gt;"", TEXT($AM234, "MMMM"), ""), Income!$C:$C, YEAR($AM234))+SUMIFS($T:$T, $U:$U,AQ$2,$Q:$Q,IF($AM234&lt;&gt;"", TEXT($AM234, "MMMM"), ""),$R:$R,YEAR($AM234))</f>
        <v>0</v>
      </c>
      <c r="AR234" s="464">
        <f>SUMIFS(Income!$G:$G,Income!$H:$H, AR$2,Income!$F:$F, $AL$1, Income!$B:$B, IF($AM234&lt;&gt;"", TEXT($AM234, "MMMM"), ""), Income!$C:$C, YEAR($AM234))+SUMIFS($T:$T, $U:$U,AR$2,$Q:$Q,IF($AM234&lt;&gt;"", TEXT($AM234, "MMMM"), ""),$R:$R,YEAR($AM234))</f>
        <v>0</v>
      </c>
      <c r="AS234" s="467">
        <f>SUMIFS(Income!$G:$G,Income!$H:$H, AS$2,Income!$F:$F, $AL$1, Income!$B:$B, IF($AM234&lt;&gt;"", TEXT($AM234, "MMMM"), ""), Income!$C:$C, YEAR($AM234))+SUMIFS($T:$T, $U:$U,AS$2,$Q:$Q,IF($AM234&lt;&gt;"", TEXT($AM234, "MMMM"), ""),$R:$R,YEAR($AM234))</f>
        <v>0</v>
      </c>
      <c r="AT234" s="428"/>
      <c r="AU234" s="463">
        <v>50861.0</v>
      </c>
      <c r="AV234" s="469">
        <f>SUMIFS(Income!$G:$G,Income!$H:$H, AV$2,Income!$F:$F, $AT$1, Income!$B:$B, IF($AU234&lt;&gt;"", TEXT($AU234, "MMMM"), ""), Income!$C:$C, YEAR($AU234))</f>
        <v>0</v>
      </c>
      <c r="AW234" s="469">
        <f>SUMIFS(Income!$G:$G,Income!$H:$H, AW$2,Income!$F:$F, $AT$1, Income!$B:$B, IF($AU234&lt;&gt;"", TEXT($AU234, "MMMM"), ""), Income!$C:$C, YEAR($AU234))</f>
        <v>0</v>
      </c>
      <c r="AX234" s="469">
        <f>SUMIFS(Income!$G:$G,Income!$H:$H, AX$2,Income!$F:$F, $AT$1, Income!$B:$B, IF($AU234&lt;&gt;"", TEXT($AU234, "MMMM"), ""), Income!$C:$C, YEAR($AU234))</f>
        <v>0</v>
      </c>
      <c r="AY234" s="469">
        <f>SUMIFS(Income!$G:$G,Income!$H:$H, AY$2,Income!$F:$F, $AT$1, Income!$B:$B, IF($AU234&lt;&gt;"", TEXT($AU234, "MMMM"), ""), Income!$C:$C, YEAR($AU234))</f>
        <v>0</v>
      </c>
      <c r="AZ234" s="464">
        <f>SUMIFS(Income!$G:$G,Income!$H:$H, AZ$2,Income!$F:$F, $AT$1, Income!$B:$B, IF($AU234&lt;&gt;"", TEXT($AU234, "MMMM"), ""), Income!$C:$C, YEAR($AU234))</f>
        <v>0</v>
      </c>
      <c r="BA234" s="471">
        <f>SUMIFS(Income!$G:$G,Income!$H:$H, BA$2,Income!$F:$F, $AT$1, Income!$B:$B, IF($AU234&lt;&gt;"", TEXT($AU234, "MMMM"), ""), Income!$C:$C, YEAR($AU234))</f>
        <v>0</v>
      </c>
      <c r="BB234" s="345"/>
      <c r="BC234" s="345"/>
      <c r="BD234" s="345"/>
      <c r="BE234" s="345"/>
    </row>
    <row r="235" ht="13.5" customHeight="1">
      <c r="A235" s="436">
        <f>'Membership Application List'!A464</f>
        <v>45691.7449</v>
      </c>
      <c r="B235" s="437" t="str">
        <f t="shared" si="6"/>
        <v>February</v>
      </c>
      <c r="C235" s="437">
        <f t="shared" si="7"/>
        <v>2025</v>
      </c>
      <c r="D235" s="438" t="str">
        <f>'Membership Application List'!E464</f>
        <v>Megan Digiovanni</v>
      </c>
      <c r="E235" s="438">
        <f>IF('Membership Application List'!J464 = "Food/Litter Donation", 0, IF('Membership Application List'!J464 = "$15 Donation, Discord Verification", IF('Membership Application List'!N464 = TRUE, 15, 0)))</f>
        <v>0</v>
      </c>
      <c r="F235" s="438">
        <f>if('Membership Application List'!K464=TRUE, 5,0)</f>
        <v>0</v>
      </c>
      <c r="G235" s="438">
        <f t="shared" si="8"/>
        <v>0</v>
      </c>
      <c r="H235" s="439" t="str">
        <f>'Membership Application List'!L464</f>
        <v/>
      </c>
      <c r="I235" s="428"/>
      <c r="J235" s="463">
        <v>50891.0</v>
      </c>
      <c r="K235" s="464">
        <f t="shared" ref="K235:O235" si="193">SUMIFS($G:$G, $H:$H, K$2, $B:$B, IF($J235&lt;&gt;"", TEXT($J235, "MMMM"), ""), $C:$C, YEAR($J235))</f>
        <v>0</v>
      </c>
      <c r="L235" s="464">
        <f t="shared" si="193"/>
        <v>0</v>
      </c>
      <c r="M235" s="464">
        <f t="shared" si="193"/>
        <v>0</v>
      </c>
      <c r="N235" s="464">
        <f t="shared" si="193"/>
        <v>0</v>
      </c>
      <c r="O235" s="465">
        <f t="shared" si="193"/>
        <v>0</v>
      </c>
      <c r="P235" s="414"/>
      <c r="Q235" s="414"/>
      <c r="R235" s="414"/>
      <c r="S235" s="445"/>
      <c r="T235" s="445"/>
      <c r="U235" s="445"/>
      <c r="V235" s="428"/>
      <c r="W235" s="463">
        <v>50891.0</v>
      </c>
      <c r="X235" s="469">
        <f>SUMIFS(Income!$G:$G,Income!$H:$H, X$2,Income!$F:$F, $V$1, Income!$B:$B, IF($W235&lt;&gt;"", TEXT($W235, "MMMM"), ""), Income!$C:$C, YEAR($W235))</f>
        <v>0</v>
      </c>
      <c r="Y235" s="469">
        <f>SUMIFS(Income!$G:$G,Income!$H:$H, Y$2,Income!$F:$F, $V$1, Income!$B:$B, IF($W235&lt;&gt;"", TEXT($W235, "MMMM"), ""), Income!$C:$C, YEAR($W235))</f>
        <v>0</v>
      </c>
      <c r="Z235" s="469">
        <f>SUMIFS(Income!$G:$G,Income!$H:$H, Z$2,Income!$F:$F, $V$1, Income!$B:$B, IF($W235&lt;&gt;"", TEXT($W235, "MMMM"), ""), Income!$C:$C, YEAR($W235))</f>
        <v>0</v>
      </c>
      <c r="AA235" s="469">
        <f>SUMIFS(Income!$G:$G,Income!$H:$H, AA$2,Income!$F:$F, $V$1, Income!$B:$B, IF($W235&lt;&gt;"", TEXT($W235, "MMMM"), ""), Income!$C:$C, YEAR($W235))</f>
        <v>0</v>
      </c>
      <c r="AB235" s="464">
        <f>SUMIFS(Income!$G:$G,Income!$H:$H, AB$2,Income!$F:$F, $V$1, Income!$B:$B, IF($W235&lt;&gt;"", TEXT($W235, "MMMM"), ""), Income!$C:$C, YEAR($W235))</f>
        <v>0</v>
      </c>
      <c r="AC235" s="470">
        <f>SUMIFS(Income!$G:$G,Income!$H:$H, AC$2,Income!$F:$F, $V$1, Income!$B:$B, IF($W235&lt;&gt;"", TEXT($W235, "MMMM"), ""), Income!$C:$C, YEAR($W235))</f>
        <v>0</v>
      </c>
      <c r="AD235" s="428"/>
      <c r="AE235" s="463">
        <v>50891.0</v>
      </c>
      <c r="AF235" s="469">
        <f>SUMIFS(Income!$G:$G,Income!$H:$H, AF$2,Income!$F:$F, $AD$1, Income!$B:$B, IF($AE235&lt;&gt;"", TEXT($AE235, "MMMM"), ""), Income!$C:$C, YEAR($AE235))</f>
        <v>0</v>
      </c>
      <c r="AG235" s="469">
        <f>SUMIFS(Income!$G:$G,Income!$H:$H, AG$2,Income!$F:$F, $AD$1, Income!$B:$B, IF($AE235&lt;&gt;"", TEXT($AE235, "MMMM"), ""), Income!$C:$C, YEAR($AE235))</f>
        <v>0</v>
      </c>
      <c r="AH235" s="469">
        <f>SUMIFS(Income!$G:$G,Income!$H:$H, AH$2,Income!$F:$F, $AD$1, Income!$B:$B, IF($AE235&lt;&gt;"", TEXT($AE235, "MMMM"), ""), Income!$C:$C, YEAR($AE235))</f>
        <v>0</v>
      </c>
      <c r="AI235" s="469">
        <f>SUMIFS(Income!$G:$G,Income!$H:$H, AI$2,Income!$F:$F, $AD$1, Income!$B:$B, IF($AE235&lt;&gt;"", TEXT($AE235, "MMMM"), ""), Income!$C:$C, YEAR($AE235))</f>
        <v>0</v>
      </c>
      <c r="AJ235" s="464">
        <f>SUMIFS(Income!$G:$G,Income!$H:$H, AJ$2,Income!$F:$F, $AD$1, Income!$B:$B, IF($AE235&lt;&gt;"", TEXT($AE235, "MMMM"), ""), Income!$C:$C, YEAR($AE235))</f>
        <v>0</v>
      </c>
      <c r="AK235" s="470">
        <f>SUMIFS(Income!$G:$G,Income!$H:$H, AK$2,Income!$F:$F, $AD$1, Income!$B:$B, IF($AE235&lt;&gt;"", TEXT($AE235, "MMMM"), ""), Income!$C:$C, YEAR($AE235))</f>
        <v>0</v>
      </c>
      <c r="AL235" s="428"/>
      <c r="AM235" s="463">
        <v>50891.0</v>
      </c>
      <c r="AN235" s="464">
        <f>SUMIFS(Income!$G:$G,Income!$H:$H, AN$2,Income!$F:$F, $AL$1, Income!$B:$B, IF($AM235&lt;&gt;"", TEXT($AM235, "MMMM"), ""), Income!$C:$C, YEAR($AM235))+SUMIFS($T:$T, $U:$U,AN$2,$Q:$Q,IF($AM235&lt;&gt;"", TEXT($AM235, "MMMM"), ""),$R:$R,YEAR($AM235))</f>
        <v>0</v>
      </c>
      <c r="AO235" s="464">
        <f>SUMIFS(Income!$G:$G,Income!$H:$H, AO$2,Income!$F:$F, $AL$1, Income!$B:$B, IF($AM235&lt;&gt;"", TEXT($AM235, "MMMM"), ""), Income!$C:$C, YEAR($AM235))+SUMIFS($T:$T, $U:$U,AO$2,$Q:$Q,IF($AM235&lt;&gt;"", TEXT($AM235, "MMMM"), ""),$R:$R,YEAR($AM235))</f>
        <v>0</v>
      </c>
      <c r="AP235" s="464">
        <f>SUMIFS(Income!$G:$G,Income!$H:$H, AP$2,Income!$F:$F, $AL$1, Income!$B:$B, IF($AM235&lt;&gt;"", TEXT($AM235, "MMMM"), ""), Income!$C:$C, YEAR($AM235))+SUMIFS($T:$T, $U:$U,AP$2,$Q:$Q,IF($AM235&lt;&gt;"", TEXT($AM235, "MMMM"), ""),$R:$R,YEAR($AM235))</f>
        <v>0</v>
      </c>
      <c r="AQ235" s="464">
        <f>SUMIFS(Income!$G:$G,Income!$H:$H, AQ$2,Income!$F:$F, $AL$1, Income!$B:$B, IF($AM235&lt;&gt;"", TEXT($AM235, "MMMM"), ""), Income!$C:$C, YEAR($AM235))+SUMIFS($T:$T, $U:$U,AQ$2,$Q:$Q,IF($AM235&lt;&gt;"", TEXT($AM235, "MMMM"), ""),$R:$R,YEAR($AM235))</f>
        <v>0</v>
      </c>
      <c r="AR235" s="464">
        <f>SUMIFS(Income!$G:$G,Income!$H:$H, AR$2,Income!$F:$F, $AL$1, Income!$B:$B, IF($AM235&lt;&gt;"", TEXT($AM235, "MMMM"), ""), Income!$C:$C, YEAR($AM235))+SUMIFS($T:$T, $U:$U,AR$2,$Q:$Q,IF($AM235&lt;&gt;"", TEXT($AM235, "MMMM"), ""),$R:$R,YEAR($AM235))</f>
        <v>0</v>
      </c>
      <c r="AS235" s="467">
        <f>SUMIFS(Income!$G:$G,Income!$H:$H, AS$2,Income!$F:$F, $AL$1, Income!$B:$B, IF($AM235&lt;&gt;"", TEXT($AM235, "MMMM"), ""), Income!$C:$C, YEAR($AM235))+SUMIFS($T:$T, $U:$U,AS$2,$Q:$Q,IF($AM235&lt;&gt;"", TEXT($AM235, "MMMM"), ""),$R:$R,YEAR($AM235))</f>
        <v>0</v>
      </c>
      <c r="AT235" s="428"/>
      <c r="AU235" s="463">
        <v>50891.0</v>
      </c>
      <c r="AV235" s="469">
        <f>SUMIFS(Income!$G:$G,Income!$H:$H, AV$2,Income!$F:$F, $AT$1, Income!$B:$B, IF($AU235&lt;&gt;"", TEXT($AU235, "MMMM"), ""), Income!$C:$C, YEAR($AU235))</f>
        <v>0</v>
      </c>
      <c r="AW235" s="469">
        <f>SUMIFS(Income!$G:$G,Income!$H:$H, AW$2,Income!$F:$F, $AT$1, Income!$B:$B, IF($AU235&lt;&gt;"", TEXT($AU235, "MMMM"), ""), Income!$C:$C, YEAR($AU235))</f>
        <v>0</v>
      </c>
      <c r="AX235" s="469">
        <f>SUMIFS(Income!$G:$G,Income!$H:$H, AX$2,Income!$F:$F, $AT$1, Income!$B:$B, IF($AU235&lt;&gt;"", TEXT($AU235, "MMMM"), ""), Income!$C:$C, YEAR($AU235))</f>
        <v>0</v>
      </c>
      <c r="AY235" s="469">
        <f>SUMIFS(Income!$G:$G,Income!$H:$H, AY$2,Income!$F:$F, $AT$1, Income!$B:$B, IF($AU235&lt;&gt;"", TEXT($AU235, "MMMM"), ""), Income!$C:$C, YEAR($AU235))</f>
        <v>0</v>
      </c>
      <c r="AZ235" s="464">
        <f>SUMIFS(Income!$G:$G,Income!$H:$H, AZ$2,Income!$F:$F, $AT$1, Income!$B:$B, IF($AU235&lt;&gt;"", TEXT($AU235, "MMMM"), ""), Income!$C:$C, YEAR($AU235))</f>
        <v>0</v>
      </c>
      <c r="BA235" s="471">
        <f>SUMIFS(Income!$G:$G,Income!$H:$H, BA$2,Income!$F:$F, $AT$1, Income!$B:$B, IF($AU235&lt;&gt;"", TEXT($AU235, "MMMM"), ""), Income!$C:$C, YEAR($AU235))</f>
        <v>0</v>
      </c>
      <c r="BB235" s="345"/>
      <c r="BC235" s="345"/>
      <c r="BD235" s="345"/>
      <c r="BE235" s="345"/>
    </row>
    <row r="236" ht="13.5" customHeight="1">
      <c r="A236" s="424">
        <f>'Membership Application List'!A465</f>
        <v>45694.92357</v>
      </c>
      <c r="B236" s="443" t="str">
        <f t="shared" si="6"/>
        <v>February</v>
      </c>
      <c r="C236" s="443">
        <f t="shared" si="7"/>
        <v>2025</v>
      </c>
      <c r="D236" s="426" t="str">
        <f>'Membership Application List'!E465</f>
        <v>Nancy Hernandez</v>
      </c>
      <c r="E236" s="426">
        <f>IF('Membership Application List'!J465 = "Food/Litter Donation", 0, IF('Membership Application List'!J465 = "$15 Donation, Discord Verification", IF('Membership Application List'!N465 = TRUE, 15, 0)))</f>
        <v>15</v>
      </c>
      <c r="F236" s="426">
        <f>if('Membership Application List'!K465=TRUE, 5,0)</f>
        <v>0</v>
      </c>
      <c r="G236" s="426">
        <f t="shared" si="8"/>
        <v>15</v>
      </c>
      <c r="H236" s="427" t="str">
        <f>'Membership Application List'!L465</f>
        <v>Paypal</v>
      </c>
      <c r="I236" s="447" t="s">
        <v>807</v>
      </c>
      <c r="J236" s="463">
        <v>50922.0</v>
      </c>
      <c r="K236" s="464">
        <f t="shared" ref="K236:O236" si="194">SUMIFS($G:$G, $H:$H, K$2, $B:$B, IF($J236&lt;&gt;"", TEXT($J236, "MMMM"), ""), $C:$C, YEAR($J236))</f>
        <v>0</v>
      </c>
      <c r="L236" s="464">
        <f t="shared" si="194"/>
        <v>0</v>
      </c>
      <c r="M236" s="464">
        <f t="shared" si="194"/>
        <v>0</v>
      </c>
      <c r="N236" s="464">
        <f t="shared" si="194"/>
        <v>0</v>
      </c>
      <c r="O236" s="465">
        <f t="shared" si="194"/>
        <v>0</v>
      </c>
      <c r="P236" s="414"/>
      <c r="Q236" s="414"/>
      <c r="R236" s="414"/>
      <c r="S236" s="445"/>
      <c r="T236" s="445"/>
      <c r="U236" s="445"/>
      <c r="V236" s="447" t="s">
        <v>807</v>
      </c>
      <c r="W236" s="463">
        <v>50922.0</v>
      </c>
      <c r="X236" s="469">
        <f>SUMIFS(Income!$G:$G,Income!$H:$H, X$2,Income!$F:$F, $V$1, Income!$B:$B, IF($W236&lt;&gt;"", TEXT($W236, "MMMM"), ""), Income!$C:$C, YEAR($W236))</f>
        <v>0</v>
      </c>
      <c r="Y236" s="469">
        <f>SUMIFS(Income!$G:$G,Income!$H:$H, Y$2,Income!$F:$F, $V$1, Income!$B:$B, IF($W236&lt;&gt;"", TEXT($W236, "MMMM"), ""), Income!$C:$C, YEAR($W236))</f>
        <v>0</v>
      </c>
      <c r="Z236" s="469">
        <f>SUMIFS(Income!$G:$G,Income!$H:$H, Z$2,Income!$F:$F, $V$1, Income!$B:$B, IF($W236&lt;&gt;"", TEXT($W236, "MMMM"), ""), Income!$C:$C, YEAR($W236))</f>
        <v>0</v>
      </c>
      <c r="AA236" s="469">
        <f>SUMIFS(Income!$G:$G,Income!$H:$H, AA$2,Income!$F:$F, $V$1, Income!$B:$B, IF($W236&lt;&gt;"", TEXT($W236, "MMMM"), ""), Income!$C:$C, YEAR($W236))</f>
        <v>0</v>
      </c>
      <c r="AB236" s="464">
        <f>SUMIFS(Income!$G:$G,Income!$H:$H, AB$2,Income!$F:$F, $V$1, Income!$B:$B, IF($W236&lt;&gt;"", TEXT($W236, "MMMM"), ""), Income!$C:$C, YEAR($W236))</f>
        <v>0</v>
      </c>
      <c r="AC236" s="470">
        <f>SUMIFS(Income!$G:$G,Income!$H:$H, AC$2,Income!$F:$F, $V$1, Income!$B:$B, IF($W236&lt;&gt;"", TEXT($W236, "MMMM"), ""), Income!$C:$C, YEAR($W236))</f>
        <v>0</v>
      </c>
      <c r="AD236" s="447" t="s">
        <v>807</v>
      </c>
      <c r="AE236" s="463">
        <v>50922.0</v>
      </c>
      <c r="AF236" s="469">
        <f>SUMIFS(Income!$G:$G,Income!$H:$H, AF$2,Income!$F:$F, $AD$1, Income!$B:$B, IF($AE236&lt;&gt;"", TEXT($AE236, "MMMM"), ""), Income!$C:$C, YEAR($AE236))</f>
        <v>0</v>
      </c>
      <c r="AG236" s="469">
        <f>SUMIFS(Income!$G:$G,Income!$H:$H, AG$2,Income!$F:$F, $AD$1, Income!$B:$B, IF($AE236&lt;&gt;"", TEXT($AE236, "MMMM"), ""), Income!$C:$C, YEAR($AE236))</f>
        <v>0</v>
      </c>
      <c r="AH236" s="469">
        <f>SUMIFS(Income!$G:$G,Income!$H:$H, AH$2,Income!$F:$F, $AD$1, Income!$B:$B, IF($AE236&lt;&gt;"", TEXT($AE236, "MMMM"), ""), Income!$C:$C, YEAR($AE236))</f>
        <v>0</v>
      </c>
      <c r="AI236" s="469">
        <f>SUMIFS(Income!$G:$G,Income!$H:$H, AI$2,Income!$F:$F, $AD$1, Income!$B:$B, IF($AE236&lt;&gt;"", TEXT($AE236, "MMMM"), ""), Income!$C:$C, YEAR($AE236))</f>
        <v>0</v>
      </c>
      <c r="AJ236" s="464">
        <f>SUMIFS(Income!$G:$G,Income!$H:$H, AJ$2,Income!$F:$F, $AD$1, Income!$B:$B, IF($AE236&lt;&gt;"", TEXT($AE236, "MMMM"), ""), Income!$C:$C, YEAR($AE236))</f>
        <v>0</v>
      </c>
      <c r="AK236" s="470">
        <f>SUMIFS(Income!$G:$G,Income!$H:$H, AK$2,Income!$F:$F, $AD$1, Income!$B:$B, IF($AE236&lt;&gt;"", TEXT($AE236, "MMMM"), ""), Income!$C:$C, YEAR($AE236))</f>
        <v>0</v>
      </c>
      <c r="AL236" s="447" t="s">
        <v>807</v>
      </c>
      <c r="AM236" s="463">
        <v>50922.0</v>
      </c>
      <c r="AN236" s="464">
        <f>SUMIFS(Income!$G:$G,Income!$H:$H, AN$2,Income!$F:$F, $AL$1, Income!$B:$B, IF($AM236&lt;&gt;"", TEXT($AM236, "MMMM"), ""), Income!$C:$C, YEAR($AM236))+SUMIFS($T:$T, $U:$U,AN$2,$Q:$Q,IF($AM236&lt;&gt;"", TEXT($AM236, "MMMM"), ""),$R:$R,YEAR($AM236))</f>
        <v>0</v>
      </c>
      <c r="AO236" s="464">
        <f>SUMIFS(Income!$G:$G,Income!$H:$H, AO$2,Income!$F:$F, $AL$1, Income!$B:$B, IF($AM236&lt;&gt;"", TEXT($AM236, "MMMM"), ""), Income!$C:$C, YEAR($AM236))+SUMIFS($T:$T, $U:$U,AO$2,$Q:$Q,IF($AM236&lt;&gt;"", TEXT($AM236, "MMMM"), ""),$R:$R,YEAR($AM236))</f>
        <v>0</v>
      </c>
      <c r="AP236" s="464">
        <f>SUMIFS(Income!$G:$G,Income!$H:$H, AP$2,Income!$F:$F, $AL$1, Income!$B:$B, IF($AM236&lt;&gt;"", TEXT($AM236, "MMMM"), ""), Income!$C:$C, YEAR($AM236))+SUMIFS($T:$T, $U:$U,AP$2,$Q:$Q,IF($AM236&lt;&gt;"", TEXT($AM236, "MMMM"), ""),$R:$R,YEAR($AM236))</f>
        <v>0</v>
      </c>
      <c r="AQ236" s="464">
        <f>SUMIFS(Income!$G:$G,Income!$H:$H, AQ$2,Income!$F:$F, $AL$1, Income!$B:$B, IF($AM236&lt;&gt;"", TEXT($AM236, "MMMM"), ""), Income!$C:$C, YEAR($AM236))+SUMIFS($T:$T, $U:$U,AQ$2,$Q:$Q,IF($AM236&lt;&gt;"", TEXT($AM236, "MMMM"), ""),$R:$R,YEAR($AM236))</f>
        <v>0</v>
      </c>
      <c r="AR236" s="464">
        <f>SUMIFS(Income!$G:$G,Income!$H:$H, AR$2,Income!$F:$F, $AL$1, Income!$B:$B, IF($AM236&lt;&gt;"", TEXT($AM236, "MMMM"), ""), Income!$C:$C, YEAR($AM236))+SUMIFS($T:$T, $U:$U,AR$2,$Q:$Q,IF($AM236&lt;&gt;"", TEXT($AM236, "MMMM"), ""),$R:$R,YEAR($AM236))</f>
        <v>0</v>
      </c>
      <c r="AS236" s="467">
        <f>SUMIFS(Income!$G:$G,Income!$H:$H, AS$2,Income!$F:$F, $AL$1, Income!$B:$B, IF($AM236&lt;&gt;"", TEXT($AM236, "MMMM"), ""), Income!$C:$C, YEAR($AM236))+SUMIFS($T:$T, $U:$U,AS$2,$Q:$Q,IF($AM236&lt;&gt;"", TEXT($AM236, "MMMM"), ""),$R:$R,YEAR($AM236))</f>
        <v>0</v>
      </c>
      <c r="AT236" s="447" t="s">
        <v>807</v>
      </c>
      <c r="AU236" s="463">
        <v>50922.0</v>
      </c>
      <c r="AV236" s="469">
        <f>SUMIFS(Income!$G:$G,Income!$H:$H, AV$2,Income!$F:$F, $AT$1, Income!$B:$B, IF($AU236&lt;&gt;"", TEXT($AU236, "MMMM"), ""), Income!$C:$C, YEAR($AU236))</f>
        <v>0</v>
      </c>
      <c r="AW236" s="469">
        <f>SUMIFS(Income!$G:$G,Income!$H:$H, AW$2,Income!$F:$F, $AT$1, Income!$B:$B, IF($AU236&lt;&gt;"", TEXT($AU236, "MMMM"), ""), Income!$C:$C, YEAR($AU236))</f>
        <v>0</v>
      </c>
      <c r="AX236" s="469">
        <f>SUMIFS(Income!$G:$G,Income!$H:$H, AX$2,Income!$F:$F, $AT$1, Income!$B:$B, IF($AU236&lt;&gt;"", TEXT($AU236, "MMMM"), ""), Income!$C:$C, YEAR($AU236))</f>
        <v>0</v>
      </c>
      <c r="AY236" s="469">
        <f>SUMIFS(Income!$G:$G,Income!$H:$H, AY$2,Income!$F:$F, $AT$1, Income!$B:$B, IF($AU236&lt;&gt;"", TEXT($AU236, "MMMM"), ""), Income!$C:$C, YEAR($AU236))</f>
        <v>0</v>
      </c>
      <c r="AZ236" s="464">
        <f>SUMIFS(Income!$G:$G,Income!$H:$H, AZ$2,Income!$F:$F, $AT$1, Income!$B:$B, IF($AU236&lt;&gt;"", TEXT($AU236, "MMMM"), ""), Income!$C:$C, YEAR($AU236))</f>
        <v>0</v>
      </c>
      <c r="BA236" s="471">
        <f>SUMIFS(Income!$G:$G,Income!$H:$H, BA$2,Income!$F:$F, $AT$1, Income!$B:$B, IF($AU236&lt;&gt;"", TEXT($AU236, "MMMM"), ""), Income!$C:$C, YEAR($AU236))</f>
        <v>0</v>
      </c>
      <c r="BB236" s="345"/>
      <c r="BC236" s="345"/>
      <c r="BD236" s="345"/>
      <c r="BE236" s="345"/>
    </row>
    <row r="237" ht="13.5" customHeight="1">
      <c r="A237" s="436">
        <f>'Membership Application List'!A466</f>
        <v>45694.94981</v>
      </c>
      <c r="B237" s="437" t="str">
        <f t="shared" si="6"/>
        <v>February</v>
      </c>
      <c r="C237" s="437">
        <f t="shared" si="7"/>
        <v>2025</v>
      </c>
      <c r="D237" s="438" t="str">
        <f>'Membership Application List'!E466</f>
        <v>Emma Folkmann</v>
      </c>
      <c r="E237" s="438">
        <f>IF('Membership Application List'!J466 = "Food/Litter Donation", 0, IF('Membership Application List'!J466 = "$15 Donation, Discord Verification", IF('Membership Application List'!N466 = TRUE, 15, 0)))</f>
        <v>15</v>
      </c>
      <c r="F237" s="438">
        <f>if('Membership Application List'!K466=TRUE, 5,0)</f>
        <v>0</v>
      </c>
      <c r="G237" s="438">
        <f t="shared" si="8"/>
        <v>15</v>
      </c>
      <c r="H237" s="439" t="str">
        <f>'Membership Application List'!L466</f>
        <v>Venmo</v>
      </c>
      <c r="I237" s="428"/>
      <c r="J237" s="463">
        <v>50952.0</v>
      </c>
      <c r="K237" s="464">
        <f t="shared" ref="K237:O237" si="195">SUMIFS($G:$G, $H:$H, K$2, $B:$B, IF($J237&lt;&gt;"", TEXT($J237, "MMMM"), ""), $C:$C, YEAR($J237))</f>
        <v>0</v>
      </c>
      <c r="L237" s="464">
        <f t="shared" si="195"/>
        <v>0</v>
      </c>
      <c r="M237" s="464">
        <f t="shared" si="195"/>
        <v>0</v>
      </c>
      <c r="N237" s="464">
        <f t="shared" si="195"/>
        <v>0</v>
      </c>
      <c r="O237" s="465">
        <f t="shared" si="195"/>
        <v>0</v>
      </c>
      <c r="P237" s="414"/>
      <c r="Q237" s="414"/>
      <c r="R237" s="414"/>
      <c r="S237" s="445"/>
      <c r="T237" s="445"/>
      <c r="U237" s="445"/>
      <c r="V237" s="428"/>
      <c r="W237" s="463">
        <v>50952.0</v>
      </c>
      <c r="X237" s="469">
        <f>SUMIFS(Income!$G:$G,Income!$H:$H, X$2,Income!$F:$F, $V$1, Income!$B:$B, IF($W237&lt;&gt;"", TEXT($W237, "MMMM"), ""), Income!$C:$C, YEAR($W237))</f>
        <v>0</v>
      </c>
      <c r="Y237" s="469">
        <f>SUMIFS(Income!$G:$G,Income!$H:$H, Y$2,Income!$F:$F, $V$1, Income!$B:$B, IF($W237&lt;&gt;"", TEXT($W237, "MMMM"), ""), Income!$C:$C, YEAR($W237))</f>
        <v>0</v>
      </c>
      <c r="Z237" s="469">
        <f>SUMIFS(Income!$G:$G,Income!$H:$H, Z$2,Income!$F:$F, $V$1, Income!$B:$B, IF($W237&lt;&gt;"", TEXT($W237, "MMMM"), ""), Income!$C:$C, YEAR($W237))</f>
        <v>0</v>
      </c>
      <c r="AA237" s="469">
        <f>SUMIFS(Income!$G:$G,Income!$H:$H, AA$2,Income!$F:$F, $V$1, Income!$B:$B, IF($W237&lt;&gt;"", TEXT($W237, "MMMM"), ""), Income!$C:$C, YEAR($W237))</f>
        <v>0</v>
      </c>
      <c r="AB237" s="464">
        <f>SUMIFS(Income!$G:$G,Income!$H:$H, AB$2,Income!$F:$F, $V$1, Income!$B:$B, IF($W237&lt;&gt;"", TEXT($W237, "MMMM"), ""), Income!$C:$C, YEAR($W237))</f>
        <v>0</v>
      </c>
      <c r="AC237" s="469">
        <f>SUMIFS(Income!$G:$G,Income!$H:$H, AC$2,Income!$F:$F, $V$1, Income!$B:$B, IF($W237&lt;&gt;"", TEXT($W237, "MMMM"), ""), Income!$C:$C, YEAR($W237))</f>
        <v>0</v>
      </c>
      <c r="AD237" s="428"/>
      <c r="AE237" s="463">
        <v>50952.0</v>
      </c>
      <c r="AF237" s="469">
        <f>SUMIFS(Income!$G:$G,Income!$H:$H, AF$2,Income!$F:$F, $AD$1, Income!$B:$B, IF($AE237&lt;&gt;"", TEXT($AE237, "MMMM"), ""), Income!$C:$C, YEAR($AE237))</f>
        <v>0</v>
      </c>
      <c r="AG237" s="469">
        <f>SUMIFS(Income!$G:$G,Income!$H:$H, AG$2,Income!$F:$F, $AD$1, Income!$B:$B, IF($AE237&lt;&gt;"", TEXT($AE237, "MMMM"), ""), Income!$C:$C, YEAR($AE237))</f>
        <v>0</v>
      </c>
      <c r="AH237" s="469">
        <f>SUMIFS(Income!$G:$G,Income!$H:$H, AH$2,Income!$F:$F, $AD$1, Income!$B:$B, IF($AE237&lt;&gt;"", TEXT($AE237, "MMMM"), ""), Income!$C:$C, YEAR($AE237))</f>
        <v>0</v>
      </c>
      <c r="AI237" s="469">
        <f>SUMIFS(Income!$G:$G,Income!$H:$H, AI$2,Income!$F:$F, $AD$1, Income!$B:$B, IF($AE237&lt;&gt;"", TEXT($AE237, "MMMM"), ""), Income!$C:$C, YEAR($AE237))</f>
        <v>0</v>
      </c>
      <c r="AJ237" s="464">
        <f>SUMIFS(Income!$G:$G,Income!$H:$H, AJ$2,Income!$F:$F, $AD$1, Income!$B:$B, IF($AE237&lt;&gt;"", TEXT($AE237, "MMMM"), ""), Income!$C:$C, YEAR($AE237))</f>
        <v>0</v>
      </c>
      <c r="AK237" s="469">
        <f>SUMIFS(Income!$G:$G,Income!$H:$H, AK$2,Income!$F:$F, $AD$1, Income!$B:$B, IF($AE237&lt;&gt;"", TEXT($AE237, "MMMM"), ""), Income!$C:$C, YEAR($AE237))</f>
        <v>0</v>
      </c>
      <c r="AL237" s="428"/>
      <c r="AM237" s="463">
        <v>50952.0</v>
      </c>
      <c r="AN237" s="464">
        <f>SUMIFS(Income!$G:$G,Income!$H:$H, AN$2,Income!$F:$F, $AL$1, Income!$B:$B, IF($AM237&lt;&gt;"", TEXT($AM237, "MMMM"), ""), Income!$C:$C, YEAR($AM237))+SUMIFS($T:$T, $U:$U,AN$2,$Q:$Q,IF($AM237&lt;&gt;"", TEXT($AM237, "MMMM"), ""),$R:$R,YEAR($AM237))</f>
        <v>0</v>
      </c>
      <c r="AO237" s="464">
        <f>SUMIFS(Income!$G:$G,Income!$H:$H, AO$2,Income!$F:$F, $AL$1, Income!$B:$B, IF($AM237&lt;&gt;"", TEXT($AM237, "MMMM"), ""), Income!$C:$C, YEAR($AM237))+SUMIFS($T:$T, $U:$U,AO$2,$Q:$Q,IF($AM237&lt;&gt;"", TEXT($AM237, "MMMM"), ""),$R:$R,YEAR($AM237))</f>
        <v>0</v>
      </c>
      <c r="AP237" s="464">
        <f>SUMIFS(Income!$G:$G,Income!$H:$H, AP$2,Income!$F:$F, $AL$1, Income!$B:$B, IF($AM237&lt;&gt;"", TEXT($AM237, "MMMM"), ""), Income!$C:$C, YEAR($AM237))+SUMIFS($T:$T, $U:$U,AP$2,$Q:$Q,IF($AM237&lt;&gt;"", TEXT($AM237, "MMMM"), ""),$R:$R,YEAR($AM237))</f>
        <v>0</v>
      </c>
      <c r="AQ237" s="464">
        <f>SUMIFS(Income!$G:$G,Income!$H:$H, AQ$2,Income!$F:$F, $AL$1, Income!$B:$B, IF($AM237&lt;&gt;"", TEXT($AM237, "MMMM"), ""), Income!$C:$C, YEAR($AM237))+SUMIFS($T:$T, $U:$U,AQ$2,$Q:$Q,IF($AM237&lt;&gt;"", TEXT($AM237, "MMMM"), ""),$R:$R,YEAR($AM237))</f>
        <v>0</v>
      </c>
      <c r="AR237" s="464">
        <f>SUMIFS(Income!$G:$G,Income!$H:$H, AR$2,Income!$F:$F, $AL$1, Income!$B:$B, IF($AM237&lt;&gt;"", TEXT($AM237, "MMMM"), ""), Income!$C:$C, YEAR($AM237))+SUMIFS($T:$T, $U:$U,AR$2,$Q:$Q,IF($AM237&lt;&gt;"", TEXT($AM237, "MMMM"), ""),$R:$R,YEAR($AM237))</f>
        <v>0</v>
      </c>
      <c r="AS237" s="464">
        <f>SUMIFS(Income!$G:$G,Income!$H:$H, AS$2,Income!$F:$F, $AL$1, Income!$B:$B, IF($AM237&lt;&gt;"", TEXT($AM237, "MMMM"), ""), Income!$C:$C, YEAR($AM237))+SUMIFS($T:$T, $U:$U,AS$2,$Q:$Q,IF($AM237&lt;&gt;"", TEXT($AM237, "MMMM"), ""),$R:$R,YEAR($AM237))</f>
        <v>0</v>
      </c>
      <c r="AT237" s="428"/>
      <c r="AU237" s="463">
        <v>50952.0</v>
      </c>
      <c r="AV237" s="469">
        <f>SUMIFS(Income!$G:$G,Income!$H:$H, AV$2,Income!$F:$F, $AT$1, Income!$B:$B, IF($AU237&lt;&gt;"", TEXT($AU237, "MMMM"), ""), Income!$C:$C, YEAR($AU237))</f>
        <v>0</v>
      </c>
      <c r="AW237" s="469">
        <f>SUMIFS(Income!$G:$G,Income!$H:$H, AW$2,Income!$F:$F, $AT$1, Income!$B:$B, IF($AU237&lt;&gt;"", TEXT($AU237, "MMMM"), ""), Income!$C:$C, YEAR($AU237))</f>
        <v>0</v>
      </c>
      <c r="AX237" s="469">
        <f>SUMIFS(Income!$G:$G,Income!$H:$H, AX$2,Income!$F:$F, $AT$1, Income!$B:$B, IF($AU237&lt;&gt;"", TEXT($AU237, "MMMM"), ""), Income!$C:$C, YEAR($AU237))</f>
        <v>0</v>
      </c>
      <c r="AY237" s="469">
        <f>SUMIFS(Income!$G:$G,Income!$H:$H, AY$2,Income!$F:$F, $AT$1, Income!$B:$B, IF($AU237&lt;&gt;"", TEXT($AU237, "MMMM"), ""), Income!$C:$C, YEAR($AU237))</f>
        <v>0</v>
      </c>
      <c r="AZ237" s="464">
        <f>SUMIFS(Income!$G:$G,Income!$H:$H, AZ$2,Income!$F:$F, $AT$1, Income!$B:$B, IF($AU237&lt;&gt;"", TEXT($AU237, "MMMM"), ""), Income!$C:$C, YEAR($AU237))</f>
        <v>0</v>
      </c>
      <c r="BA237" s="471">
        <f>SUMIFS(Income!$G:$G,Income!$H:$H, BA$2,Income!$F:$F, $AT$1, Income!$B:$B, IF($AU237&lt;&gt;"", TEXT($AU237, "MMMM"), ""), Income!$C:$C, YEAR($AU237))</f>
        <v>0</v>
      </c>
    </row>
    <row r="238" ht="13.5" customHeight="1">
      <c r="A238" s="424">
        <f>'Membership Application List'!A467</f>
        <v>45695.01472</v>
      </c>
      <c r="B238" s="443" t="str">
        <f t="shared" si="6"/>
        <v>February</v>
      </c>
      <c r="C238" s="443">
        <f t="shared" si="7"/>
        <v>2025</v>
      </c>
      <c r="D238" s="426" t="str">
        <f>'Membership Application List'!E467</f>
        <v>Jordan Hardin</v>
      </c>
      <c r="E238" s="426">
        <f>IF('Membership Application List'!J467 = "Food/Litter Donation", 0, IF('Membership Application List'!J467 = "$15 Donation, Discord Verification", IF('Membership Application List'!N467 = TRUE, 15, 0)))</f>
        <v>0</v>
      </c>
      <c r="F238" s="426">
        <f>if('Membership Application List'!K467=TRUE, 5,0)</f>
        <v>0</v>
      </c>
      <c r="G238" s="426">
        <f t="shared" si="8"/>
        <v>0</v>
      </c>
      <c r="H238" s="427" t="str">
        <f>'Membership Application List'!L467</f>
        <v/>
      </c>
      <c r="I238" s="428"/>
      <c r="J238" s="463">
        <v>50983.0</v>
      </c>
      <c r="K238" s="464">
        <f t="shared" ref="K238:O238" si="196">SUMIFS($G:$G, $H:$H, K$2, $B:$B, IF($J238&lt;&gt;"", TEXT($J238, "MMMM"), ""), $C:$C, YEAR($J238))</f>
        <v>0</v>
      </c>
      <c r="L238" s="464">
        <f t="shared" si="196"/>
        <v>0</v>
      </c>
      <c r="M238" s="464">
        <f t="shared" si="196"/>
        <v>0</v>
      </c>
      <c r="N238" s="464">
        <f t="shared" si="196"/>
        <v>0</v>
      </c>
      <c r="O238" s="465">
        <f t="shared" si="196"/>
        <v>0</v>
      </c>
      <c r="P238" s="414"/>
      <c r="Q238" s="414"/>
      <c r="R238" s="414"/>
      <c r="S238" s="445"/>
      <c r="T238" s="445"/>
      <c r="U238" s="445"/>
      <c r="V238" s="428"/>
      <c r="W238" s="463">
        <v>50983.0</v>
      </c>
      <c r="X238" s="469">
        <f>SUMIFS(Income!$G:$G,Income!$H:$H, X$2,Income!$F:$F, $V$1, Income!$B:$B, IF($W238&lt;&gt;"", TEXT($W238, "MMMM"), ""), Income!$C:$C, YEAR($W238))</f>
        <v>0</v>
      </c>
      <c r="Y238" s="469">
        <f>SUMIFS(Income!$G:$G,Income!$H:$H, Y$2,Income!$F:$F, $V$1, Income!$B:$B, IF($W238&lt;&gt;"", TEXT($W238, "MMMM"), ""), Income!$C:$C, YEAR($W238))</f>
        <v>0</v>
      </c>
      <c r="Z238" s="469">
        <f>SUMIFS(Income!$G:$G,Income!$H:$H, Z$2,Income!$F:$F, $V$1, Income!$B:$B, IF($W238&lt;&gt;"", TEXT($W238, "MMMM"), ""), Income!$C:$C, YEAR($W238))</f>
        <v>0</v>
      </c>
      <c r="AA238" s="469">
        <f>SUMIFS(Income!$G:$G,Income!$H:$H, AA$2,Income!$F:$F, $V$1, Income!$B:$B, IF($W238&lt;&gt;"", TEXT($W238, "MMMM"), ""), Income!$C:$C, YEAR($W238))</f>
        <v>0</v>
      </c>
      <c r="AB238" s="464">
        <f>SUMIFS(Income!$G:$G,Income!$H:$H, AB$2,Income!$F:$F, $V$1, Income!$B:$B, IF($W238&lt;&gt;"", TEXT($W238, "MMMM"), ""), Income!$C:$C, YEAR($W238))</f>
        <v>0</v>
      </c>
      <c r="AC238" s="469">
        <f>SUMIFS(Income!$G:$G,Income!$H:$H, AC$2,Income!$F:$F, $V$1, Income!$B:$B, IF($W238&lt;&gt;"", TEXT($W238, "MMMM"), ""), Income!$C:$C, YEAR($W238))</f>
        <v>0</v>
      </c>
      <c r="AD238" s="428"/>
      <c r="AE238" s="463">
        <v>50983.0</v>
      </c>
      <c r="AF238" s="469">
        <f>SUMIFS(Income!$G:$G,Income!$H:$H, AF$2,Income!$F:$F, $AD$1, Income!$B:$B, IF($AE238&lt;&gt;"", TEXT($AE238, "MMMM"), ""), Income!$C:$C, YEAR($AE238))</f>
        <v>0</v>
      </c>
      <c r="AG238" s="469">
        <f>SUMIFS(Income!$G:$G,Income!$H:$H, AG$2,Income!$F:$F, $AD$1, Income!$B:$B, IF($AE238&lt;&gt;"", TEXT($AE238, "MMMM"), ""), Income!$C:$C, YEAR($AE238))</f>
        <v>0</v>
      </c>
      <c r="AH238" s="469">
        <f>SUMIFS(Income!$G:$G,Income!$H:$H, AH$2,Income!$F:$F, $AD$1, Income!$B:$B, IF($AE238&lt;&gt;"", TEXT($AE238, "MMMM"), ""), Income!$C:$C, YEAR($AE238))</f>
        <v>0</v>
      </c>
      <c r="AI238" s="469">
        <f>SUMIFS(Income!$G:$G,Income!$H:$H, AI$2,Income!$F:$F, $AD$1, Income!$B:$B, IF($AE238&lt;&gt;"", TEXT($AE238, "MMMM"), ""), Income!$C:$C, YEAR($AE238))</f>
        <v>0</v>
      </c>
      <c r="AJ238" s="464">
        <f>SUMIFS(Income!$G:$G,Income!$H:$H, AJ$2,Income!$F:$F, $AD$1, Income!$B:$B, IF($AE238&lt;&gt;"", TEXT($AE238, "MMMM"), ""), Income!$C:$C, YEAR($AE238))</f>
        <v>0</v>
      </c>
      <c r="AK238" s="469">
        <f>SUMIFS(Income!$G:$G,Income!$H:$H, AK$2,Income!$F:$F, $AD$1, Income!$B:$B, IF($AE238&lt;&gt;"", TEXT($AE238, "MMMM"), ""), Income!$C:$C, YEAR($AE238))</f>
        <v>0</v>
      </c>
      <c r="AL238" s="428"/>
      <c r="AM238" s="463">
        <v>50983.0</v>
      </c>
      <c r="AN238" s="464">
        <f>SUMIFS(Income!$G:$G,Income!$H:$H, AN$2,Income!$F:$F, $AL$1, Income!$B:$B, IF($AM238&lt;&gt;"", TEXT($AM238, "MMMM"), ""), Income!$C:$C, YEAR($AM238))+SUMIFS($T:$T, $U:$U,AN$2,$Q:$Q,IF($AM238&lt;&gt;"", TEXT($AM238, "MMMM"), ""),$R:$R,YEAR($AM238))</f>
        <v>0</v>
      </c>
      <c r="AO238" s="464">
        <f>SUMIFS(Income!$G:$G,Income!$H:$H, AO$2,Income!$F:$F, $AL$1, Income!$B:$B, IF($AM238&lt;&gt;"", TEXT($AM238, "MMMM"), ""), Income!$C:$C, YEAR($AM238))+SUMIFS($T:$T, $U:$U,AO$2,$Q:$Q,IF($AM238&lt;&gt;"", TEXT($AM238, "MMMM"), ""),$R:$R,YEAR($AM238))</f>
        <v>0</v>
      </c>
      <c r="AP238" s="464">
        <f>SUMIFS(Income!$G:$G,Income!$H:$H, AP$2,Income!$F:$F, $AL$1, Income!$B:$B, IF($AM238&lt;&gt;"", TEXT($AM238, "MMMM"), ""), Income!$C:$C, YEAR($AM238))+SUMIFS($T:$T, $U:$U,AP$2,$Q:$Q,IF($AM238&lt;&gt;"", TEXT($AM238, "MMMM"), ""),$R:$R,YEAR($AM238))</f>
        <v>0</v>
      </c>
      <c r="AQ238" s="464">
        <f>SUMIFS(Income!$G:$G,Income!$H:$H, AQ$2,Income!$F:$F, $AL$1, Income!$B:$B, IF($AM238&lt;&gt;"", TEXT($AM238, "MMMM"), ""), Income!$C:$C, YEAR($AM238))+SUMIFS($T:$T, $U:$U,AQ$2,$Q:$Q,IF($AM238&lt;&gt;"", TEXT($AM238, "MMMM"), ""),$R:$R,YEAR($AM238))</f>
        <v>0</v>
      </c>
      <c r="AR238" s="464">
        <f>SUMIFS(Income!$G:$G,Income!$H:$H, AR$2,Income!$F:$F, $AL$1, Income!$B:$B, IF($AM238&lt;&gt;"", TEXT($AM238, "MMMM"), ""), Income!$C:$C, YEAR($AM238))+SUMIFS($T:$T, $U:$U,AR$2,$Q:$Q,IF($AM238&lt;&gt;"", TEXT($AM238, "MMMM"), ""),$R:$R,YEAR($AM238))</f>
        <v>0</v>
      </c>
      <c r="AS238" s="464">
        <f>SUMIFS(Income!$G:$G,Income!$H:$H, AS$2,Income!$F:$F, $AL$1, Income!$B:$B, IF($AM238&lt;&gt;"", TEXT($AM238, "MMMM"), ""), Income!$C:$C, YEAR($AM238))+SUMIFS($T:$T, $U:$U,AS$2,$Q:$Q,IF($AM238&lt;&gt;"", TEXT($AM238, "MMMM"), ""),$R:$R,YEAR($AM238))</f>
        <v>0</v>
      </c>
      <c r="AT238" s="428"/>
      <c r="AU238" s="463">
        <v>50983.0</v>
      </c>
      <c r="AV238" s="469">
        <f>SUMIFS(Income!$G:$G,Income!$H:$H, AV$2,Income!$F:$F, $AT$1, Income!$B:$B, IF($AU238&lt;&gt;"", TEXT($AU238, "MMMM"), ""), Income!$C:$C, YEAR($AU238))</f>
        <v>0</v>
      </c>
      <c r="AW238" s="469">
        <f>SUMIFS(Income!$G:$G,Income!$H:$H, AW$2,Income!$F:$F, $AT$1, Income!$B:$B, IF($AU238&lt;&gt;"", TEXT($AU238, "MMMM"), ""), Income!$C:$C, YEAR($AU238))</f>
        <v>0</v>
      </c>
      <c r="AX238" s="469">
        <f>SUMIFS(Income!$G:$G,Income!$H:$H, AX$2,Income!$F:$F, $AT$1, Income!$B:$B, IF($AU238&lt;&gt;"", TEXT($AU238, "MMMM"), ""), Income!$C:$C, YEAR($AU238))</f>
        <v>0</v>
      </c>
      <c r="AY238" s="469">
        <f>SUMIFS(Income!$G:$G,Income!$H:$H, AY$2,Income!$F:$F, $AT$1, Income!$B:$B, IF($AU238&lt;&gt;"", TEXT($AU238, "MMMM"), ""), Income!$C:$C, YEAR($AU238))</f>
        <v>0</v>
      </c>
      <c r="AZ238" s="464">
        <f>SUMIFS(Income!$G:$G,Income!$H:$H, AZ$2,Income!$F:$F, $AT$1, Income!$B:$B, IF($AU238&lt;&gt;"", TEXT($AU238, "MMMM"), ""), Income!$C:$C, YEAR($AU238))</f>
        <v>0</v>
      </c>
      <c r="BA238" s="471">
        <f>SUMIFS(Income!$G:$G,Income!$H:$H, BA$2,Income!$F:$F, $AT$1, Income!$B:$B, IF($AU238&lt;&gt;"", TEXT($AU238, "MMMM"), ""), Income!$C:$C, YEAR($AU238))</f>
        <v>0</v>
      </c>
    </row>
    <row r="239" ht="13.5" customHeight="1">
      <c r="A239" s="436">
        <f>'Membership Application List'!A468</f>
        <v>45695.44986</v>
      </c>
      <c r="B239" s="437" t="str">
        <f t="shared" si="6"/>
        <v>February</v>
      </c>
      <c r="C239" s="437">
        <f t="shared" si="7"/>
        <v>2025</v>
      </c>
      <c r="D239" s="438" t="str">
        <f>'Membership Application List'!E468</f>
        <v>Andres Morales</v>
      </c>
      <c r="E239" s="438">
        <f>IF('Membership Application List'!J468 = "Food/Litter Donation", 0, IF('Membership Application List'!J468 = "$15 Donation, Discord Verification", IF('Membership Application List'!N468 = TRUE, 15, 0)))</f>
        <v>0</v>
      </c>
      <c r="F239" s="438">
        <f>if('Membership Application List'!K468=TRUE, 5,0)</f>
        <v>0</v>
      </c>
      <c r="G239" s="438">
        <f t="shared" si="8"/>
        <v>0</v>
      </c>
      <c r="H239" s="439" t="str">
        <f>'Membership Application List'!L468</f>
        <v/>
      </c>
      <c r="I239" s="428"/>
      <c r="J239" s="463">
        <v>51014.0</v>
      </c>
      <c r="K239" s="464">
        <f t="shared" ref="K239:O239" si="197">SUMIFS($G:$G, $H:$H, K$2, $B:$B, IF($J239&lt;&gt;"", TEXT($J239, "MMMM"), ""), $C:$C, YEAR($J239))</f>
        <v>0</v>
      </c>
      <c r="L239" s="464">
        <f t="shared" si="197"/>
        <v>0</v>
      </c>
      <c r="M239" s="464">
        <f t="shared" si="197"/>
        <v>0</v>
      </c>
      <c r="N239" s="464">
        <f t="shared" si="197"/>
        <v>0</v>
      </c>
      <c r="O239" s="465">
        <f t="shared" si="197"/>
        <v>0</v>
      </c>
      <c r="P239" s="414"/>
      <c r="Q239" s="414"/>
      <c r="R239" s="414"/>
      <c r="S239" s="445"/>
      <c r="T239" s="445"/>
      <c r="U239" s="445"/>
      <c r="V239" s="428"/>
      <c r="W239" s="463">
        <v>51014.0</v>
      </c>
      <c r="X239" s="469">
        <f>SUMIFS(Income!$G:$G,Income!$H:$H, X$2,Income!$F:$F, $V$1, Income!$B:$B, IF($W239&lt;&gt;"", TEXT($W239, "MMMM"), ""), Income!$C:$C, YEAR($W239))</f>
        <v>0</v>
      </c>
      <c r="Y239" s="469">
        <f>SUMIFS(Income!$G:$G,Income!$H:$H, Y$2,Income!$F:$F, $V$1, Income!$B:$B, IF($W239&lt;&gt;"", TEXT($W239, "MMMM"), ""), Income!$C:$C, YEAR($W239))</f>
        <v>0</v>
      </c>
      <c r="Z239" s="469">
        <f>SUMIFS(Income!$G:$G,Income!$H:$H, Z$2,Income!$F:$F, $V$1, Income!$B:$B, IF($W239&lt;&gt;"", TEXT($W239, "MMMM"), ""), Income!$C:$C, YEAR($W239))</f>
        <v>0</v>
      </c>
      <c r="AA239" s="469">
        <f>SUMIFS(Income!$G:$G,Income!$H:$H, AA$2,Income!$F:$F, $V$1, Income!$B:$B, IF($W239&lt;&gt;"", TEXT($W239, "MMMM"), ""), Income!$C:$C, YEAR($W239))</f>
        <v>0</v>
      </c>
      <c r="AB239" s="464">
        <f>SUMIFS(Income!$G:$G,Income!$H:$H, AB$2,Income!$F:$F, $V$1, Income!$B:$B, IF($W239&lt;&gt;"", TEXT($W239, "MMMM"), ""), Income!$C:$C, YEAR($W239))</f>
        <v>0</v>
      </c>
      <c r="AC239" s="469">
        <f>SUMIFS(Income!$G:$G,Income!$H:$H, AC$2,Income!$F:$F, $V$1, Income!$B:$B, IF($W239&lt;&gt;"", TEXT($W239, "MMMM"), ""), Income!$C:$C, YEAR($W239))</f>
        <v>0</v>
      </c>
      <c r="AD239" s="428"/>
      <c r="AE239" s="463">
        <v>51014.0</v>
      </c>
      <c r="AF239" s="469">
        <f>SUMIFS(Income!$G:$G,Income!$H:$H, AF$2,Income!$F:$F, $AD$1, Income!$B:$B, IF($AE239&lt;&gt;"", TEXT($AE239, "MMMM"), ""), Income!$C:$C, YEAR($AE239))</f>
        <v>0</v>
      </c>
      <c r="AG239" s="469">
        <f>SUMIFS(Income!$G:$G,Income!$H:$H, AG$2,Income!$F:$F, $AD$1, Income!$B:$B, IF($AE239&lt;&gt;"", TEXT($AE239, "MMMM"), ""), Income!$C:$C, YEAR($AE239))</f>
        <v>0</v>
      </c>
      <c r="AH239" s="469">
        <f>SUMIFS(Income!$G:$G,Income!$H:$H, AH$2,Income!$F:$F, $AD$1, Income!$B:$B, IF($AE239&lt;&gt;"", TEXT($AE239, "MMMM"), ""), Income!$C:$C, YEAR($AE239))</f>
        <v>0</v>
      </c>
      <c r="AI239" s="469">
        <f>SUMIFS(Income!$G:$G,Income!$H:$H, AI$2,Income!$F:$F, $AD$1, Income!$B:$B, IF($AE239&lt;&gt;"", TEXT($AE239, "MMMM"), ""), Income!$C:$C, YEAR($AE239))</f>
        <v>0</v>
      </c>
      <c r="AJ239" s="464">
        <f>SUMIFS(Income!$G:$G,Income!$H:$H, AJ$2,Income!$F:$F, $AD$1, Income!$B:$B, IF($AE239&lt;&gt;"", TEXT($AE239, "MMMM"), ""), Income!$C:$C, YEAR($AE239))</f>
        <v>0</v>
      </c>
      <c r="AK239" s="469">
        <f>SUMIFS(Income!$G:$G,Income!$H:$H, AK$2,Income!$F:$F, $AD$1, Income!$B:$B, IF($AE239&lt;&gt;"", TEXT($AE239, "MMMM"), ""), Income!$C:$C, YEAR($AE239))</f>
        <v>0</v>
      </c>
      <c r="AL239" s="428"/>
      <c r="AM239" s="463">
        <v>51014.0</v>
      </c>
      <c r="AN239" s="464">
        <f>SUMIFS(Income!$G:$G,Income!$H:$H, AN$2,Income!$F:$F, $AL$1, Income!$B:$B, IF($AM239&lt;&gt;"", TEXT($AM239, "MMMM"), ""), Income!$C:$C, YEAR($AM239))+SUMIFS($T:$T, $U:$U,AN$2,$Q:$Q,IF($AM239&lt;&gt;"", TEXT($AM239, "MMMM"), ""),$R:$R,YEAR($AM239))</f>
        <v>0</v>
      </c>
      <c r="AO239" s="464">
        <f>SUMIFS(Income!$G:$G,Income!$H:$H, AO$2,Income!$F:$F, $AL$1, Income!$B:$B, IF($AM239&lt;&gt;"", TEXT($AM239, "MMMM"), ""), Income!$C:$C, YEAR($AM239))+SUMIFS($T:$T, $U:$U,AO$2,$Q:$Q,IF($AM239&lt;&gt;"", TEXT($AM239, "MMMM"), ""),$R:$R,YEAR($AM239))</f>
        <v>0</v>
      </c>
      <c r="AP239" s="464">
        <f>SUMIFS(Income!$G:$G,Income!$H:$H, AP$2,Income!$F:$F, $AL$1, Income!$B:$B, IF($AM239&lt;&gt;"", TEXT($AM239, "MMMM"), ""), Income!$C:$C, YEAR($AM239))+SUMIFS($T:$T, $U:$U,AP$2,$Q:$Q,IF($AM239&lt;&gt;"", TEXT($AM239, "MMMM"), ""),$R:$R,YEAR($AM239))</f>
        <v>0</v>
      </c>
      <c r="AQ239" s="464">
        <f>SUMIFS(Income!$G:$G,Income!$H:$H, AQ$2,Income!$F:$F, $AL$1, Income!$B:$B, IF($AM239&lt;&gt;"", TEXT($AM239, "MMMM"), ""), Income!$C:$C, YEAR($AM239))+SUMIFS($T:$T, $U:$U,AQ$2,$Q:$Q,IF($AM239&lt;&gt;"", TEXT($AM239, "MMMM"), ""),$R:$R,YEAR($AM239))</f>
        <v>0</v>
      </c>
      <c r="AR239" s="464">
        <f>SUMIFS(Income!$G:$G,Income!$H:$H, AR$2,Income!$F:$F, $AL$1, Income!$B:$B, IF($AM239&lt;&gt;"", TEXT($AM239, "MMMM"), ""), Income!$C:$C, YEAR($AM239))+SUMIFS($T:$T, $U:$U,AR$2,$Q:$Q,IF($AM239&lt;&gt;"", TEXT($AM239, "MMMM"), ""),$R:$R,YEAR($AM239))</f>
        <v>0</v>
      </c>
      <c r="AS239" s="464">
        <f>SUMIFS(Income!$G:$G,Income!$H:$H, AS$2,Income!$F:$F, $AL$1, Income!$B:$B, IF($AM239&lt;&gt;"", TEXT($AM239, "MMMM"), ""), Income!$C:$C, YEAR($AM239))+SUMIFS($T:$T, $U:$U,AS$2,$Q:$Q,IF($AM239&lt;&gt;"", TEXT($AM239, "MMMM"), ""),$R:$R,YEAR($AM239))</f>
        <v>0</v>
      </c>
      <c r="AT239" s="428"/>
      <c r="AU239" s="463">
        <v>51014.0</v>
      </c>
      <c r="AV239" s="469">
        <f>SUMIFS(Income!$G:$G,Income!$H:$H, AV$2,Income!$F:$F, $AT$1, Income!$B:$B, IF($AU239&lt;&gt;"", TEXT($AU239, "MMMM"), ""), Income!$C:$C, YEAR($AU239))</f>
        <v>0</v>
      </c>
      <c r="AW239" s="469">
        <f>SUMIFS(Income!$G:$G,Income!$H:$H, AW$2,Income!$F:$F, $AT$1, Income!$B:$B, IF($AU239&lt;&gt;"", TEXT($AU239, "MMMM"), ""), Income!$C:$C, YEAR($AU239))</f>
        <v>0</v>
      </c>
      <c r="AX239" s="469">
        <f>SUMIFS(Income!$G:$G,Income!$H:$H, AX$2,Income!$F:$F, $AT$1, Income!$B:$B, IF($AU239&lt;&gt;"", TEXT($AU239, "MMMM"), ""), Income!$C:$C, YEAR($AU239))</f>
        <v>0</v>
      </c>
      <c r="AY239" s="469">
        <f>SUMIFS(Income!$G:$G,Income!$H:$H, AY$2,Income!$F:$F, $AT$1, Income!$B:$B, IF($AU239&lt;&gt;"", TEXT($AU239, "MMMM"), ""), Income!$C:$C, YEAR($AU239))</f>
        <v>0</v>
      </c>
      <c r="AZ239" s="464">
        <f>SUMIFS(Income!$G:$G,Income!$H:$H, AZ$2,Income!$F:$F, $AT$1, Income!$B:$B, IF($AU239&lt;&gt;"", TEXT($AU239, "MMMM"), ""), Income!$C:$C, YEAR($AU239))</f>
        <v>0</v>
      </c>
      <c r="BA239" s="471">
        <f>SUMIFS(Income!$G:$G,Income!$H:$H, BA$2,Income!$F:$F, $AT$1, Income!$B:$B, IF($AU239&lt;&gt;"", TEXT($AU239, "MMMM"), ""), Income!$C:$C, YEAR($AU239))</f>
        <v>0</v>
      </c>
    </row>
    <row r="240" ht="13.5" customHeight="1">
      <c r="A240" s="424">
        <f>'Membership Application List'!A469</f>
        <v>45695.48172</v>
      </c>
      <c r="B240" s="443" t="str">
        <f t="shared" si="6"/>
        <v>February</v>
      </c>
      <c r="C240" s="443">
        <f t="shared" si="7"/>
        <v>2025</v>
      </c>
      <c r="D240" s="426" t="str">
        <f>'Membership Application List'!E469</f>
        <v>Richard DiGiovanni</v>
      </c>
      <c r="E240" s="426">
        <f>IF('Membership Application List'!J469 = "Food/Litter Donation", 0, IF('Membership Application List'!J469 = "$15 Donation, Discord Verification", IF('Membership Application List'!N469 = TRUE, 15, 0)))</f>
        <v>15</v>
      </c>
      <c r="F240" s="426">
        <f>if('Membership Application List'!K469=TRUE, 5,0)</f>
        <v>0</v>
      </c>
      <c r="G240" s="426">
        <f t="shared" si="8"/>
        <v>15</v>
      </c>
      <c r="H240" s="427" t="str">
        <f>'Membership Application List'!L469</f>
        <v>Venmo</v>
      </c>
      <c r="I240" s="428"/>
      <c r="J240" s="463">
        <v>51044.0</v>
      </c>
      <c r="K240" s="464">
        <f t="shared" ref="K240:O240" si="198">SUMIFS($G:$G, $H:$H, K$2, $B:$B, IF($J240&lt;&gt;"", TEXT($J240, "MMMM"), ""), $C:$C, YEAR($J240))</f>
        <v>0</v>
      </c>
      <c r="L240" s="464">
        <f t="shared" si="198"/>
        <v>0</v>
      </c>
      <c r="M240" s="464">
        <f t="shared" si="198"/>
        <v>0</v>
      </c>
      <c r="N240" s="464">
        <f t="shared" si="198"/>
        <v>0</v>
      </c>
      <c r="O240" s="465">
        <f t="shared" si="198"/>
        <v>0</v>
      </c>
      <c r="P240" s="414"/>
      <c r="Q240" s="414"/>
      <c r="R240" s="414"/>
      <c r="S240" s="445"/>
      <c r="T240" s="445"/>
      <c r="U240" s="445"/>
      <c r="V240" s="428"/>
      <c r="W240" s="463">
        <v>51044.0</v>
      </c>
      <c r="X240" s="469">
        <f>SUMIFS(Income!$G:$G,Income!$H:$H, X$2,Income!$F:$F, $V$1, Income!$B:$B, IF($W240&lt;&gt;"", TEXT($W240, "MMMM"), ""), Income!$C:$C, YEAR($W240))</f>
        <v>0</v>
      </c>
      <c r="Y240" s="469">
        <f>SUMIFS(Income!$G:$G,Income!$H:$H, Y$2,Income!$F:$F, $V$1, Income!$B:$B, IF($W240&lt;&gt;"", TEXT($W240, "MMMM"), ""), Income!$C:$C, YEAR($W240))</f>
        <v>0</v>
      </c>
      <c r="Z240" s="469">
        <f>SUMIFS(Income!$G:$G,Income!$H:$H, Z$2,Income!$F:$F, $V$1, Income!$B:$B, IF($W240&lt;&gt;"", TEXT($W240, "MMMM"), ""), Income!$C:$C, YEAR($W240))</f>
        <v>0</v>
      </c>
      <c r="AA240" s="469">
        <f>SUMIFS(Income!$G:$G,Income!$H:$H, AA$2,Income!$F:$F, $V$1, Income!$B:$B, IF($W240&lt;&gt;"", TEXT($W240, "MMMM"), ""), Income!$C:$C, YEAR($W240))</f>
        <v>0</v>
      </c>
      <c r="AB240" s="464">
        <f>SUMIFS(Income!$G:$G,Income!$H:$H, AB$2,Income!$F:$F, $V$1, Income!$B:$B, IF($W240&lt;&gt;"", TEXT($W240, "MMMM"), ""), Income!$C:$C, YEAR($W240))</f>
        <v>0</v>
      </c>
      <c r="AC240" s="469">
        <f>SUMIFS(Income!$G:$G,Income!$H:$H, AC$2,Income!$F:$F, $V$1, Income!$B:$B, IF($W240&lt;&gt;"", TEXT($W240, "MMMM"), ""), Income!$C:$C, YEAR($W240))</f>
        <v>0</v>
      </c>
      <c r="AD240" s="428"/>
      <c r="AE240" s="463">
        <v>51044.0</v>
      </c>
      <c r="AF240" s="469">
        <f>SUMIFS(Income!$G:$G,Income!$H:$H, AF$2,Income!$F:$F, $AD$1, Income!$B:$B, IF($AE240&lt;&gt;"", TEXT($AE240, "MMMM"), ""), Income!$C:$C, YEAR($AE240))</f>
        <v>0</v>
      </c>
      <c r="AG240" s="469">
        <f>SUMIFS(Income!$G:$G,Income!$H:$H, AG$2,Income!$F:$F, $AD$1, Income!$B:$B, IF($AE240&lt;&gt;"", TEXT($AE240, "MMMM"), ""), Income!$C:$C, YEAR($AE240))</f>
        <v>0</v>
      </c>
      <c r="AH240" s="469">
        <f>SUMIFS(Income!$G:$G,Income!$H:$H, AH$2,Income!$F:$F, $AD$1, Income!$B:$B, IF($AE240&lt;&gt;"", TEXT($AE240, "MMMM"), ""), Income!$C:$C, YEAR($AE240))</f>
        <v>0</v>
      </c>
      <c r="AI240" s="469">
        <f>SUMIFS(Income!$G:$G,Income!$H:$H, AI$2,Income!$F:$F, $AD$1, Income!$B:$B, IF($AE240&lt;&gt;"", TEXT($AE240, "MMMM"), ""), Income!$C:$C, YEAR($AE240))</f>
        <v>0</v>
      </c>
      <c r="AJ240" s="464">
        <f>SUMIFS(Income!$G:$G,Income!$H:$H, AJ$2,Income!$F:$F, $AD$1, Income!$B:$B, IF($AE240&lt;&gt;"", TEXT($AE240, "MMMM"), ""), Income!$C:$C, YEAR($AE240))</f>
        <v>0</v>
      </c>
      <c r="AK240" s="469">
        <f>SUMIFS(Income!$G:$G,Income!$H:$H, AK$2,Income!$F:$F, $AD$1, Income!$B:$B, IF($AE240&lt;&gt;"", TEXT($AE240, "MMMM"), ""), Income!$C:$C, YEAR($AE240))</f>
        <v>0</v>
      </c>
      <c r="AL240" s="428"/>
      <c r="AM240" s="463">
        <v>51044.0</v>
      </c>
      <c r="AN240" s="464">
        <f>SUMIFS(Income!$G:$G,Income!$H:$H, AN$2,Income!$F:$F, $AL$1, Income!$B:$B, IF($AM240&lt;&gt;"", TEXT($AM240, "MMMM"), ""), Income!$C:$C, YEAR($AM240))+SUMIFS($T:$T, $U:$U,AN$2,$Q:$Q,IF($AM240&lt;&gt;"", TEXT($AM240, "MMMM"), ""),$R:$R,YEAR($AM240))</f>
        <v>0</v>
      </c>
      <c r="AO240" s="464">
        <f>SUMIFS(Income!$G:$G,Income!$H:$H, AO$2,Income!$F:$F, $AL$1, Income!$B:$B, IF($AM240&lt;&gt;"", TEXT($AM240, "MMMM"), ""), Income!$C:$C, YEAR($AM240))+SUMIFS($T:$T, $U:$U,AO$2,$Q:$Q,IF($AM240&lt;&gt;"", TEXT($AM240, "MMMM"), ""),$R:$R,YEAR($AM240))</f>
        <v>0</v>
      </c>
      <c r="AP240" s="464">
        <f>SUMIFS(Income!$G:$G,Income!$H:$H, AP$2,Income!$F:$F, $AL$1, Income!$B:$B, IF($AM240&lt;&gt;"", TEXT($AM240, "MMMM"), ""), Income!$C:$C, YEAR($AM240))+SUMIFS($T:$T, $U:$U,AP$2,$Q:$Q,IF($AM240&lt;&gt;"", TEXT($AM240, "MMMM"), ""),$R:$R,YEAR($AM240))</f>
        <v>0</v>
      </c>
      <c r="AQ240" s="464">
        <f>SUMIFS(Income!$G:$G,Income!$H:$H, AQ$2,Income!$F:$F, $AL$1, Income!$B:$B, IF($AM240&lt;&gt;"", TEXT($AM240, "MMMM"), ""), Income!$C:$C, YEAR($AM240))+SUMIFS($T:$T, $U:$U,AQ$2,$Q:$Q,IF($AM240&lt;&gt;"", TEXT($AM240, "MMMM"), ""),$R:$R,YEAR($AM240))</f>
        <v>0</v>
      </c>
      <c r="AR240" s="464">
        <f>SUMIFS(Income!$G:$G,Income!$H:$H, AR$2,Income!$F:$F, $AL$1, Income!$B:$B, IF($AM240&lt;&gt;"", TEXT($AM240, "MMMM"), ""), Income!$C:$C, YEAR($AM240))+SUMIFS($T:$T, $U:$U,AR$2,$Q:$Q,IF($AM240&lt;&gt;"", TEXT($AM240, "MMMM"), ""),$R:$R,YEAR($AM240))</f>
        <v>0</v>
      </c>
      <c r="AS240" s="464">
        <f>SUMIFS(Income!$G:$G,Income!$H:$H, AS$2,Income!$F:$F, $AL$1, Income!$B:$B, IF($AM240&lt;&gt;"", TEXT($AM240, "MMMM"), ""), Income!$C:$C, YEAR($AM240))+SUMIFS($T:$T, $U:$U,AS$2,$Q:$Q,IF($AM240&lt;&gt;"", TEXT($AM240, "MMMM"), ""),$R:$R,YEAR($AM240))</f>
        <v>0</v>
      </c>
      <c r="AT240" s="428"/>
      <c r="AU240" s="463">
        <v>51044.0</v>
      </c>
      <c r="AV240" s="469">
        <f>SUMIFS(Income!$G:$G,Income!$H:$H, AV$2,Income!$F:$F, $AT$1, Income!$B:$B, IF($AU240&lt;&gt;"", TEXT($AU240, "MMMM"), ""), Income!$C:$C, YEAR($AU240))</f>
        <v>0</v>
      </c>
      <c r="AW240" s="469">
        <f>SUMIFS(Income!$G:$G,Income!$H:$H, AW$2,Income!$F:$F, $AT$1, Income!$B:$B, IF($AU240&lt;&gt;"", TEXT($AU240, "MMMM"), ""), Income!$C:$C, YEAR($AU240))</f>
        <v>0</v>
      </c>
      <c r="AX240" s="469">
        <f>SUMIFS(Income!$G:$G,Income!$H:$H, AX$2,Income!$F:$F, $AT$1, Income!$B:$B, IF($AU240&lt;&gt;"", TEXT($AU240, "MMMM"), ""), Income!$C:$C, YEAR($AU240))</f>
        <v>0</v>
      </c>
      <c r="AY240" s="469">
        <f>SUMIFS(Income!$G:$G,Income!$H:$H, AY$2,Income!$F:$F, $AT$1, Income!$B:$B, IF($AU240&lt;&gt;"", TEXT($AU240, "MMMM"), ""), Income!$C:$C, YEAR($AU240))</f>
        <v>0</v>
      </c>
      <c r="AZ240" s="464">
        <f>SUMIFS(Income!$G:$G,Income!$H:$H, AZ$2,Income!$F:$F, $AT$1, Income!$B:$B, IF($AU240&lt;&gt;"", TEXT($AU240, "MMMM"), ""), Income!$C:$C, YEAR($AU240))</f>
        <v>0</v>
      </c>
      <c r="BA240" s="471">
        <f>SUMIFS(Income!$G:$G,Income!$H:$H, BA$2,Income!$F:$F, $AT$1, Income!$B:$B, IF($AU240&lt;&gt;"", TEXT($AU240, "MMMM"), ""), Income!$C:$C, YEAR($AU240))</f>
        <v>0</v>
      </c>
    </row>
    <row r="241" ht="13.5" customHeight="1">
      <c r="A241" s="436">
        <f>'Membership Application List'!A470</f>
        <v>45695.48563</v>
      </c>
      <c r="B241" s="437" t="str">
        <f t="shared" si="6"/>
        <v>February</v>
      </c>
      <c r="C241" s="437">
        <f t="shared" si="7"/>
        <v>2025</v>
      </c>
      <c r="D241" s="438" t="str">
        <f>'Membership Application List'!E470</f>
        <v>Effua Jordan</v>
      </c>
      <c r="E241" s="438">
        <f>IF('Membership Application List'!J470 = "Food/Litter Donation", 0, IF('Membership Application List'!J470 = "$15 Donation, Discord Verification", IF('Membership Application List'!N470 = TRUE, 15, 0)))</f>
        <v>15</v>
      </c>
      <c r="F241" s="438">
        <f>if('Membership Application List'!K470=TRUE, 5,0)</f>
        <v>0</v>
      </c>
      <c r="G241" s="438">
        <f t="shared" si="8"/>
        <v>15</v>
      </c>
      <c r="H241" s="439" t="str">
        <f>'Membership Application List'!L470</f>
        <v>Venmo</v>
      </c>
      <c r="I241" s="428"/>
      <c r="J241" s="463">
        <v>51075.0</v>
      </c>
      <c r="K241" s="464">
        <f t="shared" ref="K241:O241" si="199">SUMIFS($G:$G, $H:$H, K$2, $B:$B, IF($J241&lt;&gt;"", TEXT($J241, "MMMM"), ""), $C:$C, YEAR($J241))</f>
        <v>0</v>
      </c>
      <c r="L241" s="464">
        <f t="shared" si="199"/>
        <v>0</v>
      </c>
      <c r="M241" s="464">
        <f t="shared" si="199"/>
        <v>0</v>
      </c>
      <c r="N241" s="464">
        <f t="shared" si="199"/>
        <v>0</v>
      </c>
      <c r="O241" s="465">
        <f t="shared" si="199"/>
        <v>0</v>
      </c>
      <c r="P241" s="414"/>
      <c r="Q241" s="414"/>
      <c r="R241" s="414"/>
      <c r="S241" s="445"/>
      <c r="T241" s="445"/>
      <c r="U241" s="445"/>
      <c r="V241" s="428"/>
      <c r="W241" s="463">
        <v>51075.0</v>
      </c>
      <c r="X241" s="469">
        <f>SUMIFS(Income!$G:$G,Income!$H:$H, X$2,Income!$F:$F, $V$1, Income!$B:$B, IF($W241&lt;&gt;"", TEXT($W241, "MMMM"), ""), Income!$C:$C, YEAR($W241))</f>
        <v>0</v>
      </c>
      <c r="Y241" s="469">
        <f>SUMIFS(Income!$G:$G,Income!$H:$H, Y$2,Income!$F:$F, $V$1, Income!$B:$B, IF($W241&lt;&gt;"", TEXT($W241, "MMMM"), ""), Income!$C:$C, YEAR($W241))</f>
        <v>0</v>
      </c>
      <c r="Z241" s="469">
        <f>SUMIFS(Income!$G:$G,Income!$H:$H, Z$2,Income!$F:$F, $V$1, Income!$B:$B, IF($W241&lt;&gt;"", TEXT($W241, "MMMM"), ""), Income!$C:$C, YEAR($W241))</f>
        <v>0</v>
      </c>
      <c r="AA241" s="469">
        <f>SUMIFS(Income!$G:$G,Income!$H:$H, AA$2,Income!$F:$F, $V$1, Income!$B:$B, IF($W241&lt;&gt;"", TEXT($W241, "MMMM"), ""), Income!$C:$C, YEAR($W241))</f>
        <v>0</v>
      </c>
      <c r="AB241" s="464">
        <f>SUMIFS(Income!$G:$G,Income!$H:$H, AB$2,Income!$F:$F, $V$1, Income!$B:$B, IF($W241&lt;&gt;"", TEXT($W241, "MMMM"), ""), Income!$C:$C, YEAR($W241))</f>
        <v>0</v>
      </c>
      <c r="AC241" s="469">
        <f>SUMIFS(Income!$G:$G,Income!$H:$H, AC$2,Income!$F:$F, $V$1, Income!$B:$B, IF($W241&lt;&gt;"", TEXT($W241, "MMMM"), ""), Income!$C:$C, YEAR($W241))</f>
        <v>0</v>
      </c>
      <c r="AD241" s="428"/>
      <c r="AE241" s="463">
        <v>51075.0</v>
      </c>
      <c r="AF241" s="469">
        <f>SUMIFS(Income!$G:$G,Income!$H:$H, AF$2,Income!$F:$F, $AD$1, Income!$B:$B, IF($AE241&lt;&gt;"", TEXT($AE241, "MMMM"), ""), Income!$C:$C, YEAR($AE241))</f>
        <v>0</v>
      </c>
      <c r="AG241" s="469">
        <f>SUMIFS(Income!$G:$G,Income!$H:$H, AG$2,Income!$F:$F, $AD$1, Income!$B:$B, IF($AE241&lt;&gt;"", TEXT($AE241, "MMMM"), ""), Income!$C:$C, YEAR($AE241))</f>
        <v>0</v>
      </c>
      <c r="AH241" s="469">
        <f>SUMIFS(Income!$G:$G,Income!$H:$H, AH$2,Income!$F:$F, $AD$1, Income!$B:$B, IF($AE241&lt;&gt;"", TEXT($AE241, "MMMM"), ""), Income!$C:$C, YEAR($AE241))</f>
        <v>0</v>
      </c>
      <c r="AI241" s="469">
        <f>SUMIFS(Income!$G:$G,Income!$H:$H, AI$2,Income!$F:$F, $AD$1, Income!$B:$B, IF($AE241&lt;&gt;"", TEXT($AE241, "MMMM"), ""), Income!$C:$C, YEAR($AE241))</f>
        <v>0</v>
      </c>
      <c r="AJ241" s="464">
        <f>SUMIFS(Income!$G:$G,Income!$H:$H, AJ$2,Income!$F:$F, $AD$1, Income!$B:$B, IF($AE241&lt;&gt;"", TEXT($AE241, "MMMM"), ""), Income!$C:$C, YEAR($AE241))</f>
        <v>0</v>
      </c>
      <c r="AK241" s="469">
        <f>SUMIFS(Income!$G:$G,Income!$H:$H, AK$2,Income!$F:$F, $AD$1, Income!$B:$B, IF($AE241&lt;&gt;"", TEXT($AE241, "MMMM"), ""), Income!$C:$C, YEAR($AE241))</f>
        <v>0</v>
      </c>
      <c r="AL241" s="428"/>
      <c r="AM241" s="463">
        <v>51075.0</v>
      </c>
      <c r="AN241" s="464">
        <f>SUMIFS(Income!$G:$G,Income!$H:$H, AN$2,Income!$F:$F, $AL$1, Income!$B:$B, IF($AM241&lt;&gt;"", TEXT($AM241, "MMMM"), ""), Income!$C:$C, YEAR($AM241))+SUMIFS($T:$T, $U:$U,AN$2,$Q:$Q,IF($AM241&lt;&gt;"", TEXT($AM241, "MMMM"), ""),$R:$R,YEAR($AM241))</f>
        <v>0</v>
      </c>
      <c r="AO241" s="464">
        <f>SUMIFS(Income!$G:$G,Income!$H:$H, AO$2,Income!$F:$F, $AL$1, Income!$B:$B, IF($AM241&lt;&gt;"", TEXT($AM241, "MMMM"), ""), Income!$C:$C, YEAR($AM241))+SUMIFS($T:$T, $U:$U,AO$2,$Q:$Q,IF($AM241&lt;&gt;"", TEXT($AM241, "MMMM"), ""),$R:$R,YEAR($AM241))</f>
        <v>0</v>
      </c>
      <c r="AP241" s="464">
        <f>SUMIFS(Income!$G:$G,Income!$H:$H, AP$2,Income!$F:$F, $AL$1, Income!$B:$B, IF($AM241&lt;&gt;"", TEXT($AM241, "MMMM"), ""), Income!$C:$C, YEAR($AM241))+SUMIFS($T:$T, $U:$U,AP$2,$Q:$Q,IF($AM241&lt;&gt;"", TEXT($AM241, "MMMM"), ""),$R:$R,YEAR($AM241))</f>
        <v>0</v>
      </c>
      <c r="AQ241" s="464">
        <f>SUMIFS(Income!$G:$G,Income!$H:$H, AQ$2,Income!$F:$F, $AL$1, Income!$B:$B, IF($AM241&lt;&gt;"", TEXT($AM241, "MMMM"), ""), Income!$C:$C, YEAR($AM241))+SUMIFS($T:$T, $U:$U,AQ$2,$Q:$Q,IF($AM241&lt;&gt;"", TEXT($AM241, "MMMM"), ""),$R:$R,YEAR($AM241))</f>
        <v>0</v>
      </c>
      <c r="AR241" s="464">
        <f>SUMIFS(Income!$G:$G,Income!$H:$H, AR$2,Income!$F:$F, $AL$1, Income!$B:$B, IF($AM241&lt;&gt;"", TEXT($AM241, "MMMM"), ""), Income!$C:$C, YEAR($AM241))+SUMIFS($T:$T, $U:$U,AR$2,$Q:$Q,IF($AM241&lt;&gt;"", TEXT($AM241, "MMMM"), ""),$R:$R,YEAR($AM241))</f>
        <v>0</v>
      </c>
      <c r="AS241" s="464">
        <f>SUMIFS(Income!$G:$G,Income!$H:$H, AS$2,Income!$F:$F, $AL$1, Income!$B:$B, IF($AM241&lt;&gt;"", TEXT($AM241, "MMMM"), ""), Income!$C:$C, YEAR($AM241))+SUMIFS($T:$T, $U:$U,AS$2,$Q:$Q,IF($AM241&lt;&gt;"", TEXT($AM241, "MMMM"), ""),$R:$R,YEAR($AM241))</f>
        <v>0</v>
      </c>
      <c r="AT241" s="428"/>
      <c r="AU241" s="463">
        <v>51075.0</v>
      </c>
      <c r="AV241" s="469">
        <f>SUMIFS(Income!$G:$G,Income!$H:$H, AV$2,Income!$F:$F, $AT$1, Income!$B:$B, IF($AU241&lt;&gt;"", TEXT($AU241, "MMMM"), ""), Income!$C:$C, YEAR($AU241))</f>
        <v>0</v>
      </c>
      <c r="AW241" s="469">
        <f>SUMIFS(Income!$G:$G,Income!$H:$H, AW$2,Income!$F:$F, $AT$1, Income!$B:$B, IF($AU241&lt;&gt;"", TEXT($AU241, "MMMM"), ""), Income!$C:$C, YEAR($AU241))</f>
        <v>0</v>
      </c>
      <c r="AX241" s="469">
        <f>SUMIFS(Income!$G:$G,Income!$H:$H, AX$2,Income!$F:$F, $AT$1, Income!$B:$B, IF($AU241&lt;&gt;"", TEXT($AU241, "MMMM"), ""), Income!$C:$C, YEAR($AU241))</f>
        <v>0</v>
      </c>
      <c r="AY241" s="469">
        <f>SUMIFS(Income!$G:$G,Income!$H:$H, AY$2,Income!$F:$F, $AT$1, Income!$B:$B, IF($AU241&lt;&gt;"", TEXT($AU241, "MMMM"), ""), Income!$C:$C, YEAR($AU241))</f>
        <v>0</v>
      </c>
      <c r="AZ241" s="464">
        <f>SUMIFS(Income!$G:$G,Income!$H:$H, AZ$2,Income!$F:$F, $AT$1, Income!$B:$B, IF($AU241&lt;&gt;"", TEXT($AU241, "MMMM"), ""), Income!$C:$C, YEAR($AU241))</f>
        <v>0</v>
      </c>
      <c r="BA241" s="471">
        <f>SUMIFS(Income!$G:$G,Income!$H:$H, BA$2,Income!$F:$F, $AT$1, Income!$B:$B, IF($AU241&lt;&gt;"", TEXT($AU241, "MMMM"), ""), Income!$C:$C, YEAR($AU241))</f>
        <v>0</v>
      </c>
    </row>
    <row r="242" ht="13.5" customHeight="1">
      <c r="A242" s="424">
        <f>'Membership Application List'!A471</f>
        <v>45695.49154</v>
      </c>
      <c r="B242" s="443" t="str">
        <f t="shared" si="6"/>
        <v>February</v>
      </c>
      <c r="C242" s="443">
        <f t="shared" si="7"/>
        <v>2025</v>
      </c>
      <c r="D242" s="426" t="str">
        <f>'Membership Application List'!E471</f>
        <v>Ryan Johnson</v>
      </c>
      <c r="E242" s="426">
        <f>IF('Membership Application List'!J471 = "Food/Litter Donation", 0, IF('Membership Application List'!J471 = "$15 Donation, Discord Verification", IF('Membership Application List'!N471 = TRUE, 15, 0)))</f>
        <v>15</v>
      </c>
      <c r="F242" s="426">
        <f>if('Membership Application List'!K471=TRUE, 5,0)</f>
        <v>0</v>
      </c>
      <c r="G242" s="426">
        <f t="shared" si="8"/>
        <v>15</v>
      </c>
      <c r="H242" s="427" t="str">
        <f>'Membership Application List'!L471</f>
        <v>Cashapp</v>
      </c>
      <c r="I242" s="428"/>
      <c r="J242" s="463">
        <v>51105.0</v>
      </c>
      <c r="K242" s="464">
        <f t="shared" ref="K242:O242" si="200">SUMIFS($G:$G, $H:$H, K$2, $B:$B, IF($J242&lt;&gt;"", TEXT($J242, "MMMM"), ""), $C:$C, YEAR($J242))</f>
        <v>0</v>
      </c>
      <c r="L242" s="464">
        <f t="shared" si="200"/>
        <v>0</v>
      </c>
      <c r="M242" s="464">
        <f t="shared" si="200"/>
        <v>0</v>
      </c>
      <c r="N242" s="464">
        <f t="shared" si="200"/>
        <v>0</v>
      </c>
      <c r="O242" s="465">
        <f t="shared" si="200"/>
        <v>0</v>
      </c>
      <c r="P242" s="414"/>
      <c r="Q242" s="414"/>
      <c r="R242" s="414"/>
      <c r="S242" s="445"/>
      <c r="T242" s="445"/>
      <c r="U242" s="445"/>
      <c r="V242" s="428"/>
      <c r="W242" s="463">
        <v>51105.0</v>
      </c>
      <c r="X242" s="469">
        <f>SUMIFS(Income!$G:$G,Income!$H:$H, X$2,Income!$F:$F, $V$1, Income!$B:$B, IF($W242&lt;&gt;"", TEXT($W242, "MMMM"), ""), Income!$C:$C, YEAR($W242))</f>
        <v>0</v>
      </c>
      <c r="Y242" s="469">
        <f>SUMIFS(Income!$G:$G,Income!$H:$H, Y$2,Income!$F:$F, $V$1, Income!$B:$B, IF($W242&lt;&gt;"", TEXT($W242, "MMMM"), ""), Income!$C:$C, YEAR($W242))</f>
        <v>0</v>
      </c>
      <c r="Z242" s="469">
        <f>SUMIFS(Income!$G:$G,Income!$H:$H, Z$2,Income!$F:$F, $V$1, Income!$B:$B, IF($W242&lt;&gt;"", TEXT($W242, "MMMM"), ""), Income!$C:$C, YEAR($W242))</f>
        <v>0</v>
      </c>
      <c r="AA242" s="469">
        <f>SUMIFS(Income!$G:$G,Income!$H:$H, AA$2,Income!$F:$F, $V$1, Income!$B:$B, IF($W242&lt;&gt;"", TEXT($W242, "MMMM"), ""), Income!$C:$C, YEAR($W242))</f>
        <v>0</v>
      </c>
      <c r="AB242" s="464">
        <f>SUMIFS(Income!$G:$G,Income!$H:$H, AB$2,Income!$F:$F, $V$1, Income!$B:$B, IF($W242&lt;&gt;"", TEXT($W242, "MMMM"), ""), Income!$C:$C, YEAR($W242))</f>
        <v>0</v>
      </c>
      <c r="AC242" s="469">
        <f>SUMIFS(Income!$G:$G,Income!$H:$H, AC$2,Income!$F:$F, $V$1, Income!$B:$B, IF($W242&lt;&gt;"", TEXT($W242, "MMMM"), ""), Income!$C:$C, YEAR($W242))</f>
        <v>0</v>
      </c>
      <c r="AD242" s="428"/>
      <c r="AE242" s="463">
        <v>51105.0</v>
      </c>
      <c r="AF242" s="469">
        <f>SUMIFS(Income!$G:$G,Income!$H:$H, AF$2,Income!$F:$F, $AD$1, Income!$B:$B, IF($AE242&lt;&gt;"", TEXT($AE242, "MMMM"), ""), Income!$C:$C, YEAR($AE242))</f>
        <v>0</v>
      </c>
      <c r="AG242" s="469">
        <f>SUMIFS(Income!$G:$G,Income!$H:$H, AG$2,Income!$F:$F, $AD$1, Income!$B:$B, IF($AE242&lt;&gt;"", TEXT($AE242, "MMMM"), ""), Income!$C:$C, YEAR($AE242))</f>
        <v>0</v>
      </c>
      <c r="AH242" s="469">
        <f>SUMIFS(Income!$G:$G,Income!$H:$H, AH$2,Income!$F:$F, $AD$1, Income!$B:$B, IF($AE242&lt;&gt;"", TEXT($AE242, "MMMM"), ""), Income!$C:$C, YEAR($AE242))</f>
        <v>0</v>
      </c>
      <c r="AI242" s="469">
        <f>SUMIFS(Income!$G:$G,Income!$H:$H, AI$2,Income!$F:$F, $AD$1, Income!$B:$B, IF($AE242&lt;&gt;"", TEXT($AE242, "MMMM"), ""), Income!$C:$C, YEAR($AE242))</f>
        <v>0</v>
      </c>
      <c r="AJ242" s="464">
        <f>SUMIFS(Income!$G:$G,Income!$H:$H, AJ$2,Income!$F:$F, $AD$1, Income!$B:$B, IF($AE242&lt;&gt;"", TEXT($AE242, "MMMM"), ""), Income!$C:$C, YEAR($AE242))</f>
        <v>0</v>
      </c>
      <c r="AK242" s="469">
        <f>SUMIFS(Income!$G:$G,Income!$H:$H, AK$2,Income!$F:$F, $AD$1, Income!$B:$B, IF($AE242&lt;&gt;"", TEXT($AE242, "MMMM"), ""), Income!$C:$C, YEAR($AE242))</f>
        <v>0</v>
      </c>
      <c r="AL242" s="428"/>
      <c r="AM242" s="463">
        <v>51105.0</v>
      </c>
      <c r="AN242" s="464">
        <f>SUMIFS(Income!$G:$G,Income!$H:$H, AN$2,Income!$F:$F, $AL$1, Income!$B:$B, IF($AM242&lt;&gt;"", TEXT($AM242, "MMMM"), ""), Income!$C:$C, YEAR($AM242))+SUMIFS($T:$T, $U:$U,AN$2,$Q:$Q,IF($AM242&lt;&gt;"", TEXT($AM242, "MMMM"), ""),$R:$R,YEAR($AM242))</f>
        <v>0</v>
      </c>
      <c r="AO242" s="464">
        <f>SUMIFS(Income!$G:$G,Income!$H:$H, AO$2,Income!$F:$F, $AL$1, Income!$B:$B, IF($AM242&lt;&gt;"", TEXT($AM242, "MMMM"), ""), Income!$C:$C, YEAR($AM242))+SUMIFS($T:$T, $U:$U,AO$2,$Q:$Q,IF($AM242&lt;&gt;"", TEXT($AM242, "MMMM"), ""),$R:$R,YEAR($AM242))</f>
        <v>0</v>
      </c>
      <c r="AP242" s="464">
        <f>SUMIFS(Income!$G:$G,Income!$H:$H, AP$2,Income!$F:$F, $AL$1, Income!$B:$B, IF($AM242&lt;&gt;"", TEXT($AM242, "MMMM"), ""), Income!$C:$C, YEAR($AM242))+SUMIFS($T:$T, $U:$U,AP$2,$Q:$Q,IF($AM242&lt;&gt;"", TEXT($AM242, "MMMM"), ""),$R:$R,YEAR($AM242))</f>
        <v>0</v>
      </c>
      <c r="AQ242" s="464">
        <f>SUMIFS(Income!$G:$G,Income!$H:$H, AQ$2,Income!$F:$F, $AL$1, Income!$B:$B, IF($AM242&lt;&gt;"", TEXT($AM242, "MMMM"), ""), Income!$C:$C, YEAR($AM242))+SUMIFS($T:$T, $U:$U,AQ$2,$Q:$Q,IF($AM242&lt;&gt;"", TEXT($AM242, "MMMM"), ""),$R:$R,YEAR($AM242))</f>
        <v>0</v>
      </c>
      <c r="AR242" s="464">
        <f>SUMIFS(Income!$G:$G,Income!$H:$H, AR$2,Income!$F:$F, $AL$1, Income!$B:$B, IF($AM242&lt;&gt;"", TEXT($AM242, "MMMM"), ""), Income!$C:$C, YEAR($AM242))+SUMIFS($T:$T, $U:$U,AR$2,$Q:$Q,IF($AM242&lt;&gt;"", TEXT($AM242, "MMMM"), ""),$R:$R,YEAR($AM242))</f>
        <v>0</v>
      </c>
      <c r="AS242" s="464">
        <f>SUMIFS(Income!$G:$G,Income!$H:$H, AS$2,Income!$F:$F, $AL$1, Income!$B:$B, IF($AM242&lt;&gt;"", TEXT($AM242, "MMMM"), ""), Income!$C:$C, YEAR($AM242))+SUMIFS($T:$T, $U:$U,AS$2,$Q:$Q,IF($AM242&lt;&gt;"", TEXT($AM242, "MMMM"), ""),$R:$R,YEAR($AM242))</f>
        <v>0</v>
      </c>
      <c r="AT242" s="428"/>
      <c r="AU242" s="463">
        <v>51105.0</v>
      </c>
      <c r="AV242" s="469">
        <f>SUMIFS(Income!$G:$G,Income!$H:$H, AV$2,Income!$F:$F, $AT$1, Income!$B:$B, IF($AU242&lt;&gt;"", TEXT($AU242, "MMMM"), ""), Income!$C:$C, YEAR($AU242))</f>
        <v>0</v>
      </c>
      <c r="AW242" s="469">
        <f>SUMIFS(Income!$G:$G,Income!$H:$H, AW$2,Income!$F:$F, $AT$1, Income!$B:$B, IF($AU242&lt;&gt;"", TEXT($AU242, "MMMM"), ""), Income!$C:$C, YEAR($AU242))</f>
        <v>0</v>
      </c>
      <c r="AX242" s="469">
        <f>SUMIFS(Income!$G:$G,Income!$H:$H, AX$2,Income!$F:$F, $AT$1, Income!$B:$B, IF($AU242&lt;&gt;"", TEXT($AU242, "MMMM"), ""), Income!$C:$C, YEAR($AU242))</f>
        <v>0</v>
      </c>
      <c r="AY242" s="469">
        <f>SUMIFS(Income!$G:$G,Income!$H:$H, AY$2,Income!$F:$F, $AT$1, Income!$B:$B, IF($AU242&lt;&gt;"", TEXT($AU242, "MMMM"), ""), Income!$C:$C, YEAR($AU242))</f>
        <v>0</v>
      </c>
      <c r="AZ242" s="464">
        <f>SUMIFS(Income!$G:$G,Income!$H:$H, AZ$2,Income!$F:$F, $AT$1, Income!$B:$B, IF($AU242&lt;&gt;"", TEXT($AU242, "MMMM"), ""), Income!$C:$C, YEAR($AU242))</f>
        <v>0</v>
      </c>
      <c r="BA242" s="471">
        <f>SUMIFS(Income!$G:$G,Income!$H:$H, BA$2,Income!$F:$F, $AT$1, Income!$B:$B, IF($AU242&lt;&gt;"", TEXT($AU242, "MMMM"), ""), Income!$C:$C, YEAR($AU242))</f>
        <v>0</v>
      </c>
    </row>
    <row r="243" ht="13.5" customHeight="1">
      <c r="A243" s="436">
        <f>'Membership Application List'!A472</f>
        <v>45695.82211</v>
      </c>
      <c r="B243" s="437" t="str">
        <f t="shared" si="6"/>
        <v>February</v>
      </c>
      <c r="C243" s="437">
        <f t="shared" si="7"/>
        <v>2025</v>
      </c>
      <c r="D243" s="438" t="str">
        <f>'Membership Application List'!E472</f>
        <v>Mia Reyes</v>
      </c>
      <c r="E243" s="438">
        <f>IF('Membership Application List'!J472 = "Food/Litter Donation", 0, IF('Membership Application List'!J472 = "$15 Donation, Discord Verification", IF('Membership Application List'!N472 = TRUE, 15, 0)))</f>
        <v>15</v>
      </c>
      <c r="F243" s="438">
        <f>if('Membership Application List'!K472=TRUE, 5,0)</f>
        <v>0</v>
      </c>
      <c r="G243" s="438">
        <f t="shared" si="8"/>
        <v>15</v>
      </c>
      <c r="H243" s="439" t="str">
        <f>'Membership Application List'!L472</f>
        <v>Venmo</v>
      </c>
      <c r="I243" s="407" t="s">
        <v>808</v>
      </c>
      <c r="J243" s="463">
        <v>51136.0</v>
      </c>
      <c r="K243" s="464">
        <f t="shared" ref="K243:O243" si="201">SUMIFS($G:$G, $H:$H, K$2, $B:$B, IF($J243&lt;&gt;"", TEXT($J243, "MMMM"), ""), $C:$C, YEAR($J243))</f>
        <v>0</v>
      </c>
      <c r="L243" s="464">
        <f t="shared" si="201"/>
        <v>0</v>
      </c>
      <c r="M243" s="464">
        <f t="shared" si="201"/>
        <v>0</v>
      </c>
      <c r="N243" s="464">
        <f t="shared" si="201"/>
        <v>0</v>
      </c>
      <c r="O243" s="465">
        <f t="shared" si="201"/>
        <v>0</v>
      </c>
      <c r="P243" s="414"/>
      <c r="Q243" s="414"/>
      <c r="R243" s="414"/>
      <c r="S243" s="445"/>
      <c r="T243" s="445"/>
      <c r="U243" s="445"/>
      <c r="V243" s="407" t="s">
        <v>808</v>
      </c>
      <c r="W243" s="463">
        <v>51136.0</v>
      </c>
      <c r="X243" s="469">
        <f>SUMIFS(Income!$G:$G,Income!$H:$H, X$2,Income!$F:$F, $V$1, Income!$B:$B, IF($W243&lt;&gt;"", TEXT($W243, "MMMM"), ""), Income!$C:$C, YEAR($W243))</f>
        <v>0</v>
      </c>
      <c r="Y243" s="469">
        <f>SUMIFS(Income!$G:$G,Income!$H:$H, Y$2,Income!$F:$F, $V$1, Income!$B:$B, IF($W243&lt;&gt;"", TEXT($W243, "MMMM"), ""), Income!$C:$C, YEAR($W243))</f>
        <v>0</v>
      </c>
      <c r="Z243" s="469">
        <f>SUMIFS(Income!$G:$G,Income!$H:$H, Z$2,Income!$F:$F, $V$1, Income!$B:$B, IF($W243&lt;&gt;"", TEXT($W243, "MMMM"), ""), Income!$C:$C, YEAR($W243))</f>
        <v>0</v>
      </c>
      <c r="AA243" s="469">
        <f>SUMIFS(Income!$G:$G,Income!$H:$H, AA$2,Income!$F:$F, $V$1, Income!$B:$B, IF($W243&lt;&gt;"", TEXT($W243, "MMMM"), ""), Income!$C:$C, YEAR($W243))</f>
        <v>0</v>
      </c>
      <c r="AB243" s="464">
        <f>SUMIFS(Income!$G:$G,Income!$H:$H, AB$2,Income!$F:$F, $V$1, Income!$B:$B, IF($W243&lt;&gt;"", TEXT($W243, "MMMM"), ""), Income!$C:$C, YEAR($W243))</f>
        <v>0</v>
      </c>
      <c r="AC243" s="469">
        <f>SUMIFS(Income!$G:$G,Income!$H:$H, AC$2,Income!$F:$F, $V$1, Income!$B:$B, IF($W243&lt;&gt;"", TEXT($W243, "MMMM"), ""), Income!$C:$C, YEAR($W243))</f>
        <v>0</v>
      </c>
      <c r="AD243" s="407" t="s">
        <v>808</v>
      </c>
      <c r="AE243" s="463">
        <v>51136.0</v>
      </c>
      <c r="AF243" s="469">
        <f>SUMIFS(Income!$G:$G,Income!$H:$H, AF$2,Income!$F:$F, $AD$1, Income!$B:$B, IF($AE243&lt;&gt;"", TEXT($AE243, "MMMM"), ""), Income!$C:$C, YEAR($AE243))</f>
        <v>0</v>
      </c>
      <c r="AG243" s="469">
        <f>SUMIFS(Income!$G:$G,Income!$H:$H, AG$2,Income!$F:$F, $AD$1, Income!$B:$B, IF($AE243&lt;&gt;"", TEXT($AE243, "MMMM"), ""), Income!$C:$C, YEAR($AE243))</f>
        <v>0</v>
      </c>
      <c r="AH243" s="469">
        <f>SUMIFS(Income!$G:$G,Income!$H:$H, AH$2,Income!$F:$F, $AD$1, Income!$B:$B, IF($AE243&lt;&gt;"", TEXT($AE243, "MMMM"), ""), Income!$C:$C, YEAR($AE243))</f>
        <v>0</v>
      </c>
      <c r="AI243" s="469">
        <f>SUMIFS(Income!$G:$G,Income!$H:$H, AI$2,Income!$F:$F, $AD$1, Income!$B:$B, IF($AE243&lt;&gt;"", TEXT($AE243, "MMMM"), ""), Income!$C:$C, YEAR($AE243))</f>
        <v>0</v>
      </c>
      <c r="AJ243" s="464">
        <f>SUMIFS(Income!$G:$G,Income!$H:$H, AJ$2,Income!$F:$F, $AD$1, Income!$B:$B, IF($AE243&lt;&gt;"", TEXT($AE243, "MMMM"), ""), Income!$C:$C, YEAR($AE243))</f>
        <v>0</v>
      </c>
      <c r="AK243" s="469">
        <f>SUMIFS(Income!$G:$G,Income!$H:$H, AK$2,Income!$F:$F, $AD$1, Income!$B:$B, IF($AE243&lt;&gt;"", TEXT($AE243, "MMMM"), ""), Income!$C:$C, YEAR($AE243))</f>
        <v>0</v>
      </c>
      <c r="AL243" s="407" t="s">
        <v>808</v>
      </c>
      <c r="AM243" s="463">
        <v>51136.0</v>
      </c>
      <c r="AN243" s="464">
        <f>SUMIFS(Income!$G:$G,Income!$H:$H, AN$2,Income!$F:$F, $AL$1, Income!$B:$B, IF($AM243&lt;&gt;"", TEXT($AM243, "MMMM"), ""), Income!$C:$C, YEAR($AM243))+SUMIFS($T:$T, $U:$U,AN$2,$Q:$Q,IF($AM243&lt;&gt;"", TEXT($AM243, "MMMM"), ""),$R:$R,YEAR($AM243))</f>
        <v>0</v>
      </c>
      <c r="AO243" s="464">
        <f>SUMIFS(Income!$G:$G,Income!$H:$H, AO$2,Income!$F:$F, $AL$1, Income!$B:$B, IF($AM243&lt;&gt;"", TEXT($AM243, "MMMM"), ""), Income!$C:$C, YEAR($AM243))+SUMIFS($T:$T, $U:$U,AO$2,$Q:$Q,IF($AM243&lt;&gt;"", TEXT($AM243, "MMMM"), ""),$R:$R,YEAR($AM243))</f>
        <v>0</v>
      </c>
      <c r="AP243" s="464">
        <f>SUMIFS(Income!$G:$G,Income!$H:$H, AP$2,Income!$F:$F, $AL$1, Income!$B:$B, IF($AM243&lt;&gt;"", TEXT($AM243, "MMMM"), ""), Income!$C:$C, YEAR($AM243))+SUMIFS($T:$T, $U:$U,AP$2,$Q:$Q,IF($AM243&lt;&gt;"", TEXT($AM243, "MMMM"), ""),$R:$R,YEAR($AM243))</f>
        <v>0</v>
      </c>
      <c r="AQ243" s="464">
        <f>SUMIFS(Income!$G:$G,Income!$H:$H, AQ$2,Income!$F:$F, $AL$1, Income!$B:$B, IF($AM243&lt;&gt;"", TEXT($AM243, "MMMM"), ""), Income!$C:$C, YEAR($AM243))+SUMIFS($T:$T, $U:$U,AQ$2,$Q:$Q,IF($AM243&lt;&gt;"", TEXT($AM243, "MMMM"), ""),$R:$R,YEAR($AM243))</f>
        <v>0</v>
      </c>
      <c r="AR243" s="464">
        <f>SUMIFS(Income!$G:$G,Income!$H:$H, AR$2,Income!$F:$F, $AL$1, Income!$B:$B, IF($AM243&lt;&gt;"", TEXT($AM243, "MMMM"), ""), Income!$C:$C, YEAR($AM243))+SUMIFS($T:$T, $U:$U,AR$2,$Q:$Q,IF($AM243&lt;&gt;"", TEXT($AM243, "MMMM"), ""),$R:$R,YEAR($AM243))</f>
        <v>0</v>
      </c>
      <c r="AS243" s="464">
        <f>SUMIFS(Income!$G:$G,Income!$H:$H, AS$2,Income!$F:$F, $AL$1, Income!$B:$B, IF($AM243&lt;&gt;"", TEXT($AM243, "MMMM"), ""), Income!$C:$C, YEAR($AM243))+SUMIFS($T:$T, $U:$U,AS$2,$Q:$Q,IF($AM243&lt;&gt;"", TEXT($AM243, "MMMM"), ""),$R:$R,YEAR($AM243))</f>
        <v>0</v>
      </c>
      <c r="AT243" s="407" t="s">
        <v>808</v>
      </c>
      <c r="AU243" s="463">
        <v>51136.0</v>
      </c>
      <c r="AV243" s="469">
        <f>SUMIFS(Income!$G:$G,Income!$H:$H, AV$2,Income!$F:$F, $AT$1, Income!$B:$B, IF($AU243&lt;&gt;"", TEXT($AU243, "MMMM"), ""), Income!$C:$C, YEAR($AU243))</f>
        <v>0</v>
      </c>
      <c r="AW243" s="469">
        <f>SUMIFS(Income!$G:$G,Income!$H:$H, AW$2,Income!$F:$F, $AT$1, Income!$B:$B, IF($AU243&lt;&gt;"", TEXT($AU243, "MMMM"), ""), Income!$C:$C, YEAR($AU243))</f>
        <v>0</v>
      </c>
      <c r="AX243" s="469">
        <f>SUMIFS(Income!$G:$G,Income!$H:$H, AX$2,Income!$F:$F, $AT$1, Income!$B:$B, IF($AU243&lt;&gt;"", TEXT($AU243, "MMMM"), ""), Income!$C:$C, YEAR($AU243))</f>
        <v>0</v>
      </c>
      <c r="AY243" s="469">
        <f>SUMIFS(Income!$G:$G,Income!$H:$H, AY$2,Income!$F:$F, $AT$1, Income!$B:$B, IF($AU243&lt;&gt;"", TEXT($AU243, "MMMM"), ""), Income!$C:$C, YEAR($AU243))</f>
        <v>0</v>
      </c>
      <c r="AZ243" s="464">
        <f>SUMIFS(Income!$G:$G,Income!$H:$H, AZ$2,Income!$F:$F, $AT$1, Income!$B:$B, IF($AU243&lt;&gt;"", TEXT($AU243, "MMMM"), ""), Income!$C:$C, YEAR($AU243))</f>
        <v>0</v>
      </c>
      <c r="BA243" s="471">
        <f>SUMIFS(Income!$G:$G,Income!$H:$H, BA$2,Income!$F:$F, $AT$1, Income!$B:$B, IF($AU243&lt;&gt;"", TEXT($AU243, "MMMM"), ""), Income!$C:$C, YEAR($AU243))</f>
        <v>0</v>
      </c>
    </row>
    <row r="244" ht="13.5" customHeight="1">
      <c r="A244" s="424">
        <f>'Membership Application List'!A473</f>
        <v>45695.87258</v>
      </c>
      <c r="B244" s="443" t="str">
        <f t="shared" si="6"/>
        <v>February</v>
      </c>
      <c r="C244" s="443">
        <f t="shared" si="7"/>
        <v>2025</v>
      </c>
      <c r="D244" s="426" t="str">
        <f>'Membership Application List'!E473</f>
        <v>Zoe Dennis</v>
      </c>
      <c r="E244" s="426">
        <f>IF('Membership Application List'!J473 = "Food/Litter Donation", 0, IF('Membership Application List'!J473 = "$15 Donation, Discord Verification", IF('Membership Application List'!N473 = TRUE, 15, 0)))</f>
        <v>15</v>
      </c>
      <c r="F244" s="426">
        <f>if('Membership Application List'!K473=TRUE, 5,0)</f>
        <v>0</v>
      </c>
      <c r="G244" s="426">
        <f t="shared" si="8"/>
        <v>15</v>
      </c>
      <c r="H244" s="427" t="str">
        <f>'Membership Application List'!L473</f>
        <v/>
      </c>
      <c r="I244" s="428"/>
      <c r="J244" s="463">
        <v>51167.0</v>
      </c>
      <c r="K244" s="464">
        <f t="shared" ref="K244:O244" si="202">SUMIFS($G:$G, $H:$H, K$2, $B:$B, IF($J244&lt;&gt;"", TEXT($J244, "MMMM"), ""), $C:$C, YEAR($J244))</f>
        <v>0</v>
      </c>
      <c r="L244" s="464">
        <f t="shared" si="202"/>
        <v>0</v>
      </c>
      <c r="M244" s="464">
        <f t="shared" si="202"/>
        <v>0</v>
      </c>
      <c r="N244" s="464">
        <f t="shared" si="202"/>
        <v>0</v>
      </c>
      <c r="O244" s="465">
        <f t="shared" si="202"/>
        <v>0</v>
      </c>
      <c r="P244" s="414"/>
      <c r="Q244" s="414"/>
      <c r="R244" s="414"/>
      <c r="S244" s="445"/>
      <c r="T244" s="445"/>
      <c r="U244" s="445"/>
      <c r="V244" s="428"/>
      <c r="W244" s="463">
        <v>51167.0</v>
      </c>
      <c r="X244" s="469">
        <f>SUMIFS(Income!$G:$G,Income!$H:$H, X$2,Income!$F:$F, $V$1, Income!$B:$B, IF($W244&lt;&gt;"", TEXT($W244, "MMMM"), ""), Income!$C:$C, YEAR($W244))</f>
        <v>0</v>
      </c>
      <c r="Y244" s="469">
        <f>SUMIFS(Income!$G:$G,Income!$H:$H, Y$2,Income!$F:$F, $V$1, Income!$B:$B, IF($W244&lt;&gt;"", TEXT($W244, "MMMM"), ""), Income!$C:$C, YEAR($W244))</f>
        <v>0</v>
      </c>
      <c r="Z244" s="469">
        <f>SUMIFS(Income!$G:$G,Income!$H:$H, Z$2,Income!$F:$F, $V$1, Income!$B:$B, IF($W244&lt;&gt;"", TEXT($W244, "MMMM"), ""), Income!$C:$C, YEAR($W244))</f>
        <v>0</v>
      </c>
      <c r="AA244" s="469">
        <f>SUMIFS(Income!$G:$G,Income!$H:$H, AA$2,Income!$F:$F, $V$1, Income!$B:$B, IF($W244&lt;&gt;"", TEXT($W244, "MMMM"), ""), Income!$C:$C, YEAR($W244))</f>
        <v>0</v>
      </c>
      <c r="AB244" s="464">
        <f>SUMIFS(Income!$G:$G,Income!$H:$H, AB$2,Income!$F:$F, $V$1, Income!$B:$B, IF($W244&lt;&gt;"", TEXT($W244, "MMMM"), ""), Income!$C:$C, YEAR($W244))</f>
        <v>0</v>
      </c>
      <c r="AC244" s="469">
        <f>SUMIFS(Income!$G:$G,Income!$H:$H, AC$2,Income!$F:$F, $V$1, Income!$B:$B, IF($W244&lt;&gt;"", TEXT($W244, "MMMM"), ""), Income!$C:$C, YEAR($W244))</f>
        <v>0</v>
      </c>
      <c r="AD244" s="428"/>
      <c r="AE244" s="463">
        <v>51167.0</v>
      </c>
      <c r="AF244" s="469">
        <f>SUMIFS(Income!$G:$G,Income!$H:$H, AF$2,Income!$F:$F, $AD$1, Income!$B:$B, IF($AE244&lt;&gt;"", TEXT($AE244, "MMMM"), ""), Income!$C:$C, YEAR($AE244))</f>
        <v>0</v>
      </c>
      <c r="AG244" s="469">
        <f>SUMIFS(Income!$G:$G,Income!$H:$H, AG$2,Income!$F:$F, $AD$1, Income!$B:$B, IF($AE244&lt;&gt;"", TEXT($AE244, "MMMM"), ""), Income!$C:$C, YEAR($AE244))</f>
        <v>0</v>
      </c>
      <c r="AH244" s="469">
        <f>SUMIFS(Income!$G:$G,Income!$H:$H, AH$2,Income!$F:$F, $AD$1, Income!$B:$B, IF($AE244&lt;&gt;"", TEXT($AE244, "MMMM"), ""), Income!$C:$C, YEAR($AE244))</f>
        <v>0</v>
      </c>
      <c r="AI244" s="469">
        <f>SUMIFS(Income!$G:$G,Income!$H:$H, AI$2,Income!$F:$F, $AD$1, Income!$B:$B, IF($AE244&lt;&gt;"", TEXT($AE244, "MMMM"), ""), Income!$C:$C, YEAR($AE244))</f>
        <v>0</v>
      </c>
      <c r="AJ244" s="464">
        <f>SUMIFS(Income!$G:$G,Income!$H:$H, AJ$2,Income!$F:$F, $AD$1, Income!$B:$B, IF($AE244&lt;&gt;"", TEXT($AE244, "MMMM"), ""), Income!$C:$C, YEAR($AE244))</f>
        <v>0</v>
      </c>
      <c r="AK244" s="469">
        <f>SUMIFS(Income!$G:$G,Income!$H:$H, AK$2,Income!$F:$F, $AD$1, Income!$B:$B, IF($AE244&lt;&gt;"", TEXT($AE244, "MMMM"), ""), Income!$C:$C, YEAR($AE244))</f>
        <v>0</v>
      </c>
      <c r="AL244" s="428"/>
      <c r="AM244" s="463">
        <v>51167.0</v>
      </c>
      <c r="AN244" s="464">
        <f>SUMIFS(Income!$G:$G,Income!$H:$H, AN$2,Income!$F:$F, $AL$1, Income!$B:$B, IF($AM244&lt;&gt;"", TEXT($AM244, "MMMM"), ""), Income!$C:$C, YEAR($AM244))+SUMIFS($T:$T, $U:$U,AN$2,$Q:$Q,IF($AM244&lt;&gt;"", TEXT($AM244, "MMMM"), ""),$R:$R,YEAR($AM244))</f>
        <v>0</v>
      </c>
      <c r="AO244" s="464">
        <f>SUMIFS(Income!$G:$G,Income!$H:$H, AO$2,Income!$F:$F, $AL$1, Income!$B:$B, IF($AM244&lt;&gt;"", TEXT($AM244, "MMMM"), ""), Income!$C:$C, YEAR($AM244))+SUMIFS($T:$T, $U:$U,AO$2,$Q:$Q,IF($AM244&lt;&gt;"", TEXT($AM244, "MMMM"), ""),$R:$R,YEAR($AM244))</f>
        <v>0</v>
      </c>
      <c r="AP244" s="464">
        <f>SUMIFS(Income!$G:$G,Income!$H:$H, AP$2,Income!$F:$F, $AL$1, Income!$B:$B, IF($AM244&lt;&gt;"", TEXT($AM244, "MMMM"), ""), Income!$C:$C, YEAR($AM244))+SUMIFS($T:$T, $U:$U,AP$2,$Q:$Q,IF($AM244&lt;&gt;"", TEXT($AM244, "MMMM"), ""),$R:$R,YEAR($AM244))</f>
        <v>0</v>
      </c>
      <c r="AQ244" s="464">
        <f>SUMIFS(Income!$G:$G,Income!$H:$H, AQ$2,Income!$F:$F, $AL$1, Income!$B:$B, IF($AM244&lt;&gt;"", TEXT($AM244, "MMMM"), ""), Income!$C:$C, YEAR($AM244))+SUMIFS($T:$T, $U:$U,AQ$2,$Q:$Q,IF($AM244&lt;&gt;"", TEXT($AM244, "MMMM"), ""),$R:$R,YEAR($AM244))</f>
        <v>0</v>
      </c>
      <c r="AR244" s="464">
        <f>SUMIFS(Income!$G:$G,Income!$H:$H, AR$2,Income!$F:$F, $AL$1, Income!$B:$B, IF($AM244&lt;&gt;"", TEXT($AM244, "MMMM"), ""), Income!$C:$C, YEAR($AM244))+SUMIFS($T:$T, $U:$U,AR$2,$Q:$Q,IF($AM244&lt;&gt;"", TEXT($AM244, "MMMM"), ""),$R:$R,YEAR($AM244))</f>
        <v>0</v>
      </c>
      <c r="AS244" s="464">
        <f>SUMIFS(Income!$G:$G,Income!$H:$H, AS$2,Income!$F:$F, $AL$1, Income!$B:$B, IF($AM244&lt;&gt;"", TEXT($AM244, "MMMM"), ""), Income!$C:$C, YEAR($AM244))+SUMIFS($T:$T, $U:$U,AS$2,$Q:$Q,IF($AM244&lt;&gt;"", TEXT($AM244, "MMMM"), ""),$R:$R,YEAR($AM244))</f>
        <v>0</v>
      </c>
      <c r="AT244" s="428"/>
      <c r="AU244" s="463">
        <v>51167.0</v>
      </c>
      <c r="AV244" s="469">
        <f>SUMIFS(Income!$G:$G,Income!$H:$H, AV$2,Income!$F:$F, $AT$1, Income!$B:$B, IF($AU244&lt;&gt;"", TEXT($AU244, "MMMM"), ""), Income!$C:$C, YEAR($AU244))</f>
        <v>0</v>
      </c>
      <c r="AW244" s="469">
        <f>SUMIFS(Income!$G:$G,Income!$H:$H, AW$2,Income!$F:$F, $AT$1, Income!$B:$B, IF($AU244&lt;&gt;"", TEXT($AU244, "MMMM"), ""), Income!$C:$C, YEAR($AU244))</f>
        <v>0</v>
      </c>
      <c r="AX244" s="469">
        <f>SUMIFS(Income!$G:$G,Income!$H:$H, AX$2,Income!$F:$F, $AT$1, Income!$B:$B, IF($AU244&lt;&gt;"", TEXT($AU244, "MMMM"), ""), Income!$C:$C, YEAR($AU244))</f>
        <v>0</v>
      </c>
      <c r="AY244" s="469">
        <f>SUMIFS(Income!$G:$G,Income!$H:$H, AY$2,Income!$F:$F, $AT$1, Income!$B:$B, IF($AU244&lt;&gt;"", TEXT($AU244, "MMMM"), ""), Income!$C:$C, YEAR($AU244))</f>
        <v>0</v>
      </c>
      <c r="AZ244" s="464">
        <f>SUMIFS(Income!$G:$G,Income!$H:$H, AZ$2,Income!$F:$F, $AT$1, Income!$B:$B, IF($AU244&lt;&gt;"", TEXT($AU244, "MMMM"), ""), Income!$C:$C, YEAR($AU244))</f>
        <v>0</v>
      </c>
      <c r="BA244" s="471">
        <f>SUMIFS(Income!$G:$G,Income!$H:$H, BA$2,Income!$F:$F, $AT$1, Income!$B:$B, IF($AU244&lt;&gt;"", TEXT($AU244, "MMMM"), ""), Income!$C:$C, YEAR($AU244))</f>
        <v>0</v>
      </c>
    </row>
    <row r="245" ht="13.5" customHeight="1">
      <c r="A245" s="436">
        <f>'Membership Application List'!A474</f>
        <v>45695.90504</v>
      </c>
      <c r="B245" s="437" t="str">
        <f t="shared" si="6"/>
        <v>February</v>
      </c>
      <c r="C245" s="437">
        <f t="shared" si="7"/>
        <v>2025</v>
      </c>
      <c r="D245" s="438" t="str">
        <f>'Membership Application List'!E474</f>
        <v>Arman Rahimzadeh</v>
      </c>
      <c r="E245" s="438">
        <f>IF('Membership Application List'!J474 = "Food/Litter Donation", 0, IF('Membership Application List'!J474 = "$15 Donation, Discord Verification", IF('Membership Application List'!N474 = TRUE, 15, 0)))</f>
        <v>15</v>
      </c>
      <c r="F245" s="438">
        <f>if('Membership Application List'!K474=TRUE, 5,0)</f>
        <v>0</v>
      </c>
      <c r="G245" s="438">
        <f t="shared" si="8"/>
        <v>15</v>
      </c>
      <c r="H245" s="439" t="str">
        <f>'Membership Application List'!L474</f>
        <v>Venmo</v>
      </c>
      <c r="I245" s="428"/>
      <c r="J245" s="463">
        <v>51196.0</v>
      </c>
      <c r="K245" s="464">
        <f t="shared" ref="K245:O245" si="203">SUMIFS($G:$G, $H:$H, K$2, $B:$B, IF($J245&lt;&gt;"", TEXT($J245, "MMMM"), ""), $C:$C, YEAR($J245))</f>
        <v>0</v>
      </c>
      <c r="L245" s="464">
        <f t="shared" si="203"/>
        <v>0</v>
      </c>
      <c r="M245" s="464">
        <f t="shared" si="203"/>
        <v>0</v>
      </c>
      <c r="N245" s="464">
        <f t="shared" si="203"/>
        <v>0</v>
      </c>
      <c r="O245" s="465">
        <f t="shared" si="203"/>
        <v>0</v>
      </c>
      <c r="P245" s="414"/>
      <c r="Q245" s="414"/>
      <c r="R245" s="414"/>
      <c r="S245" s="445"/>
      <c r="T245" s="445"/>
      <c r="U245" s="445"/>
      <c r="V245" s="428"/>
      <c r="W245" s="463">
        <v>51196.0</v>
      </c>
      <c r="X245" s="469">
        <f>SUMIFS(Income!$G:$G,Income!$H:$H, X$2,Income!$F:$F, $V$1, Income!$B:$B, IF($W245&lt;&gt;"", TEXT($W245, "MMMM"), ""), Income!$C:$C, YEAR($W245))</f>
        <v>0</v>
      </c>
      <c r="Y245" s="469">
        <f>SUMIFS(Income!$G:$G,Income!$H:$H, Y$2,Income!$F:$F, $V$1, Income!$B:$B, IF($W245&lt;&gt;"", TEXT($W245, "MMMM"), ""), Income!$C:$C, YEAR($W245))</f>
        <v>0</v>
      </c>
      <c r="Z245" s="469">
        <f>SUMIFS(Income!$G:$G,Income!$H:$H, Z$2,Income!$F:$F, $V$1, Income!$B:$B, IF($W245&lt;&gt;"", TEXT($W245, "MMMM"), ""), Income!$C:$C, YEAR($W245))</f>
        <v>0</v>
      </c>
      <c r="AA245" s="469">
        <f>SUMIFS(Income!$G:$G,Income!$H:$H, AA$2,Income!$F:$F, $V$1, Income!$B:$B, IF($W245&lt;&gt;"", TEXT($W245, "MMMM"), ""), Income!$C:$C, YEAR($W245))</f>
        <v>0</v>
      </c>
      <c r="AB245" s="464">
        <f>SUMIFS(Income!$G:$G,Income!$H:$H, AB$2,Income!$F:$F, $V$1, Income!$B:$B, IF($W245&lt;&gt;"", TEXT($W245, "MMMM"), ""), Income!$C:$C, YEAR($W245))</f>
        <v>0</v>
      </c>
      <c r="AC245" s="469">
        <f>SUMIFS(Income!$G:$G,Income!$H:$H, AC$2,Income!$F:$F, $V$1, Income!$B:$B, IF($W245&lt;&gt;"", TEXT($W245, "MMMM"), ""), Income!$C:$C, YEAR($W245))</f>
        <v>0</v>
      </c>
      <c r="AD245" s="428"/>
      <c r="AE245" s="463">
        <v>51196.0</v>
      </c>
      <c r="AF245" s="469">
        <f>SUMIFS(Income!$G:$G,Income!$H:$H, AF$2,Income!$F:$F, $AD$1, Income!$B:$B, IF($AE245&lt;&gt;"", TEXT($AE245, "MMMM"), ""), Income!$C:$C, YEAR($AE245))</f>
        <v>0</v>
      </c>
      <c r="AG245" s="469">
        <f>SUMIFS(Income!$G:$G,Income!$H:$H, AG$2,Income!$F:$F, $AD$1, Income!$B:$B, IF($AE245&lt;&gt;"", TEXT($AE245, "MMMM"), ""), Income!$C:$C, YEAR($AE245))</f>
        <v>0</v>
      </c>
      <c r="AH245" s="469">
        <f>SUMIFS(Income!$G:$G,Income!$H:$H, AH$2,Income!$F:$F, $AD$1, Income!$B:$B, IF($AE245&lt;&gt;"", TEXT($AE245, "MMMM"), ""), Income!$C:$C, YEAR($AE245))</f>
        <v>0</v>
      </c>
      <c r="AI245" s="469">
        <f>SUMIFS(Income!$G:$G,Income!$H:$H, AI$2,Income!$F:$F, $AD$1, Income!$B:$B, IF($AE245&lt;&gt;"", TEXT($AE245, "MMMM"), ""), Income!$C:$C, YEAR($AE245))</f>
        <v>0</v>
      </c>
      <c r="AJ245" s="464">
        <f>SUMIFS(Income!$G:$G,Income!$H:$H, AJ$2,Income!$F:$F, $AD$1, Income!$B:$B, IF($AE245&lt;&gt;"", TEXT($AE245, "MMMM"), ""), Income!$C:$C, YEAR($AE245))</f>
        <v>0</v>
      </c>
      <c r="AK245" s="469">
        <f>SUMIFS(Income!$G:$G,Income!$H:$H, AK$2,Income!$F:$F, $AD$1, Income!$B:$B, IF($AE245&lt;&gt;"", TEXT($AE245, "MMMM"), ""), Income!$C:$C, YEAR($AE245))</f>
        <v>0</v>
      </c>
      <c r="AL245" s="428"/>
      <c r="AM245" s="463">
        <v>51196.0</v>
      </c>
      <c r="AN245" s="464">
        <f>SUMIFS(Income!$G:$G,Income!$H:$H, AN$2,Income!$F:$F, $AL$1, Income!$B:$B, IF($AM245&lt;&gt;"", TEXT($AM245, "MMMM"), ""), Income!$C:$C, YEAR($AM245))+SUMIFS($T:$T, $U:$U,AN$2,$Q:$Q,IF($AM245&lt;&gt;"", TEXT($AM245, "MMMM"), ""),$R:$R,YEAR($AM245))</f>
        <v>0</v>
      </c>
      <c r="AO245" s="464">
        <f>SUMIFS(Income!$G:$G,Income!$H:$H, AO$2,Income!$F:$F, $AL$1, Income!$B:$B, IF($AM245&lt;&gt;"", TEXT($AM245, "MMMM"), ""), Income!$C:$C, YEAR($AM245))+SUMIFS($T:$T, $U:$U,AO$2,$Q:$Q,IF($AM245&lt;&gt;"", TEXT($AM245, "MMMM"), ""),$R:$R,YEAR($AM245))</f>
        <v>0</v>
      </c>
      <c r="AP245" s="464">
        <f>SUMIFS(Income!$G:$G,Income!$H:$H, AP$2,Income!$F:$F, $AL$1, Income!$B:$B, IF($AM245&lt;&gt;"", TEXT($AM245, "MMMM"), ""), Income!$C:$C, YEAR($AM245))+SUMIFS($T:$T, $U:$U,AP$2,$Q:$Q,IF($AM245&lt;&gt;"", TEXT($AM245, "MMMM"), ""),$R:$R,YEAR($AM245))</f>
        <v>0</v>
      </c>
      <c r="AQ245" s="464">
        <f>SUMIFS(Income!$G:$G,Income!$H:$H, AQ$2,Income!$F:$F, $AL$1, Income!$B:$B, IF($AM245&lt;&gt;"", TEXT($AM245, "MMMM"), ""), Income!$C:$C, YEAR($AM245))+SUMIFS($T:$T, $U:$U,AQ$2,$Q:$Q,IF($AM245&lt;&gt;"", TEXT($AM245, "MMMM"), ""),$R:$R,YEAR($AM245))</f>
        <v>0</v>
      </c>
      <c r="AR245" s="464">
        <f>SUMIFS(Income!$G:$G,Income!$H:$H, AR$2,Income!$F:$F, $AL$1, Income!$B:$B, IF($AM245&lt;&gt;"", TEXT($AM245, "MMMM"), ""), Income!$C:$C, YEAR($AM245))+SUMIFS($T:$T, $U:$U,AR$2,$Q:$Q,IF($AM245&lt;&gt;"", TEXT($AM245, "MMMM"), ""),$R:$R,YEAR($AM245))</f>
        <v>0</v>
      </c>
      <c r="AS245" s="464">
        <f>SUMIFS(Income!$G:$G,Income!$H:$H, AS$2,Income!$F:$F, $AL$1, Income!$B:$B, IF($AM245&lt;&gt;"", TEXT($AM245, "MMMM"), ""), Income!$C:$C, YEAR($AM245))+SUMIFS($T:$T, $U:$U,AS$2,$Q:$Q,IF($AM245&lt;&gt;"", TEXT($AM245, "MMMM"), ""),$R:$R,YEAR($AM245))</f>
        <v>0</v>
      </c>
      <c r="AT245" s="428"/>
      <c r="AU245" s="463">
        <v>51196.0</v>
      </c>
      <c r="AV245" s="469">
        <f>SUMIFS(Income!$G:$G,Income!$H:$H, AV$2,Income!$F:$F, $AT$1, Income!$B:$B, IF($AU245&lt;&gt;"", TEXT($AU245, "MMMM"), ""), Income!$C:$C, YEAR($AU245))</f>
        <v>0</v>
      </c>
      <c r="AW245" s="469">
        <f>SUMIFS(Income!$G:$G,Income!$H:$H, AW$2,Income!$F:$F, $AT$1, Income!$B:$B, IF($AU245&lt;&gt;"", TEXT($AU245, "MMMM"), ""), Income!$C:$C, YEAR($AU245))</f>
        <v>0</v>
      </c>
      <c r="AX245" s="469">
        <f>SUMIFS(Income!$G:$G,Income!$H:$H, AX$2,Income!$F:$F, $AT$1, Income!$B:$B, IF($AU245&lt;&gt;"", TEXT($AU245, "MMMM"), ""), Income!$C:$C, YEAR($AU245))</f>
        <v>0</v>
      </c>
      <c r="AY245" s="469">
        <f>SUMIFS(Income!$G:$G,Income!$H:$H, AY$2,Income!$F:$F, $AT$1, Income!$B:$B, IF($AU245&lt;&gt;"", TEXT($AU245, "MMMM"), ""), Income!$C:$C, YEAR($AU245))</f>
        <v>0</v>
      </c>
      <c r="AZ245" s="464">
        <f>SUMIFS(Income!$G:$G,Income!$H:$H, AZ$2,Income!$F:$F, $AT$1, Income!$B:$B, IF($AU245&lt;&gt;"", TEXT($AU245, "MMMM"), ""), Income!$C:$C, YEAR($AU245))</f>
        <v>0</v>
      </c>
      <c r="BA245" s="471">
        <f>SUMIFS(Income!$G:$G,Income!$H:$H, BA$2,Income!$F:$F, $AT$1, Income!$B:$B, IF($AU245&lt;&gt;"", TEXT($AU245, "MMMM"), ""), Income!$C:$C, YEAR($AU245))</f>
        <v>0</v>
      </c>
    </row>
    <row r="246" ht="13.5" customHeight="1">
      <c r="A246" s="424">
        <f>'Membership Application List'!A475</f>
        <v>45695.97185</v>
      </c>
      <c r="B246" s="443" t="str">
        <f t="shared" si="6"/>
        <v>February</v>
      </c>
      <c r="C246" s="443">
        <f t="shared" si="7"/>
        <v>2025</v>
      </c>
      <c r="D246" s="426" t="str">
        <f>'Membership Application List'!E475</f>
        <v>Jacob Sandoval</v>
      </c>
      <c r="E246" s="426">
        <f>IF('Membership Application List'!J475 = "Food/Litter Donation", 0, IF('Membership Application List'!J475 = "$15 Donation, Discord Verification", IF('Membership Application List'!N475 = TRUE, 15, 0)))</f>
        <v>15</v>
      </c>
      <c r="F246" s="426">
        <f>if('Membership Application List'!K475=TRUE, 5,0)</f>
        <v>0</v>
      </c>
      <c r="G246" s="426">
        <f t="shared" si="8"/>
        <v>15</v>
      </c>
      <c r="H246" s="427" t="str">
        <f>'Membership Application List'!L475</f>
        <v>Cashapp</v>
      </c>
      <c r="I246" s="428"/>
      <c r="J246" s="463">
        <v>51227.0</v>
      </c>
      <c r="K246" s="464">
        <f t="shared" ref="K246:O246" si="204">SUMIFS($G:$G, $H:$H, K$2, $B:$B, IF($J246&lt;&gt;"", TEXT($J246, "MMMM"), ""), $C:$C, YEAR($J246))</f>
        <v>0</v>
      </c>
      <c r="L246" s="464">
        <f t="shared" si="204"/>
        <v>0</v>
      </c>
      <c r="M246" s="464">
        <f t="shared" si="204"/>
        <v>0</v>
      </c>
      <c r="N246" s="464">
        <f t="shared" si="204"/>
        <v>0</v>
      </c>
      <c r="O246" s="465">
        <f t="shared" si="204"/>
        <v>0</v>
      </c>
      <c r="P246" s="414"/>
      <c r="Q246" s="414"/>
      <c r="R246" s="414"/>
      <c r="S246" s="445"/>
      <c r="T246" s="445"/>
      <c r="U246" s="445"/>
      <c r="V246" s="428"/>
      <c r="W246" s="463">
        <v>51227.0</v>
      </c>
      <c r="X246" s="469">
        <f>SUMIFS(Income!$G:$G,Income!$H:$H, X$2,Income!$F:$F, $V$1, Income!$B:$B, IF($W246&lt;&gt;"", TEXT($W246, "MMMM"), ""), Income!$C:$C, YEAR($W246))</f>
        <v>0</v>
      </c>
      <c r="Y246" s="469">
        <f>SUMIFS(Income!$G:$G,Income!$H:$H, Y$2,Income!$F:$F, $V$1, Income!$B:$B, IF($W246&lt;&gt;"", TEXT($W246, "MMMM"), ""), Income!$C:$C, YEAR($W246))</f>
        <v>0</v>
      </c>
      <c r="Z246" s="469">
        <f>SUMIFS(Income!$G:$G,Income!$H:$H, Z$2,Income!$F:$F, $V$1, Income!$B:$B, IF($W246&lt;&gt;"", TEXT($W246, "MMMM"), ""), Income!$C:$C, YEAR($W246))</f>
        <v>0</v>
      </c>
      <c r="AA246" s="469">
        <f>SUMIFS(Income!$G:$G,Income!$H:$H, AA$2,Income!$F:$F, $V$1, Income!$B:$B, IF($W246&lt;&gt;"", TEXT($W246, "MMMM"), ""), Income!$C:$C, YEAR($W246))</f>
        <v>0</v>
      </c>
      <c r="AB246" s="464">
        <f>SUMIFS(Income!$G:$G,Income!$H:$H, AB$2,Income!$F:$F, $V$1, Income!$B:$B, IF($W246&lt;&gt;"", TEXT($W246, "MMMM"), ""), Income!$C:$C, YEAR($W246))</f>
        <v>0</v>
      </c>
      <c r="AC246" s="469">
        <f>SUMIFS(Income!$G:$G,Income!$H:$H, AC$2,Income!$F:$F, $V$1, Income!$B:$B, IF($W246&lt;&gt;"", TEXT($W246, "MMMM"), ""), Income!$C:$C, YEAR($W246))</f>
        <v>0</v>
      </c>
      <c r="AD246" s="428"/>
      <c r="AE246" s="463">
        <v>51227.0</v>
      </c>
      <c r="AF246" s="469">
        <f>SUMIFS(Income!$G:$G,Income!$H:$H, AF$2,Income!$F:$F, $AD$1, Income!$B:$B, IF($AE246&lt;&gt;"", TEXT($AE246, "MMMM"), ""), Income!$C:$C, YEAR($AE246))</f>
        <v>0</v>
      </c>
      <c r="AG246" s="469">
        <f>SUMIFS(Income!$G:$G,Income!$H:$H, AG$2,Income!$F:$F, $AD$1, Income!$B:$B, IF($AE246&lt;&gt;"", TEXT($AE246, "MMMM"), ""), Income!$C:$C, YEAR($AE246))</f>
        <v>0</v>
      </c>
      <c r="AH246" s="469">
        <f>SUMIFS(Income!$G:$G,Income!$H:$H, AH$2,Income!$F:$F, $AD$1, Income!$B:$B, IF($AE246&lt;&gt;"", TEXT($AE246, "MMMM"), ""), Income!$C:$C, YEAR($AE246))</f>
        <v>0</v>
      </c>
      <c r="AI246" s="469">
        <f>SUMIFS(Income!$G:$G,Income!$H:$H, AI$2,Income!$F:$F, $AD$1, Income!$B:$B, IF($AE246&lt;&gt;"", TEXT($AE246, "MMMM"), ""), Income!$C:$C, YEAR($AE246))</f>
        <v>0</v>
      </c>
      <c r="AJ246" s="464">
        <f>SUMIFS(Income!$G:$G,Income!$H:$H, AJ$2,Income!$F:$F, $AD$1, Income!$B:$B, IF($AE246&lt;&gt;"", TEXT($AE246, "MMMM"), ""), Income!$C:$C, YEAR($AE246))</f>
        <v>0</v>
      </c>
      <c r="AK246" s="469">
        <f>SUMIFS(Income!$G:$G,Income!$H:$H, AK$2,Income!$F:$F, $AD$1, Income!$B:$B, IF($AE246&lt;&gt;"", TEXT($AE246, "MMMM"), ""), Income!$C:$C, YEAR($AE246))</f>
        <v>0</v>
      </c>
      <c r="AL246" s="428"/>
      <c r="AM246" s="463">
        <v>51227.0</v>
      </c>
      <c r="AN246" s="464">
        <f>SUMIFS(Income!$G:$G,Income!$H:$H, AN$2,Income!$F:$F, $AL$1, Income!$B:$B, IF($AM246&lt;&gt;"", TEXT($AM246, "MMMM"), ""), Income!$C:$C, YEAR($AM246))+SUMIFS($T:$T, $U:$U,AN$2,$Q:$Q,IF($AM246&lt;&gt;"", TEXT($AM246, "MMMM"), ""),$R:$R,YEAR($AM246))</f>
        <v>0</v>
      </c>
      <c r="AO246" s="464">
        <f>SUMIFS(Income!$G:$G,Income!$H:$H, AO$2,Income!$F:$F, $AL$1, Income!$B:$B, IF($AM246&lt;&gt;"", TEXT($AM246, "MMMM"), ""), Income!$C:$C, YEAR($AM246))+SUMIFS($T:$T, $U:$U,AO$2,$Q:$Q,IF($AM246&lt;&gt;"", TEXT($AM246, "MMMM"), ""),$R:$R,YEAR($AM246))</f>
        <v>0</v>
      </c>
      <c r="AP246" s="464">
        <f>SUMIFS(Income!$G:$G,Income!$H:$H, AP$2,Income!$F:$F, $AL$1, Income!$B:$B, IF($AM246&lt;&gt;"", TEXT($AM246, "MMMM"), ""), Income!$C:$C, YEAR($AM246))+SUMIFS($T:$T, $U:$U,AP$2,$Q:$Q,IF($AM246&lt;&gt;"", TEXT($AM246, "MMMM"), ""),$R:$R,YEAR($AM246))</f>
        <v>0</v>
      </c>
      <c r="AQ246" s="464">
        <f>SUMIFS(Income!$G:$G,Income!$H:$H, AQ$2,Income!$F:$F, $AL$1, Income!$B:$B, IF($AM246&lt;&gt;"", TEXT($AM246, "MMMM"), ""), Income!$C:$C, YEAR($AM246))+SUMIFS($T:$T, $U:$U,AQ$2,$Q:$Q,IF($AM246&lt;&gt;"", TEXT($AM246, "MMMM"), ""),$R:$R,YEAR($AM246))</f>
        <v>0</v>
      </c>
      <c r="AR246" s="464">
        <f>SUMIFS(Income!$G:$G,Income!$H:$H, AR$2,Income!$F:$F, $AL$1, Income!$B:$B, IF($AM246&lt;&gt;"", TEXT($AM246, "MMMM"), ""), Income!$C:$C, YEAR($AM246))+SUMIFS($T:$T, $U:$U,AR$2,$Q:$Q,IF($AM246&lt;&gt;"", TEXT($AM246, "MMMM"), ""),$R:$R,YEAR($AM246))</f>
        <v>0</v>
      </c>
      <c r="AS246" s="464">
        <f>SUMIFS(Income!$G:$G,Income!$H:$H, AS$2,Income!$F:$F, $AL$1, Income!$B:$B, IF($AM246&lt;&gt;"", TEXT($AM246, "MMMM"), ""), Income!$C:$C, YEAR($AM246))+SUMIFS($T:$T, $U:$U,AS$2,$Q:$Q,IF($AM246&lt;&gt;"", TEXT($AM246, "MMMM"), ""),$R:$R,YEAR($AM246))</f>
        <v>0</v>
      </c>
      <c r="AT246" s="428"/>
      <c r="AU246" s="463">
        <v>51227.0</v>
      </c>
      <c r="AV246" s="469">
        <f>SUMIFS(Income!$G:$G,Income!$H:$H, AV$2,Income!$F:$F, $AT$1, Income!$B:$B, IF($AU246&lt;&gt;"", TEXT($AU246, "MMMM"), ""), Income!$C:$C, YEAR($AU246))</f>
        <v>0</v>
      </c>
      <c r="AW246" s="469">
        <f>SUMIFS(Income!$G:$G,Income!$H:$H, AW$2,Income!$F:$F, $AT$1, Income!$B:$B, IF($AU246&lt;&gt;"", TEXT($AU246, "MMMM"), ""), Income!$C:$C, YEAR($AU246))</f>
        <v>0</v>
      </c>
      <c r="AX246" s="469">
        <f>SUMIFS(Income!$G:$G,Income!$H:$H, AX$2,Income!$F:$F, $AT$1, Income!$B:$B, IF($AU246&lt;&gt;"", TEXT($AU246, "MMMM"), ""), Income!$C:$C, YEAR($AU246))</f>
        <v>0</v>
      </c>
      <c r="AY246" s="469">
        <f>SUMIFS(Income!$G:$G,Income!$H:$H, AY$2,Income!$F:$F, $AT$1, Income!$B:$B, IF($AU246&lt;&gt;"", TEXT($AU246, "MMMM"), ""), Income!$C:$C, YEAR($AU246))</f>
        <v>0</v>
      </c>
      <c r="AZ246" s="464">
        <f>SUMIFS(Income!$G:$G,Income!$H:$H, AZ$2,Income!$F:$F, $AT$1, Income!$B:$B, IF($AU246&lt;&gt;"", TEXT($AU246, "MMMM"), ""), Income!$C:$C, YEAR($AU246))</f>
        <v>0</v>
      </c>
      <c r="BA246" s="471">
        <f>SUMIFS(Income!$G:$G,Income!$H:$H, BA$2,Income!$F:$F, $AT$1, Income!$B:$B, IF($AU246&lt;&gt;"", TEXT($AU246, "MMMM"), ""), Income!$C:$C, YEAR($AU246))</f>
        <v>0</v>
      </c>
    </row>
    <row r="247" ht="13.5" customHeight="1">
      <c r="A247" s="436">
        <f>'Membership Application List'!A476</f>
        <v>45695.97771</v>
      </c>
      <c r="B247" s="437" t="str">
        <f t="shared" si="6"/>
        <v>February</v>
      </c>
      <c r="C247" s="437">
        <f t="shared" si="7"/>
        <v>2025</v>
      </c>
      <c r="D247" s="438" t="str">
        <f>'Membership Application List'!E476</f>
        <v>Mario Rodriguez</v>
      </c>
      <c r="E247" s="438">
        <f>IF('Membership Application List'!J476 = "Food/Litter Donation", 0, IF('Membership Application List'!J476 = "$15 Donation, Discord Verification", IF('Membership Application List'!N476 = TRUE, 15, 0)))</f>
        <v>15</v>
      </c>
      <c r="F247" s="438">
        <f>if('Membership Application List'!K476=TRUE, 5,0)</f>
        <v>0</v>
      </c>
      <c r="G247" s="438">
        <f t="shared" si="8"/>
        <v>15</v>
      </c>
      <c r="H247" s="439" t="str">
        <f>'Membership Application List'!L476</f>
        <v>Cashapp</v>
      </c>
      <c r="I247" s="428"/>
      <c r="J247" s="463">
        <v>51257.0</v>
      </c>
      <c r="K247" s="464">
        <f t="shared" ref="K247:O247" si="205">SUMIFS($G:$G, $H:$H, K$2, $B:$B, IF($J247&lt;&gt;"", TEXT($J247, "MMMM"), ""), $C:$C, YEAR($J247))</f>
        <v>0</v>
      </c>
      <c r="L247" s="464">
        <f t="shared" si="205"/>
        <v>0</v>
      </c>
      <c r="M247" s="464">
        <f t="shared" si="205"/>
        <v>0</v>
      </c>
      <c r="N247" s="464">
        <f t="shared" si="205"/>
        <v>0</v>
      </c>
      <c r="O247" s="465">
        <f t="shared" si="205"/>
        <v>0</v>
      </c>
      <c r="P247" s="414"/>
      <c r="Q247" s="414"/>
      <c r="R247" s="414"/>
      <c r="S247" s="445"/>
      <c r="T247" s="445"/>
      <c r="U247" s="445"/>
      <c r="V247" s="428"/>
      <c r="W247" s="463">
        <v>51257.0</v>
      </c>
      <c r="X247" s="469">
        <f>SUMIFS(Income!$G:$G,Income!$H:$H, X$2,Income!$F:$F, $V$1, Income!$B:$B, IF($W247&lt;&gt;"", TEXT($W247, "MMMM"), ""), Income!$C:$C, YEAR($W247))</f>
        <v>0</v>
      </c>
      <c r="Y247" s="469">
        <f>SUMIFS(Income!$G:$G,Income!$H:$H, Y$2,Income!$F:$F, $V$1, Income!$B:$B, IF($W247&lt;&gt;"", TEXT($W247, "MMMM"), ""), Income!$C:$C, YEAR($W247))</f>
        <v>0</v>
      </c>
      <c r="Z247" s="469">
        <f>SUMIFS(Income!$G:$G,Income!$H:$H, Z$2,Income!$F:$F, $V$1, Income!$B:$B, IF($W247&lt;&gt;"", TEXT($W247, "MMMM"), ""), Income!$C:$C, YEAR($W247))</f>
        <v>0</v>
      </c>
      <c r="AA247" s="469">
        <f>SUMIFS(Income!$G:$G,Income!$H:$H, AA$2,Income!$F:$F, $V$1, Income!$B:$B, IF($W247&lt;&gt;"", TEXT($W247, "MMMM"), ""), Income!$C:$C, YEAR($W247))</f>
        <v>0</v>
      </c>
      <c r="AB247" s="464">
        <f>SUMIFS(Income!$G:$G,Income!$H:$H, AB$2,Income!$F:$F, $V$1, Income!$B:$B, IF($W247&lt;&gt;"", TEXT($W247, "MMMM"), ""), Income!$C:$C, YEAR($W247))</f>
        <v>0</v>
      </c>
      <c r="AC247" s="469">
        <f>SUMIFS(Income!$G:$G,Income!$H:$H, AC$2,Income!$F:$F, $V$1, Income!$B:$B, IF($W247&lt;&gt;"", TEXT($W247, "MMMM"), ""), Income!$C:$C, YEAR($W247))</f>
        <v>0</v>
      </c>
      <c r="AD247" s="428"/>
      <c r="AE247" s="463">
        <v>51257.0</v>
      </c>
      <c r="AF247" s="469">
        <f>SUMIFS(Income!$G:$G,Income!$H:$H, AF$2,Income!$F:$F, $AD$1, Income!$B:$B, IF($AE247&lt;&gt;"", TEXT($AE247, "MMMM"), ""), Income!$C:$C, YEAR($AE247))</f>
        <v>0</v>
      </c>
      <c r="AG247" s="469">
        <f>SUMIFS(Income!$G:$G,Income!$H:$H, AG$2,Income!$F:$F, $AD$1, Income!$B:$B, IF($AE247&lt;&gt;"", TEXT($AE247, "MMMM"), ""), Income!$C:$C, YEAR($AE247))</f>
        <v>0</v>
      </c>
      <c r="AH247" s="469">
        <f>SUMIFS(Income!$G:$G,Income!$H:$H, AH$2,Income!$F:$F, $AD$1, Income!$B:$B, IF($AE247&lt;&gt;"", TEXT($AE247, "MMMM"), ""), Income!$C:$C, YEAR($AE247))</f>
        <v>0</v>
      </c>
      <c r="AI247" s="469">
        <f>SUMIFS(Income!$G:$G,Income!$H:$H, AI$2,Income!$F:$F, $AD$1, Income!$B:$B, IF($AE247&lt;&gt;"", TEXT($AE247, "MMMM"), ""), Income!$C:$C, YEAR($AE247))</f>
        <v>0</v>
      </c>
      <c r="AJ247" s="464">
        <f>SUMIFS(Income!$G:$G,Income!$H:$H, AJ$2,Income!$F:$F, $AD$1, Income!$B:$B, IF($AE247&lt;&gt;"", TEXT($AE247, "MMMM"), ""), Income!$C:$C, YEAR($AE247))</f>
        <v>0</v>
      </c>
      <c r="AK247" s="469">
        <f>SUMIFS(Income!$G:$G,Income!$H:$H, AK$2,Income!$F:$F, $AD$1, Income!$B:$B, IF($AE247&lt;&gt;"", TEXT($AE247, "MMMM"), ""), Income!$C:$C, YEAR($AE247))</f>
        <v>0</v>
      </c>
      <c r="AL247" s="428"/>
      <c r="AM247" s="463">
        <v>51257.0</v>
      </c>
      <c r="AN247" s="464">
        <f>SUMIFS(Income!$G:$G,Income!$H:$H, AN$2,Income!$F:$F, $AL$1, Income!$B:$B, IF($AM247&lt;&gt;"", TEXT($AM247, "MMMM"), ""), Income!$C:$C, YEAR($AM247))+SUMIFS($T:$T, $U:$U,AN$2,$Q:$Q,IF($AM247&lt;&gt;"", TEXT($AM247, "MMMM"), ""),$R:$R,YEAR($AM247))</f>
        <v>0</v>
      </c>
      <c r="AO247" s="464">
        <f>SUMIFS(Income!$G:$G,Income!$H:$H, AO$2,Income!$F:$F, $AL$1, Income!$B:$B, IF($AM247&lt;&gt;"", TEXT($AM247, "MMMM"), ""), Income!$C:$C, YEAR($AM247))+SUMIFS($T:$T, $U:$U,AO$2,$Q:$Q,IF($AM247&lt;&gt;"", TEXT($AM247, "MMMM"), ""),$R:$R,YEAR($AM247))</f>
        <v>0</v>
      </c>
      <c r="AP247" s="464">
        <f>SUMIFS(Income!$G:$G,Income!$H:$H, AP$2,Income!$F:$F, $AL$1, Income!$B:$B, IF($AM247&lt;&gt;"", TEXT($AM247, "MMMM"), ""), Income!$C:$C, YEAR($AM247))+SUMIFS($T:$T, $U:$U,AP$2,$Q:$Q,IF($AM247&lt;&gt;"", TEXT($AM247, "MMMM"), ""),$R:$R,YEAR($AM247))</f>
        <v>0</v>
      </c>
      <c r="AQ247" s="464">
        <f>SUMIFS(Income!$G:$G,Income!$H:$H, AQ$2,Income!$F:$F, $AL$1, Income!$B:$B, IF($AM247&lt;&gt;"", TEXT($AM247, "MMMM"), ""), Income!$C:$C, YEAR($AM247))+SUMIFS($T:$T, $U:$U,AQ$2,$Q:$Q,IF($AM247&lt;&gt;"", TEXT($AM247, "MMMM"), ""),$R:$R,YEAR($AM247))</f>
        <v>0</v>
      </c>
      <c r="AR247" s="464">
        <f>SUMIFS(Income!$G:$G,Income!$H:$H, AR$2,Income!$F:$F, $AL$1, Income!$B:$B, IF($AM247&lt;&gt;"", TEXT($AM247, "MMMM"), ""), Income!$C:$C, YEAR($AM247))+SUMIFS($T:$T, $U:$U,AR$2,$Q:$Q,IF($AM247&lt;&gt;"", TEXT($AM247, "MMMM"), ""),$R:$R,YEAR($AM247))</f>
        <v>0</v>
      </c>
      <c r="AS247" s="464">
        <f>SUMIFS(Income!$G:$G,Income!$H:$H, AS$2,Income!$F:$F, $AL$1, Income!$B:$B, IF($AM247&lt;&gt;"", TEXT($AM247, "MMMM"), ""), Income!$C:$C, YEAR($AM247))+SUMIFS($T:$T, $U:$U,AS$2,$Q:$Q,IF($AM247&lt;&gt;"", TEXT($AM247, "MMMM"), ""),$R:$R,YEAR($AM247))</f>
        <v>0</v>
      </c>
      <c r="AT247" s="428"/>
      <c r="AU247" s="463">
        <v>51257.0</v>
      </c>
      <c r="AV247" s="469">
        <f>SUMIFS(Income!$G:$G,Income!$H:$H, AV$2,Income!$F:$F, $AT$1, Income!$B:$B, IF($AU247&lt;&gt;"", TEXT($AU247, "MMMM"), ""), Income!$C:$C, YEAR($AU247))</f>
        <v>0</v>
      </c>
      <c r="AW247" s="469">
        <f>SUMIFS(Income!$G:$G,Income!$H:$H, AW$2,Income!$F:$F, $AT$1, Income!$B:$B, IF($AU247&lt;&gt;"", TEXT($AU247, "MMMM"), ""), Income!$C:$C, YEAR($AU247))</f>
        <v>0</v>
      </c>
      <c r="AX247" s="469">
        <f>SUMIFS(Income!$G:$G,Income!$H:$H, AX$2,Income!$F:$F, $AT$1, Income!$B:$B, IF($AU247&lt;&gt;"", TEXT($AU247, "MMMM"), ""), Income!$C:$C, YEAR($AU247))</f>
        <v>0</v>
      </c>
      <c r="AY247" s="469">
        <f>SUMIFS(Income!$G:$G,Income!$H:$H, AY$2,Income!$F:$F, $AT$1, Income!$B:$B, IF($AU247&lt;&gt;"", TEXT($AU247, "MMMM"), ""), Income!$C:$C, YEAR($AU247))</f>
        <v>0</v>
      </c>
      <c r="AZ247" s="464">
        <f>SUMIFS(Income!$G:$G,Income!$H:$H, AZ$2,Income!$F:$F, $AT$1, Income!$B:$B, IF($AU247&lt;&gt;"", TEXT($AU247, "MMMM"), ""), Income!$C:$C, YEAR($AU247))</f>
        <v>0</v>
      </c>
      <c r="BA247" s="471">
        <f>SUMIFS(Income!$G:$G,Income!$H:$H, BA$2,Income!$F:$F, $AT$1, Income!$B:$B, IF($AU247&lt;&gt;"", TEXT($AU247, "MMMM"), ""), Income!$C:$C, YEAR($AU247))</f>
        <v>0</v>
      </c>
    </row>
    <row r="248" ht="13.5" customHeight="1">
      <c r="A248" s="424">
        <f>'Membership Application List'!A477</f>
        <v>45695.97799</v>
      </c>
      <c r="B248" s="443" t="str">
        <f t="shared" si="6"/>
        <v>February</v>
      </c>
      <c r="C248" s="443">
        <f t="shared" si="7"/>
        <v>2025</v>
      </c>
      <c r="D248" s="426" t="str">
        <f>'Membership Application List'!E477</f>
        <v>kaz schofield </v>
      </c>
      <c r="E248" s="426">
        <f>IF('Membership Application List'!J477 = "Food/Litter Donation", 0, IF('Membership Application List'!J477 = "$15 Donation, Discord Verification", IF('Membership Application List'!N477 = TRUE, 15, 0)))</f>
        <v>15</v>
      </c>
      <c r="F248" s="426">
        <f>if('Membership Application List'!K477=TRUE, 5,0)</f>
        <v>0</v>
      </c>
      <c r="G248" s="426">
        <f t="shared" si="8"/>
        <v>15</v>
      </c>
      <c r="H248" s="427" t="str">
        <f>'Membership Application List'!L477</f>
        <v>Paypal</v>
      </c>
      <c r="I248" s="447" t="s">
        <v>809</v>
      </c>
      <c r="J248" s="463">
        <v>51288.0</v>
      </c>
      <c r="K248" s="464">
        <f t="shared" ref="K248:O248" si="206">SUMIFS($G:$G, $H:$H, K$2, $B:$B, IF($J248&lt;&gt;"", TEXT($J248, "MMMM"), ""), $C:$C, YEAR($J248))</f>
        <v>0</v>
      </c>
      <c r="L248" s="464">
        <f t="shared" si="206"/>
        <v>0</v>
      </c>
      <c r="M248" s="464">
        <f t="shared" si="206"/>
        <v>0</v>
      </c>
      <c r="N248" s="464">
        <f t="shared" si="206"/>
        <v>0</v>
      </c>
      <c r="O248" s="465">
        <f t="shared" si="206"/>
        <v>0</v>
      </c>
      <c r="P248" s="414"/>
      <c r="Q248" s="414"/>
      <c r="R248" s="414"/>
      <c r="S248" s="445"/>
      <c r="T248" s="445"/>
      <c r="U248" s="445"/>
      <c r="V248" s="447" t="s">
        <v>809</v>
      </c>
      <c r="W248" s="463">
        <v>51288.0</v>
      </c>
      <c r="X248" s="469">
        <f>SUMIFS(Income!$G:$G,Income!$H:$H, X$2,Income!$F:$F, $V$1, Income!$B:$B, IF($W248&lt;&gt;"", TEXT($W248, "MMMM"), ""), Income!$C:$C, YEAR($W248))</f>
        <v>0</v>
      </c>
      <c r="Y248" s="469">
        <f>SUMIFS(Income!$G:$G,Income!$H:$H, Y$2,Income!$F:$F, $V$1, Income!$B:$B, IF($W248&lt;&gt;"", TEXT($W248, "MMMM"), ""), Income!$C:$C, YEAR($W248))</f>
        <v>0</v>
      </c>
      <c r="Z248" s="469">
        <f>SUMIFS(Income!$G:$G,Income!$H:$H, Z$2,Income!$F:$F, $V$1, Income!$B:$B, IF($W248&lt;&gt;"", TEXT($W248, "MMMM"), ""), Income!$C:$C, YEAR($W248))</f>
        <v>0</v>
      </c>
      <c r="AA248" s="469">
        <f>SUMIFS(Income!$G:$G,Income!$H:$H, AA$2,Income!$F:$F, $V$1, Income!$B:$B, IF($W248&lt;&gt;"", TEXT($W248, "MMMM"), ""), Income!$C:$C, YEAR($W248))</f>
        <v>0</v>
      </c>
      <c r="AB248" s="464">
        <f>SUMIFS(Income!$G:$G,Income!$H:$H, AB$2,Income!$F:$F, $V$1, Income!$B:$B, IF($W248&lt;&gt;"", TEXT($W248, "MMMM"), ""), Income!$C:$C, YEAR($W248))</f>
        <v>0</v>
      </c>
      <c r="AC248" s="469">
        <f>SUMIFS(Income!$G:$G,Income!$H:$H, AC$2,Income!$F:$F, $V$1, Income!$B:$B, IF($W248&lt;&gt;"", TEXT($W248, "MMMM"), ""), Income!$C:$C, YEAR($W248))</f>
        <v>0</v>
      </c>
      <c r="AD248" s="447" t="s">
        <v>809</v>
      </c>
      <c r="AE248" s="463">
        <v>51288.0</v>
      </c>
      <c r="AF248" s="469">
        <f>SUMIFS(Income!$G:$G,Income!$H:$H, AF$2,Income!$F:$F, $AD$1, Income!$B:$B, IF($AE248&lt;&gt;"", TEXT($AE248, "MMMM"), ""), Income!$C:$C, YEAR($AE248))</f>
        <v>0</v>
      </c>
      <c r="AG248" s="469">
        <f>SUMIFS(Income!$G:$G,Income!$H:$H, AG$2,Income!$F:$F, $AD$1, Income!$B:$B, IF($AE248&lt;&gt;"", TEXT($AE248, "MMMM"), ""), Income!$C:$C, YEAR($AE248))</f>
        <v>0</v>
      </c>
      <c r="AH248" s="469">
        <f>SUMIFS(Income!$G:$G,Income!$H:$H, AH$2,Income!$F:$F, $AD$1, Income!$B:$B, IF($AE248&lt;&gt;"", TEXT($AE248, "MMMM"), ""), Income!$C:$C, YEAR($AE248))</f>
        <v>0</v>
      </c>
      <c r="AI248" s="469">
        <f>SUMIFS(Income!$G:$G,Income!$H:$H, AI$2,Income!$F:$F, $AD$1, Income!$B:$B, IF($AE248&lt;&gt;"", TEXT($AE248, "MMMM"), ""), Income!$C:$C, YEAR($AE248))</f>
        <v>0</v>
      </c>
      <c r="AJ248" s="464">
        <f>SUMIFS(Income!$G:$G,Income!$H:$H, AJ$2,Income!$F:$F, $AD$1, Income!$B:$B, IF($AE248&lt;&gt;"", TEXT($AE248, "MMMM"), ""), Income!$C:$C, YEAR($AE248))</f>
        <v>0</v>
      </c>
      <c r="AK248" s="469">
        <f>SUMIFS(Income!$G:$G,Income!$H:$H, AK$2,Income!$F:$F, $AD$1, Income!$B:$B, IF($AE248&lt;&gt;"", TEXT($AE248, "MMMM"), ""), Income!$C:$C, YEAR($AE248))</f>
        <v>0</v>
      </c>
      <c r="AL248" s="447" t="s">
        <v>809</v>
      </c>
      <c r="AM248" s="463">
        <v>51288.0</v>
      </c>
      <c r="AN248" s="464">
        <f>SUMIFS(Income!$G:$G,Income!$H:$H, AN$2,Income!$F:$F, $AL$1, Income!$B:$B, IF($AM248&lt;&gt;"", TEXT($AM248, "MMMM"), ""), Income!$C:$C, YEAR($AM248))+SUMIFS($T:$T, $U:$U,AN$2,$Q:$Q,IF($AM248&lt;&gt;"", TEXT($AM248, "MMMM"), ""),$R:$R,YEAR($AM248))</f>
        <v>0</v>
      </c>
      <c r="AO248" s="464">
        <f>SUMIFS(Income!$G:$G,Income!$H:$H, AO$2,Income!$F:$F, $AL$1, Income!$B:$B, IF($AM248&lt;&gt;"", TEXT($AM248, "MMMM"), ""), Income!$C:$C, YEAR($AM248))+SUMIFS($T:$T, $U:$U,AO$2,$Q:$Q,IF($AM248&lt;&gt;"", TEXT($AM248, "MMMM"), ""),$R:$R,YEAR($AM248))</f>
        <v>0</v>
      </c>
      <c r="AP248" s="464">
        <f>SUMIFS(Income!$G:$G,Income!$H:$H, AP$2,Income!$F:$F, $AL$1, Income!$B:$B, IF($AM248&lt;&gt;"", TEXT($AM248, "MMMM"), ""), Income!$C:$C, YEAR($AM248))+SUMIFS($T:$T, $U:$U,AP$2,$Q:$Q,IF($AM248&lt;&gt;"", TEXT($AM248, "MMMM"), ""),$R:$R,YEAR($AM248))</f>
        <v>0</v>
      </c>
      <c r="AQ248" s="464">
        <f>SUMIFS(Income!$G:$G,Income!$H:$H, AQ$2,Income!$F:$F, $AL$1, Income!$B:$B, IF($AM248&lt;&gt;"", TEXT($AM248, "MMMM"), ""), Income!$C:$C, YEAR($AM248))+SUMIFS($T:$T, $U:$U,AQ$2,$Q:$Q,IF($AM248&lt;&gt;"", TEXT($AM248, "MMMM"), ""),$R:$R,YEAR($AM248))</f>
        <v>0</v>
      </c>
      <c r="AR248" s="464">
        <f>SUMIFS(Income!$G:$G,Income!$H:$H, AR$2,Income!$F:$F, $AL$1, Income!$B:$B, IF($AM248&lt;&gt;"", TEXT($AM248, "MMMM"), ""), Income!$C:$C, YEAR($AM248))+SUMIFS($T:$T, $U:$U,AR$2,$Q:$Q,IF($AM248&lt;&gt;"", TEXT($AM248, "MMMM"), ""),$R:$R,YEAR($AM248))</f>
        <v>0</v>
      </c>
      <c r="AS248" s="464">
        <f>SUMIFS(Income!$G:$G,Income!$H:$H, AS$2,Income!$F:$F, $AL$1, Income!$B:$B, IF($AM248&lt;&gt;"", TEXT($AM248, "MMMM"), ""), Income!$C:$C, YEAR($AM248))+SUMIFS($T:$T, $U:$U,AS$2,$Q:$Q,IF($AM248&lt;&gt;"", TEXT($AM248, "MMMM"), ""),$R:$R,YEAR($AM248))</f>
        <v>0</v>
      </c>
      <c r="AT248" s="447" t="s">
        <v>809</v>
      </c>
      <c r="AU248" s="463">
        <v>51288.0</v>
      </c>
      <c r="AV248" s="469">
        <f>SUMIFS(Income!$G:$G,Income!$H:$H, AV$2,Income!$F:$F, $AT$1, Income!$B:$B, IF($AU248&lt;&gt;"", TEXT($AU248, "MMMM"), ""), Income!$C:$C, YEAR($AU248))</f>
        <v>0</v>
      </c>
      <c r="AW248" s="469">
        <f>SUMIFS(Income!$G:$G,Income!$H:$H, AW$2,Income!$F:$F, $AT$1, Income!$B:$B, IF($AU248&lt;&gt;"", TEXT($AU248, "MMMM"), ""), Income!$C:$C, YEAR($AU248))</f>
        <v>0</v>
      </c>
      <c r="AX248" s="469">
        <f>SUMIFS(Income!$G:$G,Income!$H:$H, AX$2,Income!$F:$F, $AT$1, Income!$B:$B, IF($AU248&lt;&gt;"", TEXT($AU248, "MMMM"), ""), Income!$C:$C, YEAR($AU248))</f>
        <v>0</v>
      </c>
      <c r="AY248" s="469">
        <f>SUMIFS(Income!$G:$G,Income!$H:$H, AY$2,Income!$F:$F, $AT$1, Income!$B:$B, IF($AU248&lt;&gt;"", TEXT($AU248, "MMMM"), ""), Income!$C:$C, YEAR($AU248))</f>
        <v>0</v>
      </c>
      <c r="AZ248" s="464">
        <f>SUMIFS(Income!$G:$G,Income!$H:$H, AZ$2,Income!$F:$F, $AT$1, Income!$B:$B, IF($AU248&lt;&gt;"", TEXT($AU248, "MMMM"), ""), Income!$C:$C, YEAR($AU248))</f>
        <v>0</v>
      </c>
      <c r="BA248" s="471">
        <f>SUMIFS(Income!$G:$G,Income!$H:$H, BA$2,Income!$F:$F, $AT$1, Income!$B:$B, IF($AU248&lt;&gt;"", TEXT($AU248, "MMMM"), ""), Income!$C:$C, YEAR($AU248))</f>
        <v>0</v>
      </c>
    </row>
    <row r="249" ht="13.5" customHeight="1">
      <c r="A249" s="436">
        <f>'Membership Application List'!A478</f>
        <v>45696.31462</v>
      </c>
      <c r="B249" s="437" t="str">
        <f t="shared" si="6"/>
        <v>February</v>
      </c>
      <c r="C249" s="437">
        <f t="shared" si="7"/>
        <v>2025</v>
      </c>
      <c r="D249" s="438" t="str">
        <f>'Membership Application List'!E478</f>
        <v>Samantha Castellanos</v>
      </c>
      <c r="E249" s="438">
        <f>IF('Membership Application List'!J478 = "Food/Litter Donation", 0, IF('Membership Application List'!J478 = "$15 Donation, Discord Verification", IF('Membership Application List'!N478 = TRUE, 15, 0)))</f>
        <v>15</v>
      </c>
      <c r="F249" s="438">
        <f>if('Membership Application List'!K478=TRUE, 5,0)</f>
        <v>0</v>
      </c>
      <c r="G249" s="438">
        <f t="shared" si="8"/>
        <v>15</v>
      </c>
      <c r="H249" s="439" t="str">
        <f>'Membership Application List'!L478</f>
        <v>Cashapp</v>
      </c>
      <c r="I249" s="428"/>
      <c r="J249" s="463">
        <v>51318.0</v>
      </c>
      <c r="K249" s="464">
        <f t="shared" ref="K249:O249" si="207">SUMIFS($G:$G, $H:$H, K$2, $B:$B, IF($J249&lt;&gt;"", TEXT($J249, "MMMM"), ""), $C:$C, YEAR($J249))</f>
        <v>0</v>
      </c>
      <c r="L249" s="464">
        <f t="shared" si="207"/>
        <v>0</v>
      </c>
      <c r="M249" s="464">
        <f t="shared" si="207"/>
        <v>0</v>
      </c>
      <c r="N249" s="464">
        <f t="shared" si="207"/>
        <v>0</v>
      </c>
      <c r="O249" s="465">
        <f t="shared" si="207"/>
        <v>0</v>
      </c>
      <c r="P249" s="414"/>
      <c r="Q249" s="414"/>
      <c r="R249" s="414"/>
      <c r="S249" s="445"/>
      <c r="T249" s="445"/>
      <c r="U249" s="445"/>
      <c r="V249" s="428"/>
      <c r="W249" s="463">
        <v>51318.0</v>
      </c>
      <c r="X249" s="469">
        <f>SUMIFS(Income!$G:$G,Income!$H:$H, X$2,Income!$F:$F, $V$1, Income!$B:$B, IF($W249&lt;&gt;"", TEXT($W249, "MMMM"), ""), Income!$C:$C, YEAR($W249))</f>
        <v>0</v>
      </c>
      <c r="Y249" s="469">
        <f>SUMIFS(Income!$G:$G,Income!$H:$H, Y$2,Income!$F:$F, $V$1, Income!$B:$B, IF($W249&lt;&gt;"", TEXT($W249, "MMMM"), ""), Income!$C:$C, YEAR($W249))</f>
        <v>0</v>
      </c>
      <c r="Z249" s="469">
        <f>SUMIFS(Income!$G:$G,Income!$H:$H, Z$2,Income!$F:$F, $V$1, Income!$B:$B, IF($W249&lt;&gt;"", TEXT($W249, "MMMM"), ""), Income!$C:$C, YEAR($W249))</f>
        <v>0</v>
      </c>
      <c r="AA249" s="469">
        <f>SUMIFS(Income!$G:$G,Income!$H:$H, AA$2,Income!$F:$F, $V$1, Income!$B:$B, IF($W249&lt;&gt;"", TEXT($W249, "MMMM"), ""), Income!$C:$C, YEAR($W249))</f>
        <v>0</v>
      </c>
      <c r="AB249" s="464">
        <f>SUMIFS(Income!$G:$G,Income!$H:$H, AB$2,Income!$F:$F, $V$1, Income!$B:$B, IF($W249&lt;&gt;"", TEXT($W249, "MMMM"), ""), Income!$C:$C, YEAR($W249))</f>
        <v>0</v>
      </c>
      <c r="AC249" s="469">
        <f>SUMIFS(Income!$G:$G,Income!$H:$H, AC$2,Income!$F:$F, $V$1, Income!$B:$B, IF($W249&lt;&gt;"", TEXT($W249, "MMMM"), ""), Income!$C:$C, YEAR($W249))</f>
        <v>0</v>
      </c>
      <c r="AD249" s="428"/>
      <c r="AE249" s="463">
        <v>51318.0</v>
      </c>
      <c r="AF249" s="469">
        <f>SUMIFS(Income!$G:$G,Income!$H:$H, AF$2,Income!$F:$F, $AD$1, Income!$B:$B, IF($AE249&lt;&gt;"", TEXT($AE249, "MMMM"), ""), Income!$C:$C, YEAR($AE249))</f>
        <v>0</v>
      </c>
      <c r="AG249" s="469">
        <f>SUMIFS(Income!$G:$G,Income!$H:$H, AG$2,Income!$F:$F, $AD$1, Income!$B:$B, IF($AE249&lt;&gt;"", TEXT($AE249, "MMMM"), ""), Income!$C:$C, YEAR($AE249))</f>
        <v>0</v>
      </c>
      <c r="AH249" s="469">
        <f>SUMIFS(Income!$G:$G,Income!$H:$H, AH$2,Income!$F:$F, $AD$1, Income!$B:$B, IF($AE249&lt;&gt;"", TEXT($AE249, "MMMM"), ""), Income!$C:$C, YEAR($AE249))</f>
        <v>0</v>
      </c>
      <c r="AI249" s="469">
        <f>SUMIFS(Income!$G:$G,Income!$H:$H, AI$2,Income!$F:$F, $AD$1, Income!$B:$B, IF($AE249&lt;&gt;"", TEXT($AE249, "MMMM"), ""), Income!$C:$C, YEAR($AE249))</f>
        <v>0</v>
      </c>
      <c r="AJ249" s="464">
        <f>SUMIFS(Income!$G:$G,Income!$H:$H, AJ$2,Income!$F:$F, $AD$1, Income!$B:$B, IF($AE249&lt;&gt;"", TEXT($AE249, "MMMM"), ""), Income!$C:$C, YEAR($AE249))</f>
        <v>0</v>
      </c>
      <c r="AK249" s="469">
        <f>SUMIFS(Income!$G:$G,Income!$H:$H, AK$2,Income!$F:$F, $AD$1, Income!$B:$B, IF($AE249&lt;&gt;"", TEXT($AE249, "MMMM"), ""), Income!$C:$C, YEAR($AE249))</f>
        <v>0</v>
      </c>
      <c r="AL249" s="428"/>
      <c r="AM249" s="463">
        <v>51318.0</v>
      </c>
      <c r="AN249" s="464">
        <f>SUMIFS(Income!$G:$G,Income!$H:$H, AN$2,Income!$F:$F, $AL$1, Income!$B:$B, IF($AM249&lt;&gt;"", TEXT($AM249, "MMMM"), ""), Income!$C:$C, YEAR($AM249))+SUMIFS($T:$T, $U:$U,AN$2,$Q:$Q,IF($AM249&lt;&gt;"", TEXT($AM249, "MMMM"), ""),$R:$R,YEAR($AM249))</f>
        <v>0</v>
      </c>
      <c r="AO249" s="464">
        <f>SUMIFS(Income!$G:$G,Income!$H:$H, AO$2,Income!$F:$F, $AL$1, Income!$B:$B, IF($AM249&lt;&gt;"", TEXT($AM249, "MMMM"), ""), Income!$C:$C, YEAR($AM249))+SUMIFS($T:$T, $U:$U,AO$2,$Q:$Q,IF($AM249&lt;&gt;"", TEXT($AM249, "MMMM"), ""),$R:$R,YEAR($AM249))</f>
        <v>0</v>
      </c>
      <c r="AP249" s="464">
        <f>SUMIFS(Income!$G:$G,Income!$H:$H, AP$2,Income!$F:$F, $AL$1, Income!$B:$B, IF($AM249&lt;&gt;"", TEXT($AM249, "MMMM"), ""), Income!$C:$C, YEAR($AM249))+SUMIFS($T:$T, $U:$U,AP$2,$Q:$Q,IF($AM249&lt;&gt;"", TEXT($AM249, "MMMM"), ""),$R:$R,YEAR($AM249))</f>
        <v>0</v>
      </c>
      <c r="AQ249" s="464">
        <f>SUMIFS(Income!$G:$G,Income!$H:$H, AQ$2,Income!$F:$F, $AL$1, Income!$B:$B, IF($AM249&lt;&gt;"", TEXT($AM249, "MMMM"), ""), Income!$C:$C, YEAR($AM249))+SUMIFS($T:$T, $U:$U,AQ$2,$Q:$Q,IF($AM249&lt;&gt;"", TEXT($AM249, "MMMM"), ""),$R:$R,YEAR($AM249))</f>
        <v>0</v>
      </c>
      <c r="AR249" s="464">
        <f>SUMIFS(Income!$G:$G,Income!$H:$H, AR$2,Income!$F:$F, $AL$1, Income!$B:$B, IF($AM249&lt;&gt;"", TEXT($AM249, "MMMM"), ""), Income!$C:$C, YEAR($AM249))+SUMIFS($T:$T, $U:$U,AR$2,$Q:$Q,IF($AM249&lt;&gt;"", TEXT($AM249, "MMMM"), ""),$R:$R,YEAR($AM249))</f>
        <v>0</v>
      </c>
      <c r="AS249" s="464">
        <f>SUMIFS(Income!$G:$G,Income!$H:$H, AS$2,Income!$F:$F, $AL$1, Income!$B:$B, IF($AM249&lt;&gt;"", TEXT($AM249, "MMMM"), ""), Income!$C:$C, YEAR($AM249))+SUMIFS($T:$T, $U:$U,AS$2,$Q:$Q,IF($AM249&lt;&gt;"", TEXT($AM249, "MMMM"), ""),$R:$R,YEAR($AM249))</f>
        <v>0</v>
      </c>
      <c r="AT249" s="428"/>
      <c r="AU249" s="463">
        <v>51318.0</v>
      </c>
      <c r="AV249" s="469">
        <f>SUMIFS(Income!$G:$G,Income!$H:$H, AV$2,Income!$F:$F, $AT$1, Income!$B:$B, IF($AU249&lt;&gt;"", TEXT($AU249, "MMMM"), ""), Income!$C:$C, YEAR($AU249))</f>
        <v>0</v>
      </c>
      <c r="AW249" s="469">
        <f>SUMIFS(Income!$G:$G,Income!$H:$H, AW$2,Income!$F:$F, $AT$1, Income!$B:$B, IF($AU249&lt;&gt;"", TEXT($AU249, "MMMM"), ""), Income!$C:$C, YEAR($AU249))</f>
        <v>0</v>
      </c>
      <c r="AX249" s="469">
        <f>SUMIFS(Income!$G:$G,Income!$H:$H, AX$2,Income!$F:$F, $AT$1, Income!$B:$B, IF($AU249&lt;&gt;"", TEXT($AU249, "MMMM"), ""), Income!$C:$C, YEAR($AU249))</f>
        <v>0</v>
      </c>
      <c r="AY249" s="469">
        <f>SUMIFS(Income!$G:$G,Income!$H:$H, AY$2,Income!$F:$F, $AT$1, Income!$B:$B, IF($AU249&lt;&gt;"", TEXT($AU249, "MMMM"), ""), Income!$C:$C, YEAR($AU249))</f>
        <v>0</v>
      </c>
      <c r="AZ249" s="464">
        <f>SUMIFS(Income!$G:$G,Income!$H:$H, AZ$2,Income!$F:$F, $AT$1, Income!$B:$B, IF($AU249&lt;&gt;"", TEXT($AU249, "MMMM"), ""), Income!$C:$C, YEAR($AU249))</f>
        <v>0</v>
      </c>
      <c r="BA249" s="471">
        <f>SUMIFS(Income!$G:$G,Income!$H:$H, BA$2,Income!$F:$F, $AT$1, Income!$B:$B, IF($AU249&lt;&gt;"", TEXT($AU249, "MMMM"), ""), Income!$C:$C, YEAR($AU249))</f>
        <v>0</v>
      </c>
    </row>
    <row r="250" ht="13.5" customHeight="1">
      <c r="A250" s="424">
        <f>'Membership Application List'!A479</f>
        <v>45696.49819</v>
      </c>
      <c r="B250" s="443" t="str">
        <f t="shared" si="6"/>
        <v>February</v>
      </c>
      <c r="C250" s="443">
        <f t="shared" si="7"/>
        <v>2025</v>
      </c>
      <c r="D250" s="426" t="str">
        <f>'Membership Application List'!E479</f>
        <v>Brencis Le</v>
      </c>
      <c r="E250" s="426">
        <f>IF('Membership Application List'!J479 = "Food/Litter Donation", 0, IF('Membership Application List'!J479 = "$15 Donation, Discord Verification", IF('Membership Application List'!N479 = TRUE, 15, 0)))</f>
        <v>15</v>
      </c>
      <c r="F250" s="426">
        <f>if('Membership Application List'!K479=TRUE, 5,0)</f>
        <v>0</v>
      </c>
      <c r="G250" s="426">
        <f t="shared" si="8"/>
        <v>15</v>
      </c>
      <c r="H250" s="427" t="str">
        <f>'Membership Application List'!L479</f>
        <v>Venmo</v>
      </c>
      <c r="I250" s="428"/>
      <c r="J250" s="463">
        <v>51349.0</v>
      </c>
      <c r="K250" s="464">
        <f t="shared" ref="K250:O250" si="208">SUMIFS($G:$G, $H:$H, K$2, $B:$B, IF($J250&lt;&gt;"", TEXT($J250, "MMMM"), ""), $C:$C, YEAR($J250))</f>
        <v>0</v>
      </c>
      <c r="L250" s="464">
        <f t="shared" si="208"/>
        <v>0</v>
      </c>
      <c r="M250" s="464">
        <f t="shared" si="208"/>
        <v>0</v>
      </c>
      <c r="N250" s="464">
        <f t="shared" si="208"/>
        <v>0</v>
      </c>
      <c r="O250" s="465">
        <f t="shared" si="208"/>
        <v>0</v>
      </c>
      <c r="P250" s="414"/>
      <c r="Q250" s="414"/>
      <c r="R250" s="414"/>
      <c r="S250" s="445"/>
      <c r="T250" s="445"/>
      <c r="U250" s="445"/>
      <c r="V250" s="428"/>
      <c r="W250" s="463">
        <v>51349.0</v>
      </c>
      <c r="X250" s="469">
        <f>SUMIFS(Income!$G:$G,Income!$H:$H, X$2,Income!$F:$F, $V$1, Income!$B:$B, IF($W250&lt;&gt;"", TEXT($W250, "MMMM"), ""), Income!$C:$C, YEAR($W250))</f>
        <v>0</v>
      </c>
      <c r="Y250" s="469">
        <f>SUMIFS(Income!$G:$G,Income!$H:$H, Y$2,Income!$F:$F, $V$1, Income!$B:$B, IF($W250&lt;&gt;"", TEXT($W250, "MMMM"), ""), Income!$C:$C, YEAR($W250))</f>
        <v>0</v>
      </c>
      <c r="Z250" s="469">
        <f>SUMIFS(Income!$G:$G,Income!$H:$H, Z$2,Income!$F:$F, $V$1, Income!$B:$B, IF($W250&lt;&gt;"", TEXT($W250, "MMMM"), ""), Income!$C:$C, YEAR($W250))</f>
        <v>0</v>
      </c>
      <c r="AA250" s="469">
        <f>SUMIFS(Income!$G:$G,Income!$H:$H, AA$2,Income!$F:$F, $V$1, Income!$B:$B, IF($W250&lt;&gt;"", TEXT($W250, "MMMM"), ""), Income!$C:$C, YEAR($W250))</f>
        <v>0</v>
      </c>
      <c r="AB250" s="464">
        <f>SUMIFS(Income!$G:$G,Income!$H:$H, AB$2,Income!$F:$F, $V$1, Income!$B:$B, IF($W250&lt;&gt;"", TEXT($W250, "MMMM"), ""), Income!$C:$C, YEAR($W250))</f>
        <v>0</v>
      </c>
      <c r="AC250" s="469">
        <f>SUMIFS(Income!$G:$G,Income!$H:$H, AC$2,Income!$F:$F, $V$1, Income!$B:$B, IF($W250&lt;&gt;"", TEXT($W250, "MMMM"), ""), Income!$C:$C, YEAR($W250))</f>
        <v>0</v>
      </c>
      <c r="AD250" s="428"/>
      <c r="AE250" s="463">
        <v>51349.0</v>
      </c>
      <c r="AF250" s="469">
        <f>SUMIFS(Income!$G:$G,Income!$H:$H, AF$2,Income!$F:$F, $AD$1, Income!$B:$B, IF($AE250&lt;&gt;"", TEXT($AE250, "MMMM"), ""), Income!$C:$C, YEAR($AE250))</f>
        <v>0</v>
      </c>
      <c r="AG250" s="469">
        <f>SUMIFS(Income!$G:$G,Income!$H:$H, AG$2,Income!$F:$F, $AD$1, Income!$B:$B, IF($AE250&lt;&gt;"", TEXT($AE250, "MMMM"), ""), Income!$C:$C, YEAR($AE250))</f>
        <v>0</v>
      </c>
      <c r="AH250" s="469">
        <f>SUMIFS(Income!$G:$G,Income!$H:$H, AH$2,Income!$F:$F, $AD$1, Income!$B:$B, IF($AE250&lt;&gt;"", TEXT($AE250, "MMMM"), ""), Income!$C:$C, YEAR($AE250))</f>
        <v>0</v>
      </c>
      <c r="AI250" s="469">
        <f>SUMIFS(Income!$G:$G,Income!$H:$H, AI$2,Income!$F:$F, $AD$1, Income!$B:$B, IF($AE250&lt;&gt;"", TEXT($AE250, "MMMM"), ""), Income!$C:$C, YEAR($AE250))</f>
        <v>0</v>
      </c>
      <c r="AJ250" s="464">
        <f>SUMIFS(Income!$G:$G,Income!$H:$H, AJ$2,Income!$F:$F, $AD$1, Income!$B:$B, IF($AE250&lt;&gt;"", TEXT($AE250, "MMMM"), ""), Income!$C:$C, YEAR($AE250))</f>
        <v>0</v>
      </c>
      <c r="AK250" s="469">
        <f>SUMIFS(Income!$G:$G,Income!$H:$H, AK$2,Income!$F:$F, $AD$1, Income!$B:$B, IF($AE250&lt;&gt;"", TEXT($AE250, "MMMM"), ""), Income!$C:$C, YEAR($AE250))</f>
        <v>0</v>
      </c>
      <c r="AL250" s="428"/>
      <c r="AM250" s="463">
        <v>51349.0</v>
      </c>
      <c r="AN250" s="464">
        <f>SUMIFS(Income!$G:$G,Income!$H:$H, AN$2,Income!$F:$F, $AL$1, Income!$B:$B, IF($AM250&lt;&gt;"", TEXT($AM250, "MMMM"), ""), Income!$C:$C, YEAR($AM250))+SUMIFS($T:$T, $U:$U,AN$2,$Q:$Q,IF($AM250&lt;&gt;"", TEXT($AM250, "MMMM"), ""),$R:$R,YEAR($AM250))</f>
        <v>0</v>
      </c>
      <c r="AO250" s="464">
        <f>SUMIFS(Income!$G:$G,Income!$H:$H, AO$2,Income!$F:$F, $AL$1, Income!$B:$B, IF($AM250&lt;&gt;"", TEXT($AM250, "MMMM"), ""), Income!$C:$C, YEAR($AM250))+SUMIFS($T:$T, $U:$U,AO$2,$Q:$Q,IF($AM250&lt;&gt;"", TEXT($AM250, "MMMM"), ""),$R:$R,YEAR($AM250))</f>
        <v>0</v>
      </c>
      <c r="AP250" s="464">
        <f>SUMIFS(Income!$G:$G,Income!$H:$H, AP$2,Income!$F:$F, $AL$1, Income!$B:$B, IF($AM250&lt;&gt;"", TEXT($AM250, "MMMM"), ""), Income!$C:$C, YEAR($AM250))+SUMIFS($T:$T, $U:$U,AP$2,$Q:$Q,IF($AM250&lt;&gt;"", TEXT($AM250, "MMMM"), ""),$R:$R,YEAR($AM250))</f>
        <v>0</v>
      </c>
      <c r="AQ250" s="464">
        <f>SUMIFS(Income!$G:$G,Income!$H:$H, AQ$2,Income!$F:$F, $AL$1, Income!$B:$B, IF($AM250&lt;&gt;"", TEXT($AM250, "MMMM"), ""), Income!$C:$C, YEAR($AM250))+SUMIFS($T:$T, $U:$U,AQ$2,$Q:$Q,IF($AM250&lt;&gt;"", TEXT($AM250, "MMMM"), ""),$R:$R,YEAR($AM250))</f>
        <v>0</v>
      </c>
      <c r="AR250" s="464">
        <f>SUMIFS(Income!$G:$G,Income!$H:$H, AR$2,Income!$F:$F, $AL$1, Income!$B:$B, IF($AM250&lt;&gt;"", TEXT($AM250, "MMMM"), ""), Income!$C:$C, YEAR($AM250))+SUMIFS($T:$T, $U:$U,AR$2,$Q:$Q,IF($AM250&lt;&gt;"", TEXT($AM250, "MMMM"), ""),$R:$R,YEAR($AM250))</f>
        <v>0</v>
      </c>
      <c r="AS250" s="464">
        <f>SUMIFS(Income!$G:$G,Income!$H:$H, AS$2,Income!$F:$F, $AL$1, Income!$B:$B, IF($AM250&lt;&gt;"", TEXT($AM250, "MMMM"), ""), Income!$C:$C, YEAR($AM250))+SUMIFS($T:$T, $U:$U,AS$2,$Q:$Q,IF($AM250&lt;&gt;"", TEXT($AM250, "MMMM"), ""),$R:$R,YEAR($AM250))</f>
        <v>0</v>
      </c>
      <c r="AT250" s="428"/>
      <c r="AU250" s="463">
        <v>51349.0</v>
      </c>
      <c r="AV250" s="469">
        <f>SUMIFS(Income!$G:$G,Income!$H:$H, AV$2,Income!$F:$F, $AT$1, Income!$B:$B, IF($AU250&lt;&gt;"", TEXT($AU250, "MMMM"), ""), Income!$C:$C, YEAR($AU250))</f>
        <v>0</v>
      </c>
      <c r="AW250" s="469">
        <f>SUMIFS(Income!$G:$G,Income!$H:$H, AW$2,Income!$F:$F, $AT$1, Income!$B:$B, IF($AU250&lt;&gt;"", TEXT($AU250, "MMMM"), ""), Income!$C:$C, YEAR($AU250))</f>
        <v>0</v>
      </c>
      <c r="AX250" s="469">
        <f>SUMIFS(Income!$G:$G,Income!$H:$H, AX$2,Income!$F:$F, $AT$1, Income!$B:$B, IF($AU250&lt;&gt;"", TEXT($AU250, "MMMM"), ""), Income!$C:$C, YEAR($AU250))</f>
        <v>0</v>
      </c>
      <c r="AY250" s="469">
        <f>SUMIFS(Income!$G:$G,Income!$H:$H, AY$2,Income!$F:$F, $AT$1, Income!$B:$B, IF($AU250&lt;&gt;"", TEXT($AU250, "MMMM"), ""), Income!$C:$C, YEAR($AU250))</f>
        <v>0</v>
      </c>
      <c r="AZ250" s="464">
        <f>SUMIFS(Income!$G:$G,Income!$H:$H, AZ$2,Income!$F:$F, $AT$1, Income!$B:$B, IF($AU250&lt;&gt;"", TEXT($AU250, "MMMM"), ""), Income!$C:$C, YEAR($AU250))</f>
        <v>0</v>
      </c>
      <c r="BA250" s="471">
        <f>SUMIFS(Income!$G:$G,Income!$H:$H, BA$2,Income!$F:$F, $AT$1, Income!$B:$B, IF($AU250&lt;&gt;"", TEXT($AU250, "MMMM"), ""), Income!$C:$C, YEAR($AU250))</f>
        <v>0</v>
      </c>
    </row>
    <row r="251" ht="13.5" customHeight="1">
      <c r="A251" s="436">
        <f>'Membership Application List'!A480</f>
        <v>45696.57171</v>
      </c>
      <c r="B251" s="437" t="str">
        <f t="shared" si="6"/>
        <v>February</v>
      </c>
      <c r="C251" s="437">
        <f t="shared" si="7"/>
        <v>2025</v>
      </c>
      <c r="D251" s="438" t="str">
        <f>'Membership Application List'!E480</f>
        <v>Acacia Shiroma</v>
      </c>
      <c r="E251" s="438">
        <f>IF('Membership Application List'!J480 = "Food/Litter Donation", 0, IF('Membership Application List'!J480 = "$15 Donation, Discord Verification", IF('Membership Application List'!N480 = TRUE, 15, 0)))</f>
        <v>15</v>
      </c>
      <c r="F251" s="438">
        <f>if('Membership Application List'!K480=TRUE, 5,0)</f>
        <v>0</v>
      </c>
      <c r="G251" s="438">
        <f t="shared" si="8"/>
        <v>15</v>
      </c>
      <c r="H251" s="439" t="str">
        <f>'Membership Application List'!L480</f>
        <v>Paypal</v>
      </c>
      <c r="I251" s="428"/>
      <c r="J251" s="463">
        <v>51380.0</v>
      </c>
      <c r="K251" s="464">
        <f t="shared" ref="K251:O251" si="209">SUMIFS($G:$G, $H:$H, K$2, $B:$B, IF($J251&lt;&gt;"", TEXT($J251, "MMMM"), ""), $C:$C, YEAR($J251))</f>
        <v>0</v>
      </c>
      <c r="L251" s="464">
        <f t="shared" si="209"/>
        <v>0</v>
      </c>
      <c r="M251" s="464">
        <f t="shared" si="209"/>
        <v>0</v>
      </c>
      <c r="N251" s="464">
        <f t="shared" si="209"/>
        <v>0</v>
      </c>
      <c r="O251" s="465">
        <f t="shared" si="209"/>
        <v>0</v>
      </c>
      <c r="P251" s="414"/>
      <c r="Q251" s="414"/>
      <c r="R251" s="414"/>
      <c r="S251" s="445"/>
      <c r="T251" s="445"/>
      <c r="U251" s="445"/>
      <c r="V251" s="428"/>
      <c r="W251" s="463">
        <v>51380.0</v>
      </c>
      <c r="X251" s="469">
        <f>SUMIFS(Income!$G:$G,Income!$H:$H, X$2,Income!$F:$F, $V$1, Income!$B:$B, IF($W251&lt;&gt;"", TEXT($W251, "MMMM"), ""), Income!$C:$C, YEAR($W251))</f>
        <v>0</v>
      </c>
      <c r="Y251" s="469">
        <f>SUMIFS(Income!$G:$G,Income!$H:$H, Y$2,Income!$F:$F, $V$1, Income!$B:$B, IF($W251&lt;&gt;"", TEXT($W251, "MMMM"), ""), Income!$C:$C, YEAR($W251))</f>
        <v>0</v>
      </c>
      <c r="Z251" s="469">
        <f>SUMIFS(Income!$G:$G,Income!$H:$H, Z$2,Income!$F:$F, $V$1, Income!$B:$B, IF($W251&lt;&gt;"", TEXT($W251, "MMMM"), ""), Income!$C:$C, YEAR($W251))</f>
        <v>0</v>
      </c>
      <c r="AA251" s="469">
        <f>SUMIFS(Income!$G:$G,Income!$H:$H, AA$2,Income!$F:$F, $V$1, Income!$B:$B, IF($W251&lt;&gt;"", TEXT($W251, "MMMM"), ""), Income!$C:$C, YEAR($W251))</f>
        <v>0</v>
      </c>
      <c r="AB251" s="464">
        <f>SUMIFS(Income!$G:$G,Income!$H:$H, AB$2,Income!$F:$F, $V$1, Income!$B:$B, IF($W251&lt;&gt;"", TEXT($W251, "MMMM"), ""), Income!$C:$C, YEAR($W251))</f>
        <v>0</v>
      </c>
      <c r="AC251" s="469">
        <f>SUMIFS(Income!$G:$G,Income!$H:$H, AC$2,Income!$F:$F, $V$1, Income!$B:$B, IF($W251&lt;&gt;"", TEXT($W251, "MMMM"), ""), Income!$C:$C, YEAR($W251))</f>
        <v>0</v>
      </c>
      <c r="AD251" s="428"/>
      <c r="AE251" s="463">
        <v>51380.0</v>
      </c>
      <c r="AF251" s="469">
        <f>SUMIFS(Income!$G:$G,Income!$H:$H, AF$2,Income!$F:$F, $AD$1, Income!$B:$B, IF($AE251&lt;&gt;"", TEXT($AE251, "MMMM"), ""), Income!$C:$C, YEAR($AE251))</f>
        <v>0</v>
      </c>
      <c r="AG251" s="469">
        <f>SUMIFS(Income!$G:$G,Income!$H:$H, AG$2,Income!$F:$F, $AD$1, Income!$B:$B, IF($AE251&lt;&gt;"", TEXT($AE251, "MMMM"), ""), Income!$C:$C, YEAR($AE251))</f>
        <v>0</v>
      </c>
      <c r="AH251" s="469">
        <f>SUMIFS(Income!$G:$G,Income!$H:$H, AH$2,Income!$F:$F, $AD$1, Income!$B:$B, IF($AE251&lt;&gt;"", TEXT($AE251, "MMMM"), ""), Income!$C:$C, YEAR($AE251))</f>
        <v>0</v>
      </c>
      <c r="AI251" s="469">
        <f>SUMIFS(Income!$G:$G,Income!$H:$H, AI$2,Income!$F:$F, $AD$1, Income!$B:$B, IF($AE251&lt;&gt;"", TEXT($AE251, "MMMM"), ""), Income!$C:$C, YEAR($AE251))</f>
        <v>0</v>
      </c>
      <c r="AJ251" s="464">
        <f>SUMIFS(Income!$G:$G,Income!$H:$H, AJ$2,Income!$F:$F, $AD$1, Income!$B:$B, IF($AE251&lt;&gt;"", TEXT($AE251, "MMMM"), ""), Income!$C:$C, YEAR($AE251))</f>
        <v>0</v>
      </c>
      <c r="AK251" s="469">
        <f>SUMIFS(Income!$G:$G,Income!$H:$H, AK$2,Income!$F:$F, $AD$1, Income!$B:$B, IF($AE251&lt;&gt;"", TEXT($AE251, "MMMM"), ""), Income!$C:$C, YEAR($AE251))</f>
        <v>0</v>
      </c>
      <c r="AL251" s="428"/>
      <c r="AM251" s="463">
        <v>51380.0</v>
      </c>
      <c r="AN251" s="464">
        <f>SUMIFS(Income!$G:$G,Income!$H:$H, AN$2,Income!$F:$F, $AL$1, Income!$B:$B, IF($AM251&lt;&gt;"", TEXT($AM251, "MMMM"), ""), Income!$C:$C, YEAR($AM251))+SUMIFS($T:$T, $U:$U,AN$2,$Q:$Q,IF($AM251&lt;&gt;"", TEXT($AM251, "MMMM"), ""),$R:$R,YEAR($AM251))</f>
        <v>0</v>
      </c>
      <c r="AO251" s="464">
        <f>SUMIFS(Income!$G:$G,Income!$H:$H, AO$2,Income!$F:$F, $AL$1, Income!$B:$B, IF($AM251&lt;&gt;"", TEXT($AM251, "MMMM"), ""), Income!$C:$C, YEAR($AM251))+SUMIFS($T:$T, $U:$U,AO$2,$Q:$Q,IF($AM251&lt;&gt;"", TEXT($AM251, "MMMM"), ""),$R:$R,YEAR($AM251))</f>
        <v>0</v>
      </c>
      <c r="AP251" s="464">
        <f>SUMIFS(Income!$G:$G,Income!$H:$H, AP$2,Income!$F:$F, $AL$1, Income!$B:$B, IF($AM251&lt;&gt;"", TEXT($AM251, "MMMM"), ""), Income!$C:$C, YEAR($AM251))+SUMIFS($T:$T, $U:$U,AP$2,$Q:$Q,IF($AM251&lt;&gt;"", TEXT($AM251, "MMMM"), ""),$R:$R,YEAR($AM251))</f>
        <v>0</v>
      </c>
      <c r="AQ251" s="464">
        <f>SUMIFS(Income!$G:$G,Income!$H:$H, AQ$2,Income!$F:$F, $AL$1, Income!$B:$B, IF($AM251&lt;&gt;"", TEXT($AM251, "MMMM"), ""), Income!$C:$C, YEAR($AM251))+SUMIFS($T:$T, $U:$U,AQ$2,$Q:$Q,IF($AM251&lt;&gt;"", TEXT($AM251, "MMMM"), ""),$R:$R,YEAR($AM251))</f>
        <v>0</v>
      </c>
      <c r="AR251" s="464">
        <f>SUMIFS(Income!$G:$G,Income!$H:$H, AR$2,Income!$F:$F, $AL$1, Income!$B:$B, IF($AM251&lt;&gt;"", TEXT($AM251, "MMMM"), ""), Income!$C:$C, YEAR($AM251))+SUMIFS($T:$T, $U:$U,AR$2,$Q:$Q,IF($AM251&lt;&gt;"", TEXT($AM251, "MMMM"), ""),$R:$R,YEAR($AM251))</f>
        <v>0</v>
      </c>
      <c r="AS251" s="464">
        <f>SUMIFS(Income!$G:$G,Income!$H:$H, AS$2,Income!$F:$F, $AL$1, Income!$B:$B, IF($AM251&lt;&gt;"", TEXT($AM251, "MMMM"), ""), Income!$C:$C, YEAR($AM251))+SUMIFS($T:$T, $U:$U,AS$2,$Q:$Q,IF($AM251&lt;&gt;"", TEXT($AM251, "MMMM"), ""),$R:$R,YEAR($AM251))</f>
        <v>0</v>
      </c>
      <c r="AT251" s="428"/>
      <c r="AU251" s="463">
        <v>51380.0</v>
      </c>
      <c r="AV251" s="469">
        <f>SUMIFS(Income!$G:$G,Income!$H:$H, AV$2,Income!$F:$F, $AT$1, Income!$B:$B, IF($AU251&lt;&gt;"", TEXT($AU251, "MMMM"), ""), Income!$C:$C, YEAR($AU251))</f>
        <v>0</v>
      </c>
      <c r="AW251" s="469">
        <f>SUMIFS(Income!$G:$G,Income!$H:$H, AW$2,Income!$F:$F, $AT$1, Income!$B:$B, IF($AU251&lt;&gt;"", TEXT($AU251, "MMMM"), ""), Income!$C:$C, YEAR($AU251))</f>
        <v>0</v>
      </c>
      <c r="AX251" s="469">
        <f>SUMIFS(Income!$G:$G,Income!$H:$H, AX$2,Income!$F:$F, $AT$1, Income!$B:$B, IF($AU251&lt;&gt;"", TEXT($AU251, "MMMM"), ""), Income!$C:$C, YEAR($AU251))</f>
        <v>0</v>
      </c>
      <c r="AY251" s="469">
        <f>SUMIFS(Income!$G:$G,Income!$H:$H, AY$2,Income!$F:$F, $AT$1, Income!$B:$B, IF($AU251&lt;&gt;"", TEXT($AU251, "MMMM"), ""), Income!$C:$C, YEAR($AU251))</f>
        <v>0</v>
      </c>
      <c r="AZ251" s="464">
        <f>SUMIFS(Income!$G:$G,Income!$H:$H, AZ$2,Income!$F:$F, $AT$1, Income!$B:$B, IF($AU251&lt;&gt;"", TEXT($AU251, "MMMM"), ""), Income!$C:$C, YEAR($AU251))</f>
        <v>0</v>
      </c>
      <c r="BA251" s="471">
        <f>SUMIFS(Income!$G:$G,Income!$H:$H, BA$2,Income!$F:$F, $AT$1, Income!$B:$B, IF($AU251&lt;&gt;"", TEXT($AU251, "MMMM"), ""), Income!$C:$C, YEAR($AU251))</f>
        <v>0</v>
      </c>
    </row>
    <row r="252" ht="13.5" customHeight="1">
      <c r="A252" s="424">
        <f>'Membership Application List'!A481</f>
        <v>45696.72176</v>
      </c>
      <c r="B252" s="443" t="str">
        <f t="shared" si="6"/>
        <v>February</v>
      </c>
      <c r="C252" s="443">
        <f t="shared" si="7"/>
        <v>2025</v>
      </c>
      <c r="D252" s="426" t="str">
        <f>'Membership Application List'!E481</f>
        <v>Ash Camacho</v>
      </c>
      <c r="E252" s="426">
        <f>IF('Membership Application List'!J481 = "Food/Litter Donation", 0, IF('Membership Application List'!J481 = "$15 Donation, Discord Verification", IF('Membership Application List'!N481 = TRUE, 15, 0)))</f>
        <v>15</v>
      </c>
      <c r="F252" s="426">
        <f>if('Membership Application List'!K481=TRUE, 5,0)</f>
        <v>0</v>
      </c>
      <c r="G252" s="426">
        <f t="shared" si="8"/>
        <v>15</v>
      </c>
      <c r="H252" s="427" t="str">
        <f>'Membership Application List'!L481</f>
        <v>Cashapp</v>
      </c>
      <c r="I252" s="428"/>
      <c r="J252" s="463">
        <v>51410.0</v>
      </c>
      <c r="K252" s="464">
        <f t="shared" ref="K252:O252" si="210">SUMIFS($G:$G, $H:$H, K$2, $B:$B, IF($J252&lt;&gt;"", TEXT($J252, "MMMM"), ""), $C:$C, YEAR($J252))</f>
        <v>0</v>
      </c>
      <c r="L252" s="464">
        <f t="shared" si="210"/>
        <v>0</v>
      </c>
      <c r="M252" s="464">
        <f t="shared" si="210"/>
        <v>0</v>
      </c>
      <c r="N252" s="464">
        <f t="shared" si="210"/>
        <v>0</v>
      </c>
      <c r="O252" s="465">
        <f t="shared" si="210"/>
        <v>0</v>
      </c>
      <c r="P252" s="414"/>
      <c r="Q252" s="414"/>
      <c r="R252" s="414"/>
      <c r="S252" s="445"/>
      <c r="T252" s="445"/>
      <c r="U252" s="445"/>
      <c r="V252" s="428"/>
      <c r="W252" s="463">
        <v>51410.0</v>
      </c>
      <c r="X252" s="469">
        <f>SUMIFS(Income!$G:$G,Income!$H:$H, X$2,Income!$F:$F, $V$1, Income!$B:$B, IF($W252&lt;&gt;"", TEXT($W252, "MMMM"), ""), Income!$C:$C, YEAR($W252))</f>
        <v>0</v>
      </c>
      <c r="Y252" s="469">
        <f>SUMIFS(Income!$G:$G,Income!$H:$H, Y$2,Income!$F:$F, $V$1, Income!$B:$B, IF($W252&lt;&gt;"", TEXT($W252, "MMMM"), ""), Income!$C:$C, YEAR($W252))</f>
        <v>0</v>
      </c>
      <c r="Z252" s="469">
        <f>SUMIFS(Income!$G:$G,Income!$H:$H, Z$2,Income!$F:$F, $V$1, Income!$B:$B, IF($W252&lt;&gt;"", TEXT($W252, "MMMM"), ""), Income!$C:$C, YEAR($W252))</f>
        <v>0</v>
      </c>
      <c r="AA252" s="469">
        <f>SUMIFS(Income!$G:$G,Income!$H:$H, AA$2,Income!$F:$F, $V$1, Income!$B:$B, IF($W252&lt;&gt;"", TEXT($W252, "MMMM"), ""), Income!$C:$C, YEAR($W252))</f>
        <v>0</v>
      </c>
      <c r="AB252" s="464">
        <f>SUMIFS(Income!$G:$G,Income!$H:$H, AB$2,Income!$F:$F, $V$1, Income!$B:$B, IF($W252&lt;&gt;"", TEXT($W252, "MMMM"), ""), Income!$C:$C, YEAR($W252))</f>
        <v>0</v>
      </c>
      <c r="AC252" s="469">
        <f>SUMIFS(Income!$G:$G,Income!$H:$H, AC$2,Income!$F:$F, $V$1, Income!$B:$B, IF($W252&lt;&gt;"", TEXT($W252, "MMMM"), ""), Income!$C:$C, YEAR($W252))</f>
        <v>0</v>
      </c>
      <c r="AD252" s="428"/>
      <c r="AE252" s="463">
        <v>51410.0</v>
      </c>
      <c r="AF252" s="469">
        <f>SUMIFS(Income!$G:$G,Income!$H:$H, AF$2,Income!$F:$F, $AD$1, Income!$B:$B, IF($AE252&lt;&gt;"", TEXT($AE252, "MMMM"), ""), Income!$C:$C, YEAR($AE252))</f>
        <v>0</v>
      </c>
      <c r="AG252" s="469">
        <f>SUMIFS(Income!$G:$G,Income!$H:$H, AG$2,Income!$F:$F, $AD$1, Income!$B:$B, IF($AE252&lt;&gt;"", TEXT($AE252, "MMMM"), ""), Income!$C:$C, YEAR($AE252))</f>
        <v>0</v>
      </c>
      <c r="AH252" s="469">
        <f>SUMIFS(Income!$G:$G,Income!$H:$H, AH$2,Income!$F:$F, $AD$1, Income!$B:$B, IF($AE252&lt;&gt;"", TEXT($AE252, "MMMM"), ""), Income!$C:$C, YEAR($AE252))</f>
        <v>0</v>
      </c>
      <c r="AI252" s="469">
        <f>SUMIFS(Income!$G:$G,Income!$H:$H, AI$2,Income!$F:$F, $AD$1, Income!$B:$B, IF($AE252&lt;&gt;"", TEXT($AE252, "MMMM"), ""), Income!$C:$C, YEAR($AE252))</f>
        <v>0</v>
      </c>
      <c r="AJ252" s="464">
        <f>SUMIFS(Income!$G:$G,Income!$H:$H, AJ$2,Income!$F:$F, $AD$1, Income!$B:$B, IF($AE252&lt;&gt;"", TEXT($AE252, "MMMM"), ""), Income!$C:$C, YEAR($AE252))</f>
        <v>0</v>
      </c>
      <c r="AK252" s="469">
        <f>SUMIFS(Income!$G:$G,Income!$H:$H, AK$2,Income!$F:$F, $AD$1, Income!$B:$B, IF($AE252&lt;&gt;"", TEXT($AE252, "MMMM"), ""), Income!$C:$C, YEAR($AE252))</f>
        <v>0</v>
      </c>
      <c r="AL252" s="428"/>
      <c r="AM252" s="463">
        <v>51410.0</v>
      </c>
      <c r="AN252" s="464">
        <f>SUMIFS(Income!$G:$G,Income!$H:$H, AN$2,Income!$F:$F, $AL$1, Income!$B:$B, IF($AM252&lt;&gt;"", TEXT($AM252, "MMMM"), ""), Income!$C:$C, YEAR($AM252))+SUMIFS($T:$T, $U:$U,AN$2,$Q:$Q,IF($AM252&lt;&gt;"", TEXT($AM252, "MMMM"), ""),$R:$R,YEAR($AM252))</f>
        <v>0</v>
      </c>
      <c r="AO252" s="464">
        <f>SUMIFS(Income!$G:$G,Income!$H:$H, AO$2,Income!$F:$F, $AL$1, Income!$B:$B, IF($AM252&lt;&gt;"", TEXT($AM252, "MMMM"), ""), Income!$C:$C, YEAR($AM252))+SUMIFS($T:$T, $U:$U,AO$2,$Q:$Q,IF($AM252&lt;&gt;"", TEXT($AM252, "MMMM"), ""),$R:$R,YEAR($AM252))</f>
        <v>0</v>
      </c>
      <c r="AP252" s="464">
        <f>SUMIFS(Income!$G:$G,Income!$H:$H, AP$2,Income!$F:$F, $AL$1, Income!$B:$B, IF($AM252&lt;&gt;"", TEXT($AM252, "MMMM"), ""), Income!$C:$C, YEAR($AM252))+SUMIFS($T:$T, $U:$U,AP$2,$Q:$Q,IF($AM252&lt;&gt;"", TEXT($AM252, "MMMM"), ""),$R:$R,YEAR($AM252))</f>
        <v>0</v>
      </c>
      <c r="AQ252" s="464">
        <f>SUMIFS(Income!$G:$G,Income!$H:$H, AQ$2,Income!$F:$F, $AL$1, Income!$B:$B, IF($AM252&lt;&gt;"", TEXT($AM252, "MMMM"), ""), Income!$C:$C, YEAR($AM252))+SUMIFS($T:$T, $U:$U,AQ$2,$Q:$Q,IF($AM252&lt;&gt;"", TEXT($AM252, "MMMM"), ""),$R:$R,YEAR($AM252))</f>
        <v>0</v>
      </c>
      <c r="AR252" s="464">
        <f>SUMIFS(Income!$G:$G,Income!$H:$H, AR$2,Income!$F:$F, $AL$1, Income!$B:$B, IF($AM252&lt;&gt;"", TEXT($AM252, "MMMM"), ""), Income!$C:$C, YEAR($AM252))+SUMIFS($T:$T, $U:$U,AR$2,$Q:$Q,IF($AM252&lt;&gt;"", TEXT($AM252, "MMMM"), ""),$R:$R,YEAR($AM252))</f>
        <v>0</v>
      </c>
      <c r="AS252" s="464">
        <f>SUMIFS(Income!$G:$G,Income!$H:$H, AS$2,Income!$F:$F, $AL$1, Income!$B:$B, IF($AM252&lt;&gt;"", TEXT($AM252, "MMMM"), ""), Income!$C:$C, YEAR($AM252))+SUMIFS($T:$T, $U:$U,AS$2,$Q:$Q,IF($AM252&lt;&gt;"", TEXT($AM252, "MMMM"), ""),$R:$R,YEAR($AM252))</f>
        <v>0</v>
      </c>
      <c r="AT252" s="428"/>
      <c r="AU252" s="463">
        <v>51410.0</v>
      </c>
      <c r="AV252" s="469">
        <f>SUMIFS(Income!$G:$G,Income!$H:$H, AV$2,Income!$F:$F, $AT$1, Income!$B:$B, IF($AU252&lt;&gt;"", TEXT($AU252, "MMMM"), ""), Income!$C:$C, YEAR($AU252))</f>
        <v>0</v>
      </c>
      <c r="AW252" s="469">
        <f>SUMIFS(Income!$G:$G,Income!$H:$H, AW$2,Income!$F:$F, $AT$1, Income!$B:$B, IF($AU252&lt;&gt;"", TEXT($AU252, "MMMM"), ""), Income!$C:$C, YEAR($AU252))</f>
        <v>0</v>
      </c>
      <c r="AX252" s="469">
        <f>SUMIFS(Income!$G:$G,Income!$H:$H, AX$2,Income!$F:$F, $AT$1, Income!$B:$B, IF($AU252&lt;&gt;"", TEXT($AU252, "MMMM"), ""), Income!$C:$C, YEAR($AU252))</f>
        <v>0</v>
      </c>
      <c r="AY252" s="469">
        <f>SUMIFS(Income!$G:$G,Income!$H:$H, AY$2,Income!$F:$F, $AT$1, Income!$B:$B, IF($AU252&lt;&gt;"", TEXT($AU252, "MMMM"), ""), Income!$C:$C, YEAR($AU252))</f>
        <v>0</v>
      </c>
      <c r="AZ252" s="464">
        <f>SUMIFS(Income!$G:$G,Income!$H:$H, AZ$2,Income!$F:$F, $AT$1, Income!$B:$B, IF($AU252&lt;&gt;"", TEXT($AU252, "MMMM"), ""), Income!$C:$C, YEAR($AU252))</f>
        <v>0</v>
      </c>
      <c r="BA252" s="471">
        <f>SUMIFS(Income!$G:$G,Income!$H:$H, BA$2,Income!$F:$F, $AT$1, Income!$B:$B, IF($AU252&lt;&gt;"", TEXT($AU252, "MMMM"), ""), Income!$C:$C, YEAR($AU252))</f>
        <v>0</v>
      </c>
    </row>
    <row r="253" ht="13.5" customHeight="1">
      <c r="A253" s="436">
        <f>'Membership Application List'!A482</f>
        <v>45698.56728</v>
      </c>
      <c r="B253" s="437" t="str">
        <f t="shared" si="6"/>
        <v>February</v>
      </c>
      <c r="C253" s="437">
        <f t="shared" si="7"/>
        <v>2025</v>
      </c>
      <c r="D253" s="438" t="str">
        <f>'Membership Application List'!E482</f>
        <v>Diana Phim</v>
      </c>
      <c r="E253" s="438">
        <f>IF('Membership Application List'!J482 = "Food/Litter Donation", 0, IF('Membership Application List'!J482 = "$15 Donation, Discord Verification", IF('Membership Application List'!N482 = TRUE, 15, 0)))</f>
        <v>15</v>
      </c>
      <c r="F253" s="438">
        <f>if('Membership Application List'!K482=TRUE, 5,0)</f>
        <v>0</v>
      </c>
      <c r="G253" s="438">
        <f t="shared" si="8"/>
        <v>15</v>
      </c>
      <c r="H253" s="439" t="str">
        <f>'Membership Application List'!L482</f>
        <v>Paypal</v>
      </c>
      <c r="I253" s="428"/>
      <c r="J253" s="463">
        <v>51441.0</v>
      </c>
      <c r="K253" s="464">
        <f t="shared" ref="K253:O253" si="211">SUMIFS($G:$G, $H:$H, K$2, $B:$B, IF($J253&lt;&gt;"", TEXT($J253, "MMMM"), ""), $C:$C, YEAR($J253))</f>
        <v>0</v>
      </c>
      <c r="L253" s="464">
        <f t="shared" si="211"/>
        <v>0</v>
      </c>
      <c r="M253" s="464">
        <f t="shared" si="211"/>
        <v>0</v>
      </c>
      <c r="N253" s="464">
        <f t="shared" si="211"/>
        <v>0</v>
      </c>
      <c r="O253" s="465">
        <f t="shared" si="211"/>
        <v>0</v>
      </c>
      <c r="P253" s="414"/>
      <c r="Q253" s="414"/>
      <c r="R253" s="414"/>
      <c r="S253" s="445"/>
      <c r="T253" s="445"/>
      <c r="U253" s="445"/>
      <c r="V253" s="428"/>
      <c r="W253" s="463">
        <v>51441.0</v>
      </c>
      <c r="X253" s="469">
        <f>SUMIFS(Income!$G:$G,Income!$H:$H, X$2,Income!$F:$F, $V$1, Income!$B:$B, IF($W253&lt;&gt;"", TEXT($W253, "MMMM"), ""), Income!$C:$C, YEAR($W253))</f>
        <v>0</v>
      </c>
      <c r="Y253" s="469">
        <f>SUMIFS(Income!$G:$G,Income!$H:$H, Y$2,Income!$F:$F, $V$1, Income!$B:$B, IF($W253&lt;&gt;"", TEXT($W253, "MMMM"), ""), Income!$C:$C, YEAR($W253))</f>
        <v>0</v>
      </c>
      <c r="Z253" s="469">
        <f>SUMIFS(Income!$G:$G,Income!$H:$H, Z$2,Income!$F:$F, $V$1, Income!$B:$B, IF($W253&lt;&gt;"", TEXT($W253, "MMMM"), ""), Income!$C:$C, YEAR($W253))</f>
        <v>0</v>
      </c>
      <c r="AA253" s="469">
        <f>SUMIFS(Income!$G:$G,Income!$H:$H, AA$2,Income!$F:$F, $V$1, Income!$B:$B, IF($W253&lt;&gt;"", TEXT($W253, "MMMM"), ""), Income!$C:$C, YEAR($W253))</f>
        <v>0</v>
      </c>
      <c r="AB253" s="464">
        <f>SUMIFS(Income!$G:$G,Income!$H:$H, AB$2,Income!$F:$F, $V$1, Income!$B:$B, IF($W253&lt;&gt;"", TEXT($W253, "MMMM"), ""), Income!$C:$C, YEAR($W253))</f>
        <v>0</v>
      </c>
      <c r="AC253" s="469">
        <f>SUMIFS(Income!$G:$G,Income!$H:$H, AC$2,Income!$F:$F, $V$1, Income!$B:$B, IF($W253&lt;&gt;"", TEXT($W253, "MMMM"), ""), Income!$C:$C, YEAR($W253))</f>
        <v>0</v>
      </c>
      <c r="AD253" s="428"/>
      <c r="AE253" s="463">
        <v>51441.0</v>
      </c>
      <c r="AF253" s="469">
        <f>SUMIFS(Income!$G:$G,Income!$H:$H, AF$2,Income!$F:$F, $AD$1, Income!$B:$B, IF($AE253&lt;&gt;"", TEXT($AE253, "MMMM"), ""), Income!$C:$C, YEAR($AE253))</f>
        <v>0</v>
      </c>
      <c r="AG253" s="469">
        <f>SUMIFS(Income!$G:$G,Income!$H:$H, AG$2,Income!$F:$F, $AD$1, Income!$B:$B, IF($AE253&lt;&gt;"", TEXT($AE253, "MMMM"), ""), Income!$C:$C, YEAR($AE253))</f>
        <v>0</v>
      </c>
      <c r="AH253" s="469">
        <f>SUMIFS(Income!$G:$G,Income!$H:$H, AH$2,Income!$F:$F, $AD$1, Income!$B:$B, IF($AE253&lt;&gt;"", TEXT($AE253, "MMMM"), ""), Income!$C:$C, YEAR($AE253))</f>
        <v>0</v>
      </c>
      <c r="AI253" s="469">
        <f>SUMIFS(Income!$G:$G,Income!$H:$H, AI$2,Income!$F:$F, $AD$1, Income!$B:$B, IF($AE253&lt;&gt;"", TEXT($AE253, "MMMM"), ""), Income!$C:$C, YEAR($AE253))</f>
        <v>0</v>
      </c>
      <c r="AJ253" s="464">
        <f>SUMIFS(Income!$G:$G,Income!$H:$H, AJ$2,Income!$F:$F, $AD$1, Income!$B:$B, IF($AE253&lt;&gt;"", TEXT($AE253, "MMMM"), ""), Income!$C:$C, YEAR($AE253))</f>
        <v>0</v>
      </c>
      <c r="AK253" s="469">
        <f>SUMIFS(Income!$G:$G,Income!$H:$H, AK$2,Income!$F:$F, $AD$1, Income!$B:$B, IF($AE253&lt;&gt;"", TEXT($AE253, "MMMM"), ""), Income!$C:$C, YEAR($AE253))</f>
        <v>0</v>
      </c>
      <c r="AL253" s="428"/>
      <c r="AM253" s="463">
        <v>51441.0</v>
      </c>
      <c r="AN253" s="464">
        <f>SUMIFS(Income!$G:$G,Income!$H:$H, AN$2,Income!$F:$F, $AL$1, Income!$B:$B, IF($AM253&lt;&gt;"", TEXT($AM253, "MMMM"), ""), Income!$C:$C, YEAR($AM253))+SUMIFS($T:$T, $U:$U,AN$2,$Q:$Q,IF($AM253&lt;&gt;"", TEXT($AM253, "MMMM"), ""),$R:$R,YEAR($AM253))</f>
        <v>0</v>
      </c>
      <c r="AO253" s="464">
        <f>SUMIFS(Income!$G:$G,Income!$H:$H, AO$2,Income!$F:$F, $AL$1, Income!$B:$B, IF($AM253&lt;&gt;"", TEXT($AM253, "MMMM"), ""), Income!$C:$C, YEAR($AM253))+SUMIFS($T:$T, $U:$U,AO$2,$Q:$Q,IF($AM253&lt;&gt;"", TEXT($AM253, "MMMM"), ""),$R:$R,YEAR($AM253))</f>
        <v>0</v>
      </c>
      <c r="AP253" s="464">
        <f>SUMIFS(Income!$G:$G,Income!$H:$H, AP$2,Income!$F:$F, $AL$1, Income!$B:$B, IF($AM253&lt;&gt;"", TEXT($AM253, "MMMM"), ""), Income!$C:$C, YEAR($AM253))+SUMIFS($T:$T, $U:$U,AP$2,$Q:$Q,IF($AM253&lt;&gt;"", TEXT($AM253, "MMMM"), ""),$R:$R,YEAR($AM253))</f>
        <v>0</v>
      </c>
      <c r="AQ253" s="464">
        <f>SUMIFS(Income!$G:$G,Income!$H:$H, AQ$2,Income!$F:$F, $AL$1, Income!$B:$B, IF($AM253&lt;&gt;"", TEXT($AM253, "MMMM"), ""), Income!$C:$C, YEAR($AM253))+SUMIFS($T:$T, $U:$U,AQ$2,$Q:$Q,IF($AM253&lt;&gt;"", TEXT($AM253, "MMMM"), ""),$R:$R,YEAR($AM253))</f>
        <v>0</v>
      </c>
      <c r="AR253" s="464">
        <f>SUMIFS(Income!$G:$G,Income!$H:$H, AR$2,Income!$F:$F, $AL$1, Income!$B:$B, IF($AM253&lt;&gt;"", TEXT($AM253, "MMMM"), ""), Income!$C:$C, YEAR($AM253))+SUMIFS($T:$T, $U:$U,AR$2,$Q:$Q,IF($AM253&lt;&gt;"", TEXT($AM253, "MMMM"), ""),$R:$R,YEAR($AM253))</f>
        <v>0</v>
      </c>
      <c r="AS253" s="464">
        <f>SUMIFS(Income!$G:$G,Income!$H:$H, AS$2,Income!$F:$F, $AL$1, Income!$B:$B, IF($AM253&lt;&gt;"", TEXT($AM253, "MMMM"), ""), Income!$C:$C, YEAR($AM253))+SUMIFS($T:$T, $U:$U,AS$2,$Q:$Q,IF($AM253&lt;&gt;"", TEXT($AM253, "MMMM"), ""),$R:$R,YEAR($AM253))</f>
        <v>0</v>
      </c>
      <c r="AT253" s="428"/>
      <c r="AU253" s="463">
        <v>51441.0</v>
      </c>
      <c r="AV253" s="469">
        <f>SUMIFS(Income!$G:$G,Income!$H:$H, AV$2,Income!$F:$F, $AT$1, Income!$B:$B, IF($AU253&lt;&gt;"", TEXT($AU253, "MMMM"), ""), Income!$C:$C, YEAR($AU253))</f>
        <v>0</v>
      </c>
      <c r="AW253" s="469">
        <f>SUMIFS(Income!$G:$G,Income!$H:$H, AW$2,Income!$F:$F, $AT$1, Income!$B:$B, IF($AU253&lt;&gt;"", TEXT($AU253, "MMMM"), ""), Income!$C:$C, YEAR($AU253))</f>
        <v>0</v>
      </c>
      <c r="AX253" s="469">
        <f>SUMIFS(Income!$G:$G,Income!$H:$H, AX$2,Income!$F:$F, $AT$1, Income!$B:$B, IF($AU253&lt;&gt;"", TEXT($AU253, "MMMM"), ""), Income!$C:$C, YEAR($AU253))</f>
        <v>0</v>
      </c>
      <c r="AY253" s="469">
        <f>SUMIFS(Income!$G:$G,Income!$H:$H, AY$2,Income!$F:$F, $AT$1, Income!$B:$B, IF($AU253&lt;&gt;"", TEXT($AU253, "MMMM"), ""), Income!$C:$C, YEAR($AU253))</f>
        <v>0</v>
      </c>
      <c r="AZ253" s="464">
        <f>SUMIFS(Income!$G:$G,Income!$H:$H, AZ$2,Income!$F:$F, $AT$1, Income!$B:$B, IF($AU253&lt;&gt;"", TEXT($AU253, "MMMM"), ""), Income!$C:$C, YEAR($AU253))</f>
        <v>0</v>
      </c>
      <c r="BA253" s="471">
        <f>SUMIFS(Income!$G:$G,Income!$H:$H, BA$2,Income!$F:$F, $AT$1, Income!$B:$B, IF($AU253&lt;&gt;"", TEXT($AU253, "MMMM"), ""), Income!$C:$C, YEAR($AU253))</f>
        <v>0</v>
      </c>
    </row>
    <row r="254" ht="13.5" customHeight="1">
      <c r="A254" s="424">
        <f>'Membership Application List'!A483</f>
        <v>45698.81831</v>
      </c>
      <c r="B254" s="443" t="str">
        <f t="shared" si="6"/>
        <v>February</v>
      </c>
      <c r="C254" s="443">
        <f t="shared" si="7"/>
        <v>2025</v>
      </c>
      <c r="D254" s="426" t="str">
        <f>'Membership Application List'!E483</f>
        <v>McKayla Mellen</v>
      </c>
      <c r="E254" s="426">
        <f>IF('Membership Application List'!J483 = "Food/Litter Donation", 0, IF('Membership Application List'!J483 = "$15 Donation, Discord Verification", IF('Membership Application List'!N483 = TRUE, 15, 0)))</f>
        <v>15</v>
      </c>
      <c r="F254" s="426">
        <f>if('Membership Application List'!K483=TRUE, 5,0)</f>
        <v>0</v>
      </c>
      <c r="G254" s="426">
        <f t="shared" si="8"/>
        <v>15</v>
      </c>
      <c r="H254" s="427" t="str">
        <f>'Membership Application List'!L483</f>
        <v>Venmo</v>
      </c>
      <c r="I254" s="472"/>
      <c r="J254" s="473">
        <v>51471.0</v>
      </c>
      <c r="K254" s="474">
        <f t="shared" ref="K254:O254" si="212">SUMIFS($G:$G, $H:$H, K$2, $B:$B, IF($J254&lt;&gt;"", TEXT($J254, "MMMM"), ""), $C:$C, YEAR($J254))</f>
        <v>0</v>
      </c>
      <c r="L254" s="474">
        <f t="shared" si="212"/>
        <v>0</v>
      </c>
      <c r="M254" s="474">
        <f t="shared" si="212"/>
        <v>0</v>
      </c>
      <c r="N254" s="474">
        <f t="shared" si="212"/>
        <v>0</v>
      </c>
      <c r="O254" s="475">
        <f t="shared" si="212"/>
        <v>0</v>
      </c>
      <c r="P254" s="414"/>
      <c r="Q254" s="414"/>
      <c r="R254" s="414"/>
      <c r="S254" s="445"/>
      <c r="T254" s="445"/>
      <c r="U254" s="445"/>
      <c r="V254" s="472"/>
      <c r="W254" s="473">
        <v>51471.0</v>
      </c>
      <c r="X254" s="476">
        <f>SUMIFS(Income!$G:$G,Income!$H:$H, X$2,Income!$F:$F, $V$1, Income!$B:$B, IF($W254&lt;&gt;"", TEXT($W254, "MMMM"), ""), Income!$C:$C, YEAR($W254))</f>
        <v>0</v>
      </c>
      <c r="Y254" s="476">
        <f>SUMIFS(Income!$G:$G,Income!$H:$H, Y$2,Income!$F:$F, $V$1, Income!$B:$B, IF($W254&lt;&gt;"", TEXT($W254, "MMMM"), ""), Income!$C:$C, YEAR($W254))</f>
        <v>0</v>
      </c>
      <c r="Z254" s="476">
        <f>SUMIFS(Income!$G:$G,Income!$H:$H, Z$2,Income!$F:$F, $V$1, Income!$B:$B, IF($W254&lt;&gt;"", TEXT($W254, "MMMM"), ""), Income!$C:$C, YEAR($W254))</f>
        <v>0</v>
      </c>
      <c r="AA254" s="476">
        <f>SUMIFS(Income!$G:$G,Income!$H:$H, AA$2,Income!$F:$F, $V$1, Income!$B:$B, IF($W254&lt;&gt;"", TEXT($W254, "MMMM"), ""), Income!$C:$C, YEAR($W254))</f>
        <v>0</v>
      </c>
      <c r="AB254" s="474">
        <f>SUMIFS(Income!$G:$G,Income!$H:$H, AB$2,Income!$F:$F, $V$1, Income!$B:$B, IF($W254&lt;&gt;"", TEXT($W254, "MMMM"), ""), Income!$C:$C, YEAR($W254))</f>
        <v>0</v>
      </c>
      <c r="AC254" s="476">
        <f>SUMIFS(Income!$G:$G,Income!$H:$H, AC$2,Income!$F:$F, $V$1, Income!$B:$B, IF($W254&lt;&gt;"", TEXT($W254, "MMMM"), ""), Income!$C:$C, YEAR($W254))</f>
        <v>0</v>
      </c>
      <c r="AD254" s="472"/>
      <c r="AE254" s="473">
        <v>51471.0</v>
      </c>
      <c r="AF254" s="476">
        <f>SUMIFS(Income!$G:$G,Income!$H:$H, AF$2,Income!$F:$F, $AD$1, Income!$B:$B, IF($AE254&lt;&gt;"", TEXT($AE254, "MMMM"), ""), Income!$C:$C, YEAR($AE254))</f>
        <v>0</v>
      </c>
      <c r="AG254" s="476">
        <f>SUMIFS(Income!$G:$G,Income!$H:$H, AG$2,Income!$F:$F, $AD$1, Income!$B:$B, IF($AE254&lt;&gt;"", TEXT($AE254, "MMMM"), ""), Income!$C:$C, YEAR($AE254))</f>
        <v>0</v>
      </c>
      <c r="AH254" s="476">
        <f>SUMIFS(Income!$G:$G,Income!$H:$H, AH$2,Income!$F:$F, $AD$1, Income!$B:$B, IF($AE254&lt;&gt;"", TEXT($AE254, "MMMM"), ""), Income!$C:$C, YEAR($AE254))</f>
        <v>0</v>
      </c>
      <c r="AI254" s="476">
        <f>SUMIFS(Income!$G:$G,Income!$H:$H, AI$2,Income!$F:$F, $AD$1, Income!$B:$B, IF($AE254&lt;&gt;"", TEXT($AE254, "MMMM"), ""), Income!$C:$C, YEAR($AE254))</f>
        <v>0</v>
      </c>
      <c r="AJ254" s="474">
        <f>SUMIFS(Income!$G:$G,Income!$H:$H, AJ$2,Income!$F:$F, $AD$1, Income!$B:$B, IF($AE254&lt;&gt;"", TEXT($AE254, "MMMM"), ""), Income!$C:$C, YEAR($AE254))</f>
        <v>0</v>
      </c>
      <c r="AK254" s="476">
        <f>SUMIFS(Income!$G:$G,Income!$H:$H, AK$2,Income!$F:$F, $AD$1, Income!$B:$B, IF($AE254&lt;&gt;"", TEXT($AE254, "MMMM"), ""), Income!$C:$C, YEAR($AE254))</f>
        <v>0</v>
      </c>
      <c r="AL254" s="472"/>
      <c r="AM254" s="473">
        <v>51471.0</v>
      </c>
      <c r="AN254" s="474">
        <f>SUMIFS(Income!$G:$G,Income!$H:$H, AN$2,Income!$F:$F, $AL$1, Income!$B:$B, IF($AM254&lt;&gt;"", TEXT($AM254, "MMMM"), ""), Income!$C:$C, YEAR($AM254))+SUMIFS($T:$T, $U:$U,AN$2,$Q:$Q,IF($AM254&lt;&gt;"", TEXT($AM254, "MMMM"), ""),$R:$R,YEAR($AM254))</f>
        <v>0</v>
      </c>
      <c r="AO254" s="474">
        <f>SUMIFS(Income!$G:$G,Income!$H:$H, AO$2,Income!$F:$F, $AL$1, Income!$B:$B, IF($AM254&lt;&gt;"", TEXT($AM254, "MMMM"), ""), Income!$C:$C, YEAR($AM254))+SUMIFS($T:$T, $U:$U,AO$2,$Q:$Q,IF($AM254&lt;&gt;"", TEXT($AM254, "MMMM"), ""),$R:$R,YEAR($AM254))</f>
        <v>0</v>
      </c>
      <c r="AP254" s="474">
        <f>SUMIFS(Income!$G:$G,Income!$H:$H, AP$2,Income!$F:$F, $AL$1, Income!$B:$B, IF($AM254&lt;&gt;"", TEXT($AM254, "MMMM"), ""), Income!$C:$C, YEAR($AM254))+SUMIFS($T:$T, $U:$U,AP$2,$Q:$Q,IF($AM254&lt;&gt;"", TEXT($AM254, "MMMM"), ""),$R:$R,YEAR($AM254))</f>
        <v>0</v>
      </c>
      <c r="AQ254" s="474">
        <f>SUMIFS(Income!$G:$G,Income!$H:$H, AQ$2,Income!$F:$F, $AL$1, Income!$B:$B, IF($AM254&lt;&gt;"", TEXT($AM254, "MMMM"), ""), Income!$C:$C, YEAR($AM254))+SUMIFS($T:$T, $U:$U,AQ$2,$Q:$Q,IF($AM254&lt;&gt;"", TEXT($AM254, "MMMM"), ""),$R:$R,YEAR($AM254))</f>
        <v>0</v>
      </c>
      <c r="AR254" s="474">
        <f>SUMIFS(Income!$G:$G,Income!$H:$H, AR$2,Income!$F:$F, $AL$1, Income!$B:$B, IF($AM254&lt;&gt;"", TEXT($AM254, "MMMM"), ""), Income!$C:$C, YEAR($AM254))+SUMIFS($T:$T, $U:$U,AR$2,$Q:$Q,IF($AM254&lt;&gt;"", TEXT($AM254, "MMMM"), ""),$R:$R,YEAR($AM254))</f>
        <v>0</v>
      </c>
      <c r="AS254" s="474">
        <f>SUMIFS(Income!$G:$G,Income!$H:$H, AS$2,Income!$F:$F, $AL$1, Income!$B:$B, IF($AM254&lt;&gt;"", TEXT($AM254, "MMMM"), ""), Income!$C:$C, YEAR($AM254))+SUMIFS($T:$T, $U:$U,AS$2,$Q:$Q,IF($AM254&lt;&gt;"", TEXT($AM254, "MMMM"), ""),$R:$R,YEAR($AM254))</f>
        <v>0</v>
      </c>
      <c r="AT254" s="472"/>
      <c r="AU254" s="473">
        <v>51471.0</v>
      </c>
      <c r="AV254" s="476">
        <f>SUMIFS(Income!$G:$G,Income!$H:$H, AV$2,Income!$F:$F, $AT$1, Income!$B:$B, IF($AU254&lt;&gt;"", TEXT($AU254, "MMMM"), ""), Income!$C:$C, YEAR($AU254))</f>
        <v>0</v>
      </c>
      <c r="AW254" s="476">
        <f>SUMIFS(Income!$G:$G,Income!$H:$H, AW$2,Income!$F:$F, $AT$1, Income!$B:$B, IF($AU254&lt;&gt;"", TEXT($AU254, "MMMM"), ""), Income!$C:$C, YEAR($AU254))</f>
        <v>0</v>
      </c>
      <c r="AX254" s="476">
        <f>SUMIFS(Income!$G:$G,Income!$H:$H, AX$2,Income!$F:$F, $AT$1, Income!$B:$B, IF($AU254&lt;&gt;"", TEXT($AU254, "MMMM"), ""), Income!$C:$C, YEAR($AU254))</f>
        <v>0</v>
      </c>
      <c r="AY254" s="476">
        <f>SUMIFS(Income!$G:$G,Income!$H:$H, AY$2,Income!$F:$F, $AT$1, Income!$B:$B, IF($AU254&lt;&gt;"", TEXT($AU254, "MMMM"), ""), Income!$C:$C, YEAR($AU254))</f>
        <v>0</v>
      </c>
      <c r="AZ254" s="474">
        <f>SUMIFS(Income!$G:$G,Income!$H:$H, AZ$2,Income!$F:$F, $AT$1, Income!$B:$B, IF($AU254&lt;&gt;"", TEXT($AU254, "MMMM"), ""), Income!$C:$C, YEAR($AU254))</f>
        <v>0</v>
      </c>
      <c r="BA254" s="477">
        <f>SUMIFS(Income!$G:$G,Income!$H:$H, BA$2,Income!$F:$F, $AT$1, Income!$B:$B, IF($AU254&lt;&gt;"", TEXT($AU254, "MMMM"), ""), Income!$C:$C, YEAR($AU254))</f>
        <v>0</v>
      </c>
    </row>
    <row r="255" ht="13.5" customHeight="1">
      <c r="A255" s="436">
        <f>'Membership Application List'!A484</f>
        <v>45699.44671</v>
      </c>
      <c r="B255" s="437" t="str">
        <f t="shared" si="6"/>
        <v>February</v>
      </c>
      <c r="C255" s="437">
        <f t="shared" si="7"/>
        <v>2025</v>
      </c>
      <c r="D255" s="438" t="str">
        <f>'Membership Application List'!E484</f>
        <v>Marco Paessler</v>
      </c>
      <c r="E255" s="438">
        <f>IF('Membership Application List'!J484 = "Food/Litter Donation", 0, IF('Membership Application List'!J484 = "$15 Donation, Discord Verification", IF('Membership Application List'!N484 = TRUE, 15, 0)))</f>
        <v>15</v>
      </c>
      <c r="F255" s="438">
        <f>if('Membership Application List'!K484=TRUE, 5,0)</f>
        <v>0</v>
      </c>
      <c r="G255" s="438">
        <f t="shared" si="8"/>
        <v>15</v>
      </c>
      <c r="H255" s="439" t="str">
        <f>'Membership Application List'!L484</f>
        <v>Cash</v>
      </c>
      <c r="I255" s="345"/>
      <c r="J255" s="441"/>
      <c r="K255" s="345"/>
      <c r="L255" s="478"/>
      <c r="M255" s="345"/>
      <c r="N255" s="345"/>
      <c r="O255" s="345"/>
      <c r="P255" s="414"/>
      <c r="Q255" s="414"/>
      <c r="R255" s="414"/>
      <c r="S255" s="445"/>
      <c r="T255" s="445"/>
      <c r="U255" s="445"/>
      <c r="V255" s="345"/>
      <c r="W255" s="441"/>
      <c r="X255" s="345"/>
      <c r="Y255" s="345"/>
      <c r="Z255" s="345"/>
      <c r="AA255" s="345"/>
      <c r="AB255" s="345"/>
      <c r="AC255" s="345"/>
      <c r="AD255" s="345"/>
      <c r="AE255" s="345"/>
      <c r="AF255" s="345"/>
      <c r="AG255" s="345"/>
      <c r="AH255" s="345"/>
      <c r="AI255" s="345"/>
      <c r="AJ255" s="345"/>
      <c r="AK255" s="345"/>
      <c r="AL255" s="345"/>
      <c r="AM255" s="345"/>
      <c r="AN255" s="345"/>
      <c r="AO255" s="345"/>
      <c r="AP255" s="345"/>
      <c r="AQ255" s="345"/>
      <c r="AR255" s="345"/>
      <c r="AS255" s="345"/>
    </row>
    <row r="256" ht="13.5" customHeight="1">
      <c r="A256" s="424">
        <f>'Membership Application List'!A485</f>
        <v>45702.52226</v>
      </c>
      <c r="B256" s="443" t="str">
        <f t="shared" si="6"/>
        <v>February</v>
      </c>
      <c r="C256" s="443">
        <f t="shared" si="7"/>
        <v>2025</v>
      </c>
      <c r="D256" s="426" t="str">
        <f>'Membership Application List'!E485</f>
        <v>Ramsey Ferguson</v>
      </c>
      <c r="E256" s="426">
        <f>IF('Membership Application List'!J485 = "Food/Litter Donation", 0, IF('Membership Application List'!J485 = "$15 Donation, Discord Verification", IF('Membership Application List'!N485 = TRUE, 15, 0)))</f>
        <v>15</v>
      </c>
      <c r="F256" s="426">
        <f>if('Membership Application List'!K485=TRUE, 5,0)</f>
        <v>0</v>
      </c>
      <c r="G256" s="426">
        <f t="shared" si="8"/>
        <v>15</v>
      </c>
      <c r="H256" s="427" t="str">
        <f>'Membership Application List'!L485</f>
        <v>Cash</v>
      </c>
      <c r="I256" s="345"/>
      <c r="J256" s="441"/>
      <c r="K256" s="345"/>
      <c r="L256" s="478"/>
      <c r="M256" s="345"/>
      <c r="N256" s="345"/>
      <c r="O256" s="345"/>
      <c r="P256" s="414"/>
      <c r="Q256" s="414"/>
      <c r="R256" s="414"/>
      <c r="S256" s="445"/>
      <c r="T256" s="445"/>
      <c r="U256" s="445"/>
      <c r="V256" s="345"/>
      <c r="W256" s="441"/>
      <c r="X256" s="345"/>
      <c r="Y256" s="345"/>
      <c r="Z256" s="345"/>
      <c r="AA256" s="345"/>
      <c r="AB256" s="345"/>
      <c r="AC256" s="345"/>
      <c r="AD256" s="345"/>
      <c r="AE256" s="345"/>
      <c r="AF256" s="345"/>
      <c r="AG256" s="345"/>
      <c r="AH256" s="345"/>
      <c r="AI256" s="345"/>
      <c r="AJ256" s="345"/>
      <c r="AK256" s="345"/>
      <c r="AL256" s="345"/>
      <c r="AM256" s="345"/>
      <c r="AN256" s="345"/>
      <c r="AO256" s="345"/>
      <c r="AP256" s="345"/>
      <c r="AQ256" s="345"/>
      <c r="AR256" s="345"/>
      <c r="AS256" s="345"/>
    </row>
    <row r="257" ht="13.5" customHeight="1">
      <c r="A257" s="436">
        <f>'Membership Application List'!A486</f>
        <v>45702.62951</v>
      </c>
      <c r="B257" s="437" t="str">
        <f t="shared" si="6"/>
        <v>February</v>
      </c>
      <c r="C257" s="437">
        <f t="shared" si="7"/>
        <v>2025</v>
      </c>
      <c r="D257" s="438" t="str">
        <f>'Membership Application List'!E486</f>
        <v>Iftekhar Uddin</v>
      </c>
      <c r="E257" s="438">
        <f>IF('Membership Application List'!J486 = "Food/Litter Donation", 0, IF('Membership Application List'!J486 = "$15 Donation, Discord Verification", IF('Membership Application List'!N486 = TRUE, 15, 0)))</f>
        <v>15</v>
      </c>
      <c r="F257" s="438">
        <f>if('Membership Application List'!K486=TRUE, 5,0)</f>
        <v>0</v>
      </c>
      <c r="G257" s="438">
        <f t="shared" si="8"/>
        <v>15</v>
      </c>
      <c r="H257" s="439" t="str">
        <f>'Membership Application List'!L486</f>
        <v>Venmo</v>
      </c>
      <c r="I257" s="345"/>
      <c r="J257" s="441"/>
      <c r="K257" s="345"/>
      <c r="L257" s="478"/>
      <c r="M257" s="345"/>
      <c r="N257" s="345"/>
      <c r="O257" s="345"/>
      <c r="P257" s="414"/>
      <c r="Q257" s="414"/>
      <c r="R257" s="414"/>
      <c r="S257" s="445"/>
      <c r="T257" s="445"/>
      <c r="U257" s="445"/>
      <c r="V257" s="345"/>
      <c r="W257" s="441"/>
      <c r="X257" s="345"/>
      <c r="Y257" s="345"/>
      <c r="Z257" s="345"/>
      <c r="AA257" s="345"/>
      <c r="AB257" s="345"/>
      <c r="AC257" s="345"/>
      <c r="AD257" s="345"/>
      <c r="AE257" s="345"/>
      <c r="AF257" s="345"/>
      <c r="AG257" s="345"/>
      <c r="AH257" s="345"/>
      <c r="AI257" s="345"/>
      <c r="AJ257" s="345"/>
      <c r="AK257" s="345"/>
      <c r="AL257" s="345"/>
      <c r="AM257" s="345"/>
      <c r="AN257" s="345"/>
      <c r="AO257" s="345"/>
      <c r="AP257" s="345"/>
      <c r="AQ257" s="345"/>
      <c r="AR257" s="345"/>
      <c r="AS257" s="345"/>
    </row>
    <row r="258" ht="13.5" customHeight="1">
      <c r="A258" s="424">
        <f>'Membership Application List'!A487</f>
        <v>45702</v>
      </c>
      <c r="B258" s="443" t="str">
        <f t="shared" si="6"/>
        <v>February</v>
      </c>
      <c r="C258" s="443">
        <f t="shared" si="7"/>
        <v>2025</v>
      </c>
      <c r="D258" s="426" t="str">
        <f>'Membership Application List'!E487</f>
        <v>Morgan Chivers</v>
      </c>
      <c r="E258" s="426">
        <f>IF('Membership Application List'!J487 = "Food/Litter Donation", 0, IF('Membership Application List'!J487 = "$15 Donation, Discord Verification", IF('Membership Application List'!N487 = TRUE, 15, 0)))</f>
        <v>0</v>
      </c>
      <c r="F258" s="426">
        <f>if('Membership Application List'!K487=TRUE, 5,0)</f>
        <v>0</v>
      </c>
      <c r="G258" s="426">
        <f t="shared" si="8"/>
        <v>0</v>
      </c>
      <c r="H258" s="427" t="str">
        <f>'Membership Application List'!L487</f>
        <v/>
      </c>
      <c r="I258" s="345"/>
      <c r="J258" s="441"/>
      <c r="K258" s="345"/>
      <c r="L258" s="478"/>
      <c r="M258" s="345"/>
      <c r="N258" s="345"/>
      <c r="O258" s="345"/>
      <c r="P258" s="414"/>
      <c r="Q258" s="414"/>
      <c r="R258" s="414"/>
      <c r="S258" s="445"/>
      <c r="T258" s="445"/>
      <c r="U258" s="445"/>
      <c r="V258" s="345"/>
      <c r="W258" s="441"/>
      <c r="X258" s="345"/>
      <c r="Y258" s="345"/>
      <c r="Z258" s="345"/>
      <c r="AA258" s="345"/>
      <c r="AB258" s="345"/>
      <c r="AC258" s="345"/>
      <c r="AD258" s="345"/>
      <c r="AE258" s="345"/>
      <c r="AF258" s="345"/>
      <c r="AG258" s="345"/>
      <c r="AH258" s="345"/>
      <c r="AI258" s="345"/>
      <c r="AJ258" s="345"/>
      <c r="AK258" s="345"/>
      <c r="AL258" s="345"/>
      <c r="AM258" s="345"/>
      <c r="AN258" s="345"/>
      <c r="AO258" s="345"/>
      <c r="AP258" s="345"/>
      <c r="AQ258" s="345"/>
      <c r="AR258" s="345"/>
      <c r="AS258" s="345"/>
    </row>
    <row r="259" ht="13.5" customHeight="1">
      <c r="A259" s="436">
        <f>'Membership Application List'!A488</f>
        <v>45705.52488</v>
      </c>
      <c r="B259" s="437" t="str">
        <f t="shared" si="6"/>
        <v>February</v>
      </c>
      <c r="C259" s="437">
        <f t="shared" si="7"/>
        <v>2025</v>
      </c>
      <c r="D259" s="438" t="str">
        <f>'Membership Application List'!E488</f>
        <v>Anabel Gonzalez</v>
      </c>
      <c r="E259" s="438">
        <f>IF('Membership Application List'!J488 = "Food/Litter Donation", 0, IF('Membership Application List'!J488 = "$15 Donation, Discord Verification", IF('Membership Application List'!N488 = TRUE, 15, 0)))</f>
        <v>15</v>
      </c>
      <c r="F259" s="438">
        <f>if('Membership Application List'!K488=TRUE, 5,0)</f>
        <v>0</v>
      </c>
      <c r="G259" s="438">
        <f t="shared" si="8"/>
        <v>15</v>
      </c>
      <c r="H259" s="439" t="str">
        <f>'Membership Application List'!L488</f>
        <v>Paypal</v>
      </c>
      <c r="I259" s="345"/>
      <c r="J259" s="441"/>
      <c r="K259" s="345"/>
      <c r="L259" s="478"/>
      <c r="M259" s="345"/>
      <c r="N259" s="345"/>
      <c r="O259" s="345"/>
      <c r="P259" s="414"/>
      <c r="Q259" s="414"/>
      <c r="R259" s="414"/>
      <c r="S259" s="445"/>
      <c r="T259" s="445"/>
      <c r="U259" s="445"/>
      <c r="V259" s="345"/>
      <c r="W259" s="441"/>
      <c r="X259" s="345"/>
      <c r="Y259" s="345"/>
      <c r="Z259" s="345"/>
      <c r="AA259" s="345"/>
      <c r="AB259" s="345"/>
      <c r="AC259" s="345"/>
      <c r="AD259" s="345"/>
      <c r="AE259" s="345"/>
      <c r="AF259" s="345"/>
      <c r="AG259" s="345"/>
      <c r="AH259" s="345"/>
      <c r="AI259" s="345"/>
      <c r="AJ259" s="345"/>
      <c r="AK259" s="345"/>
      <c r="AL259" s="345"/>
      <c r="AM259" s="345"/>
      <c r="AN259" s="345"/>
      <c r="AO259" s="345"/>
      <c r="AP259" s="345"/>
      <c r="AQ259" s="345"/>
      <c r="AR259" s="345"/>
      <c r="AS259" s="345"/>
    </row>
    <row r="260" ht="13.5" customHeight="1">
      <c r="A260" s="424">
        <f>'Membership Application List'!A489</f>
        <v>45706.83316</v>
      </c>
      <c r="B260" s="443" t="str">
        <f t="shared" si="6"/>
        <v>February</v>
      </c>
      <c r="C260" s="443">
        <f t="shared" si="7"/>
        <v>2025</v>
      </c>
      <c r="D260" s="426" t="str">
        <f>'Membership Application List'!E489</f>
        <v>Abby Montalvo</v>
      </c>
      <c r="E260" s="426">
        <f>IF('Membership Application List'!J489 = "Food/Litter Donation", 0, IF('Membership Application List'!J489 = "$15 Donation, Discord Verification", IF('Membership Application List'!N489 = TRUE, 15, 0)))</f>
        <v>15</v>
      </c>
      <c r="F260" s="426">
        <f>if('Membership Application List'!K489=TRUE, 5,0)</f>
        <v>0</v>
      </c>
      <c r="G260" s="426">
        <f t="shared" si="8"/>
        <v>15</v>
      </c>
      <c r="H260" s="427" t="str">
        <f>'Membership Application List'!L489</f>
        <v>Cashapp</v>
      </c>
      <c r="I260" s="345"/>
      <c r="J260" s="441"/>
      <c r="K260" s="345"/>
      <c r="L260" s="478"/>
      <c r="M260" s="345"/>
      <c r="N260" s="345"/>
      <c r="O260" s="345"/>
      <c r="P260" s="414"/>
      <c r="Q260" s="414"/>
      <c r="R260" s="414"/>
      <c r="S260" s="445"/>
      <c r="T260" s="445"/>
      <c r="U260" s="445"/>
      <c r="V260" s="345"/>
      <c r="W260" s="441"/>
      <c r="X260" s="345"/>
      <c r="Y260" s="345"/>
      <c r="Z260" s="345"/>
      <c r="AA260" s="345"/>
      <c r="AB260" s="345"/>
      <c r="AC260" s="345"/>
      <c r="AD260" s="345"/>
      <c r="AE260" s="345"/>
      <c r="AF260" s="345"/>
      <c r="AG260" s="345"/>
      <c r="AH260" s="345"/>
      <c r="AI260" s="345"/>
      <c r="AJ260" s="345"/>
      <c r="AK260" s="345"/>
      <c r="AL260" s="345"/>
      <c r="AM260" s="345"/>
      <c r="AN260" s="345"/>
      <c r="AO260" s="345"/>
      <c r="AP260" s="345"/>
      <c r="AQ260" s="345"/>
      <c r="AR260" s="345"/>
      <c r="AS260" s="345"/>
    </row>
    <row r="261" ht="13.5" customHeight="1">
      <c r="A261" s="436">
        <f>'Membership Application List'!A490</f>
        <v>45707.57897</v>
      </c>
      <c r="B261" s="437" t="str">
        <f t="shared" si="6"/>
        <v>February</v>
      </c>
      <c r="C261" s="437">
        <f t="shared" si="7"/>
        <v>2025</v>
      </c>
      <c r="D261" s="438" t="str">
        <f>'Membership Application List'!E490</f>
        <v>Jacob Mathew</v>
      </c>
      <c r="E261" s="438">
        <f>IF('Membership Application List'!J490 = "Food/Litter Donation", 0, IF('Membership Application List'!J490 = "$15 Donation, Discord Verification", IF('Membership Application List'!N490 = TRUE, 15, 0)))</f>
        <v>15</v>
      </c>
      <c r="F261" s="438">
        <f>if('Membership Application List'!K490=TRUE, 5,0)</f>
        <v>0</v>
      </c>
      <c r="G261" s="438">
        <f t="shared" si="8"/>
        <v>15</v>
      </c>
      <c r="H261" s="439" t="str">
        <f>'Membership Application List'!L490</f>
        <v>Paypal</v>
      </c>
      <c r="I261" s="345"/>
      <c r="J261" s="441"/>
      <c r="K261" s="345"/>
      <c r="L261" s="478"/>
      <c r="M261" s="345"/>
      <c r="N261" s="345"/>
      <c r="O261" s="345"/>
      <c r="P261" s="414"/>
      <c r="Q261" s="414"/>
      <c r="R261" s="414"/>
      <c r="S261" s="445"/>
      <c r="T261" s="445"/>
      <c r="U261" s="445"/>
      <c r="V261" s="345"/>
      <c r="W261" s="441"/>
      <c r="X261" s="345"/>
      <c r="Y261" s="345"/>
      <c r="Z261" s="345"/>
      <c r="AA261" s="345"/>
      <c r="AB261" s="345"/>
      <c r="AC261" s="345"/>
      <c r="AD261" s="345"/>
      <c r="AE261" s="345"/>
      <c r="AF261" s="345"/>
      <c r="AG261" s="345"/>
      <c r="AH261" s="345"/>
      <c r="AI261" s="345"/>
      <c r="AJ261" s="345"/>
      <c r="AK261" s="345"/>
      <c r="AL261" s="345"/>
      <c r="AM261" s="345"/>
      <c r="AN261" s="345"/>
      <c r="AO261" s="345"/>
      <c r="AP261" s="345"/>
      <c r="AQ261" s="345"/>
      <c r="AR261" s="345"/>
      <c r="AS261" s="345"/>
    </row>
    <row r="262" ht="13.5" customHeight="1">
      <c r="A262" s="424">
        <f>'Membership Application List'!A491</f>
        <v>45730.04346</v>
      </c>
      <c r="B262" s="443" t="str">
        <f t="shared" si="6"/>
        <v>March</v>
      </c>
      <c r="C262" s="443">
        <f t="shared" si="7"/>
        <v>2025</v>
      </c>
      <c r="D262" s="426" t="str">
        <f>'Membership Application List'!E491</f>
        <v>Benjamin Nors</v>
      </c>
      <c r="E262" s="426">
        <f>IF('Membership Application List'!J491 = "Food/Litter Donation", 0, IF('Membership Application List'!J491 = "$15 Donation, Discord Verification", IF('Membership Application List'!N491 = TRUE, 15, 0)))</f>
        <v>0</v>
      </c>
      <c r="F262" s="426">
        <f>if('Membership Application List'!K491=TRUE, 5,0)</f>
        <v>0</v>
      </c>
      <c r="G262" s="426">
        <f t="shared" si="8"/>
        <v>0</v>
      </c>
      <c r="H262" s="427" t="str">
        <f>'Membership Application List'!L491</f>
        <v/>
      </c>
      <c r="I262" s="345"/>
      <c r="J262" s="441"/>
      <c r="K262" s="345"/>
      <c r="L262" s="478"/>
      <c r="M262" s="345"/>
      <c r="N262" s="345"/>
      <c r="O262" s="345"/>
      <c r="P262" s="414"/>
      <c r="Q262" s="414"/>
      <c r="R262" s="414"/>
      <c r="S262" s="445"/>
      <c r="T262" s="445"/>
      <c r="U262" s="445"/>
      <c r="V262" s="345"/>
      <c r="W262" s="441"/>
      <c r="X262" s="345"/>
      <c r="Y262" s="345"/>
      <c r="Z262" s="345"/>
      <c r="AA262" s="345"/>
      <c r="AB262" s="345"/>
      <c r="AC262" s="345"/>
      <c r="AD262" s="345"/>
      <c r="AE262" s="345"/>
      <c r="AF262" s="345"/>
      <c r="AG262" s="345"/>
      <c r="AH262" s="345"/>
      <c r="AI262" s="345"/>
      <c r="AJ262" s="345"/>
      <c r="AK262" s="345"/>
      <c r="AL262" s="345"/>
      <c r="AM262" s="345"/>
      <c r="AN262" s="345"/>
      <c r="AO262" s="345"/>
      <c r="AP262" s="345"/>
      <c r="AQ262" s="345"/>
      <c r="AR262" s="345"/>
      <c r="AS262" s="345"/>
    </row>
    <row r="263" ht="13.5" customHeight="1">
      <c r="A263" s="436">
        <f>'Membership Application List'!A492</f>
        <v>45737.79804</v>
      </c>
      <c r="B263" s="437" t="str">
        <f t="shared" si="6"/>
        <v>March</v>
      </c>
      <c r="C263" s="437">
        <f t="shared" si="7"/>
        <v>2025</v>
      </c>
      <c r="D263" s="438" t="str">
        <f>'Membership Application List'!E492</f>
        <v>Emma Haynie</v>
      </c>
      <c r="E263" s="438">
        <f>IF('Membership Application List'!J492 = "Food/Litter Donation", 0, IF('Membership Application List'!J492 = "$15 Donation, Discord Verification", IF('Membership Application List'!N492 = TRUE, 15, 0)))</f>
        <v>15</v>
      </c>
      <c r="F263" s="438">
        <f>if('Membership Application List'!K492=TRUE, 5,0)</f>
        <v>0</v>
      </c>
      <c r="G263" s="438">
        <f t="shared" si="8"/>
        <v>15</v>
      </c>
      <c r="H263" s="439" t="str">
        <f>'Membership Application List'!L492</f>
        <v>Venmo</v>
      </c>
      <c r="I263" s="345"/>
      <c r="J263" s="441"/>
      <c r="K263" s="345"/>
      <c r="L263" s="478"/>
      <c r="M263" s="345"/>
      <c r="N263" s="345"/>
      <c r="O263" s="345"/>
      <c r="P263" s="414"/>
      <c r="Q263" s="414"/>
      <c r="R263" s="414"/>
      <c r="S263" s="445"/>
      <c r="T263" s="445"/>
      <c r="U263" s="445"/>
      <c r="V263" s="345"/>
      <c r="W263" s="441"/>
      <c r="X263" s="345"/>
      <c r="Y263" s="345"/>
      <c r="Z263" s="345"/>
      <c r="AA263" s="345"/>
      <c r="AB263" s="345"/>
      <c r="AC263" s="345"/>
      <c r="AD263" s="345"/>
      <c r="AE263" s="345"/>
      <c r="AF263" s="345"/>
      <c r="AG263" s="345"/>
      <c r="AH263" s="345"/>
      <c r="AI263" s="345"/>
      <c r="AJ263" s="345"/>
      <c r="AK263" s="345"/>
      <c r="AL263" s="345"/>
      <c r="AM263" s="345"/>
      <c r="AN263" s="345"/>
      <c r="AO263" s="345"/>
      <c r="AP263" s="345"/>
      <c r="AQ263" s="345"/>
      <c r="AR263" s="345"/>
      <c r="AS263" s="345"/>
    </row>
    <row r="264" ht="13.5" customHeight="1">
      <c r="A264" s="424">
        <f>'Membership Application List'!A493</f>
        <v>45762.77471</v>
      </c>
      <c r="B264" s="443" t="str">
        <f t="shared" si="6"/>
        <v>April</v>
      </c>
      <c r="C264" s="443">
        <f t="shared" si="7"/>
        <v>2025</v>
      </c>
      <c r="D264" s="426" t="str">
        <f>'Membership Application List'!E493</f>
        <v>Alexandra Trejo</v>
      </c>
      <c r="E264" s="426">
        <f>IF('Membership Application List'!J493 = "Food/Litter Donation", 0, IF('Membership Application List'!J493 = "$15 Donation, Discord Verification", IF('Membership Application List'!N493 = TRUE, 15, 0)))</f>
        <v>15</v>
      </c>
      <c r="F264" s="426">
        <f>if('Membership Application List'!K493=TRUE, 5,0)</f>
        <v>0</v>
      </c>
      <c r="G264" s="426">
        <f t="shared" si="8"/>
        <v>15</v>
      </c>
      <c r="H264" s="427" t="str">
        <f>'Membership Application List'!L493</f>
        <v>Paypal</v>
      </c>
      <c r="I264" s="345"/>
      <c r="J264" s="441"/>
      <c r="K264" s="345"/>
      <c r="L264" s="478"/>
      <c r="M264" s="345"/>
      <c r="N264" s="345"/>
      <c r="O264" s="345"/>
      <c r="P264" s="414"/>
      <c r="Q264" s="414"/>
      <c r="R264" s="414"/>
      <c r="S264" s="445"/>
      <c r="T264" s="445"/>
      <c r="U264" s="445"/>
      <c r="V264" s="345"/>
      <c r="W264" s="441"/>
      <c r="X264" s="345"/>
      <c r="Y264" s="345"/>
      <c r="Z264" s="345"/>
      <c r="AA264" s="345"/>
      <c r="AB264" s="345"/>
      <c r="AC264" s="345"/>
      <c r="AD264" s="345"/>
      <c r="AE264" s="345"/>
      <c r="AF264" s="345"/>
      <c r="AG264" s="345"/>
      <c r="AH264" s="345"/>
      <c r="AI264" s="345"/>
      <c r="AJ264" s="345"/>
      <c r="AK264" s="345"/>
      <c r="AL264" s="345"/>
      <c r="AM264" s="345"/>
      <c r="AN264" s="345"/>
      <c r="AO264" s="345"/>
      <c r="AP264" s="345"/>
      <c r="AQ264" s="345"/>
      <c r="AR264" s="345"/>
      <c r="AS264" s="345"/>
    </row>
    <row r="265" ht="13.5" customHeight="1">
      <c r="A265" s="436">
        <f>'Membership Application List'!A494</f>
        <v>45796.45552</v>
      </c>
      <c r="B265" s="437" t="str">
        <f t="shared" si="6"/>
        <v>May</v>
      </c>
      <c r="C265" s="437">
        <f t="shared" si="7"/>
        <v>2025</v>
      </c>
      <c r="D265" s="438" t="str">
        <f>'Membership Application List'!E494</f>
        <v>Zahara Aluna </v>
      </c>
      <c r="E265" s="438">
        <f>IF('Membership Application List'!J494 = "Food/Litter Donation", 0, IF('Membership Application List'!J494 = "$15 Donation, Discord Verification", IF('Membership Application List'!N494 = TRUE, 15, 0)))</f>
        <v>0</v>
      </c>
      <c r="F265" s="438">
        <f>if('Membership Application List'!K494=TRUE, 5,0)</f>
        <v>0</v>
      </c>
      <c r="G265" s="438">
        <f t="shared" si="8"/>
        <v>0</v>
      </c>
      <c r="H265" s="439" t="str">
        <f>'Membership Application List'!L494</f>
        <v/>
      </c>
      <c r="I265" s="345"/>
      <c r="J265" s="441"/>
      <c r="K265" s="345"/>
      <c r="L265" s="478"/>
      <c r="M265" s="345"/>
      <c r="N265" s="345"/>
      <c r="O265" s="345"/>
      <c r="P265" s="414"/>
      <c r="Q265" s="414"/>
      <c r="R265" s="414"/>
      <c r="S265" s="445"/>
      <c r="T265" s="445"/>
      <c r="U265" s="445"/>
      <c r="V265" s="345"/>
      <c r="W265" s="441"/>
      <c r="X265" s="345"/>
      <c r="Y265" s="345"/>
      <c r="Z265" s="345"/>
      <c r="AA265" s="345"/>
      <c r="AB265" s="345"/>
      <c r="AC265" s="345"/>
      <c r="AD265" s="345"/>
      <c r="AE265" s="345"/>
      <c r="AF265" s="345"/>
      <c r="AG265" s="345"/>
      <c r="AH265" s="345"/>
      <c r="AI265" s="345"/>
      <c r="AJ265" s="345"/>
      <c r="AK265" s="345"/>
      <c r="AL265" s="345"/>
      <c r="AM265" s="345"/>
      <c r="AN265" s="345"/>
      <c r="AO265" s="345"/>
      <c r="AP265" s="345"/>
      <c r="AQ265" s="345"/>
      <c r="AR265" s="345"/>
      <c r="AS265" s="345"/>
    </row>
    <row r="266" ht="13.5" customHeight="1">
      <c r="A266" s="424">
        <f>'Membership Application List'!A495</f>
        <v>45796.46591</v>
      </c>
      <c r="B266" s="443" t="str">
        <f t="shared" si="6"/>
        <v>May</v>
      </c>
      <c r="C266" s="443">
        <f t="shared" si="7"/>
        <v>2025</v>
      </c>
      <c r="D266" s="426" t="str">
        <f>'Membership Application List'!E495</f>
        <v>Zahara Aluna </v>
      </c>
      <c r="E266" s="426">
        <f>IF('Membership Application List'!J495 = "Food/Litter Donation", 0, IF('Membership Application List'!J495 = "$15 Donation, Discord Verification", IF('Membership Application List'!N495 = TRUE, 15, 0)))</f>
        <v>15</v>
      </c>
      <c r="F266" s="426">
        <f>if('Membership Application List'!K495=TRUE, 5,0)</f>
        <v>0</v>
      </c>
      <c r="G266" s="426">
        <f t="shared" si="8"/>
        <v>15</v>
      </c>
      <c r="H266" s="427" t="str">
        <f>'Membership Application List'!L495</f>
        <v>Paypal</v>
      </c>
      <c r="I266" s="345"/>
      <c r="J266" s="441"/>
      <c r="K266" s="345"/>
      <c r="L266" s="478"/>
      <c r="M266" s="345"/>
      <c r="N266" s="345"/>
      <c r="O266" s="345"/>
      <c r="P266" s="414"/>
      <c r="Q266" s="414"/>
      <c r="R266" s="414"/>
      <c r="S266" s="445"/>
      <c r="T266" s="445"/>
      <c r="U266" s="445"/>
      <c r="V266" s="345"/>
      <c r="W266" s="441"/>
      <c r="X266" s="345"/>
      <c r="Y266" s="345"/>
      <c r="Z266" s="345"/>
      <c r="AA266" s="345"/>
      <c r="AB266" s="345"/>
      <c r="AC266" s="345"/>
      <c r="AD266" s="345"/>
      <c r="AE266" s="345"/>
      <c r="AF266" s="345"/>
      <c r="AG266" s="345"/>
      <c r="AH266" s="345"/>
      <c r="AI266" s="345"/>
      <c r="AJ266" s="345"/>
      <c r="AK266" s="345"/>
      <c r="AL266" s="345"/>
      <c r="AM266" s="345"/>
      <c r="AN266" s="345"/>
      <c r="AO266" s="345"/>
      <c r="AP266" s="345"/>
      <c r="AQ266" s="345"/>
      <c r="AR266" s="345"/>
      <c r="AS266" s="345"/>
    </row>
    <row r="267" ht="13.5" customHeight="1">
      <c r="A267" s="436">
        <f>'Membership Application List'!A496</f>
        <v>45797.04303</v>
      </c>
      <c r="B267" s="437" t="str">
        <f t="shared" si="6"/>
        <v>May</v>
      </c>
      <c r="C267" s="437">
        <f t="shared" si="7"/>
        <v>2025</v>
      </c>
      <c r="D267" s="438" t="str">
        <f>'Membership Application List'!E496</f>
        <v>Evelyn Pena</v>
      </c>
      <c r="E267" s="438">
        <f>IF('Membership Application List'!J496 = "Food/Litter Donation", 0, IF('Membership Application List'!J496 = "$15 Donation, Discord Verification", IF('Membership Application List'!N496 = TRUE, 15, 0)))</f>
        <v>0</v>
      </c>
      <c r="F267" s="438">
        <f>if('Membership Application List'!K496=TRUE, 5,0)</f>
        <v>0</v>
      </c>
      <c r="G267" s="438">
        <f t="shared" si="8"/>
        <v>0</v>
      </c>
      <c r="H267" s="439" t="str">
        <f>'Membership Application List'!L496</f>
        <v>Cashapp</v>
      </c>
      <c r="I267" s="345"/>
      <c r="J267" s="441"/>
      <c r="K267" s="345"/>
      <c r="L267" s="478"/>
      <c r="M267" s="345"/>
      <c r="N267" s="345"/>
      <c r="O267" s="345"/>
      <c r="P267" s="414"/>
      <c r="Q267" s="414"/>
      <c r="R267" s="414"/>
      <c r="S267" s="445"/>
      <c r="T267" s="445"/>
      <c r="U267" s="445"/>
      <c r="V267" s="345"/>
      <c r="W267" s="441"/>
      <c r="X267" s="345"/>
      <c r="Y267" s="345"/>
      <c r="Z267" s="345"/>
      <c r="AA267" s="345"/>
      <c r="AB267" s="345"/>
      <c r="AC267" s="345"/>
      <c r="AD267" s="345"/>
      <c r="AE267" s="345"/>
      <c r="AF267" s="345"/>
      <c r="AG267" s="345"/>
      <c r="AH267" s="345"/>
      <c r="AI267" s="345"/>
      <c r="AJ267" s="345"/>
      <c r="AK267" s="345"/>
      <c r="AL267" s="345"/>
      <c r="AM267" s="345"/>
      <c r="AN267" s="345"/>
      <c r="AO267" s="345"/>
      <c r="AP267" s="345"/>
      <c r="AQ267" s="345"/>
      <c r="AR267" s="345"/>
      <c r="AS267" s="345"/>
    </row>
    <row r="268" ht="13.5" customHeight="1">
      <c r="A268" s="424">
        <f>'Membership Application List'!A497</f>
        <v>45822.62417</v>
      </c>
      <c r="B268" s="443" t="str">
        <f t="shared" si="6"/>
        <v>June</v>
      </c>
      <c r="C268" s="443">
        <f t="shared" si="7"/>
        <v>2025</v>
      </c>
      <c r="D268" s="426" t="str">
        <f>'Membership Application List'!E497</f>
        <v>Katelyn Kreis</v>
      </c>
      <c r="E268" s="426">
        <f>IF('Membership Application List'!J497 = "Food/Litter Donation", 0, IF('Membership Application List'!J497 = "$15 Donation, Discord Verification", IF('Membership Application List'!N497 = TRUE, 15, 0)))</f>
        <v>15</v>
      </c>
      <c r="F268" s="426">
        <f>if('Membership Application List'!K497=TRUE, 5,0)</f>
        <v>0</v>
      </c>
      <c r="G268" s="426">
        <f t="shared" si="8"/>
        <v>15</v>
      </c>
      <c r="H268" s="427" t="str">
        <f>'Membership Application List'!L497</f>
        <v>Paypal</v>
      </c>
      <c r="I268" s="345"/>
      <c r="J268" s="441"/>
      <c r="K268" s="345"/>
      <c r="L268" s="478"/>
      <c r="M268" s="345"/>
      <c r="N268" s="345"/>
      <c r="O268" s="345"/>
      <c r="P268" s="414"/>
      <c r="Q268" s="414"/>
      <c r="R268" s="414"/>
      <c r="S268" s="445"/>
      <c r="T268" s="445"/>
      <c r="U268" s="445"/>
      <c r="V268" s="345"/>
      <c r="W268" s="441"/>
      <c r="X268" s="345"/>
      <c r="Y268" s="345"/>
      <c r="Z268" s="345"/>
      <c r="AA268" s="345"/>
      <c r="AB268" s="345"/>
      <c r="AC268" s="345"/>
      <c r="AD268" s="345"/>
      <c r="AE268" s="345"/>
      <c r="AF268" s="345"/>
      <c r="AG268" s="345"/>
      <c r="AH268" s="345"/>
      <c r="AI268" s="345"/>
      <c r="AJ268" s="345"/>
      <c r="AK268" s="345"/>
      <c r="AL268" s="345"/>
      <c r="AM268" s="345"/>
      <c r="AN268" s="345"/>
      <c r="AO268" s="345"/>
      <c r="AP268" s="345"/>
      <c r="AQ268" s="345"/>
      <c r="AR268" s="345"/>
      <c r="AS268" s="345"/>
    </row>
    <row r="269" ht="13.5" customHeight="1">
      <c r="A269" s="436">
        <f>'Membership Application List'!A498</f>
        <v>45875.55826</v>
      </c>
      <c r="B269" s="437" t="str">
        <f t="shared" si="6"/>
        <v>August</v>
      </c>
      <c r="C269" s="437">
        <f t="shared" si="7"/>
        <v>2025</v>
      </c>
      <c r="D269" s="438" t="str">
        <f>'Membership Application List'!E498</f>
        <v>Brooke Bailey</v>
      </c>
      <c r="E269" s="438">
        <f>IF('Membership Application List'!J498 = "Food/Litter Donation", 0, IF('Membership Application List'!J498 = "$15 Donation, Discord Verification", IF('Membership Application List'!N498 = TRUE, 15, 0)))</f>
        <v>15</v>
      </c>
      <c r="F269" s="438">
        <f>if('Membership Application List'!K498=TRUE, 5,0)</f>
        <v>0</v>
      </c>
      <c r="G269" s="438">
        <f t="shared" si="8"/>
        <v>15</v>
      </c>
      <c r="H269" s="439" t="str">
        <f>'Membership Application List'!L498</f>
        <v>Venmo</v>
      </c>
      <c r="I269" s="345"/>
      <c r="J269" s="441"/>
      <c r="K269" s="345"/>
      <c r="L269" s="478"/>
      <c r="M269" s="345"/>
      <c r="N269" s="345"/>
      <c r="O269" s="345"/>
      <c r="P269" s="414"/>
      <c r="Q269" s="414"/>
      <c r="R269" s="414"/>
      <c r="S269" s="445"/>
      <c r="T269" s="445"/>
      <c r="U269" s="445"/>
      <c r="V269" s="345"/>
      <c r="W269" s="441"/>
      <c r="X269" s="345"/>
      <c r="Y269" s="345"/>
      <c r="Z269" s="345"/>
      <c r="AA269" s="345"/>
      <c r="AB269" s="345"/>
      <c r="AC269" s="345"/>
      <c r="AD269" s="345"/>
      <c r="AE269" s="345"/>
      <c r="AF269" s="345"/>
      <c r="AG269" s="345"/>
      <c r="AH269" s="345"/>
      <c r="AI269" s="345"/>
      <c r="AJ269" s="345"/>
      <c r="AK269" s="345"/>
      <c r="AL269" s="345"/>
      <c r="AM269" s="345"/>
      <c r="AN269" s="345"/>
      <c r="AO269" s="345"/>
      <c r="AP269" s="345"/>
      <c r="AQ269" s="345"/>
      <c r="AR269" s="345"/>
      <c r="AS269" s="345"/>
    </row>
    <row r="270" ht="13.5" customHeight="1">
      <c r="A270" s="424">
        <f>'Membership Application List'!A499</f>
        <v>45875.80165</v>
      </c>
      <c r="B270" s="443" t="str">
        <f t="shared" si="6"/>
        <v>August</v>
      </c>
      <c r="C270" s="443">
        <f t="shared" si="7"/>
        <v>2025</v>
      </c>
      <c r="D270" s="426" t="str">
        <f>'Membership Application List'!E499</f>
        <v>Sudip Dhungel </v>
      </c>
      <c r="E270" s="426">
        <f>IF('Membership Application List'!J499 = "Food/Litter Donation", 0, IF('Membership Application List'!J499 = "$15 Donation, Discord Verification", IF('Membership Application List'!N499 = TRUE, 15, 0)))</f>
        <v>0</v>
      </c>
      <c r="F270" s="426">
        <f>if('Membership Application List'!K499=TRUE, 5,0)</f>
        <v>0</v>
      </c>
      <c r="G270" s="426">
        <f t="shared" si="8"/>
        <v>0</v>
      </c>
      <c r="H270" s="427" t="str">
        <f>'Membership Application List'!L499</f>
        <v/>
      </c>
      <c r="I270" s="345"/>
      <c r="J270" s="441"/>
      <c r="K270" s="345"/>
      <c r="L270" s="478"/>
      <c r="M270" s="345"/>
      <c r="N270" s="345"/>
      <c r="O270" s="345"/>
      <c r="P270" s="414"/>
      <c r="Q270" s="414"/>
      <c r="R270" s="414"/>
      <c r="S270" s="445"/>
      <c r="T270" s="445"/>
      <c r="U270" s="445"/>
      <c r="V270" s="345"/>
      <c r="W270" s="441"/>
      <c r="X270" s="345"/>
      <c r="Y270" s="345"/>
      <c r="Z270" s="345"/>
      <c r="AA270" s="345"/>
      <c r="AB270" s="345"/>
      <c r="AC270" s="345"/>
      <c r="AD270" s="345"/>
      <c r="AE270" s="345"/>
      <c r="AF270" s="345"/>
      <c r="AG270" s="345"/>
      <c r="AH270" s="345"/>
      <c r="AI270" s="345"/>
      <c r="AJ270" s="345"/>
      <c r="AK270" s="345"/>
      <c r="AL270" s="345"/>
      <c r="AM270" s="345"/>
      <c r="AN270" s="345"/>
      <c r="AO270" s="345"/>
      <c r="AP270" s="345"/>
      <c r="AQ270" s="345"/>
      <c r="AR270" s="345"/>
      <c r="AS270" s="345"/>
    </row>
    <row r="271" ht="13.5" customHeight="1">
      <c r="A271" s="436">
        <f>'Membership Application List'!A500</f>
        <v>45875.81538</v>
      </c>
      <c r="B271" s="437" t="str">
        <f t="shared" si="6"/>
        <v>August</v>
      </c>
      <c r="C271" s="437">
        <f t="shared" si="7"/>
        <v>2025</v>
      </c>
      <c r="D271" s="438" t="str">
        <f>'Membership Application List'!E500</f>
        <v>Jaeden Sizelove</v>
      </c>
      <c r="E271" s="438">
        <f>IF('Membership Application List'!J500 = "Food/Litter Donation", 0, IF('Membership Application List'!J500 = "$15 Donation, Discord Verification", IF('Membership Application List'!N500 = TRUE, 15, 0)))</f>
        <v>15</v>
      </c>
      <c r="F271" s="438">
        <f>if('Membership Application List'!K500=TRUE, 5,0)</f>
        <v>0</v>
      </c>
      <c r="G271" s="438">
        <f t="shared" si="8"/>
        <v>15</v>
      </c>
      <c r="H271" s="439" t="str">
        <f>'Membership Application List'!L500</f>
        <v>Cashapp</v>
      </c>
      <c r="I271" s="345"/>
      <c r="J271" s="441"/>
      <c r="K271" s="345"/>
      <c r="L271" s="478"/>
      <c r="M271" s="345"/>
      <c r="N271" s="345"/>
      <c r="O271" s="345"/>
      <c r="P271" s="414"/>
      <c r="Q271" s="414"/>
      <c r="R271" s="414"/>
      <c r="S271" s="445"/>
      <c r="T271" s="445"/>
      <c r="U271" s="445"/>
      <c r="V271" s="345"/>
      <c r="W271" s="441"/>
      <c r="X271" s="345"/>
      <c r="Y271" s="345"/>
      <c r="Z271" s="345"/>
      <c r="AA271" s="345"/>
      <c r="AB271" s="345"/>
      <c r="AC271" s="345"/>
      <c r="AD271" s="345"/>
      <c r="AE271" s="345"/>
      <c r="AF271" s="345"/>
      <c r="AG271" s="345"/>
      <c r="AH271" s="345"/>
      <c r="AI271" s="345"/>
      <c r="AJ271" s="345"/>
      <c r="AK271" s="345"/>
      <c r="AL271" s="345"/>
      <c r="AM271" s="345"/>
      <c r="AN271" s="345"/>
      <c r="AO271" s="345"/>
      <c r="AP271" s="345"/>
      <c r="AQ271" s="345"/>
      <c r="AR271" s="345"/>
      <c r="AS271" s="345"/>
    </row>
    <row r="272" ht="13.5" customHeight="1">
      <c r="A272" s="424">
        <f>'Membership Application List'!A501</f>
        <v>45877.04119</v>
      </c>
      <c r="B272" s="443" t="str">
        <f t="shared" si="6"/>
        <v>August</v>
      </c>
      <c r="C272" s="443">
        <f t="shared" si="7"/>
        <v>2025</v>
      </c>
      <c r="D272" s="426" t="str">
        <f>'Membership Application List'!E501</f>
        <v>Isabelle Islambasic</v>
      </c>
      <c r="E272" s="426">
        <f>IF('Membership Application List'!J501 = "Food/Litter Donation", 0, IF('Membership Application List'!J501 = "$15 Donation, Discord Verification", IF('Membership Application List'!N501 = TRUE, 15, 0)))</f>
        <v>15</v>
      </c>
      <c r="F272" s="426">
        <f>if('Membership Application List'!K501=TRUE, 5,0)</f>
        <v>0</v>
      </c>
      <c r="G272" s="426">
        <f t="shared" si="8"/>
        <v>15</v>
      </c>
      <c r="H272" s="427" t="str">
        <f>'Membership Application List'!L501</f>
        <v>Cashapp</v>
      </c>
      <c r="I272" s="345"/>
      <c r="J272" s="441"/>
      <c r="K272" s="345"/>
      <c r="L272" s="478"/>
      <c r="M272" s="345"/>
      <c r="N272" s="345"/>
      <c r="O272" s="345"/>
      <c r="P272" s="414"/>
      <c r="Q272" s="414"/>
      <c r="R272" s="414"/>
      <c r="S272" s="445"/>
      <c r="T272" s="445"/>
      <c r="U272" s="445"/>
      <c r="V272" s="345"/>
      <c r="W272" s="441"/>
      <c r="X272" s="345"/>
      <c r="Y272" s="345"/>
      <c r="Z272" s="345"/>
      <c r="AA272" s="345"/>
      <c r="AB272" s="345"/>
      <c r="AC272" s="345"/>
      <c r="AD272" s="345"/>
      <c r="AE272" s="345"/>
      <c r="AF272" s="345"/>
      <c r="AG272" s="345"/>
      <c r="AH272" s="345"/>
      <c r="AI272" s="345"/>
      <c r="AJ272" s="345"/>
      <c r="AK272" s="345"/>
      <c r="AL272" s="345"/>
      <c r="AM272" s="345"/>
      <c r="AN272" s="345"/>
      <c r="AO272" s="345"/>
      <c r="AP272" s="345"/>
      <c r="AQ272" s="345"/>
      <c r="AR272" s="345"/>
      <c r="AS272" s="345"/>
    </row>
    <row r="273" ht="13.5" customHeight="1">
      <c r="A273" s="436">
        <f>'Membership Application List'!A502</f>
        <v>45880.58451</v>
      </c>
      <c r="B273" s="437" t="str">
        <f t="shared" si="6"/>
        <v>August</v>
      </c>
      <c r="C273" s="437">
        <f t="shared" si="7"/>
        <v>2025</v>
      </c>
      <c r="D273" s="438" t="str">
        <f>'Membership Application List'!E502</f>
        <v>Bryan Huynh</v>
      </c>
      <c r="E273" s="438">
        <f>IF('Membership Application List'!J502 = "Food/Litter Donation", 0, IF('Membership Application List'!J502 = "$15 Donation, Discord Verification", IF('Membership Application List'!N502 = TRUE, 15, 0)))</f>
        <v>15</v>
      </c>
      <c r="F273" s="438">
        <f>if('Membership Application List'!K502=TRUE, 5,0)</f>
        <v>0</v>
      </c>
      <c r="G273" s="438">
        <f t="shared" si="8"/>
        <v>15</v>
      </c>
      <c r="H273" s="439" t="str">
        <f>'Membership Application List'!L502</f>
        <v>Venmo</v>
      </c>
      <c r="I273" s="345"/>
      <c r="J273" s="441"/>
      <c r="K273" s="345"/>
      <c r="L273" s="478"/>
      <c r="M273" s="345"/>
      <c r="N273" s="345"/>
      <c r="O273" s="345"/>
      <c r="P273" s="414"/>
      <c r="Q273" s="414"/>
      <c r="R273" s="414"/>
      <c r="S273" s="445"/>
      <c r="T273" s="445"/>
      <c r="U273" s="445"/>
      <c r="V273" s="345"/>
      <c r="W273" s="441"/>
      <c r="X273" s="345"/>
      <c r="Y273" s="345"/>
      <c r="Z273" s="345"/>
      <c r="AA273" s="345"/>
      <c r="AB273" s="345"/>
      <c r="AC273" s="345"/>
      <c r="AD273" s="345"/>
      <c r="AE273" s="345"/>
      <c r="AF273" s="345"/>
      <c r="AG273" s="345"/>
      <c r="AH273" s="345"/>
      <c r="AI273" s="345"/>
      <c r="AJ273" s="345"/>
      <c r="AK273" s="345"/>
      <c r="AL273" s="345"/>
      <c r="AM273" s="345"/>
      <c r="AN273" s="345"/>
      <c r="AO273" s="345"/>
      <c r="AP273" s="345"/>
      <c r="AQ273" s="345"/>
      <c r="AR273" s="345"/>
      <c r="AS273" s="345"/>
    </row>
    <row r="274" ht="13.5" customHeight="1">
      <c r="A274" s="424">
        <f>'Membership Application List'!A503</f>
        <v>45881.96249</v>
      </c>
      <c r="B274" s="443" t="str">
        <f t="shared" si="6"/>
        <v>August</v>
      </c>
      <c r="C274" s="443">
        <f t="shared" si="7"/>
        <v>2025</v>
      </c>
      <c r="D274" s="426" t="str">
        <f>'Membership Application List'!E503</f>
        <v>Emma Haynie</v>
      </c>
      <c r="E274" s="426">
        <f>IF('Membership Application List'!J503 = "Food/Litter Donation", 0, IF('Membership Application List'!J503 = "$15 Donation, Discord Verification", IF('Membership Application List'!N503 = TRUE, 15, 0)))</f>
        <v>15</v>
      </c>
      <c r="F274" s="426">
        <f>if('Membership Application List'!K503=TRUE, 5,0)</f>
        <v>0</v>
      </c>
      <c r="G274" s="426">
        <f t="shared" si="8"/>
        <v>15</v>
      </c>
      <c r="H274" s="427" t="str">
        <f>'Membership Application List'!L503</f>
        <v>Venmo</v>
      </c>
      <c r="I274" s="345"/>
      <c r="J274" s="441"/>
      <c r="K274" s="345"/>
      <c r="L274" s="478"/>
      <c r="M274" s="345"/>
      <c r="N274" s="345"/>
      <c r="O274" s="345"/>
      <c r="P274" s="414"/>
      <c r="Q274" s="414"/>
      <c r="R274" s="414"/>
      <c r="S274" s="445"/>
      <c r="T274" s="445"/>
      <c r="U274" s="445"/>
      <c r="V274" s="345"/>
      <c r="W274" s="441"/>
      <c r="X274" s="345"/>
      <c r="Y274" s="345"/>
      <c r="Z274" s="345"/>
      <c r="AA274" s="345"/>
      <c r="AB274" s="345"/>
      <c r="AC274" s="345"/>
      <c r="AD274" s="345"/>
      <c r="AE274" s="345"/>
      <c r="AF274" s="345"/>
      <c r="AG274" s="345"/>
      <c r="AH274" s="345"/>
      <c r="AI274" s="345"/>
      <c r="AJ274" s="345"/>
      <c r="AK274" s="345"/>
      <c r="AL274" s="345"/>
      <c r="AM274" s="345"/>
      <c r="AN274" s="345"/>
      <c r="AO274" s="345"/>
      <c r="AP274" s="345"/>
      <c r="AQ274" s="345"/>
      <c r="AR274" s="345"/>
      <c r="AS274" s="345"/>
    </row>
    <row r="275" ht="13.5" customHeight="1">
      <c r="A275" s="436">
        <f>'Membership Application List'!A504</f>
        <v>45884.4637</v>
      </c>
      <c r="B275" s="437" t="str">
        <f t="shared" si="6"/>
        <v>August</v>
      </c>
      <c r="C275" s="437">
        <f t="shared" si="7"/>
        <v>2025</v>
      </c>
      <c r="D275" s="438" t="str">
        <f>'Membership Application List'!E504</f>
        <v>Zahara Aluna </v>
      </c>
      <c r="E275" s="438">
        <f>IF('Membership Application List'!J504 = "Food/Litter Donation", 0, IF('Membership Application List'!J504 = "$15 Donation, Discord Verification", IF('Membership Application List'!N504 = TRUE, 15, 0)))</f>
        <v>15</v>
      </c>
      <c r="F275" s="438">
        <f>if('Membership Application List'!K504=TRUE, 5,0)</f>
        <v>0</v>
      </c>
      <c r="G275" s="438">
        <f t="shared" si="8"/>
        <v>15</v>
      </c>
      <c r="H275" s="439" t="str">
        <f>'Membership Application List'!L504</f>
        <v>Cashapp</v>
      </c>
      <c r="I275" s="345"/>
      <c r="J275" s="441"/>
      <c r="K275" s="345"/>
      <c r="L275" s="478"/>
      <c r="M275" s="345"/>
      <c r="N275" s="345"/>
      <c r="O275" s="345"/>
      <c r="P275" s="414"/>
      <c r="Q275" s="414"/>
      <c r="R275" s="414"/>
      <c r="S275" s="445"/>
      <c r="T275" s="445"/>
      <c r="U275" s="445"/>
      <c r="V275" s="345"/>
      <c r="W275" s="441"/>
      <c r="X275" s="345"/>
      <c r="Y275" s="345"/>
      <c r="Z275" s="345"/>
      <c r="AA275" s="345"/>
      <c r="AB275" s="345"/>
      <c r="AC275" s="345"/>
      <c r="AD275" s="345"/>
      <c r="AE275" s="345"/>
      <c r="AF275" s="345"/>
      <c r="AG275" s="345"/>
      <c r="AH275" s="345"/>
      <c r="AI275" s="345"/>
      <c r="AJ275" s="345"/>
      <c r="AK275" s="345"/>
      <c r="AL275" s="345"/>
      <c r="AM275" s="345"/>
      <c r="AN275" s="345"/>
      <c r="AO275" s="345"/>
      <c r="AP275" s="345"/>
      <c r="AQ275" s="345"/>
      <c r="AR275" s="345"/>
      <c r="AS275" s="345"/>
    </row>
    <row r="276" ht="13.5" customHeight="1">
      <c r="A276" s="424">
        <f>'Membership Application List'!A505</f>
        <v>45884.5682</v>
      </c>
      <c r="B276" s="443" t="str">
        <f t="shared" si="6"/>
        <v>August</v>
      </c>
      <c r="C276" s="443">
        <f t="shared" si="7"/>
        <v>2025</v>
      </c>
      <c r="D276" s="426" t="str">
        <f>'Membership Application List'!E505</f>
        <v>Victoria Ensley</v>
      </c>
      <c r="E276" s="426">
        <f>IF('Membership Application List'!J505 = "Food/Litter Donation", 0, IF('Membership Application List'!J505 = "$15 Donation, Discord Verification", IF('Membership Application List'!N505 = TRUE, 15, 0)))</f>
        <v>0</v>
      </c>
      <c r="F276" s="426">
        <f>if('Membership Application List'!K505=TRUE, 5,0)</f>
        <v>0</v>
      </c>
      <c r="G276" s="426">
        <f t="shared" si="8"/>
        <v>0</v>
      </c>
      <c r="H276" s="427" t="str">
        <f>'Membership Application List'!L505</f>
        <v/>
      </c>
      <c r="I276" s="345"/>
      <c r="J276" s="441"/>
      <c r="K276" s="345"/>
      <c r="L276" s="478"/>
      <c r="M276" s="345"/>
      <c r="N276" s="345"/>
      <c r="O276" s="345"/>
      <c r="P276" s="414"/>
      <c r="Q276" s="414"/>
      <c r="R276" s="414"/>
      <c r="S276" s="445"/>
      <c r="T276" s="445"/>
      <c r="U276" s="445"/>
      <c r="V276" s="345"/>
      <c r="W276" s="441"/>
      <c r="X276" s="345"/>
      <c r="Y276" s="345"/>
      <c r="Z276" s="345"/>
      <c r="AA276" s="345"/>
      <c r="AB276" s="345"/>
      <c r="AC276" s="345"/>
      <c r="AD276" s="345"/>
      <c r="AE276" s="345"/>
      <c r="AF276" s="345"/>
      <c r="AG276" s="345"/>
      <c r="AH276" s="345"/>
      <c r="AI276" s="345"/>
      <c r="AJ276" s="345"/>
      <c r="AK276" s="345"/>
      <c r="AL276" s="345"/>
      <c r="AM276" s="345"/>
      <c r="AN276" s="345"/>
      <c r="AO276" s="345"/>
      <c r="AP276" s="345"/>
      <c r="AQ276" s="345"/>
      <c r="AR276" s="345"/>
      <c r="AS276" s="345"/>
    </row>
    <row r="277" ht="13.5" customHeight="1">
      <c r="A277" s="436">
        <f>'Membership Application List'!A506</f>
        <v>45885.57486</v>
      </c>
      <c r="B277" s="437" t="str">
        <f t="shared" si="6"/>
        <v>August</v>
      </c>
      <c r="C277" s="437">
        <f t="shared" si="7"/>
        <v>2025</v>
      </c>
      <c r="D277" s="438" t="str">
        <f>'Membership Application List'!E506</f>
        <v>Amber Lauren Thomas</v>
      </c>
      <c r="E277" s="438">
        <f>IF('Membership Application List'!J506 = "Food/Litter Donation", 0, IF('Membership Application List'!J506 = "$15 Donation, Discord Verification", IF('Membership Application List'!N506 = TRUE, 15, 0)))</f>
        <v>15</v>
      </c>
      <c r="F277" s="438">
        <f>if('Membership Application List'!K506=TRUE, 5,0)</f>
        <v>0</v>
      </c>
      <c r="G277" s="438">
        <f t="shared" si="8"/>
        <v>15</v>
      </c>
      <c r="H277" s="439" t="str">
        <f>'Membership Application List'!L506</f>
        <v>Cashapp</v>
      </c>
      <c r="I277" s="345"/>
      <c r="J277" s="441"/>
      <c r="K277" s="345"/>
      <c r="L277" s="478"/>
      <c r="M277" s="345"/>
      <c r="N277" s="345"/>
      <c r="O277" s="345"/>
      <c r="P277" s="414"/>
      <c r="Q277" s="414"/>
      <c r="R277" s="414"/>
      <c r="S277" s="445"/>
      <c r="T277" s="445"/>
      <c r="U277" s="445"/>
      <c r="V277" s="345"/>
      <c r="W277" s="441"/>
      <c r="X277" s="345"/>
      <c r="Y277" s="345"/>
      <c r="Z277" s="345"/>
      <c r="AA277" s="345"/>
      <c r="AB277" s="345"/>
      <c r="AC277" s="345"/>
      <c r="AD277" s="345"/>
      <c r="AE277" s="345"/>
      <c r="AF277" s="345"/>
      <c r="AG277" s="345"/>
      <c r="AH277" s="345"/>
      <c r="AI277" s="345"/>
      <c r="AJ277" s="345"/>
      <c r="AK277" s="345"/>
      <c r="AL277" s="345"/>
      <c r="AM277" s="345"/>
      <c r="AN277" s="345"/>
      <c r="AO277" s="345"/>
      <c r="AP277" s="345"/>
      <c r="AQ277" s="345"/>
      <c r="AR277" s="345"/>
      <c r="AS277" s="345"/>
    </row>
    <row r="278" ht="13.5" customHeight="1">
      <c r="A278" s="424">
        <f>'Membership Application List'!A507</f>
        <v>45885.88191</v>
      </c>
      <c r="B278" s="443" t="str">
        <f t="shared" si="6"/>
        <v>August</v>
      </c>
      <c r="C278" s="443">
        <f t="shared" si="7"/>
        <v>2025</v>
      </c>
      <c r="D278" s="426" t="str">
        <f>'Membership Application List'!E507</f>
        <v>Isabella Beste</v>
      </c>
      <c r="E278" s="426">
        <f>IF('Membership Application List'!J507 = "Food/Litter Donation", 0, IF('Membership Application List'!J507 = "$15 Donation, Discord Verification", IF('Membership Application List'!N507 = TRUE, 15, 0)))</f>
        <v>15</v>
      </c>
      <c r="F278" s="426">
        <f>if('Membership Application List'!K507=TRUE, 5,0)</f>
        <v>0</v>
      </c>
      <c r="G278" s="426">
        <f t="shared" si="8"/>
        <v>15</v>
      </c>
      <c r="H278" s="427" t="str">
        <f>'Membership Application List'!L507</f>
        <v>Paypal</v>
      </c>
      <c r="I278" s="345"/>
      <c r="J278" s="441"/>
      <c r="K278" s="345"/>
      <c r="L278" s="478"/>
      <c r="M278" s="345"/>
      <c r="N278" s="345"/>
      <c r="O278" s="345"/>
      <c r="P278" s="414"/>
      <c r="Q278" s="414"/>
      <c r="R278" s="414"/>
      <c r="S278" s="445"/>
      <c r="T278" s="445"/>
      <c r="U278" s="445"/>
      <c r="V278" s="345"/>
      <c r="W278" s="441"/>
      <c r="X278" s="345"/>
      <c r="Y278" s="345"/>
      <c r="Z278" s="345"/>
      <c r="AA278" s="345"/>
      <c r="AB278" s="345"/>
      <c r="AC278" s="345"/>
      <c r="AD278" s="345"/>
      <c r="AE278" s="345"/>
      <c r="AF278" s="345"/>
      <c r="AG278" s="345"/>
      <c r="AH278" s="345"/>
      <c r="AI278" s="345"/>
      <c r="AJ278" s="345"/>
      <c r="AK278" s="345"/>
      <c r="AL278" s="345"/>
      <c r="AM278" s="345"/>
      <c r="AN278" s="345"/>
      <c r="AO278" s="345"/>
      <c r="AP278" s="345"/>
      <c r="AQ278" s="345"/>
      <c r="AR278" s="345"/>
      <c r="AS278" s="345"/>
    </row>
    <row r="279" ht="13.5" customHeight="1">
      <c r="A279" s="436">
        <f>'Membership Application List'!A508</f>
        <v>45886.28549</v>
      </c>
      <c r="B279" s="437" t="str">
        <f t="shared" si="6"/>
        <v>August</v>
      </c>
      <c r="C279" s="437">
        <f t="shared" si="7"/>
        <v>2025</v>
      </c>
      <c r="D279" s="438" t="str">
        <f>'Membership Application List'!E508</f>
        <v>Oliver Scantling </v>
      </c>
      <c r="E279" s="438">
        <f>IF('Membership Application List'!J508 = "Food/Litter Donation", 0, IF('Membership Application List'!J508 = "$15 Donation, Discord Verification", IF('Membership Application List'!N508 = TRUE, 15, 0)))</f>
        <v>15</v>
      </c>
      <c r="F279" s="438">
        <f>if('Membership Application List'!K508=TRUE, 5,0)</f>
        <v>0</v>
      </c>
      <c r="G279" s="438">
        <f t="shared" si="8"/>
        <v>15</v>
      </c>
      <c r="H279" s="439" t="str">
        <f>'Membership Application List'!L508</f>
        <v>Venmo</v>
      </c>
      <c r="I279" s="345"/>
      <c r="J279" s="441"/>
      <c r="K279" s="345"/>
      <c r="L279" s="478"/>
      <c r="M279" s="345"/>
      <c r="N279" s="345"/>
      <c r="O279" s="345"/>
      <c r="P279" s="414"/>
      <c r="Q279" s="414"/>
      <c r="R279" s="414"/>
      <c r="S279" s="445"/>
      <c r="T279" s="445"/>
      <c r="U279" s="445"/>
      <c r="V279" s="345"/>
      <c r="W279" s="441"/>
      <c r="X279" s="345"/>
      <c r="Y279" s="345"/>
      <c r="Z279" s="345"/>
      <c r="AA279" s="345"/>
      <c r="AB279" s="345"/>
      <c r="AC279" s="345"/>
      <c r="AD279" s="345"/>
      <c r="AE279" s="345"/>
      <c r="AF279" s="345"/>
      <c r="AG279" s="345"/>
      <c r="AH279" s="345"/>
      <c r="AI279" s="345"/>
      <c r="AJ279" s="345"/>
      <c r="AK279" s="345"/>
      <c r="AL279" s="345"/>
      <c r="AM279" s="345"/>
      <c r="AN279" s="345"/>
      <c r="AO279" s="345"/>
      <c r="AP279" s="345"/>
      <c r="AQ279" s="345"/>
      <c r="AR279" s="345"/>
      <c r="AS279" s="345"/>
    </row>
    <row r="280" ht="13.5" customHeight="1">
      <c r="A280" s="424">
        <f>'Membership Application List'!A509</f>
        <v>45886.75508</v>
      </c>
      <c r="B280" s="443" t="str">
        <f t="shared" si="6"/>
        <v>August</v>
      </c>
      <c r="C280" s="443">
        <f t="shared" si="7"/>
        <v>2025</v>
      </c>
      <c r="D280" s="426" t="str">
        <f>'Membership Application List'!E509</f>
        <v>Charlotte Brownlee</v>
      </c>
      <c r="E280" s="426">
        <f>IF('Membership Application List'!J509 = "Food/Litter Donation", 0, IF('Membership Application List'!J509 = "$15 Donation, Discord Verification", IF('Membership Application List'!N509 = TRUE, 15, 0)))</f>
        <v>15</v>
      </c>
      <c r="F280" s="426">
        <f>if('Membership Application List'!K509=TRUE, 5,0)</f>
        <v>0</v>
      </c>
      <c r="G280" s="426">
        <f t="shared" si="8"/>
        <v>15</v>
      </c>
      <c r="H280" s="427" t="str">
        <f>'Membership Application List'!L509</f>
        <v>Cash</v>
      </c>
      <c r="I280" s="345"/>
      <c r="J280" s="441"/>
      <c r="K280" s="345"/>
      <c r="L280" s="478"/>
      <c r="M280" s="345"/>
      <c r="N280" s="345"/>
      <c r="O280" s="345"/>
      <c r="P280" s="414"/>
      <c r="Q280" s="414"/>
      <c r="R280" s="414"/>
      <c r="S280" s="445"/>
      <c r="T280" s="445"/>
      <c r="U280" s="445"/>
      <c r="V280" s="345"/>
      <c r="W280" s="441"/>
      <c r="X280" s="345"/>
      <c r="Y280" s="345"/>
      <c r="Z280" s="345"/>
      <c r="AA280" s="345"/>
      <c r="AB280" s="345"/>
      <c r="AC280" s="345"/>
      <c r="AD280" s="345"/>
      <c r="AE280" s="345"/>
      <c r="AF280" s="345"/>
      <c r="AG280" s="345"/>
      <c r="AH280" s="345"/>
      <c r="AI280" s="345"/>
      <c r="AJ280" s="345"/>
      <c r="AK280" s="345"/>
      <c r="AL280" s="345"/>
      <c r="AM280" s="345"/>
      <c r="AN280" s="345"/>
      <c r="AO280" s="345"/>
      <c r="AP280" s="345"/>
      <c r="AQ280" s="345"/>
      <c r="AR280" s="345"/>
      <c r="AS280" s="345"/>
    </row>
    <row r="281" ht="13.5" customHeight="1">
      <c r="A281" s="436">
        <f>'Membership Application List'!A510</f>
        <v>45887.33176</v>
      </c>
      <c r="B281" s="437" t="str">
        <f t="shared" si="6"/>
        <v>August</v>
      </c>
      <c r="C281" s="437">
        <f t="shared" si="7"/>
        <v>2025</v>
      </c>
      <c r="D281" s="438" t="str">
        <f>'Membership Application List'!E510</f>
        <v>Nicholas Ho</v>
      </c>
      <c r="E281" s="438">
        <f>IF('Membership Application List'!J510 = "Food/Litter Donation", 0, IF('Membership Application List'!J510 = "$15 Donation, Discord Verification", IF('Membership Application List'!N510 = TRUE, 15, 0)))</f>
        <v>15</v>
      </c>
      <c r="F281" s="438">
        <f>if('Membership Application List'!K510=TRUE, 5,0)</f>
        <v>0</v>
      </c>
      <c r="G281" s="438">
        <f t="shared" si="8"/>
        <v>15</v>
      </c>
      <c r="H281" s="439" t="str">
        <f>'Membership Application List'!L510</f>
        <v>Cash</v>
      </c>
      <c r="I281" s="345"/>
      <c r="J281" s="441"/>
      <c r="K281" s="345"/>
      <c r="L281" s="478"/>
      <c r="M281" s="345"/>
      <c r="N281" s="345"/>
      <c r="O281" s="345"/>
      <c r="P281" s="414"/>
      <c r="Q281" s="414"/>
      <c r="R281" s="414"/>
      <c r="S281" s="445"/>
      <c r="T281" s="445"/>
      <c r="U281" s="445"/>
      <c r="V281" s="345"/>
      <c r="W281" s="441"/>
      <c r="X281" s="345"/>
      <c r="Y281" s="345"/>
      <c r="Z281" s="345"/>
      <c r="AA281" s="345"/>
      <c r="AB281" s="345"/>
      <c r="AC281" s="345"/>
      <c r="AD281" s="345"/>
      <c r="AE281" s="345"/>
      <c r="AF281" s="345"/>
      <c r="AG281" s="345"/>
      <c r="AH281" s="345"/>
      <c r="AI281" s="345"/>
      <c r="AJ281" s="345"/>
      <c r="AK281" s="345"/>
      <c r="AL281" s="345"/>
      <c r="AM281" s="345"/>
      <c r="AN281" s="345"/>
      <c r="AO281" s="345"/>
      <c r="AP281" s="345"/>
      <c r="AQ281" s="345"/>
      <c r="AR281" s="345"/>
      <c r="AS281" s="345"/>
    </row>
    <row r="282" ht="13.5" customHeight="1">
      <c r="A282" s="424">
        <f>'Membership Application List'!A511</f>
        <v>45887.499</v>
      </c>
      <c r="B282" s="443" t="str">
        <f t="shared" si="6"/>
        <v>August</v>
      </c>
      <c r="C282" s="443">
        <f t="shared" si="7"/>
        <v>2025</v>
      </c>
      <c r="D282" s="426" t="str">
        <f>'Membership Application List'!E511</f>
        <v>Ariana Delgado</v>
      </c>
      <c r="E282" s="426">
        <f>IF('Membership Application List'!J511 = "Food/Litter Donation", 0, IF('Membership Application List'!J511 = "$15 Donation, Discord Verification", IF('Membership Application List'!N511 = TRUE, 15, 0)))</f>
        <v>15</v>
      </c>
      <c r="F282" s="426">
        <f>if('Membership Application List'!K511=TRUE, 5,0)</f>
        <v>0</v>
      </c>
      <c r="G282" s="426">
        <f t="shared" si="8"/>
        <v>15</v>
      </c>
      <c r="H282" s="427" t="str">
        <f>'Membership Application List'!L511</f>
        <v>Cashapp</v>
      </c>
      <c r="I282" s="345"/>
      <c r="J282" s="441"/>
      <c r="K282" s="345"/>
      <c r="L282" s="478"/>
      <c r="M282" s="345"/>
      <c r="N282" s="345"/>
      <c r="O282" s="345"/>
      <c r="P282" s="414"/>
      <c r="Q282" s="414"/>
      <c r="R282" s="414"/>
      <c r="S282" s="445"/>
      <c r="T282" s="445"/>
      <c r="U282" s="445"/>
      <c r="V282" s="345"/>
      <c r="W282" s="441"/>
      <c r="X282" s="345"/>
      <c r="Y282" s="345"/>
      <c r="Z282" s="345"/>
      <c r="AA282" s="345"/>
      <c r="AB282" s="345"/>
      <c r="AC282" s="345"/>
      <c r="AD282" s="345"/>
      <c r="AE282" s="345"/>
      <c r="AF282" s="345"/>
      <c r="AG282" s="345"/>
      <c r="AH282" s="345"/>
      <c r="AI282" s="345"/>
      <c r="AJ282" s="345"/>
      <c r="AK282" s="345"/>
      <c r="AL282" s="345"/>
      <c r="AM282" s="345"/>
      <c r="AN282" s="345"/>
      <c r="AO282" s="345"/>
      <c r="AP282" s="345"/>
      <c r="AQ282" s="345"/>
      <c r="AR282" s="345"/>
      <c r="AS282" s="345"/>
    </row>
    <row r="283" ht="13.5" customHeight="1">
      <c r="A283" s="436">
        <f>'Membership Application List'!A512</f>
        <v>45887.63576</v>
      </c>
      <c r="B283" s="437" t="str">
        <f t="shared" si="6"/>
        <v>August</v>
      </c>
      <c r="C283" s="437">
        <f t="shared" si="7"/>
        <v>2025</v>
      </c>
      <c r="D283" s="438" t="str">
        <f>'Membership Application List'!E512</f>
        <v>Alexis Lovelady</v>
      </c>
      <c r="E283" s="438">
        <f>IF('Membership Application List'!J512 = "Food/Litter Donation", 0, IF('Membership Application List'!J512 = "$15 Donation, Discord Verification", IF('Membership Application List'!N512 = TRUE, 15, 0)))</f>
        <v>15</v>
      </c>
      <c r="F283" s="438">
        <f>if('Membership Application List'!K512=TRUE, 5,0)</f>
        <v>0</v>
      </c>
      <c r="G283" s="438">
        <f t="shared" si="8"/>
        <v>15</v>
      </c>
      <c r="H283" s="439" t="str">
        <f>'Membership Application List'!L512</f>
        <v>Cash</v>
      </c>
      <c r="I283" s="345"/>
      <c r="J283" s="441"/>
      <c r="K283" s="345"/>
      <c r="L283" s="478"/>
      <c r="M283" s="345"/>
      <c r="N283" s="345"/>
      <c r="O283" s="345"/>
      <c r="P283" s="414"/>
      <c r="Q283" s="414"/>
      <c r="R283" s="414"/>
      <c r="S283" s="445"/>
      <c r="T283" s="445"/>
      <c r="U283" s="445"/>
      <c r="V283" s="345"/>
      <c r="W283" s="441"/>
      <c r="X283" s="345"/>
      <c r="Y283" s="345"/>
      <c r="Z283" s="345"/>
      <c r="AA283" s="345"/>
      <c r="AB283" s="345"/>
      <c r="AC283" s="345"/>
      <c r="AD283" s="345"/>
      <c r="AE283" s="345"/>
      <c r="AF283" s="345"/>
      <c r="AG283" s="345"/>
      <c r="AH283" s="345"/>
      <c r="AI283" s="345"/>
      <c r="AJ283" s="345"/>
      <c r="AK283" s="345"/>
      <c r="AL283" s="345"/>
      <c r="AM283" s="345"/>
      <c r="AN283" s="345"/>
      <c r="AO283" s="345"/>
      <c r="AP283" s="345"/>
      <c r="AQ283" s="345"/>
      <c r="AR283" s="345"/>
      <c r="AS283" s="345"/>
    </row>
    <row r="284" ht="13.5" customHeight="1">
      <c r="A284" s="424">
        <f>'Membership Application List'!A513</f>
        <v>45887.79721</v>
      </c>
      <c r="B284" s="443" t="str">
        <f t="shared" si="6"/>
        <v>August</v>
      </c>
      <c r="C284" s="443">
        <f t="shared" si="7"/>
        <v>2025</v>
      </c>
      <c r="D284" s="426" t="str">
        <f>'Membership Application List'!E513</f>
        <v>Natalie Ramirez</v>
      </c>
      <c r="E284" s="426">
        <f>IF('Membership Application List'!J513 = "Food/Litter Donation", 0, IF('Membership Application List'!J513 = "$15 Donation, Discord Verification", IF('Membership Application List'!N513 = TRUE, 15, 0)))</f>
        <v>15</v>
      </c>
      <c r="F284" s="426">
        <f>if('Membership Application List'!K513=TRUE, 5,0)</f>
        <v>0</v>
      </c>
      <c r="G284" s="426">
        <f t="shared" si="8"/>
        <v>15</v>
      </c>
      <c r="H284" s="427" t="str">
        <f>'Membership Application List'!L513</f>
        <v>Cashapp</v>
      </c>
      <c r="I284" s="345"/>
      <c r="J284" s="441"/>
      <c r="K284" s="345"/>
      <c r="L284" s="478"/>
      <c r="M284" s="345"/>
      <c r="N284" s="345"/>
      <c r="O284" s="345"/>
      <c r="P284" s="414"/>
      <c r="Q284" s="414"/>
      <c r="R284" s="414"/>
      <c r="S284" s="445"/>
      <c r="T284" s="445"/>
      <c r="U284" s="445"/>
      <c r="V284" s="345"/>
      <c r="W284" s="441"/>
      <c r="X284" s="345"/>
      <c r="Y284" s="345"/>
      <c r="Z284" s="345"/>
      <c r="AA284" s="345"/>
      <c r="AB284" s="345"/>
      <c r="AC284" s="345"/>
      <c r="AD284" s="345"/>
      <c r="AE284" s="345"/>
      <c r="AF284" s="345"/>
      <c r="AG284" s="345"/>
      <c r="AH284" s="345"/>
      <c r="AI284" s="345"/>
      <c r="AJ284" s="345"/>
      <c r="AK284" s="345"/>
      <c r="AL284" s="345"/>
      <c r="AM284" s="345"/>
      <c r="AN284" s="345"/>
      <c r="AO284" s="345"/>
      <c r="AP284" s="345"/>
      <c r="AQ284" s="345"/>
      <c r="AR284" s="345"/>
      <c r="AS284" s="345"/>
    </row>
    <row r="285" ht="13.5" customHeight="1">
      <c r="A285" s="436">
        <f>'Membership Application List'!A514</f>
        <v>45893.65358</v>
      </c>
      <c r="B285" s="437" t="str">
        <f t="shared" si="6"/>
        <v>August</v>
      </c>
      <c r="C285" s="437">
        <f t="shared" si="7"/>
        <v>2025</v>
      </c>
      <c r="D285" s="438" t="str">
        <f>'Membership Application List'!E514</f>
        <v>Emre Koksal Ozkantar</v>
      </c>
      <c r="E285" s="438">
        <f>IF('Membership Application List'!J514 = "Food/Litter Donation", 0, IF('Membership Application List'!J514 = "$15 Donation, Discord Verification", IF('Membership Application List'!N514 = TRUE, 15, 0)))</f>
        <v>15</v>
      </c>
      <c r="F285" s="438">
        <f>if('Membership Application List'!K514=TRUE, 5,0)</f>
        <v>0</v>
      </c>
      <c r="G285" s="438">
        <f t="shared" si="8"/>
        <v>15</v>
      </c>
      <c r="H285" s="439" t="str">
        <f>'Membership Application List'!L514</f>
        <v>Paypal</v>
      </c>
      <c r="I285" s="345"/>
      <c r="J285" s="441"/>
      <c r="K285" s="345"/>
      <c r="L285" s="478"/>
      <c r="M285" s="345"/>
      <c r="N285" s="345"/>
      <c r="O285" s="345"/>
      <c r="P285" s="414"/>
      <c r="Q285" s="414"/>
      <c r="R285" s="414"/>
      <c r="S285" s="445"/>
      <c r="T285" s="445"/>
      <c r="U285" s="445"/>
      <c r="V285" s="345"/>
      <c r="W285" s="441"/>
      <c r="X285" s="345"/>
      <c r="Y285" s="345"/>
      <c r="Z285" s="345"/>
      <c r="AA285" s="345"/>
      <c r="AB285" s="345"/>
      <c r="AC285" s="345"/>
      <c r="AD285" s="345"/>
      <c r="AE285" s="345"/>
      <c r="AF285" s="345"/>
      <c r="AG285" s="345"/>
      <c r="AH285" s="345"/>
      <c r="AI285" s="345"/>
      <c r="AJ285" s="345"/>
      <c r="AK285" s="345"/>
      <c r="AL285" s="345"/>
      <c r="AM285" s="345"/>
      <c r="AN285" s="345"/>
      <c r="AO285" s="345"/>
      <c r="AP285" s="345"/>
      <c r="AQ285" s="345"/>
      <c r="AR285" s="345"/>
      <c r="AS285" s="345"/>
    </row>
    <row r="286" ht="13.5" customHeight="1">
      <c r="A286" s="424">
        <f>'Membership Application List'!A515</f>
        <v>45888.51628</v>
      </c>
      <c r="B286" s="443" t="str">
        <f t="shared" si="6"/>
        <v>August</v>
      </c>
      <c r="C286" s="443">
        <f t="shared" si="7"/>
        <v>2025</v>
      </c>
      <c r="D286" s="426" t="str">
        <f>'Membership Application List'!E515</f>
        <v>John "Jack" Mitchell</v>
      </c>
      <c r="E286" s="426">
        <f>IF('Membership Application List'!J515 = "Food/Litter Donation", 0, IF('Membership Application List'!J515 = "$15 Donation, Discord Verification", IF('Membership Application List'!N515 = TRUE, 15, 0)))</f>
        <v>15</v>
      </c>
      <c r="F286" s="426">
        <f>if('Membership Application List'!K515=TRUE, 5,0)</f>
        <v>0</v>
      </c>
      <c r="G286" s="426">
        <f t="shared" si="8"/>
        <v>15</v>
      </c>
      <c r="H286" s="427" t="str">
        <f>'Membership Application List'!L515</f>
        <v>Venmo</v>
      </c>
      <c r="I286" s="345"/>
      <c r="J286" s="441"/>
      <c r="K286" s="345"/>
      <c r="L286" s="478"/>
      <c r="M286" s="345"/>
      <c r="N286" s="345"/>
      <c r="O286" s="345"/>
      <c r="P286" s="414"/>
      <c r="Q286" s="414"/>
      <c r="R286" s="414"/>
      <c r="S286" s="445"/>
      <c r="T286" s="445"/>
      <c r="U286" s="445"/>
      <c r="V286" s="345"/>
      <c r="W286" s="441"/>
      <c r="X286" s="345"/>
      <c r="Y286" s="345"/>
      <c r="Z286" s="345"/>
      <c r="AA286" s="345"/>
      <c r="AB286" s="345"/>
      <c r="AC286" s="345"/>
      <c r="AD286" s="345"/>
      <c r="AE286" s="345"/>
      <c r="AF286" s="345"/>
      <c r="AG286" s="345"/>
      <c r="AH286" s="345"/>
      <c r="AI286" s="345"/>
      <c r="AJ286" s="345"/>
      <c r="AK286" s="345"/>
      <c r="AL286" s="345"/>
      <c r="AM286" s="345"/>
      <c r="AN286" s="345"/>
      <c r="AO286" s="345"/>
      <c r="AP286" s="345"/>
      <c r="AQ286" s="345"/>
      <c r="AR286" s="345"/>
      <c r="AS286" s="345"/>
    </row>
    <row r="287" ht="13.5" customHeight="1">
      <c r="A287" s="436">
        <f>'Membership Application List'!A516</f>
        <v>45888.59238</v>
      </c>
      <c r="B287" s="437" t="str">
        <f t="shared" si="6"/>
        <v>August</v>
      </c>
      <c r="C287" s="437">
        <f t="shared" si="7"/>
        <v>2025</v>
      </c>
      <c r="D287" s="438" t="str">
        <f>'Membership Application List'!E516</f>
        <v>Acacia Shiroma</v>
      </c>
      <c r="E287" s="438">
        <f>IF('Membership Application List'!J516 = "Food/Litter Donation", 0, IF('Membership Application List'!J516 = "$15 Donation, Discord Verification", IF('Membership Application List'!N516 = TRUE, 15, 0)))</f>
        <v>15</v>
      </c>
      <c r="F287" s="438">
        <f>if('Membership Application List'!K516=TRUE, 5,0)</f>
        <v>0</v>
      </c>
      <c r="G287" s="438">
        <f t="shared" si="8"/>
        <v>15</v>
      </c>
      <c r="H287" s="439" t="str">
        <f>'Membership Application List'!L516</f>
        <v>Paypal</v>
      </c>
      <c r="I287" s="345"/>
      <c r="J287" s="441"/>
      <c r="K287" s="345"/>
      <c r="L287" s="478"/>
      <c r="M287" s="345"/>
      <c r="N287" s="345"/>
      <c r="O287" s="345"/>
      <c r="P287" s="414"/>
      <c r="Q287" s="414"/>
      <c r="R287" s="414"/>
      <c r="S287" s="445"/>
      <c r="T287" s="445"/>
      <c r="U287" s="445"/>
      <c r="V287" s="345"/>
      <c r="W287" s="441"/>
      <c r="X287" s="345"/>
      <c r="Y287" s="345"/>
      <c r="Z287" s="345"/>
      <c r="AA287" s="345"/>
      <c r="AB287" s="345"/>
      <c r="AC287" s="345"/>
      <c r="AD287" s="345"/>
      <c r="AE287" s="345"/>
      <c r="AF287" s="345"/>
      <c r="AG287" s="345"/>
      <c r="AH287" s="345"/>
      <c r="AI287" s="345"/>
      <c r="AJ287" s="345"/>
      <c r="AK287" s="345"/>
      <c r="AL287" s="345"/>
      <c r="AM287" s="345"/>
      <c r="AN287" s="345"/>
      <c r="AO287" s="345"/>
      <c r="AP287" s="345"/>
      <c r="AQ287" s="345"/>
      <c r="AR287" s="345"/>
      <c r="AS287" s="345"/>
    </row>
    <row r="288" ht="13.5" customHeight="1">
      <c r="A288" s="424">
        <f>'Membership Application List'!A517</f>
        <v>45888.6459</v>
      </c>
      <c r="B288" s="443" t="str">
        <f t="shared" si="6"/>
        <v>August</v>
      </c>
      <c r="C288" s="443">
        <f t="shared" si="7"/>
        <v>2025</v>
      </c>
      <c r="D288" s="426" t="str">
        <f>'Membership Application List'!E517</f>
        <v>Chloe Bennett</v>
      </c>
      <c r="E288" s="426">
        <f>IF('Membership Application List'!J517 = "Food/Litter Donation", 0, IF('Membership Application List'!J517 = "$15 Donation, Discord Verification", IF('Membership Application List'!N517 = TRUE, 15, 0)))</f>
        <v>15</v>
      </c>
      <c r="F288" s="426">
        <f>if('Membership Application List'!K517=TRUE, 5,0)</f>
        <v>0</v>
      </c>
      <c r="G288" s="426">
        <f t="shared" si="8"/>
        <v>15</v>
      </c>
      <c r="H288" s="427" t="str">
        <f>'Membership Application List'!L517</f>
        <v>Venmo</v>
      </c>
      <c r="I288" s="345"/>
      <c r="J288" s="441"/>
      <c r="K288" s="345"/>
      <c r="L288" s="478"/>
      <c r="M288" s="345"/>
      <c r="N288" s="345"/>
      <c r="O288" s="345"/>
      <c r="P288" s="414"/>
      <c r="Q288" s="414"/>
      <c r="R288" s="414"/>
      <c r="S288" s="445"/>
      <c r="T288" s="445"/>
      <c r="U288" s="445"/>
      <c r="V288" s="345"/>
      <c r="W288" s="441"/>
      <c r="X288" s="345"/>
      <c r="Y288" s="345"/>
      <c r="Z288" s="345"/>
      <c r="AA288" s="345"/>
      <c r="AB288" s="345"/>
      <c r="AC288" s="345"/>
      <c r="AD288" s="345"/>
      <c r="AE288" s="345"/>
      <c r="AF288" s="345"/>
      <c r="AG288" s="345"/>
      <c r="AH288" s="345"/>
      <c r="AI288" s="345"/>
      <c r="AJ288" s="345"/>
      <c r="AK288" s="345"/>
      <c r="AL288" s="345"/>
      <c r="AM288" s="345"/>
      <c r="AN288" s="345"/>
      <c r="AO288" s="345"/>
      <c r="AP288" s="345"/>
      <c r="AQ288" s="345"/>
      <c r="AR288" s="345"/>
      <c r="AS288" s="345"/>
    </row>
    <row r="289" ht="13.5" customHeight="1">
      <c r="A289" s="436">
        <f>'Membership Application List'!A518</f>
        <v>45888.85287</v>
      </c>
      <c r="B289" s="437" t="str">
        <f t="shared" si="6"/>
        <v>August</v>
      </c>
      <c r="C289" s="437">
        <f t="shared" si="7"/>
        <v>2025</v>
      </c>
      <c r="D289" s="438" t="str">
        <f>'Membership Application List'!E518</f>
        <v>Lynn Greaves</v>
      </c>
      <c r="E289" s="438">
        <f>IF('Membership Application List'!J518 = "Food/Litter Donation", 0, IF('Membership Application List'!J518 = "$15 Donation, Discord Verification", IF('Membership Application List'!N518 = TRUE, 15, 0)))</f>
        <v>15</v>
      </c>
      <c r="F289" s="438">
        <f>if('Membership Application List'!K518=TRUE, 5,0)</f>
        <v>0</v>
      </c>
      <c r="G289" s="438">
        <f t="shared" si="8"/>
        <v>15</v>
      </c>
      <c r="H289" s="439" t="str">
        <f>'Membership Application List'!L518</f>
        <v>Venmo</v>
      </c>
      <c r="I289" s="345"/>
      <c r="J289" s="441"/>
      <c r="K289" s="345"/>
      <c r="L289" s="478"/>
      <c r="M289" s="345"/>
      <c r="N289" s="345"/>
      <c r="O289" s="345"/>
      <c r="P289" s="414"/>
      <c r="Q289" s="414"/>
      <c r="R289" s="414"/>
      <c r="S289" s="445"/>
      <c r="T289" s="445"/>
      <c r="U289" s="445"/>
      <c r="V289" s="345"/>
      <c r="W289" s="441"/>
      <c r="X289" s="345"/>
      <c r="Y289" s="345"/>
      <c r="Z289" s="345"/>
      <c r="AA289" s="345"/>
      <c r="AB289" s="345"/>
      <c r="AC289" s="345"/>
      <c r="AD289" s="345"/>
      <c r="AE289" s="345"/>
      <c r="AF289" s="345"/>
      <c r="AG289" s="345"/>
      <c r="AH289" s="345"/>
      <c r="AI289" s="345"/>
      <c r="AJ289" s="345"/>
      <c r="AK289" s="345"/>
      <c r="AL289" s="345"/>
      <c r="AM289" s="345"/>
      <c r="AN289" s="345"/>
      <c r="AO289" s="345"/>
      <c r="AP289" s="345"/>
      <c r="AQ289" s="345"/>
      <c r="AR289" s="345"/>
      <c r="AS289" s="345"/>
    </row>
    <row r="290" ht="13.5" customHeight="1">
      <c r="A290" s="424">
        <f>'Membership Application List'!A519</f>
        <v>45888.85675</v>
      </c>
      <c r="B290" s="443" t="str">
        <f t="shared" si="6"/>
        <v>August</v>
      </c>
      <c r="C290" s="443">
        <f t="shared" si="7"/>
        <v>2025</v>
      </c>
      <c r="D290" s="426" t="str">
        <f>'Membership Application List'!E519</f>
        <v>Emmaleigh Lewis</v>
      </c>
      <c r="E290" s="426">
        <f>IF('Membership Application List'!J519 = "Food/Litter Donation", 0, IF('Membership Application List'!J519 = "$15 Donation, Discord Verification", IF('Membership Application List'!N519 = TRUE, 15, 0)))</f>
        <v>0</v>
      </c>
      <c r="F290" s="426">
        <f>if('Membership Application List'!K519=TRUE, 5,0)</f>
        <v>0</v>
      </c>
      <c r="G290" s="426">
        <f t="shared" si="8"/>
        <v>0</v>
      </c>
      <c r="H290" s="427" t="str">
        <f>'Membership Application List'!L519</f>
        <v/>
      </c>
      <c r="I290" s="345"/>
      <c r="J290" s="441"/>
      <c r="K290" s="345"/>
      <c r="L290" s="478"/>
      <c r="M290" s="345"/>
      <c r="N290" s="345"/>
      <c r="O290" s="345"/>
      <c r="P290" s="414"/>
      <c r="Q290" s="414"/>
      <c r="R290" s="414"/>
      <c r="S290" s="445"/>
      <c r="T290" s="445"/>
      <c r="U290" s="445"/>
      <c r="V290" s="345"/>
      <c r="W290" s="441"/>
      <c r="X290" s="345"/>
      <c r="Y290" s="345"/>
      <c r="Z290" s="345"/>
      <c r="AA290" s="345"/>
      <c r="AB290" s="345"/>
      <c r="AC290" s="345"/>
      <c r="AD290" s="345"/>
      <c r="AE290" s="345"/>
      <c r="AF290" s="345"/>
      <c r="AG290" s="345"/>
      <c r="AH290" s="345"/>
      <c r="AI290" s="345"/>
      <c r="AJ290" s="345"/>
      <c r="AK290" s="345"/>
      <c r="AL290" s="345"/>
      <c r="AM290" s="345"/>
      <c r="AN290" s="345"/>
      <c r="AO290" s="345"/>
      <c r="AP290" s="345"/>
      <c r="AQ290" s="345"/>
      <c r="AR290" s="345"/>
      <c r="AS290" s="345"/>
    </row>
    <row r="291" ht="13.5" customHeight="1">
      <c r="A291" s="436">
        <f>'Membership Application List'!A520</f>
        <v>45889.68088</v>
      </c>
      <c r="B291" s="437" t="str">
        <f t="shared" si="6"/>
        <v>August</v>
      </c>
      <c r="C291" s="437">
        <f t="shared" si="7"/>
        <v>2025</v>
      </c>
      <c r="D291" s="438" t="str">
        <f>'Membership Application List'!E520</f>
        <v>Dariana Janice Mendoza</v>
      </c>
      <c r="E291" s="438">
        <f>IF('Membership Application List'!J520 = "Food/Litter Donation", 0, IF('Membership Application List'!J520 = "$15 Donation, Discord Verification", IF('Membership Application List'!N520 = TRUE, 15, 0)))</f>
        <v>15</v>
      </c>
      <c r="F291" s="438">
        <f>if('Membership Application List'!K520=TRUE, 5,0)</f>
        <v>0</v>
      </c>
      <c r="G291" s="438">
        <f t="shared" si="8"/>
        <v>15</v>
      </c>
      <c r="H291" s="439" t="str">
        <f>'Membership Application List'!L520</f>
        <v>Cash</v>
      </c>
      <c r="I291" s="345"/>
      <c r="J291" s="441"/>
      <c r="K291" s="345"/>
      <c r="L291" s="478"/>
      <c r="M291" s="345"/>
      <c r="N291" s="345"/>
      <c r="O291" s="345"/>
      <c r="P291" s="414"/>
      <c r="Q291" s="414"/>
      <c r="R291" s="414"/>
      <c r="S291" s="445"/>
      <c r="T291" s="445"/>
      <c r="U291" s="445"/>
      <c r="V291" s="345"/>
      <c r="W291" s="441"/>
      <c r="X291" s="345"/>
      <c r="Y291" s="345"/>
      <c r="Z291" s="345"/>
      <c r="AA291" s="345"/>
      <c r="AB291" s="345"/>
      <c r="AC291" s="345"/>
      <c r="AD291" s="345"/>
      <c r="AE291" s="345"/>
      <c r="AF291" s="345"/>
      <c r="AG291" s="345"/>
      <c r="AH291" s="345"/>
      <c r="AI291" s="345"/>
      <c r="AJ291" s="345"/>
      <c r="AK291" s="345"/>
      <c r="AL291" s="345"/>
      <c r="AM291" s="345"/>
      <c r="AN291" s="345"/>
      <c r="AO291" s="345"/>
      <c r="AP291" s="345"/>
      <c r="AQ291" s="345"/>
      <c r="AR291" s="345"/>
      <c r="AS291" s="345"/>
    </row>
    <row r="292" ht="13.5" customHeight="1">
      <c r="A292" s="424">
        <f>'Membership Application List'!A521</f>
        <v>45893.4017</v>
      </c>
      <c r="B292" s="443" t="str">
        <f t="shared" si="6"/>
        <v>August</v>
      </c>
      <c r="C292" s="443">
        <f t="shared" si="7"/>
        <v>2025</v>
      </c>
      <c r="D292" s="426" t="str">
        <f>'Membership Application List'!E521</f>
        <v>Kayla Wood</v>
      </c>
      <c r="E292" s="426">
        <f>IF('Membership Application List'!J521 = "Food/Litter Donation", 0, IF('Membership Application List'!J521 = "$15 Donation, Discord Verification", IF('Membership Application List'!N521 = TRUE, 15, 0)))</f>
        <v>15</v>
      </c>
      <c r="F292" s="426">
        <f>if('Membership Application List'!K521=TRUE, 5,0)</f>
        <v>0</v>
      </c>
      <c r="G292" s="426">
        <f t="shared" si="8"/>
        <v>15</v>
      </c>
      <c r="H292" s="427" t="str">
        <f>'Membership Application List'!L521</f>
        <v>Venmo</v>
      </c>
      <c r="I292" s="345"/>
      <c r="J292" s="441"/>
      <c r="K292" s="345"/>
      <c r="L292" s="478"/>
      <c r="M292" s="345"/>
      <c r="N292" s="345"/>
      <c r="O292" s="345"/>
      <c r="P292" s="414"/>
      <c r="Q292" s="414"/>
      <c r="R292" s="414"/>
      <c r="S292" s="445"/>
      <c r="T292" s="445"/>
      <c r="U292" s="445"/>
      <c r="V292" s="345"/>
      <c r="W292" s="441"/>
      <c r="X292" s="345"/>
      <c r="Y292" s="345"/>
      <c r="Z292" s="345"/>
      <c r="AA292" s="345"/>
      <c r="AB292" s="345"/>
      <c r="AC292" s="345"/>
      <c r="AD292" s="345"/>
      <c r="AE292" s="345"/>
      <c r="AF292" s="345"/>
      <c r="AG292" s="345"/>
      <c r="AH292" s="345"/>
      <c r="AI292" s="345"/>
      <c r="AJ292" s="345"/>
      <c r="AK292" s="345"/>
      <c r="AL292" s="345"/>
      <c r="AM292" s="345"/>
      <c r="AN292" s="345"/>
      <c r="AO292" s="345"/>
      <c r="AP292" s="345"/>
      <c r="AQ292" s="345"/>
      <c r="AR292" s="345"/>
      <c r="AS292" s="345"/>
    </row>
    <row r="293" ht="13.5" customHeight="1">
      <c r="A293" s="436">
        <f>'Membership Application List'!A522</f>
        <v>45895.44172</v>
      </c>
      <c r="B293" s="437" t="str">
        <f t="shared" si="6"/>
        <v>August</v>
      </c>
      <c r="C293" s="437">
        <f t="shared" si="7"/>
        <v>2025</v>
      </c>
      <c r="D293" s="438" t="str">
        <f>'Membership Application List'!E522</f>
        <v>Alysa Potter</v>
      </c>
      <c r="E293" s="438">
        <f>IF('Membership Application List'!J522 = "Food/Litter Donation", 0, IF('Membership Application List'!J522 = "$15 Donation, Discord Verification", IF('Membership Application List'!N522 = TRUE, 15, 0)))</f>
        <v>15</v>
      </c>
      <c r="F293" s="438">
        <f>if('Membership Application List'!K522=TRUE, 5,0)</f>
        <v>0</v>
      </c>
      <c r="G293" s="438">
        <f t="shared" si="8"/>
        <v>15</v>
      </c>
      <c r="H293" s="439" t="str">
        <f>'Membership Application List'!L522</f>
        <v>Cash</v>
      </c>
      <c r="I293" s="345"/>
      <c r="J293" s="441"/>
      <c r="K293" s="345"/>
      <c r="L293" s="478"/>
      <c r="M293" s="345"/>
      <c r="N293" s="345"/>
      <c r="O293" s="345"/>
      <c r="P293" s="414"/>
      <c r="Q293" s="414"/>
      <c r="R293" s="414"/>
      <c r="S293" s="445"/>
      <c r="T293" s="445"/>
      <c r="U293" s="445"/>
      <c r="V293" s="345"/>
      <c r="W293" s="441"/>
      <c r="X293" s="345"/>
      <c r="Y293" s="345"/>
      <c r="Z293" s="345"/>
      <c r="AA293" s="345"/>
      <c r="AB293" s="345"/>
      <c r="AC293" s="345"/>
      <c r="AD293" s="345"/>
      <c r="AE293" s="345"/>
      <c r="AF293" s="345"/>
      <c r="AG293" s="345"/>
      <c r="AH293" s="345"/>
      <c r="AI293" s="345"/>
      <c r="AJ293" s="345"/>
      <c r="AK293" s="345"/>
      <c r="AL293" s="345"/>
      <c r="AM293" s="345"/>
      <c r="AN293" s="345"/>
      <c r="AO293" s="345"/>
      <c r="AP293" s="345"/>
      <c r="AQ293" s="345"/>
      <c r="AR293" s="345"/>
      <c r="AS293" s="345"/>
    </row>
    <row r="294" ht="13.5" customHeight="1">
      <c r="A294" s="424">
        <f>'Membership Application List'!A523</f>
        <v>45895.46015</v>
      </c>
      <c r="B294" s="443" t="str">
        <f t="shared" si="6"/>
        <v>August</v>
      </c>
      <c r="C294" s="443">
        <f t="shared" si="7"/>
        <v>2025</v>
      </c>
      <c r="D294" s="426" t="str">
        <f>'Membership Application List'!E523</f>
        <v>Cora Bell</v>
      </c>
      <c r="E294" s="426">
        <f>IF('Membership Application List'!J523 = "Food/Litter Donation", 0, IF('Membership Application List'!J523 = "$15 Donation, Discord Verification", IF('Membership Application List'!N523 = TRUE, 15, 0)))</f>
        <v>15</v>
      </c>
      <c r="F294" s="426">
        <f>if('Membership Application List'!K523=TRUE, 5,0)</f>
        <v>0</v>
      </c>
      <c r="G294" s="426">
        <f t="shared" si="8"/>
        <v>15</v>
      </c>
      <c r="H294" s="427" t="str">
        <f>'Membership Application List'!L523</f>
        <v>Venmo</v>
      </c>
      <c r="I294" s="345"/>
      <c r="J294" s="441"/>
      <c r="K294" s="345"/>
      <c r="L294" s="478"/>
      <c r="M294" s="345"/>
      <c r="N294" s="345"/>
      <c r="O294" s="345"/>
      <c r="P294" s="414"/>
      <c r="Q294" s="414"/>
      <c r="R294" s="414"/>
      <c r="S294" s="445"/>
      <c r="T294" s="445"/>
      <c r="U294" s="445"/>
      <c r="V294" s="345"/>
      <c r="W294" s="441"/>
      <c r="X294" s="345"/>
      <c r="Y294" s="345"/>
      <c r="Z294" s="345"/>
      <c r="AA294" s="345"/>
      <c r="AB294" s="345"/>
      <c r="AC294" s="345"/>
      <c r="AD294" s="345"/>
      <c r="AE294" s="345"/>
      <c r="AF294" s="345"/>
      <c r="AG294" s="345"/>
      <c r="AH294" s="345"/>
      <c r="AI294" s="345"/>
      <c r="AJ294" s="345"/>
      <c r="AK294" s="345"/>
      <c r="AL294" s="345"/>
      <c r="AM294" s="345"/>
      <c r="AN294" s="345"/>
      <c r="AO294" s="345"/>
      <c r="AP294" s="345"/>
      <c r="AQ294" s="345"/>
      <c r="AR294" s="345"/>
      <c r="AS294" s="345"/>
    </row>
    <row r="295" ht="13.5" customHeight="1">
      <c r="A295" s="436">
        <f>'Membership Application List'!A524</f>
        <v>45895.53911</v>
      </c>
      <c r="B295" s="437" t="str">
        <f t="shared" si="6"/>
        <v>August</v>
      </c>
      <c r="C295" s="437">
        <f t="shared" si="7"/>
        <v>2025</v>
      </c>
      <c r="D295" s="438" t="str">
        <f>'Membership Application List'!E524</f>
        <v>Austin Brown</v>
      </c>
      <c r="E295" s="438">
        <f>IF('Membership Application List'!J524 = "Food/Litter Donation", 0, IF('Membership Application List'!J524 = "$15 Donation, Discord Verification", IF('Membership Application List'!N524 = TRUE, 15, 0)))</f>
        <v>15</v>
      </c>
      <c r="F295" s="438">
        <f>if('Membership Application List'!K524=TRUE, 5,0)</f>
        <v>0</v>
      </c>
      <c r="G295" s="438">
        <f t="shared" si="8"/>
        <v>15</v>
      </c>
      <c r="H295" s="439" t="str">
        <f>'Membership Application List'!L524</f>
        <v>Venmo</v>
      </c>
      <c r="I295" s="345"/>
      <c r="J295" s="441"/>
      <c r="K295" s="345"/>
      <c r="L295" s="478"/>
      <c r="M295" s="345"/>
      <c r="N295" s="345"/>
      <c r="O295" s="345"/>
      <c r="P295" s="414"/>
      <c r="Q295" s="414"/>
      <c r="R295" s="414"/>
      <c r="S295" s="445"/>
      <c r="T295" s="445"/>
      <c r="U295" s="445"/>
      <c r="V295" s="345"/>
      <c r="W295" s="441"/>
      <c r="X295" s="345"/>
      <c r="Y295" s="345"/>
      <c r="Z295" s="345"/>
      <c r="AA295" s="345"/>
      <c r="AB295" s="345"/>
      <c r="AC295" s="345"/>
      <c r="AD295" s="345"/>
      <c r="AE295" s="345"/>
      <c r="AF295" s="345"/>
      <c r="AG295" s="345"/>
      <c r="AH295" s="345"/>
      <c r="AI295" s="345"/>
      <c r="AJ295" s="345"/>
      <c r="AK295" s="345"/>
      <c r="AL295" s="345"/>
      <c r="AM295" s="345"/>
      <c r="AN295" s="345"/>
      <c r="AO295" s="345"/>
      <c r="AP295" s="345"/>
      <c r="AQ295" s="345"/>
      <c r="AR295" s="345"/>
      <c r="AS295" s="345"/>
    </row>
    <row r="296" ht="13.5" customHeight="1">
      <c r="A296" s="424">
        <f>'Membership Application List'!A525</f>
        <v>45897.40189</v>
      </c>
      <c r="B296" s="443" t="str">
        <f t="shared" si="6"/>
        <v>August</v>
      </c>
      <c r="C296" s="443">
        <f t="shared" si="7"/>
        <v>2025</v>
      </c>
      <c r="D296" s="426" t="str">
        <f>'Membership Application List'!E525</f>
        <v>Miralee Martinez</v>
      </c>
      <c r="E296" s="426">
        <f>IF('Membership Application List'!J525 = "Food/Litter Donation", 0, IF('Membership Application List'!J525 = "$15 Donation, Discord Verification", IF('Membership Application List'!N525 = TRUE, 15, 0)))</f>
        <v>15</v>
      </c>
      <c r="F296" s="426">
        <f>if('Membership Application List'!K525=TRUE, 5,0)</f>
        <v>0</v>
      </c>
      <c r="G296" s="426">
        <f t="shared" si="8"/>
        <v>15</v>
      </c>
      <c r="H296" s="427" t="str">
        <f>'Membership Application List'!L525</f>
        <v>Paypal</v>
      </c>
      <c r="I296" s="345"/>
      <c r="J296" s="441"/>
      <c r="K296" s="345"/>
      <c r="L296" s="478"/>
      <c r="M296" s="345"/>
      <c r="N296" s="345"/>
      <c r="O296" s="345"/>
      <c r="P296" s="414"/>
      <c r="Q296" s="414"/>
      <c r="R296" s="414"/>
      <c r="S296" s="445"/>
      <c r="T296" s="445"/>
      <c r="U296" s="445"/>
      <c r="V296" s="345"/>
      <c r="W296" s="441"/>
      <c r="X296" s="345"/>
      <c r="Y296" s="345"/>
      <c r="Z296" s="345"/>
      <c r="AA296" s="345"/>
      <c r="AB296" s="345"/>
      <c r="AC296" s="345"/>
      <c r="AD296" s="345"/>
      <c r="AE296" s="345"/>
      <c r="AF296" s="345"/>
      <c r="AG296" s="345"/>
      <c r="AH296" s="345"/>
      <c r="AI296" s="345"/>
      <c r="AJ296" s="345"/>
      <c r="AK296" s="345"/>
      <c r="AL296" s="345"/>
      <c r="AM296" s="345"/>
      <c r="AN296" s="345"/>
      <c r="AO296" s="345"/>
      <c r="AP296" s="345"/>
      <c r="AQ296" s="345"/>
      <c r="AR296" s="345"/>
      <c r="AS296" s="345"/>
    </row>
    <row r="297" ht="13.5" customHeight="1">
      <c r="A297" s="436">
        <f>'Membership Application List'!A526</f>
        <v>45897.48975</v>
      </c>
      <c r="B297" s="437" t="str">
        <f t="shared" si="6"/>
        <v>August</v>
      </c>
      <c r="C297" s="437">
        <f t="shared" si="7"/>
        <v>2025</v>
      </c>
      <c r="D297" s="438" t="str">
        <f>'Membership Application List'!E526</f>
        <v>Lance Keehn</v>
      </c>
      <c r="E297" s="438">
        <f>IF('Membership Application List'!J526 = "Food/Litter Donation", 0, IF('Membership Application List'!J526 = "$15 Donation, Discord Verification", IF('Membership Application List'!N526 = TRUE, 15, 0)))</f>
        <v>15</v>
      </c>
      <c r="F297" s="438">
        <f>if('Membership Application List'!K526=TRUE, 5,0)</f>
        <v>0</v>
      </c>
      <c r="G297" s="438">
        <f t="shared" si="8"/>
        <v>15</v>
      </c>
      <c r="H297" s="439" t="str">
        <f>'Membership Application List'!L526</f>
        <v>Venmo</v>
      </c>
      <c r="I297" s="345"/>
      <c r="J297" s="441"/>
      <c r="K297" s="345"/>
      <c r="L297" s="478"/>
      <c r="M297" s="345"/>
      <c r="N297" s="345"/>
      <c r="O297" s="345"/>
      <c r="P297" s="414"/>
      <c r="Q297" s="414"/>
      <c r="R297" s="414"/>
      <c r="S297" s="445"/>
      <c r="T297" s="445"/>
      <c r="U297" s="445"/>
      <c r="V297" s="345"/>
      <c r="W297" s="441"/>
      <c r="X297" s="345"/>
      <c r="Y297" s="345"/>
      <c r="Z297" s="345"/>
      <c r="AA297" s="345"/>
      <c r="AB297" s="345"/>
      <c r="AC297" s="345"/>
      <c r="AD297" s="345"/>
      <c r="AE297" s="345"/>
      <c r="AF297" s="345"/>
      <c r="AG297" s="345"/>
      <c r="AH297" s="345"/>
      <c r="AI297" s="345"/>
      <c r="AJ297" s="345"/>
      <c r="AK297" s="345"/>
      <c r="AL297" s="345"/>
      <c r="AM297" s="345"/>
      <c r="AN297" s="345"/>
      <c r="AO297" s="345"/>
      <c r="AP297" s="345"/>
      <c r="AQ297" s="345"/>
      <c r="AR297" s="345"/>
      <c r="AS297" s="345"/>
    </row>
    <row r="298" ht="13.5" customHeight="1">
      <c r="A298" s="424">
        <f>'Membership Application List'!A527</f>
        <v>45897.51217</v>
      </c>
      <c r="B298" s="443" t="str">
        <f t="shared" si="6"/>
        <v>August</v>
      </c>
      <c r="C298" s="443">
        <f t="shared" si="7"/>
        <v>2025</v>
      </c>
      <c r="D298" s="426" t="str">
        <f>'Membership Application List'!E527</f>
        <v>Brian Li</v>
      </c>
      <c r="E298" s="426">
        <f>IF('Membership Application List'!J527 = "Food/Litter Donation", 0, IF('Membership Application List'!J527 = "$15 Donation, Discord Verification", IF('Membership Application List'!N527 = TRUE, 15, 0)))</f>
        <v>15</v>
      </c>
      <c r="F298" s="426">
        <f>if('Membership Application List'!K527=TRUE, 5,0)</f>
        <v>0</v>
      </c>
      <c r="G298" s="426">
        <f t="shared" si="8"/>
        <v>15</v>
      </c>
      <c r="H298" s="427" t="str">
        <f>'Membership Application List'!L527</f>
        <v>Cash</v>
      </c>
      <c r="I298" s="345"/>
      <c r="J298" s="441"/>
      <c r="K298" s="345"/>
      <c r="L298" s="478"/>
      <c r="M298" s="345"/>
      <c r="N298" s="345"/>
      <c r="O298" s="345"/>
      <c r="P298" s="414"/>
      <c r="Q298" s="414"/>
      <c r="R298" s="414"/>
      <c r="S298" s="445"/>
      <c r="T298" s="445"/>
      <c r="U298" s="445"/>
      <c r="V298" s="345"/>
      <c r="W298" s="441"/>
      <c r="X298" s="345"/>
      <c r="Y298" s="345"/>
      <c r="Z298" s="345"/>
      <c r="AA298" s="345"/>
      <c r="AB298" s="345"/>
      <c r="AC298" s="345"/>
      <c r="AD298" s="345"/>
      <c r="AE298" s="345"/>
      <c r="AF298" s="345"/>
      <c r="AG298" s="345"/>
      <c r="AH298" s="345"/>
      <c r="AI298" s="345"/>
      <c r="AJ298" s="345"/>
      <c r="AK298" s="345"/>
      <c r="AL298" s="345"/>
      <c r="AM298" s="345"/>
      <c r="AN298" s="345"/>
      <c r="AO298" s="345"/>
      <c r="AP298" s="345"/>
      <c r="AQ298" s="345"/>
      <c r="AR298" s="345"/>
      <c r="AS298" s="345"/>
    </row>
    <row r="299" ht="13.5" customHeight="1">
      <c r="A299" s="436">
        <f>'Membership Application List'!A528</f>
        <v>45898.83125</v>
      </c>
      <c r="B299" s="437" t="str">
        <f t="shared" si="6"/>
        <v>August</v>
      </c>
      <c r="C299" s="437">
        <f t="shared" si="7"/>
        <v>2025</v>
      </c>
      <c r="D299" s="438" t="str">
        <f>'Membership Application List'!E528</f>
        <v>William Brammer</v>
      </c>
      <c r="E299" s="438">
        <f>IF('Membership Application List'!J528 = "Food/Litter Donation", 0, IF('Membership Application List'!J528 = "$15 Donation, Discord Verification", IF('Membership Application List'!N528 = TRUE, 15, 0)))</f>
        <v>0</v>
      </c>
      <c r="F299" s="438">
        <f>if('Membership Application List'!K528=TRUE, 5,0)</f>
        <v>0</v>
      </c>
      <c r="G299" s="438">
        <f t="shared" si="8"/>
        <v>0</v>
      </c>
      <c r="H299" s="439" t="str">
        <f>'Membership Application List'!L528</f>
        <v/>
      </c>
      <c r="I299" s="345"/>
      <c r="J299" s="441"/>
      <c r="K299" s="345"/>
      <c r="L299" s="478"/>
      <c r="M299" s="345"/>
      <c r="N299" s="345"/>
      <c r="O299" s="345"/>
      <c r="P299" s="414"/>
      <c r="Q299" s="414"/>
      <c r="R299" s="414"/>
      <c r="S299" s="445"/>
      <c r="T299" s="445"/>
      <c r="U299" s="445"/>
      <c r="V299" s="345"/>
      <c r="W299" s="441"/>
      <c r="X299" s="345"/>
      <c r="Y299" s="345"/>
      <c r="Z299" s="345"/>
      <c r="AA299" s="345"/>
      <c r="AB299" s="345"/>
      <c r="AC299" s="345"/>
      <c r="AD299" s="345"/>
      <c r="AE299" s="345"/>
      <c r="AF299" s="345"/>
      <c r="AG299" s="345"/>
      <c r="AH299" s="345"/>
      <c r="AI299" s="345"/>
      <c r="AJ299" s="345"/>
      <c r="AK299" s="345"/>
      <c r="AL299" s="345"/>
      <c r="AM299" s="345"/>
      <c r="AN299" s="345"/>
      <c r="AO299" s="345"/>
      <c r="AP299" s="345"/>
      <c r="AQ299" s="345"/>
      <c r="AR299" s="345"/>
      <c r="AS299" s="345"/>
    </row>
    <row r="300" ht="13.5" customHeight="1">
      <c r="A300" s="424">
        <f>'Membership Application List'!A529</f>
        <v>45898.83931</v>
      </c>
      <c r="B300" s="443" t="str">
        <f t="shared" si="6"/>
        <v>August</v>
      </c>
      <c r="C300" s="443">
        <f t="shared" si="7"/>
        <v>2025</v>
      </c>
      <c r="D300" s="426" t="str">
        <f>'Membership Application List'!E529</f>
        <v>Autumn McCalla</v>
      </c>
      <c r="E300" s="426">
        <f>IF('Membership Application List'!J529 = "Food/Litter Donation", 0, IF('Membership Application List'!J529 = "$15 Donation, Discord Verification", IF('Membership Application List'!N529 = TRUE, 15, 0)))</f>
        <v>15</v>
      </c>
      <c r="F300" s="426">
        <f>if('Membership Application List'!K529=TRUE, 5,0)</f>
        <v>0</v>
      </c>
      <c r="G300" s="426">
        <f t="shared" si="8"/>
        <v>15</v>
      </c>
      <c r="H300" s="427" t="str">
        <f>'Membership Application List'!L529</f>
        <v>Cashapp</v>
      </c>
      <c r="I300" s="345"/>
      <c r="J300" s="441"/>
      <c r="K300" s="345"/>
      <c r="L300" s="478"/>
      <c r="M300" s="345"/>
      <c r="N300" s="345"/>
      <c r="O300" s="345"/>
      <c r="P300" s="414"/>
      <c r="Q300" s="414"/>
      <c r="R300" s="414"/>
      <c r="S300" s="445"/>
      <c r="T300" s="445"/>
      <c r="U300" s="445"/>
      <c r="V300" s="345"/>
      <c r="W300" s="441"/>
      <c r="X300" s="345"/>
      <c r="Y300" s="345"/>
      <c r="Z300" s="345"/>
      <c r="AA300" s="345"/>
      <c r="AB300" s="345"/>
      <c r="AC300" s="345"/>
      <c r="AD300" s="345"/>
      <c r="AE300" s="345"/>
      <c r="AF300" s="345"/>
      <c r="AG300" s="345"/>
      <c r="AH300" s="345"/>
      <c r="AI300" s="345"/>
      <c r="AJ300" s="345"/>
      <c r="AK300" s="345"/>
      <c r="AL300" s="345"/>
      <c r="AM300" s="345"/>
      <c r="AN300" s="345"/>
      <c r="AO300" s="345"/>
      <c r="AP300" s="345"/>
      <c r="AQ300" s="345"/>
      <c r="AR300" s="345"/>
      <c r="AS300" s="345"/>
    </row>
    <row r="301" ht="13.5" customHeight="1">
      <c r="A301" s="436">
        <f>'Membership Application List'!A530</f>
        <v>45898.91244</v>
      </c>
      <c r="B301" s="437" t="str">
        <f t="shared" si="6"/>
        <v>August</v>
      </c>
      <c r="C301" s="437">
        <f t="shared" si="7"/>
        <v>2025</v>
      </c>
      <c r="D301" s="438" t="str">
        <f>'Membership Application List'!E530</f>
        <v>Christopher Mendoza</v>
      </c>
      <c r="E301" s="438">
        <f>IF('Membership Application List'!J530 = "Food/Litter Donation", 0, IF('Membership Application List'!J530 = "$15 Donation, Discord Verification", IF('Membership Application List'!N530 = TRUE, 15, 0)))</f>
        <v>15</v>
      </c>
      <c r="F301" s="438">
        <f>if('Membership Application List'!K530=TRUE, 5,0)</f>
        <v>0</v>
      </c>
      <c r="G301" s="438">
        <f t="shared" si="8"/>
        <v>15</v>
      </c>
      <c r="H301" s="439" t="str">
        <f>'Membership Application List'!L530</f>
        <v>Cash</v>
      </c>
      <c r="I301" s="345"/>
      <c r="J301" s="441"/>
      <c r="K301" s="345"/>
      <c r="L301" s="478"/>
      <c r="M301" s="345"/>
      <c r="N301" s="345"/>
      <c r="O301" s="345"/>
      <c r="P301" s="414"/>
      <c r="Q301" s="414"/>
      <c r="R301" s="414"/>
      <c r="S301" s="445"/>
      <c r="T301" s="445"/>
      <c r="U301" s="445"/>
      <c r="V301" s="345"/>
      <c r="W301" s="441"/>
      <c r="X301" s="345"/>
      <c r="Y301" s="345"/>
      <c r="Z301" s="345"/>
      <c r="AA301" s="345"/>
      <c r="AB301" s="345"/>
      <c r="AC301" s="345"/>
      <c r="AD301" s="345"/>
      <c r="AE301" s="345"/>
      <c r="AF301" s="345"/>
      <c r="AG301" s="345"/>
      <c r="AH301" s="345"/>
      <c r="AI301" s="345"/>
      <c r="AJ301" s="345"/>
      <c r="AK301" s="345"/>
      <c r="AL301" s="345"/>
      <c r="AM301" s="345"/>
      <c r="AN301" s="345"/>
      <c r="AO301" s="345"/>
      <c r="AP301" s="345"/>
      <c r="AQ301" s="345"/>
      <c r="AR301" s="345"/>
      <c r="AS301" s="345"/>
    </row>
    <row r="302" ht="13.5" customHeight="1">
      <c r="A302" s="424">
        <f>'Membership Application List'!A531</f>
        <v>45899.46012</v>
      </c>
      <c r="B302" s="443" t="str">
        <f t="shared" si="6"/>
        <v>August</v>
      </c>
      <c r="C302" s="443">
        <f t="shared" si="7"/>
        <v>2025</v>
      </c>
      <c r="D302" s="426" t="str">
        <f>'Membership Application List'!E531</f>
        <v>Gunjan Shrestha</v>
      </c>
      <c r="E302" s="426">
        <f>IF('Membership Application List'!J531 = "Food/Litter Donation", 0, IF('Membership Application List'!J531 = "$15 Donation, Discord Verification", IF('Membership Application List'!N531 = TRUE, 15, 0)))</f>
        <v>15</v>
      </c>
      <c r="F302" s="426">
        <f>if('Membership Application List'!K531=TRUE, 5,0)</f>
        <v>0</v>
      </c>
      <c r="G302" s="426">
        <f t="shared" si="8"/>
        <v>15</v>
      </c>
      <c r="H302" s="427" t="str">
        <f>'Membership Application List'!L531</f>
        <v>Paypal</v>
      </c>
      <c r="I302" s="345"/>
      <c r="J302" s="441"/>
      <c r="K302" s="345"/>
      <c r="L302" s="478"/>
      <c r="M302" s="345"/>
      <c r="N302" s="345"/>
      <c r="O302" s="345"/>
      <c r="P302" s="414"/>
      <c r="Q302" s="414"/>
      <c r="R302" s="414"/>
      <c r="S302" s="445"/>
      <c r="T302" s="445"/>
      <c r="U302" s="445"/>
      <c r="V302" s="345"/>
      <c r="W302" s="441"/>
      <c r="X302" s="345"/>
      <c r="Y302" s="345"/>
      <c r="Z302" s="345"/>
      <c r="AA302" s="345"/>
      <c r="AB302" s="345"/>
      <c r="AC302" s="345"/>
      <c r="AD302" s="345"/>
      <c r="AE302" s="345"/>
      <c r="AF302" s="345"/>
      <c r="AG302" s="345"/>
      <c r="AH302" s="345"/>
      <c r="AI302" s="345"/>
      <c r="AJ302" s="345"/>
      <c r="AK302" s="345"/>
      <c r="AL302" s="345"/>
      <c r="AM302" s="345"/>
      <c r="AN302" s="345"/>
      <c r="AO302" s="345"/>
      <c r="AP302" s="345"/>
      <c r="AQ302" s="345"/>
      <c r="AR302" s="345"/>
      <c r="AS302" s="345"/>
    </row>
    <row r="303" ht="13.5" customHeight="1">
      <c r="A303" s="436">
        <f>'Membership Application List'!A532</f>
        <v>45900.45842</v>
      </c>
      <c r="B303" s="437" t="str">
        <f t="shared" si="6"/>
        <v>August</v>
      </c>
      <c r="C303" s="437">
        <f t="shared" si="7"/>
        <v>2025</v>
      </c>
      <c r="D303" s="438" t="str">
        <f>'Membership Application List'!E532</f>
        <v>Isabella Tellez</v>
      </c>
      <c r="E303" s="438">
        <f>IF('Membership Application List'!J532 = "Food/Litter Donation", 0, IF('Membership Application List'!J532 = "$15 Donation, Discord Verification", IF('Membership Application List'!N532 = TRUE, 15, 0)))</f>
        <v>15</v>
      </c>
      <c r="F303" s="438">
        <f>if('Membership Application List'!K532=TRUE, 5,0)</f>
        <v>0</v>
      </c>
      <c r="G303" s="438">
        <f t="shared" si="8"/>
        <v>15</v>
      </c>
      <c r="H303" s="439" t="str">
        <f>'Membership Application List'!L532</f>
        <v>Venmo</v>
      </c>
      <c r="I303" s="345"/>
      <c r="J303" s="441"/>
      <c r="K303" s="345"/>
      <c r="L303" s="478"/>
      <c r="M303" s="345"/>
      <c r="N303" s="345"/>
      <c r="O303" s="345"/>
      <c r="P303" s="414"/>
      <c r="Q303" s="414"/>
      <c r="R303" s="414"/>
      <c r="S303" s="445"/>
      <c r="T303" s="445"/>
      <c r="U303" s="445"/>
      <c r="V303" s="345"/>
      <c r="W303" s="441"/>
      <c r="X303" s="345"/>
      <c r="Y303" s="345"/>
      <c r="Z303" s="345"/>
      <c r="AA303" s="345"/>
      <c r="AB303" s="345"/>
      <c r="AC303" s="345"/>
      <c r="AD303" s="345"/>
      <c r="AE303" s="345"/>
      <c r="AF303" s="345"/>
      <c r="AG303" s="345"/>
      <c r="AH303" s="345"/>
      <c r="AI303" s="345"/>
      <c r="AJ303" s="345"/>
      <c r="AK303" s="345"/>
      <c r="AL303" s="345"/>
      <c r="AM303" s="345"/>
      <c r="AN303" s="345"/>
      <c r="AO303" s="345"/>
      <c r="AP303" s="345"/>
      <c r="AQ303" s="345"/>
      <c r="AR303" s="345"/>
      <c r="AS303" s="345"/>
    </row>
    <row r="304" ht="13.5" customHeight="1">
      <c r="A304" s="424">
        <f>'Membership Application List'!A533</f>
        <v>45902.43834</v>
      </c>
      <c r="B304" s="443" t="str">
        <f t="shared" si="6"/>
        <v>September</v>
      </c>
      <c r="C304" s="443">
        <f t="shared" si="7"/>
        <v>2025</v>
      </c>
      <c r="D304" s="426" t="str">
        <f>'Membership Application List'!E533</f>
        <v>sxs2011@mavs.uta.edu</v>
      </c>
      <c r="E304" s="426">
        <f>IF('Membership Application List'!J533 = "Food/Litter Donation", 0, IF('Membership Application List'!J533 = "$15 Donation, Discord Verification", IF('Membership Application List'!N533 = TRUE, 15, 0)))</f>
        <v>15</v>
      </c>
      <c r="F304" s="426">
        <f>if('Membership Application List'!K533=TRUE, 5,0)</f>
        <v>0</v>
      </c>
      <c r="G304" s="426">
        <f t="shared" si="8"/>
        <v>15</v>
      </c>
      <c r="H304" s="427" t="str">
        <f>'Membership Application List'!L533</f>
        <v>Cashapp</v>
      </c>
      <c r="I304" s="345"/>
      <c r="J304" s="441"/>
      <c r="K304" s="345"/>
      <c r="L304" s="478"/>
      <c r="M304" s="345"/>
      <c r="N304" s="345"/>
      <c r="O304" s="345"/>
      <c r="P304" s="414"/>
      <c r="Q304" s="414"/>
      <c r="R304" s="414"/>
      <c r="S304" s="445"/>
      <c r="T304" s="445"/>
      <c r="U304" s="445"/>
      <c r="V304" s="345"/>
      <c r="W304" s="441"/>
      <c r="X304" s="345"/>
      <c r="Y304" s="345"/>
      <c r="Z304" s="345"/>
      <c r="AA304" s="345"/>
      <c r="AB304" s="345"/>
      <c r="AC304" s="345"/>
      <c r="AD304" s="345"/>
      <c r="AE304" s="345"/>
      <c r="AF304" s="345"/>
      <c r="AG304" s="345"/>
      <c r="AH304" s="345"/>
      <c r="AI304" s="345"/>
      <c r="AJ304" s="345"/>
      <c r="AK304" s="345"/>
      <c r="AL304" s="345"/>
      <c r="AM304" s="345"/>
      <c r="AN304" s="345"/>
      <c r="AO304" s="345"/>
      <c r="AP304" s="345"/>
      <c r="AQ304" s="345"/>
      <c r="AR304" s="345"/>
      <c r="AS304" s="345"/>
    </row>
    <row r="305" ht="13.5" customHeight="1">
      <c r="A305" s="436">
        <f>'Membership Application List'!A534</f>
        <v>45902.45057</v>
      </c>
      <c r="B305" s="437" t="str">
        <f t="shared" si="6"/>
        <v>September</v>
      </c>
      <c r="C305" s="437">
        <f t="shared" si="7"/>
        <v>2025</v>
      </c>
      <c r="D305" s="438" t="str">
        <f>'Membership Application List'!E534</f>
        <v>Jesse Jarrell</v>
      </c>
      <c r="E305" s="438">
        <f>IF('Membership Application List'!J534 = "Food/Litter Donation", 0, IF('Membership Application List'!J534 = "$15 Donation, Discord Verification", IF('Membership Application List'!N534 = TRUE, 15, 0)))</f>
        <v>15</v>
      </c>
      <c r="F305" s="438">
        <f>if('Membership Application List'!K534=TRUE, 5,0)</f>
        <v>0</v>
      </c>
      <c r="G305" s="438">
        <f t="shared" si="8"/>
        <v>15</v>
      </c>
      <c r="H305" s="439" t="str">
        <f>'Membership Application List'!L534</f>
        <v>Paypal</v>
      </c>
      <c r="I305" s="345"/>
      <c r="J305" s="441"/>
      <c r="K305" s="345"/>
      <c r="L305" s="478"/>
      <c r="M305" s="345"/>
      <c r="N305" s="345"/>
      <c r="O305" s="345"/>
      <c r="P305" s="414"/>
      <c r="Q305" s="414"/>
      <c r="R305" s="414"/>
      <c r="S305" s="445"/>
      <c r="T305" s="445"/>
      <c r="U305" s="445"/>
      <c r="V305" s="345"/>
      <c r="W305" s="441"/>
      <c r="X305" s="345"/>
      <c r="Y305" s="345"/>
      <c r="Z305" s="345"/>
      <c r="AA305" s="345"/>
      <c r="AB305" s="345"/>
      <c r="AC305" s="345"/>
      <c r="AD305" s="345"/>
      <c r="AE305" s="345"/>
      <c r="AF305" s="345"/>
      <c r="AG305" s="345"/>
      <c r="AH305" s="345"/>
      <c r="AI305" s="345"/>
      <c r="AJ305" s="345"/>
      <c r="AK305" s="345"/>
      <c r="AL305" s="345"/>
      <c r="AM305" s="345"/>
      <c r="AN305" s="345"/>
      <c r="AO305" s="345"/>
      <c r="AP305" s="345"/>
      <c r="AQ305" s="345"/>
      <c r="AR305" s="345"/>
      <c r="AS305" s="345"/>
    </row>
    <row r="306" ht="13.5" customHeight="1">
      <c r="A306" s="424">
        <f>'Membership Application List'!A535</f>
        <v>45902.55575</v>
      </c>
      <c r="B306" s="443" t="str">
        <f t="shared" si="6"/>
        <v>September</v>
      </c>
      <c r="C306" s="443">
        <f t="shared" si="7"/>
        <v>2025</v>
      </c>
      <c r="D306" s="426" t="str">
        <f>'Membership Application List'!E535</f>
        <v>Zoe Cronin</v>
      </c>
      <c r="E306" s="426">
        <f>IF('Membership Application List'!J535 = "Food/Litter Donation", 0, IF('Membership Application List'!J535 = "$15 Donation, Discord Verification", IF('Membership Application List'!N535 = TRUE, 15, 0)))</f>
        <v>15</v>
      </c>
      <c r="F306" s="426">
        <f>if('Membership Application List'!K535=TRUE, 5,0)</f>
        <v>0</v>
      </c>
      <c r="G306" s="426">
        <f t="shared" si="8"/>
        <v>15</v>
      </c>
      <c r="H306" s="427" t="str">
        <f>'Membership Application List'!L535</f>
        <v>Venmo</v>
      </c>
      <c r="I306" s="345"/>
      <c r="J306" s="441"/>
      <c r="K306" s="345"/>
      <c r="L306" s="478"/>
      <c r="M306" s="345"/>
      <c r="N306" s="345"/>
      <c r="O306" s="345"/>
      <c r="P306" s="414"/>
      <c r="Q306" s="414"/>
      <c r="R306" s="414"/>
      <c r="S306" s="445"/>
      <c r="T306" s="445"/>
      <c r="U306" s="445"/>
      <c r="V306" s="345"/>
      <c r="W306" s="441"/>
      <c r="X306" s="345"/>
      <c r="Y306" s="345"/>
      <c r="Z306" s="345"/>
      <c r="AA306" s="345"/>
      <c r="AB306" s="345"/>
      <c r="AC306" s="345"/>
      <c r="AD306" s="345"/>
      <c r="AE306" s="345"/>
      <c r="AF306" s="345"/>
      <c r="AG306" s="345"/>
      <c r="AH306" s="345"/>
      <c r="AI306" s="345"/>
      <c r="AJ306" s="345"/>
      <c r="AK306" s="345"/>
      <c r="AL306" s="345"/>
      <c r="AM306" s="345"/>
      <c r="AN306" s="345"/>
      <c r="AO306" s="345"/>
      <c r="AP306" s="345"/>
      <c r="AQ306" s="345"/>
      <c r="AR306" s="345"/>
      <c r="AS306" s="345"/>
    </row>
    <row r="307" ht="13.5" customHeight="1">
      <c r="A307" s="436">
        <f>'Membership Application List'!A536</f>
        <v>45902.57394</v>
      </c>
      <c r="B307" s="437" t="str">
        <f t="shared" si="6"/>
        <v>September</v>
      </c>
      <c r="C307" s="437">
        <f t="shared" si="7"/>
        <v>2025</v>
      </c>
      <c r="D307" s="438" t="str">
        <f>'Membership Application List'!E536</f>
        <v>rinne torres</v>
      </c>
      <c r="E307" s="438">
        <f>IF('Membership Application List'!J536 = "Food/Litter Donation", 0, IF('Membership Application List'!J536 = "$15 Donation, Discord Verification", IF('Membership Application List'!N536 = TRUE, 15, 0)))</f>
        <v>15</v>
      </c>
      <c r="F307" s="438">
        <f>if('Membership Application List'!K536=TRUE, 5,0)</f>
        <v>0</v>
      </c>
      <c r="G307" s="438">
        <f t="shared" si="8"/>
        <v>15</v>
      </c>
      <c r="H307" s="439" t="str">
        <f>'Membership Application List'!L536</f>
        <v>Paypal</v>
      </c>
      <c r="I307" s="345"/>
      <c r="J307" s="441"/>
      <c r="K307" s="345"/>
      <c r="L307" s="478"/>
      <c r="M307" s="345"/>
      <c r="N307" s="345"/>
      <c r="O307" s="345"/>
      <c r="P307" s="414"/>
      <c r="Q307" s="414"/>
      <c r="R307" s="414"/>
      <c r="S307" s="445"/>
      <c r="T307" s="445"/>
      <c r="U307" s="445"/>
      <c r="V307" s="345"/>
      <c r="W307" s="441"/>
      <c r="X307" s="345"/>
      <c r="Y307" s="345"/>
      <c r="Z307" s="345"/>
      <c r="AA307" s="345"/>
      <c r="AB307" s="345"/>
      <c r="AC307" s="345"/>
      <c r="AD307" s="345"/>
      <c r="AE307" s="345"/>
      <c r="AF307" s="345"/>
      <c r="AG307" s="345"/>
      <c r="AH307" s="345"/>
      <c r="AI307" s="345"/>
      <c r="AJ307" s="345"/>
      <c r="AK307" s="345"/>
      <c r="AL307" s="345"/>
      <c r="AM307" s="345"/>
      <c r="AN307" s="345"/>
      <c r="AO307" s="345"/>
      <c r="AP307" s="345"/>
      <c r="AQ307" s="345"/>
      <c r="AR307" s="345"/>
      <c r="AS307" s="345"/>
    </row>
    <row r="308" ht="13.5" customHeight="1">
      <c r="A308" s="424">
        <f>'Membership Application List'!A537</f>
        <v>45902.58629</v>
      </c>
      <c r="B308" s="443" t="str">
        <f t="shared" si="6"/>
        <v>September</v>
      </c>
      <c r="C308" s="443">
        <f t="shared" si="7"/>
        <v>2025</v>
      </c>
      <c r="D308" s="426" t="str">
        <f>'Membership Application List'!E537</f>
        <v>Alexa Campos</v>
      </c>
      <c r="E308" s="426">
        <f>IF('Membership Application List'!J537 = "Food/Litter Donation", 0, IF('Membership Application List'!J537 = "$15 Donation, Discord Verification", IF('Membership Application List'!N537 = TRUE, 15, 0)))</f>
        <v>15</v>
      </c>
      <c r="F308" s="426">
        <f>if('Membership Application List'!K537=TRUE, 5,0)</f>
        <v>0</v>
      </c>
      <c r="G308" s="426">
        <f t="shared" si="8"/>
        <v>15</v>
      </c>
      <c r="H308" s="427" t="str">
        <f>'Membership Application List'!L537</f>
        <v>Cashapp</v>
      </c>
      <c r="I308" s="345"/>
      <c r="J308" s="441"/>
      <c r="K308" s="345"/>
      <c r="L308" s="478"/>
      <c r="M308" s="345"/>
      <c r="N308" s="345"/>
      <c r="O308" s="345"/>
      <c r="P308" s="414"/>
      <c r="Q308" s="414"/>
      <c r="R308" s="414"/>
      <c r="S308" s="445"/>
      <c r="T308" s="445"/>
      <c r="U308" s="445"/>
      <c r="V308" s="345"/>
      <c r="W308" s="441"/>
      <c r="X308" s="345"/>
      <c r="Y308" s="345"/>
      <c r="Z308" s="345"/>
      <c r="AA308" s="345"/>
      <c r="AB308" s="345"/>
      <c r="AC308" s="345"/>
      <c r="AD308" s="345"/>
      <c r="AE308" s="345"/>
      <c r="AF308" s="345"/>
      <c r="AG308" s="345"/>
      <c r="AH308" s="345"/>
      <c r="AI308" s="345"/>
      <c r="AJ308" s="345"/>
      <c r="AK308" s="345"/>
      <c r="AL308" s="345"/>
      <c r="AM308" s="345"/>
      <c r="AN308" s="345"/>
      <c r="AO308" s="345"/>
      <c r="AP308" s="345"/>
      <c r="AQ308" s="345"/>
      <c r="AR308" s="345"/>
      <c r="AS308" s="345"/>
    </row>
    <row r="309" ht="13.5" customHeight="1">
      <c r="A309" s="436">
        <f>'Membership Application List'!A538</f>
        <v>45902.6043</v>
      </c>
      <c r="B309" s="437" t="str">
        <f t="shared" si="6"/>
        <v>September</v>
      </c>
      <c r="C309" s="437">
        <f t="shared" si="7"/>
        <v>2025</v>
      </c>
      <c r="D309" s="438" t="str">
        <f>'Membership Application List'!E538</f>
        <v>Diana Villegas</v>
      </c>
      <c r="E309" s="438">
        <f>IF('Membership Application List'!J538 = "Food/Litter Donation", 0, IF('Membership Application List'!J538 = "$15 Donation, Discord Verification", IF('Membership Application List'!N538 = TRUE, 15, 0)))</f>
        <v>15</v>
      </c>
      <c r="F309" s="438">
        <f>if('Membership Application List'!K538=TRUE, 5,0)</f>
        <v>0</v>
      </c>
      <c r="G309" s="438">
        <f t="shared" si="8"/>
        <v>15</v>
      </c>
      <c r="H309" s="439" t="str">
        <f>'Membership Application List'!L538</f>
        <v>Cashapp</v>
      </c>
      <c r="I309" s="345"/>
      <c r="J309" s="441"/>
      <c r="K309" s="345"/>
      <c r="L309" s="478"/>
      <c r="M309" s="345"/>
      <c r="N309" s="345"/>
      <c r="O309" s="345"/>
      <c r="P309" s="414"/>
      <c r="Q309" s="414"/>
      <c r="R309" s="414"/>
      <c r="S309" s="445"/>
      <c r="T309" s="445"/>
      <c r="U309" s="445"/>
      <c r="V309" s="345"/>
      <c r="W309" s="441"/>
      <c r="X309" s="345"/>
      <c r="Y309" s="345"/>
      <c r="Z309" s="345"/>
      <c r="AA309" s="345"/>
      <c r="AB309" s="345"/>
      <c r="AC309" s="345"/>
      <c r="AD309" s="345"/>
      <c r="AE309" s="345"/>
      <c r="AF309" s="345"/>
      <c r="AG309" s="345"/>
      <c r="AH309" s="345"/>
      <c r="AI309" s="345"/>
      <c r="AJ309" s="345"/>
      <c r="AK309" s="345"/>
      <c r="AL309" s="345"/>
      <c r="AM309" s="345"/>
      <c r="AN309" s="345"/>
      <c r="AO309" s="345"/>
      <c r="AP309" s="345"/>
      <c r="AQ309" s="345"/>
      <c r="AR309" s="345"/>
      <c r="AS309" s="345"/>
    </row>
    <row r="310" ht="13.5" customHeight="1">
      <c r="A310" s="424">
        <f>'Membership Application List'!A539</f>
        <v>45902.61972</v>
      </c>
      <c r="B310" s="443" t="str">
        <f t="shared" si="6"/>
        <v>September</v>
      </c>
      <c r="C310" s="443">
        <f t="shared" si="7"/>
        <v>2025</v>
      </c>
      <c r="D310" s="426" t="str">
        <f>'Membership Application List'!E539</f>
        <v>Peter Todd</v>
      </c>
      <c r="E310" s="426">
        <f>IF('Membership Application List'!J539 = "Food/Litter Donation", 0, IF('Membership Application List'!J539 = "$15 Donation, Discord Verification", IF('Membership Application List'!N539 = TRUE, 15, 0)))</f>
        <v>15</v>
      </c>
      <c r="F310" s="426">
        <f>if('Membership Application List'!K539=TRUE, 5,0)</f>
        <v>0</v>
      </c>
      <c r="G310" s="426">
        <f t="shared" si="8"/>
        <v>15</v>
      </c>
      <c r="H310" s="427" t="str">
        <f>'Membership Application List'!L539</f>
        <v>Cash</v>
      </c>
      <c r="I310" s="345"/>
      <c r="J310" s="441"/>
      <c r="K310" s="345"/>
      <c r="L310" s="478"/>
      <c r="M310" s="345"/>
      <c r="N310" s="345"/>
      <c r="O310" s="345"/>
      <c r="P310" s="414"/>
      <c r="Q310" s="414"/>
      <c r="R310" s="414"/>
      <c r="S310" s="445"/>
      <c r="T310" s="445"/>
      <c r="U310" s="445"/>
      <c r="V310" s="345"/>
      <c r="W310" s="441"/>
      <c r="X310" s="345"/>
      <c r="Y310" s="345"/>
      <c r="Z310" s="345"/>
      <c r="AA310" s="345"/>
      <c r="AB310" s="345"/>
      <c r="AC310" s="345"/>
      <c r="AD310" s="345"/>
      <c r="AE310" s="345"/>
      <c r="AF310" s="345"/>
      <c r="AG310" s="345"/>
      <c r="AH310" s="345"/>
      <c r="AI310" s="345"/>
      <c r="AJ310" s="345"/>
      <c r="AK310" s="345"/>
      <c r="AL310" s="345"/>
      <c r="AM310" s="345"/>
      <c r="AN310" s="345"/>
      <c r="AO310" s="345"/>
      <c r="AP310" s="345"/>
      <c r="AQ310" s="345"/>
      <c r="AR310" s="345"/>
      <c r="AS310" s="345"/>
    </row>
    <row r="311" ht="13.5" customHeight="1">
      <c r="A311" s="436">
        <f>'Membership Application List'!A540</f>
        <v>45902.6478</v>
      </c>
      <c r="B311" s="437" t="str">
        <f t="shared" si="6"/>
        <v>September</v>
      </c>
      <c r="C311" s="437">
        <f t="shared" si="7"/>
        <v>2025</v>
      </c>
      <c r="D311" s="438" t="str">
        <f>'Membership Application List'!E540</f>
        <v>Leely Nguyen</v>
      </c>
      <c r="E311" s="438">
        <f>IF('Membership Application List'!J540 = "Food/Litter Donation", 0, IF('Membership Application List'!J540 = "$15 Donation, Discord Verification", IF('Membership Application List'!N540 = TRUE, 15, 0)))</f>
        <v>15</v>
      </c>
      <c r="F311" s="438">
        <f>if('Membership Application List'!K540=TRUE, 5,0)</f>
        <v>0</v>
      </c>
      <c r="G311" s="438">
        <f t="shared" si="8"/>
        <v>15</v>
      </c>
      <c r="H311" s="439" t="str">
        <f>'Membership Application List'!L540</f>
        <v>Cash</v>
      </c>
      <c r="I311" s="345"/>
      <c r="J311" s="441"/>
      <c r="K311" s="345"/>
      <c r="L311" s="478"/>
      <c r="M311" s="345"/>
      <c r="N311" s="345"/>
      <c r="O311" s="345"/>
      <c r="P311" s="414"/>
      <c r="Q311" s="414"/>
      <c r="R311" s="414"/>
      <c r="S311" s="445"/>
      <c r="T311" s="445"/>
      <c r="U311" s="445"/>
      <c r="V311" s="345"/>
      <c r="W311" s="441"/>
      <c r="X311" s="345"/>
      <c r="Y311" s="345"/>
      <c r="Z311" s="345"/>
      <c r="AA311" s="345"/>
      <c r="AB311" s="345"/>
      <c r="AC311" s="345"/>
      <c r="AD311" s="345"/>
      <c r="AE311" s="345"/>
      <c r="AF311" s="345"/>
      <c r="AG311" s="345"/>
      <c r="AH311" s="345"/>
      <c r="AI311" s="345"/>
      <c r="AJ311" s="345"/>
      <c r="AK311" s="345"/>
      <c r="AL311" s="345"/>
      <c r="AM311" s="345"/>
      <c r="AN311" s="345"/>
      <c r="AO311" s="345"/>
      <c r="AP311" s="345"/>
      <c r="AQ311" s="345"/>
      <c r="AR311" s="345"/>
      <c r="AS311" s="345"/>
    </row>
    <row r="312" ht="13.5" customHeight="1">
      <c r="A312" s="424">
        <f>'Membership Application List'!A541</f>
        <v>45902.65121</v>
      </c>
      <c r="B312" s="443" t="str">
        <f t="shared" si="6"/>
        <v>September</v>
      </c>
      <c r="C312" s="443">
        <f t="shared" si="7"/>
        <v>2025</v>
      </c>
      <c r="D312" s="426" t="str">
        <f>'Membership Application List'!E541</f>
        <v>Sophia Mason</v>
      </c>
      <c r="E312" s="426">
        <f>IF('Membership Application List'!J541 = "Food/Litter Donation", 0, IF('Membership Application List'!J541 = "$15 Donation, Discord Verification", IF('Membership Application List'!N541 = TRUE, 15, 0)))</f>
        <v>15</v>
      </c>
      <c r="F312" s="426">
        <f>if('Membership Application List'!K541=TRUE, 5,0)</f>
        <v>0</v>
      </c>
      <c r="G312" s="426">
        <f t="shared" si="8"/>
        <v>15</v>
      </c>
      <c r="H312" s="427" t="str">
        <f>'Membership Application List'!L541</f>
        <v>Venmo</v>
      </c>
      <c r="I312" s="345"/>
      <c r="J312" s="441"/>
      <c r="K312" s="345"/>
      <c r="L312" s="478"/>
      <c r="M312" s="345"/>
      <c r="N312" s="345"/>
      <c r="O312" s="345"/>
      <c r="P312" s="414"/>
      <c r="Q312" s="414"/>
      <c r="R312" s="414"/>
      <c r="S312" s="445"/>
      <c r="T312" s="445"/>
      <c r="U312" s="445"/>
      <c r="V312" s="345"/>
      <c r="W312" s="441"/>
      <c r="X312" s="345"/>
      <c r="Y312" s="345"/>
      <c r="Z312" s="345"/>
      <c r="AA312" s="345"/>
      <c r="AB312" s="345"/>
      <c r="AC312" s="345"/>
      <c r="AD312" s="345"/>
      <c r="AE312" s="345"/>
      <c r="AF312" s="345"/>
      <c r="AG312" s="345"/>
      <c r="AH312" s="345"/>
      <c r="AI312" s="345"/>
      <c r="AJ312" s="345"/>
      <c r="AK312" s="345"/>
      <c r="AL312" s="345"/>
      <c r="AM312" s="345"/>
      <c r="AN312" s="345"/>
      <c r="AO312" s="345"/>
      <c r="AP312" s="345"/>
      <c r="AQ312" s="345"/>
      <c r="AR312" s="345"/>
      <c r="AS312" s="345"/>
    </row>
    <row r="313" ht="13.5" customHeight="1">
      <c r="A313" s="436">
        <f>'Membership Application List'!A542</f>
        <v>45902.65217</v>
      </c>
      <c r="B313" s="437" t="str">
        <f t="shared" si="6"/>
        <v>September</v>
      </c>
      <c r="C313" s="437">
        <f t="shared" si="7"/>
        <v>2025</v>
      </c>
      <c r="D313" s="438" t="str">
        <f>'Membership Application List'!E542</f>
        <v>Garrison Vragel</v>
      </c>
      <c r="E313" s="438">
        <f>IF('Membership Application List'!J542 = "Food/Litter Donation", 0, IF('Membership Application List'!J542 = "$15 Donation, Discord Verification", IF('Membership Application List'!N542 = TRUE, 15, 0)))</f>
        <v>15</v>
      </c>
      <c r="F313" s="438">
        <f>if('Membership Application List'!K542=TRUE, 5,0)</f>
        <v>0</v>
      </c>
      <c r="G313" s="438">
        <f t="shared" si="8"/>
        <v>15</v>
      </c>
      <c r="H313" s="439" t="str">
        <f>'Membership Application List'!L542</f>
        <v>Cash</v>
      </c>
      <c r="I313" s="345"/>
      <c r="J313" s="441"/>
      <c r="K313" s="345"/>
      <c r="L313" s="478"/>
      <c r="M313" s="345"/>
      <c r="N313" s="345"/>
      <c r="O313" s="345"/>
      <c r="P313" s="414"/>
      <c r="Q313" s="414"/>
      <c r="R313" s="414"/>
      <c r="S313" s="445"/>
      <c r="T313" s="445"/>
      <c r="U313" s="445"/>
      <c r="V313" s="345"/>
      <c r="W313" s="441"/>
      <c r="X313" s="345"/>
      <c r="Y313" s="345"/>
      <c r="Z313" s="345"/>
      <c r="AA313" s="345"/>
      <c r="AB313" s="345"/>
      <c r="AC313" s="345"/>
      <c r="AD313" s="345"/>
      <c r="AE313" s="345"/>
      <c r="AF313" s="345"/>
      <c r="AG313" s="345"/>
      <c r="AH313" s="345"/>
      <c r="AI313" s="345"/>
      <c r="AJ313" s="345"/>
      <c r="AK313" s="345"/>
      <c r="AL313" s="345"/>
      <c r="AM313" s="345"/>
      <c r="AN313" s="345"/>
      <c r="AO313" s="345"/>
      <c r="AP313" s="345"/>
      <c r="AQ313" s="345"/>
      <c r="AR313" s="345"/>
      <c r="AS313" s="345"/>
    </row>
    <row r="314" ht="13.5" customHeight="1">
      <c r="A314" s="424">
        <f>'Membership Application List'!A543</f>
        <v>45902.6523</v>
      </c>
      <c r="B314" s="443" t="str">
        <f t="shared" si="6"/>
        <v>September</v>
      </c>
      <c r="C314" s="443">
        <f t="shared" si="7"/>
        <v>2025</v>
      </c>
      <c r="D314" s="426" t="str">
        <f>'Membership Application List'!E543</f>
        <v>Megan Hoang Chau Tran</v>
      </c>
      <c r="E314" s="426">
        <f>IF('Membership Application List'!J543 = "Food/Litter Donation", 0, IF('Membership Application List'!J543 = "$15 Donation, Discord Verification", IF('Membership Application List'!N543 = TRUE, 15, 0)))</f>
        <v>15</v>
      </c>
      <c r="F314" s="426">
        <f>if('Membership Application List'!K543=TRUE, 5,0)</f>
        <v>0</v>
      </c>
      <c r="G314" s="426">
        <f t="shared" si="8"/>
        <v>15</v>
      </c>
      <c r="H314" s="427" t="str">
        <f>'Membership Application List'!L543</f>
        <v>Cash</v>
      </c>
      <c r="I314" s="345"/>
      <c r="J314" s="441"/>
      <c r="K314" s="345"/>
      <c r="L314" s="478"/>
      <c r="M314" s="345"/>
      <c r="N314" s="345"/>
      <c r="O314" s="345"/>
      <c r="P314" s="414"/>
      <c r="Q314" s="414"/>
      <c r="R314" s="414"/>
      <c r="S314" s="445"/>
      <c r="T314" s="445"/>
      <c r="U314" s="445"/>
      <c r="V314" s="345"/>
      <c r="W314" s="441"/>
      <c r="X314" s="345"/>
      <c r="Y314" s="345"/>
      <c r="Z314" s="345"/>
      <c r="AA314" s="345"/>
      <c r="AB314" s="345"/>
      <c r="AC314" s="345"/>
      <c r="AD314" s="345"/>
      <c r="AE314" s="345"/>
      <c r="AF314" s="345"/>
      <c r="AG314" s="345"/>
      <c r="AH314" s="345"/>
      <c r="AI314" s="345"/>
      <c r="AJ314" s="345"/>
      <c r="AK314" s="345"/>
      <c r="AL314" s="345"/>
      <c r="AM314" s="345"/>
      <c r="AN314" s="345"/>
      <c r="AO314" s="345"/>
      <c r="AP314" s="345"/>
      <c r="AQ314" s="345"/>
      <c r="AR314" s="345"/>
      <c r="AS314" s="345"/>
    </row>
    <row r="315" ht="13.5" customHeight="1">
      <c r="A315" s="436">
        <f>'Membership Application List'!A544</f>
        <v>45902.6531</v>
      </c>
      <c r="B315" s="437" t="str">
        <f t="shared" si="6"/>
        <v>September</v>
      </c>
      <c r="C315" s="437">
        <f t="shared" si="7"/>
        <v>2025</v>
      </c>
      <c r="D315" s="438" t="str">
        <f>'Membership Application List'!E544</f>
        <v>Daniel Monge</v>
      </c>
      <c r="E315" s="438">
        <f>IF('Membership Application List'!J544 = "Food/Litter Donation", 0, IF('Membership Application List'!J544 = "$15 Donation, Discord Verification", IF('Membership Application List'!N544 = TRUE, 15, 0)))</f>
        <v>15</v>
      </c>
      <c r="F315" s="438">
        <f>if('Membership Application List'!K544=TRUE, 5,0)</f>
        <v>0</v>
      </c>
      <c r="G315" s="438">
        <f t="shared" si="8"/>
        <v>15</v>
      </c>
      <c r="H315" s="439" t="str">
        <f>'Membership Application List'!L544</f>
        <v>Cash</v>
      </c>
      <c r="I315" s="345"/>
      <c r="J315" s="441"/>
      <c r="K315" s="345"/>
      <c r="L315" s="478"/>
      <c r="M315" s="345"/>
      <c r="N315" s="345"/>
      <c r="O315" s="345"/>
      <c r="P315" s="414"/>
      <c r="Q315" s="414"/>
      <c r="R315" s="414"/>
      <c r="S315" s="445"/>
      <c r="T315" s="445"/>
      <c r="U315" s="445"/>
      <c r="V315" s="345"/>
      <c r="W315" s="441"/>
      <c r="X315" s="345"/>
      <c r="Y315" s="345"/>
      <c r="Z315" s="345"/>
      <c r="AA315" s="345"/>
      <c r="AB315" s="345"/>
      <c r="AC315" s="345"/>
      <c r="AD315" s="345"/>
      <c r="AE315" s="345"/>
      <c r="AF315" s="345"/>
      <c r="AG315" s="345"/>
      <c r="AH315" s="345"/>
      <c r="AI315" s="345"/>
      <c r="AJ315" s="345"/>
      <c r="AK315" s="345"/>
      <c r="AL315" s="345"/>
      <c r="AM315" s="345"/>
      <c r="AN315" s="345"/>
      <c r="AO315" s="345"/>
      <c r="AP315" s="345"/>
      <c r="AQ315" s="345"/>
      <c r="AR315" s="345"/>
      <c r="AS315" s="345"/>
    </row>
    <row r="316" ht="13.5" customHeight="1">
      <c r="A316" s="424">
        <f>'Membership Application List'!A545</f>
        <v>45902.6583</v>
      </c>
      <c r="B316" s="443" t="str">
        <f t="shared" si="6"/>
        <v>September</v>
      </c>
      <c r="C316" s="443">
        <f t="shared" si="7"/>
        <v>2025</v>
      </c>
      <c r="D316" s="426" t="str">
        <f>'Membership Application List'!E545</f>
        <v>Celeste Bowles</v>
      </c>
      <c r="E316" s="426">
        <f>IF('Membership Application List'!J545 = "Food/Litter Donation", 0, IF('Membership Application List'!J545 = "$15 Donation, Discord Verification", IF('Membership Application List'!N545 = TRUE, 15, 0)))</f>
        <v>15</v>
      </c>
      <c r="F316" s="426">
        <f>if('Membership Application List'!K545=TRUE, 5,0)</f>
        <v>0</v>
      </c>
      <c r="G316" s="426">
        <f t="shared" si="8"/>
        <v>15</v>
      </c>
      <c r="H316" s="427" t="str">
        <f>'Membership Application List'!L545</f>
        <v>Cash</v>
      </c>
      <c r="I316" s="345"/>
      <c r="J316" s="441"/>
      <c r="K316" s="345"/>
      <c r="L316" s="478"/>
      <c r="M316" s="345"/>
      <c r="N316" s="345"/>
      <c r="O316" s="345"/>
      <c r="P316" s="414"/>
      <c r="Q316" s="414"/>
      <c r="R316" s="414"/>
      <c r="S316" s="445"/>
      <c r="T316" s="445"/>
      <c r="U316" s="445"/>
      <c r="V316" s="345"/>
      <c r="W316" s="441"/>
      <c r="X316" s="345"/>
      <c r="Y316" s="345"/>
      <c r="Z316" s="345"/>
      <c r="AA316" s="345"/>
      <c r="AB316" s="345"/>
      <c r="AC316" s="345"/>
      <c r="AD316" s="345"/>
      <c r="AE316" s="345"/>
      <c r="AF316" s="345"/>
      <c r="AG316" s="345"/>
      <c r="AH316" s="345"/>
      <c r="AI316" s="345"/>
      <c r="AJ316" s="345"/>
      <c r="AK316" s="345"/>
      <c r="AL316" s="345"/>
      <c r="AM316" s="345"/>
      <c r="AN316" s="345"/>
      <c r="AO316" s="345"/>
      <c r="AP316" s="345"/>
      <c r="AQ316" s="345"/>
      <c r="AR316" s="345"/>
      <c r="AS316" s="345"/>
    </row>
    <row r="317" ht="13.5" customHeight="1">
      <c r="A317" s="436">
        <f>'Membership Application List'!A546</f>
        <v>45902.66683</v>
      </c>
      <c r="B317" s="437" t="str">
        <f t="shared" si="6"/>
        <v>September</v>
      </c>
      <c r="C317" s="437">
        <f t="shared" si="7"/>
        <v>2025</v>
      </c>
      <c r="D317" s="438" t="str">
        <f>'Membership Application List'!E546</f>
        <v>Sarah Nguyen</v>
      </c>
      <c r="E317" s="438">
        <f>IF('Membership Application List'!J546 = "Food/Litter Donation", 0, IF('Membership Application List'!J546 = "$15 Donation, Discord Verification", IF('Membership Application List'!N546 = TRUE, 15, 0)))</f>
        <v>15</v>
      </c>
      <c r="F317" s="438">
        <f>if('Membership Application List'!K546=TRUE, 5,0)</f>
        <v>0</v>
      </c>
      <c r="G317" s="438">
        <f t="shared" si="8"/>
        <v>15</v>
      </c>
      <c r="H317" s="439" t="str">
        <f>'Membership Application List'!L546</f>
        <v>Cash</v>
      </c>
      <c r="I317" s="345"/>
      <c r="J317" s="441"/>
      <c r="K317" s="345"/>
      <c r="L317" s="478"/>
      <c r="M317" s="345"/>
      <c r="N317" s="345"/>
      <c r="O317" s="345"/>
      <c r="P317" s="414"/>
      <c r="Q317" s="414"/>
      <c r="R317" s="414"/>
      <c r="S317" s="445"/>
      <c r="T317" s="445"/>
      <c r="U317" s="445"/>
      <c r="V317" s="345"/>
      <c r="W317" s="441"/>
      <c r="X317" s="345"/>
      <c r="Y317" s="345"/>
      <c r="Z317" s="345"/>
      <c r="AA317" s="345"/>
      <c r="AB317" s="345"/>
      <c r="AC317" s="345"/>
      <c r="AD317" s="345"/>
      <c r="AE317" s="345"/>
      <c r="AF317" s="345"/>
      <c r="AG317" s="345"/>
      <c r="AH317" s="345"/>
      <c r="AI317" s="345"/>
      <c r="AJ317" s="345"/>
      <c r="AK317" s="345"/>
      <c r="AL317" s="345"/>
      <c r="AM317" s="345"/>
      <c r="AN317" s="345"/>
      <c r="AO317" s="345"/>
      <c r="AP317" s="345"/>
      <c r="AQ317" s="345"/>
      <c r="AR317" s="345"/>
      <c r="AS317" s="345"/>
    </row>
    <row r="318" ht="13.5" customHeight="1">
      <c r="A318" s="424">
        <f>'Membership Application List'!A547</f>
        <v>45902.70175</v>
      </c>
      <c r="B318" s="443" t="str">
        <f t="shared" si="6"/>
        <v>September</v>
      </c>
      <c r="C318" s="443">
        <f t="shared" si="7"/>
        <v>2025</v>
      </c>
      <c r="D318" s="426" t="str">
        <f>'Membership Application List'!E547</f>
        <v>Bella Bufis</v>
      </c>
      <c r="E318" s="426">
        <f>IF('Membership Application List'!J547 = "Food/Litter Donation", 0, IF('Membership Application List'!J547 = "$15 Donation, Discord Verification", IF('Membership Application List'!N547 = TRUE, 15, 0)))</f>
        <v>0</v>
      </c>
      <c r="F318" s="426">
        <f>if('Membership Application List'!K547=TRUE, 5,0)</f>
        <v>0</v>
      </c>
      <c r="G318" s="426">
        <f t="shared" si="8"/>
        <v>0</v>
      </c>
      <c r="H318" s="427" t="str">
        <f>'Membership Application List'!L547</f>
        <v>Cash</v>
      </c>
      <c r="I318" s="345"/>
      <c r="J318" s="441"/>
      <c r="K318" s="345"/>
      <c r="L318" s="478"/>
      <c r="M318" s="345"/>
      <c r="N318" s="345"/>
      <c r="O318" s="345"/>
      <c r="P318" s="414"/>
      <c r="Q318" s="414"/>
      <c r="R318" s="414"/>
      <c r="S318" s="445"/>
      <c r="T318" s="445"/>
      <c r="U318" s="445"/>
      <c r="V318" s="345"/>
      <c r="W318" s="441"/>
      <c r="X318" s="345"/>
      <c r="Y318" s="345"/>
      <c r="Z318" s="345"/>
      <c r="AA318" s="345"/>
      <c r="AB318" s="345"/>
      <c r="AC318" s="345"/>
      <c r="AD318" s="345"/>
      <c r="AE318" s="345"/>
      <c r="AF318" s="345"/>
      <c r="AG318" s="345"/>
      <c r="AH318" s="345"/>
      <c r="AI318" s="345"/>
      <c r="AJ318" s="345"/>
      <c r="AK318" s="345"/>
      <c r="AL318" s="345"/>
      <c r="AM318" s="345"/>
      <c r="AN318" s="345"/>
      <c r="AO318" s="345"/>
      <c r="AP318" s="345"/>
      <c r="AQ318" s="345"/>
      <c r="AR318" s="345"/>
      <c r="AS318" s="345"/>
    </row>
    <row r="319" ht="13.5" customHeight="1">
      <c r="A319" s="436">
        <f>'Membership Application List'!A548</f>
        <v>45902.70427</v>
      </c>
      <c r="B319" s="437" t="str">
        <f t="shared" si="6"/>
        <v>September</v>
      </c>
      <c r="C319" s="437">
        <f t="shared" si="7"/>
        <v>2025</v>
      </c>
      <c r="D319" s="438" t="str">
        <f>'Membership Application List'!E548</f>
        <v>Bella Bufis</v>
      </c>
      <c r="E319" s="438">
        <f>IF('Membership Application List'!J548 = "Food/Litter Donation", 0, IF('Membership Application List'!J548 = "$15 Donation, Discord Verification", IF('Membership Application List'!N548 = TRUE, 15, 0)))</f>
        <v>0</v>
      </c>
      <c r="F319" s="438">
        <f>if('Membership Application List'!K548=TRUE, 5,0)</f>
        <v>0</v>
      </c>
      <c r="G319" s="438">
        <f t="shared" si="8"/>
        <v>0</v>
      </c>
      <c r="H319" s="439" t="str">
        <f>'Membership Application List'!L548</f>
        <v>Cash</v>
      </c>
      <c r="I319" s="345"/>
      <c r="J319" s="441"/>
      <c r="K319" s="345"/>
      <c r="L319" s="478"/>
      <c r="M319" s="345"/>
      <c r="N319" s="345"/>
      <c r="O319" s="345"/>
      <c r="P319" s="414"/>
      <c r="Q319" s="414"/>
      <c r="R319" s="414"/>
      <c r="S319" s="445"/>
      <c r="T319" s="445"/>
      <c r="U319" s="445"/>
      <c r="V319" s="345"/>
      <c r="W319" s="441"/>
      <c r="X319" s="345"/>
      <c r="Y319" s="345"/>
      <c r="Z319" s="345"/>
      <c r="AA319" s="345"/>
      <c r="AB319" s="345"/>
      <c r="AC319" s="345"/>
      <c r="AD319" s="345"/>
      <c r="AE319" s="345"/>
      <c r="AF319" s="345"/>
      <c r="AG319" s="345"/>
      <c r="AH319" s="345"/>
      <c r="AI319" s="345"/>
      <c r="AJ319" s="345"/>
      <c r="AK319" s="345"/>
      <c r="AL319" s="345"/>
      <c r="AM319" s="345"/>
      <c r="AN319" s="345"/>
      <c r="AO319" s="345"/>
      <c r="AP319" s="345"/>
      <c r="AQ319" s="345"/>
      <c r="AR319" s="345"/>
      <c r="AS319" s="345"/>
    </row>
    <row r="320" ht="13.5" customHeight="1">
      <c r="A320" s="424">
        <f>'Membership Application List'!A549</f>
        <v>45902.70993</v>
      </c>
      <c r="B320" s="443" t="str">
        <f t="shared" si="6"/>
        <v>September</v>
      </c>
      <c r="C320" s="443">
        <f t="shared" si="7"/>
        <v>2025</v>
      </c>
      <c r="D320" s="426" t="str">
        <f>'Membership Application List'!E549</f>
        <v>Abigail Mejia</v>
      </c>
      <c r="E320" s="426">
        <f>IF('Membership Application List'!J549 = "Food/Litter Donation", 0, IF('Membership Application List'!J549 = "$15 Donation, Discord Verification", IF('Membership Application List'!N549 = TRUE, 15, 0)))</f>
        <v>15</v>
      </c>
      <c r="F320" s="426">
        <f>if('Membership Application List'!K549=TRUE, 5,0)</f>
        <v>0</v>
      </c>
      <c r="G320" s="426">
        <f t="shared" si="8"/>
        <v>15</v>
      </c>
      <c r="H320" s="427" t="str">
        <f>'Membership Application List'!L549</f>
        <v>Cash</v>
      </c>
      <c r="I320" s="345"/>
      <c r="J320" s="441"/>
      <c r="K320" s="345"/>
      <c r="L320" s="478"/>
      <c r="M320" s="345"/>
      <c r="N320" s="345"/>
      <c r="O320" s="345"/>
      <c r="P320" s="414"/>
      <c r="Q320" s="414"/>
      <c r="R320" s="414"/>
      <c r="S320" s="445"/>
      <c r="T320" s="445"/>
      <c r="U320" s="445"/>
      <c r="V320" s="345"/>
      <c r="W320" s="441"/>
      <c r="X320" s="345"/>
      <c r="Y320" s="345"/>
      <c r="Z320" s="345"/>
      <c r="AA320" s="345"/>
      <c r="AB320" s="345"/>
      <c r="AC320" s="345"/>
      <c r="AD320" s="345"/>
      <c r="AE320" s="345"/>
      <c r="AF320" s="345"/>
      <c r="AG320" s="345"/>
      <c r="AH320" s="345"/>
      <c r="AI320" s="345"/>
      <c r="AJ320" s="345"/>
      <c r="AK320" s="345"/>
      <c r="AL320" s="345"/>
      <c r="AM320" s="345"/>
      <c r="AN320" s="345"/>
      <c r="AO320" s="345"/>
      <c r="AP320" s="345"/>
      <c r="AQ320" s="345"/>
      <c r="AR320" s="345"/>
      <c r="AS320" s="345"/>
    </row>
    <row r="321" ht="13.5" customHeight="1">
      <c r="A321" s="436">
        <f>'Membership Application List'!A550</f>
        <v>45902.8319</v>
      </c>
      <c r="B321" s="437" t="str">
        <f t="shared" si="6"/>
        <v>September</v>
      </c>
      <c r="C321" s="437">
        <f t="shared" si="7"/>
        <v>2025</v>
      </c>
      <c r="D321" s="438" t="str">
        <f>'Membership Application List'!E550</f>
        <v>Jenny Thai Nguyen</v>
      </c>
      <c r="E321" s="438">
        <f>IF('Membership Application List'!J550 = "Food/Litter Donation", 0, IF('Membership Application List'!J550 = "$15 Donation, Discord Verification", IF('Membership Application List'!N550 = TRUE, 15, 0)))</f>
        <v>15</v>
      </c>
      <c r="F321" s="438">
        <f>if('Membership Application List'!K550=TRUE, 5,0)</f>
        <v>5</v>
      </c>
      <c r="G321" s="438">
        <f t="shared" si="8"/>
        <v>10</v>
      </c>
      <c r="H321" s="439" t="str">
        <f>'Membership Application List'!L550</f>
        <v>Paypal</v>
      </c>
      <c r="I321" s="345"/>
      <c r="J321" s="441"/>
      <c r="K321" s="345"/>
      <c r="L321" s="478"/>
      <c r="M321" s="345"/>
      <c r="N321" s="345"/>
      <c r="O321" s="345"/>
      <c r="P321" s="414"/>
      <c r="Q321" s="414"/>
      <c r="R321" s="414"/>
      <c r="S321" s="445"/>
      <c r="T321" s="445"/>
      <c r="U321" s="445"/>
      <c r="V321" s="345"/>
      <c r="W321" s="441"/>
      <c r="X321" s="345"/>
      <c r="Y321" s="345"/>
      <c r="Z321" s="345"/>
      <c r="AA321" s="345"/>
      <c r="AB321" s="345"/>
      <c r="AC321" s="345"/>
      <c r="AD321" s="345"/>
      <c r="AE321" s="345"/>
      <c r="AF321" s="345"/>
      <c r="AG321" s="345"/>
      <c r="AH321" s="345"/>
      <c r="AI321" s="345"/>
      <c r="AJ321" s="345"/>
      <c r="AK321" s="345"/>
      <c r="AL321" s="345"/>
      <c r="AM321" s="345"/>
      <c r="AN321" s="345"/>
      <c r="AO321" s="345"/>
      <c r="AP321" s="345"/>
      <c r="AQ321" s="345"/>
      <c r="AR321" s="345"/>
      <c r="AS321" s="345"/>
    </row>
    <row r="322" ht="13.5" customHeight="1">
      <c r="A322" s="424">
        <f>'Membership Application List'!A551</f>
        <v>45903.42868</v>
      </c>
      <c r="B322" s="443" t="str">
        <f t="shared" si="6"/>
        <v>September</v>
      </c>
      <c r="C322" s="443">
        <f t="shared" si="7"/>
        <v>2025</v>
      </c>
      <c r="D322" s="426" t="str">
        <f>'Membership Application List'!E551</f>
        <v>Cassandra (cici) nelson</v>
      </c>
      <c r="E322" s="426">
        <f>IF('Membership Application List'!J551 = "Food/Litter Donation", 0, IF('Membership Application List'!J551 = "$15 Donation, Discord Verification", IF('Membership Application List'!N551 = TRUE, 15, 0)))</f>
        <v>15</v>
      </c>
      <c r="F322" s="426">
        <f>if('Membership Application List'!K551=TRUE, 5,0)</f>
        <v>0</v>
      </c>
      <c r="G322" s="426">
        <f t="shared" si="8"/>
        <v>15</v>
      </c>
      <c r="H322" s="427" t="str">
        <f>'Membership Application List'!L551</f>
        <v>Cashapp</v>
      </c>
      <c r="I322" s="345"/>
      <c r="J322" s="441"/>
      <c r="K322" s="345"/>
      <c r="L322" s="478"/>
      <c r="M322" s="345"/>
      <c r="N322" s="345"/>
      <c r="O322" s="345"/>
      <c r="P322" s="414"/>
      <c r="Q322" s="414"/>
      <c r="R322" s="414"/>
      <c r="S322" s="445"/>
      <c r="T322" s="445"/>
      <c r="U322" s="445"/>
      <c r="V322" s="345"/>
      <c r="W322" s="441"/>
      <c r="X322" s="345"/>
      <c r="Y322" s="345"/>
      <c r="Z322" s="345"/>
      <c r="AA322" s="345"/>
      <c r="AB322" s="345"/>
      <c r="AC322" s="345"/>
      <c r="AD322" s="345"/>
      <c r="AE322" s="345"/>
      <c r="AF322" s="345"/>
      <c r="AG322" s="345"/>
      <c r="AH322" s="345"/>
      <c r="AI322" s="345"/>
      <c r="AJ322" s="345"/>
      <c r="AK322" s="345"/>
      <c r="AL322" s="345"/>
      <c r="AM322" s="345"/>
      <c r="AN322" s="345"/>
      <c r="AO322" s="345"/>
      <c r="AP322" s="345"/>
      <c r="AQ322" s="345"/>
      <c r="AR322" s="345"/>
      <c r="AS322" s="345"/>
    </row>
    <row r="323" ht="13.5" customHeight="1">
      <c r="A323" s="436">
        <f>'Membership Application List'!A552</f>
        <v>45903.43852</v>
      </c>
      <c r="B323" s="437" t="str">
        <f t="shared" si="6"/>
        <v>September</v>
      </c>
      <c r="C323" s="437">
        <f t="shared" si="7"/>
        <v>2025</v>
      </c>
      <c r="D323" s="438" t="str">
        <f>'Membership Application List'!E552</f>
        <v>Taylor Snyder</v>
      </c>
      <c r="E323" s="438">
        <f>IF('Membership Application List'!J552 = "Food/Litter Donation", 0, IF('Membership Application List'!J552 = "$15 Donation, Discord Verification", IF('Membership Application List'!N552 = TRUE, 15, 0)))</f>
        <v>0</v>
      </c>
      <c r="F323" s="438">
        <f>if('Membership Application List'!K552=TRUE, 5,0)</f>
        <v>0</v>
      </c>
      <c r="G323" s="438">
        <f t="shared" si="8"/>
        <v>0</v>
      </c>
      <c r="H323" s="439" t="str">
        <f>'Membership Application List'!L552</f>
        <v/>
      </c>
      <c r="I323" s="345"/>
      <c r="J323" s="441"/>
      <c r="K323" s="345"/>
      <c r="L323" s="478"/>
      <c r="M323" s="345"/>
      <c r="N323" s="345"/>
      <c r="O323" s="345"/>
      <c r="P323" s="414"/>
      <c r="Q323" s="414"/>
      <c r="R323" s="414"/>
      <c r="S323" s="445"/>
      <c r="T323" s="445"/>
      <c r="U323" s="445"/>
      <c r="V323" s="345"/>
      <c r="W323" s="441"/>
      <c r="X323" s="345"/>
      <c r="Y323" s="345"/>
      <c r="Z323" s="345"/>
      <c r="AA323" s="345"/>
      <c r="AB323" s="345"/>
      <c r="AC323" s="345"/>
      <c r="AD323" s="345"/>
      <c r="AE323" s="345"/>
      <c r="AF323" s="345"/>
      <c r="AG323" s="345"/>
      <c r="AH323" s="345"/>
      <c r="AI323" s="345"/>
      <c r="AJ323" s="345"/>
      <c r="AK323" s="345"/>
      <c r="AL323" s="345"/>
      <c r="AM323" s="345"/>
      <c r="AN323" s="345"/>
      <c r="AO323" s="345"/>
      <c r="AP323" s="345"/>
      <c r="AQ323" s="345"/>
      <c r="AR323" s="345"/>
      <c r="AS323" s="345"/>
    </row>
    <row r="324" ht="13.5" customHeight="1">
      <c r="A324" s="424">
        <f>'Membership Application List'!A553</f>
        <v>45903.46888</v>
      </c>
      <c r="B324" s="443" t="str">
        <f t="shared" si="6"/>
        <v>September</v>
      </c>
      <c r="C324" s="443">
        <f t="shared" si="7"/>
        <v>2025</v>
      </c>
      <c r="D324" s="426" t="str">
        <f>'Membership Application List'!E553</f>
        <v>Jacquelyn Payne</v>
      </c>
      <c r="E324" s="426">
        <f>IF('Membership Application List'!J553 = "Food/Litter Donation", 0, IF('Membership Application List'!J553 = "$15 Donation, Discord Verification", IF('Membership Application List'!N553 = TRUE, 15, 0)))</f>
        <v>15</v>
      </c>
      <c r="F324" s="426">
        <f>if('Membership Application List'!K553=TRUE, 5,0)</f>
        <v>0</v>
      </c>
      <c r="G324" s="426">
        <f t="shared" si="8"/>
        <v>15</v>
      </c>
      <c r="H324" s="427" t="str">
        <f>'Membership Application List'!L553</f>
        <v>Cash</v>
      </c>
      <c r="I324" s="345"/>
      <c r="J324" s="441"/>
      <c r="K324" s="345"/>
      <c r="L324" s="478"/>
      <c r="M324" s="345"/>
      <c r="N324" s="345"/>
      <c r="O324" s="345"/>
      <c r="P324" s="414"/>
      <c r="Q324" s="414"/>
      <c r="R324" s="414"/>
      <c r="S324" s="445"/>
      <c r="T324" s="445"/>
      <c r="U324" s="445"/>
      <c r="V324" s="345"/>
      <c r="W324" s="441"/>
      <c r="X324" s="345"/>
      <c r="Y324" s="345"/>
      <c r="Z324" s="345"/>
      <c r="AA324" s="345"/>
      <c r="AB324" s="345"/>
      <c r="AC324" s="345"/>
      <c r="AD324" s="345"/>
      <c r="AE324" s="345"/>
      <c r="AF324" s="345"/>
      <c r="AG324" s="345"/>
      <c r="AH324" s="345"/>
      <c r="AI324" s="345"/>
      <c r="AJ324" s="345"/>
      <c r="AK324" s="345"/>
      <c r="AL324" s="345"/>
      <c r="AM324" s="345"/>
      <c r="AN324" s="345"/>
      <c r="AO324" s="345"/>
      <c r="AP324" s="345"/>
      <c r="AQ324" s="345"/>
      <c r="AR324" s="345"/>
      <c r="AS324" s="345"/>
    </row>
    <row r="325" ht="13.5" customHeight="1">
      <c r="A325" s="436">
        <f>'Membership Application List'!A554</f>
        <v>45903.78941</v>
      </c>
      <c r="B325" s="437" t="str">
        <f t="shared" si="6"/>
        <v>September</v>
      </c>
      <c r="C325" s="437">
        <f t="shared" si="7"/>
        <v>2025</v>
      </c>
      <c r="D325" s="438" t="str">
        <f>'Membership Application List'!E554</f>
        <v>Madeleine De La Cruz </v>
      </c>
      <c r="E325" s="438">
        <f>IF('Membership Application List'!J554 = "Food/Litter Donation", 0, IF('Membership Application List'!J554 = "$15 Donation, Discord Verification", IF('Membership Application List'!N554 = TRUE, 15, 0)))</f>
        <v>15</v>
      </c>
      <c r="F325" s="438">
        <f>if('Membership Application List'!K554=TRUE, 5,0)</f>
        <v>0</v>
      </c>
      <c r="G325" s="438">
        <f t="shared" si="8"/>
        <v>15</v>
      </c>
      <c r="H325" s="439" t="str">
        <f>'Membership Application List'!L554</f>
        <v>Cash</v>
      </c>
      <c r="I325" s="345"/>
      <c r="J325" s="441"/>
      <c r="K325" s="345"/>
      <c r="L325" s="478"/>
      <c r="M325" s="345"/>
      <c r="N325" s="345"/>
      <c r="O325" s="345"/>
      <c r="P325" s="414"/>
      <c r="Q325" s="414"/>
      <c r="R325" s="414"/>
      <c r="S325" s="445"/>
      <c r="T325" s="445"/>
      <c r="U325" s="445"/>
      <c r="V325" s="345"/>
      <c r="W325" s="441"/>
      <c r="X325" s="345"/>
      <c r="Y325" s="345"/>
      <c r="Z325" s="345"/>
      <c r="AA325" s="345"/>
      <c r="AB325" s="345"/>
      <c r="AC325" s="345"/>
      <c r="AD325" s="345"/>
      <c r="AE325" s="345"/>
      <c r="AF325" s="345"/>
      <c r="AG325" s="345"/>
      <c r="AH325" s="345"/>
      <c r="AI325" s="345"/>
      <c r="AJ325" s="345"/>
      <c r="AK325" s="345"/>
      <c r="AL325" s="345"/>
      <c r="AM325" s="345"/>
      <c r="AN325" s="345"/>
      <c r="AO325" s="345"/>
      <c r="AP325" s="345"/>
      <c r="AQ325" s="345"/>
      <c r="AR325" s="345"/>
      <c r="AS325" s="345"/>
    </row>
    <row r="326" ht="13.5" customHeight="1">
      <c r="A326" s="424">
        <f>'Membership Application List'!A555</f>
        <v>45903.8976</v>
      </c>
      <c r="B326" s="443" t="str">
        <f t="shared" si="6"/>
        <v>September</v>
      </c>
      <c r="C326" s="443">
        <f t="shared" si="7"/>
        <v>2025</v>
      </c>
      <c r="D326" s="426" t="str">
        <f>'Membership Application List'!E555</f>
        <v>Seja Ismail</v>
      </c>
      <c r="E326" s="426">
        <f>IF('Membership Application List'!J555 = "Food/Litter Donation", 0, IF('Membership Application List'!J555 = "$15 Donation, Discord Verification", IF('Membership Application List'!N555 = TRUE, 15, 0)))</f>
        <v>15</v>
      </c>
      <c r="F326" s="426">
        <f>if('Membership Application List'!K555=TRUE, 5,0)</f>
        <v>0</v>
      </c>
      <c r="G326" s="426">
        <f t="shared" si="8"/>
        <v>15</v>
      </c>
      <c r="H326" s="427" t="str">
        <f>'Membership Application List'!L555</f>
        <v>Cashapp</v>
      </c>
      <c r="I326" s="345"/>
      <c r="J326" s="441"/>
      <c r="K326" s="345"/>
      <c r="L326" s="478"/>
      <c r="M326" s="345"/>
      <c r="N326" s="345"/>
      <c r="O326" s="345"/>
      <c r="P326" s="414"/>
      <c r="Q326" s="414"/>
      <c r="R326" s="414"/>
      <c r="S326" s="445"/>
      <c r="T326" s="445"/>
      <c r="U326" s="445"/>
      <c r="V326" s="345"/>
      <c r="W326" s="441"/>
      <c r="X326" s="345"/>
      <c r="Y326" s="345"/>
      <c r="Z326" s="345"/>
      <c r="AA326" s="345"/>
      <c r="AB326" s="345"/>
      <c r="AC326" s="345"/>
      <c r="AD326" s="345"/>
      <c r="AE326" s="345"/>
      <c r="AF326" s="345"/>
      <c r="AG326" s="345"/>
      <c r="AH326" s="345"/>
      <c r="AI326" s="345"/>
      <c r="AJ326" s="345"/>
      <c r="AK326" s="345"/>
      <c r="AL326" s="345"/>
      <c r="AM326" s="345"/>
      <c r="AN326" s="345"/>
      <c r="AO326" s="345"/>
      <c r="AP326" s="345"/>
      <c r="AQ326" s="345"/>
      <c r="AR326" s="345"/>
      <c r="AS326" s="345"/>
    </row>
    <row r="327" ht="13.5" customHeight="1">
      <c r="A327" s="436">
        <f>'Membership Application List'!A556</f>
        <v>45904.02559</v>
      </c>
      <c r="B327" s="437" t="str">
        <f t="shared" si="6"/>
        <v>September</v>
      </c>
      <c r="C327" s="437">
        <f t="shared" si="7"/>
        <v>2025</v>
      </c>
      <c r="D327" s="438" t="str">
        <f>'Membership Application List'!E556</f>
        <v>Tracy Phan</v>
      </c>
      <c r="E327" s="438">
        <f>IF('Membership Application List'!J556 = "Food/Litter Donation", 0, IF('Membership Application List'!J556 = "$15 Donation, Discord Verification", IF('Membership Application List'!N556 = TRUE, 15, 0)))</f>
        <v>15</v>
      </c>
      <c r="F327" s="438">
        <f>if('Membership Application List'!K556=TRUE, 5,0)</f>
        <v>0</v>
      </c>
      <c r="G327" s="438">
        <f t="shared" si="8"/>
        <v>15</v>
      </c>
      <c r="H327" s="439" t="str">
        <f>'Membership Application List'!L556</f>
        <v>Cashapp</v>
      </c>
      <c r="I327" s="345"/>
      <c r="J327" s="441"/>
      <c r="K327" s="345"/>
      <c r="L327" s="478"/>
      <c r="M327" s="345"/>
      <c r="N327" s="345"/>
      <c r="O327" s="345"/>
      <c r="P327" s="414"/>
      <c r="Q327" s="414"/>
      <c r="R327" s="414"/>
      <c r="S327" s="445"/>
      <c r="T327" s="445"/>
      <c r="U327" s="445"/>
      <c r="V327" s="345"/>
      <c r="W327" s="441"/>
      <c r="X327" s="345"/>
      <c r="Y327" s="345"/>
      <c r="Z327" s="345"/>
      <c r="AA327" s="345"/>
      <c r="AB327" s="345"/>
      <c r="AC327" s="345"/>
      <c r="AD327" s="345"/>
      <c r="AE327" s="345"/>
      <c r="AF327" s="345"/>
      <c r="AG327" s="345"/>
      <c r="AH327" s="345"/>
      <c r="AI327" s="345"/>
      <c r="AJ327" s="345"/>
      <c r="AK327" s="345"/>
      <c r="AL327" s="345"/>
      <c r="AM327" s="345"/>
      <c r="AN327" s="345"/>
      <c r="AO327" s="345"/>
      <c r="AP327" s="345"/>
      <c r="AQ327" s="345"/>
      <c r="AR327" s="345"/>
      <c r="AS327" s="345"/>
    </row>
    <row r="328" ht="13.5" customHeight="1">
      <c r="A328" s="424">
        <f>'Membership Application List'!A557</f>
        <v>45904.36347</v>
      </c>
      <c r="B328" s="443" t="str">
        <f t="shared" si="6"/>
        <v>September</v>
      </c>
      <c r="C328" s="443">
        <f t="shared" si="7"/>
        <v>2025</v>
      </c>
      <c r="D328" s="426" t="str">
        <f>'Membership Application List'!E557</f>
        <v>Isabel Silva</v>
      </c>
      <c r="E328" s="426">
        <f>IF('Membership Application List'!J557 = "Food/Litter Donation", 0, IF('Membership Application List'!J557 = "$15 Donation, Discord Verification", IF('Membership Application List'!N557 = TRUE, 15, 0)))</f>
        <v>15</v>
      </c>
      <c r="F328" s="426">
        <f>if('Membership Application List'!K557=TRUE, 5,0)</f>
        <v>0</v>
      </c>
      <c r="G328" s="426">
        <f t="shared" si="8"/>
        <v>15</v>
      </c>
      <c r="H328" s="427" t="str">
        <f>'Membership Application List'!L557</f>
        <v>Cashapp</v>
      </c>
      <c r="I328" s="345"/>
      <c r="J328" s="441"/>
      <c r="K328" s="345"/>
      <c r="L328" s="478"/>
      <c r="M328" s="345"/>
      <c r="N328" s="345"/>
      <c r="O328" s="345"/>
      <c r="P328" s="414"/>
      <c r="Q328" s="414"/>
      <c r="R328" s="414"/>
      <c r="S328" s="445"/>
      <c r="T328" s="445"/>
      <c r="U328" s="445"/>
      <c r="V328" s="345"/>
      <c r="W328" s="441"/>
      <c r="X328" s="345"/>
      <c r="Y328" s="345"/>
      <c r="Z328" s="345"/>
      <c r="AA328" s="345"/>
      <c r="AB328" s="345"/>
      <c r="AC328" s="345"/>
      <c r="AD328" s="345"/>
      <c r="AE328" s="345"/>
      <c r="AF328" s="345"/>
      <c r="AG328" s="345"/>
      <c r="AH328" s="345"/>
      <c r="AI328" s="345"/>
      <c r="AJ328" s="345"/>
      <c r="AK328" s="345"/>
      <c r="AL328" s="345"/>
      <c r="AM328" s="345"/>
      <c r="AN328" s="345"/>
      <c r="AO328" s="345"/>
      <c r="AP328" s="345"/>
      <c r="AQ328" s="345"/>
      <c r="AR328" s="345"/>
      <c r="AS328" s="345"/>
    </row>
    <row r="329" ht="13.5" customHeight="1">
      <c r="A329" s="436">
        <f>'Membership Application List'!A558</f>
        <v>45904.50342</v>
      </c>
      <c r="B329" s="437" t="str">
        <f t="shared" si="6"/>
        <v>September</v>
      </c>
      <c r="C329" s="437">
        <f t="shared" si="7"/>
        <v>2025</v>
      </c>
      <c r="D329" s="438" t="str">
        <f>'Membership Application List'!E558</f>
        <v>Kimberly Hebbe</v>
      </c>
      <c r="E329" s="438">
        <f>IF('Membership Application List'!J558 = "Food/Litter Donation", 0, IF('Membership Application List'!J558 = "$15 Donation, Discord Verification", IF('Membership Application List'!N558 = TRUE, 15, 0)))</f>
        <v>15</v>
      </c>
      <c r="F329" s="438">
        <f>if('Membership Application List'!K558=TRUE, 5,0)</f>
        <v>0</v>
      </c>
      <c r="G329" s="438">
        <f t="shared" si="8"/>
        <v>15</v>
      </c>
      <c r="H329" s="439" t="str">
        <f>'Membership Application List'!L558</f>
        <v>Cashapp</v>
      </c>
      <c r="I329" s="345"/>
      <c r="J329" s="441"/>
      <c r="K329" s="345"/>
      <c r="L329" s="478"/>
      <c r="M329" s="345"/>
      <c r="N329" s="345"/>
      <c r="O329" s="345"/>
      <c r="P329" s="414"/>
      <c r="Q329" s="414"/>
      <c r="R329" s="414"/>
      <c r="S329" s="445"/>
      <c r="T329" s="445"/>
      <c r="U329" s="445"/>
      <c r="V329" s="345"/>
      <c r="W329" s="441"/>
      <c r="X329" s="345"/>
      <c r="Y329" s="345"/>
      <c r="Z329" s="345"/>
      <c r="AA329" s="345"/>
      <c r="AB329" s="345"/>
      <c r="AC329" s="345"/>
      <c r="AD329" s="345"/>
      <c r="AE329" s="345"/>
      <c r="AF329" s="345"/>
      <c r="AG329" s="345"/>
      <c r="AH329" s="345"/>
      <c r="AI329" s="345"/>
      <c r="AJ329" s="345"/>
      <c r="AK329" s="345"/>
      <c r="AL329" s="345"/>
      <c r="AM329" s="345"/>
      <c r="AN329" s="345"/>
      <c r="AO329" s="345"/>
      <c r="AP329" s="345"/>
      <c r="AQ329" s="345"/>
      <c r="AR329" s="345"/>
      <c r="AS329" s="345"/>
    </row>
    <row r="330" ht="13.5" customHeight="1">
      <c r="A330" s="424">
        <f>'Membership Application List'!A559</f>
        <v>45904.67821</v>
      </c>
      <c r="B330" s="443" t="str">
        <f t="shared" si="6"/>
        <v>September</v>
      </c>
      <c r="C330" s="443">
        <f t="shared" si="7"/>
        <v>2025</v>
      </c>
      <c r="D330" s="426" t="str">
        <f>'Membership Application List'!E559</f>
        <v>Michael Ruiz</v>
      </c>
      <c r="E330" s="426">
        <f>IF('Membership Application List'!J559 = "Food/Litter Donation", 0, IF('Membership Application List'!J559 = "$15 Donation, Discord Verification", IF('Membership Application List'!N559 = TRUE, 15, 0)))</f>
        <v>15</v>
      </c>
      <c r="F330" s="426">
        <f>if('Membership Application List'!K559=TRUE, 5,0)</f>
        <v>0</v>
      </c>
      <c r="G330" s="426">
        <f t="shared" si="8"/>
        <v>15</v>
      </c>
      <c r="H330" s="427" t="str">
        <f>'Membership Application List'!L559</f>
        <v>Cash</v>
      </c>
      <c r="I330" s="345"/>
      <c r="J330" s="441"/>
      <c r="K330" s="345"/>
      <c r="L330" s="478"/>
      <c r="M330" s="345"/>
      <c r="N330" s="345"/>
      <c r="O330" s="345"/>
      <c r="P330" s="414"/>
      <c r="Q330" s="414"/>
      <c r="R330" s="414"/>
      <c r="S330" s="445"/>
      <c r="T330" s="445"/>
      <c r="U330" s="445"/>
      <c r="V330" s="345"/>
      <c r="W330" s="441"/>
      <c r="X330" s="345"/>
      <c r="Y330" s="345"/>
      <c r="Z330" s="345"/>
      <c r="AA330" s="345"/>
      <c r="AB330" s="345"/>
      <c r="AC330" s="345"/>
      <c r="AD330" s="345"/>
      <c r="AE330" s="345"/>
      <c r="AF330" s="345"/>
      <c r="AG330" s="345"/>
      <c r="AH330" s="345"/>
      <c r="AI330" s="345"/>
      <c r="AJ330" s="345"/>
      <c r="AK330" s="345"/>
      <c r="AL330" s="345"/>
      <c r="AM330" s="345"/>
      <c r="AN330" s="345"/>
      <c r="AO330" s="345"/>
      <c r="AP330" s="345"/>
      <c r="AQ330" s="345"/>
      <c r="AR330" s="345"/>
      <c r="AS330" s="345"/>
    </row>
    <row r="331" ht="13.5" customHeight="1">
      <c r="A331" s="436">
        <f>'Membership Application List'!A560</f>
        <v>45904.74723</v>
      </c>
      <c r="B331" s="437" t="str">
        <f t="shared" si="6"/>
        <v>September</v>
      </c>
      <c r="C331" s="437">
        <f t="shared" si="7"/>
        <v>2025</v>
      </c>
      <c r="D331" s="438" t="str">
        <f>'Membership Application List'!E560</f>
        <v>Megan Digiovanni</v>
      </c>
      <c r="E331" s="438">
        <f>IF('Membership Application List'!J560 = "Food/Litter Donation", 0, IF('Membership Application List'!J560 = "$15 Donation, Discord Verification", IF('Membership Application List'!N560 = TRUE, 15, 0)))</f>
        <v>15</v>
      </c>
      <c r="F331" s="438">
        <f>if('Membership Application List'!K560=TRUE, 5,0)</f>
        <v>0</v>
      </c>
      <c r="G331" s="438">
        <f t="shared" si="8"/>
        <v>15</v>
      </c>
      <c r="H331" s="439" t="str">
        <f>'Membership Application List'!L560</f>
        <v>Venmo</v>
      </c>
      <c r="I331" s="345"/>
      <c r="J331" s="441"/>
      <c r="K331" s="345"/>
      <c r="L331" s="478"/>
      <c r="M331" s="345"/>
      <c r="N331" s="345"/>
      <c r="O331" s="345"/>
      <c r="P331" s="414"/>
      <c r="Q331" s="414"/>
      <c r="R331" s="414"/>
      <c r="S331" s="445"/>
      <c r="T331" s="445"/>
      <c r="U331" s="445"/>
      <c r="V331" s="345"/>
      <c r="W331" s="441"/>
      <c r="X331" s="345"/>
      <c r="Y331" s="345"/>
      <c r="Z331" s="345"/>
      <c r="AA331" s="345"/>
      <c r="AB331" s="345"/>
      <c r="AC331" s="345"/>
      <c r="AD331" s="345"/>
      <c r="AE331" s="345"/>
      <c r="AF331" s="345"/>
      <c r="AG331" s="345"/>
      <c r="AH331" s="345"/>
      <c r="AI331" s="345"/>
      <c r="AJ331" s="345"/>
      <c r="AK331" s="345"/>
      <c r="AL331" s="345"/>
      <c r="AM331" s="345"/>
      <c r="AN331" s="345"/>
      <c r="AO331" s="345"/>
      <c r="AP331" s="345"/>
      <c r="AQ331" s="345"/>
      <c r="AR331" s="345"/>
      <c r="AS331" s="345"/>
    </row>
    <row r="332" ht="13.5" customHeight="1">
      <c r="A332" s="424">
        <f>'Membership Application List'!A561</f>
        <v>45908.42141</v>
      </c>
      <c r="B332" s="443" t="str">
        <f t="shared" si="6"/>
        <v>September</v>
      </c>
      <c r="C332" s="443">
        <f t="shared" si="7"/>
        <v>2025</v>
      </c>
      <c r="D332" s="426" t="str">
        <f>'Membership Application List'!E561</f>
        <v>Joy Cook</v>
      </c>
      <c r="E332" s="426">
        <f>IF('Membership Application List'!J561 = "Food/Litter Donation", 0, IF('Membership Application List'!J561 = "$15 Donation, Discord Verification", IF('Membership Application List'!N561 = TRUE, 15, 0)))</f>
        <v>15</v>
      </c>
      <c r="F332" s="426">
        <f>if('Membership Application List'!K561=TRUE, 5,0)</f>
        <v>0</v>
      </c>
      <c r="G332" s="426">
        <f t="shared" si="8"/>
        <v>15</v>
      </c>
      <c r="H332" s="427" t="str">
        <f>'Membership Application List'!L561</f>
        <v>Paypal</v>
      </c>
      <c r="I332" s="345"/>
      <c r="J332" s="441"/>
      <c r="K332" s="345"/>
      <c r="L332" s="478"/>
      <c r="M332" s="345"/>
      <c r="N332" s="345"/>
      <c r="O332" s="345"/>
      <c r="P332" s="414"/>
      <c r="Q332" s="414"/>
      <c r="R332" s="414"/>
      <c r="S332" s="445"/>
      <c r="T332" s="445"/>
      <c r="U332" s="445"/>
      <c r="V332" s="345"/>
      <c r="W332" s="441"/>
      <c r="X332" s="345"/>
      <c r="Y332" s="345"/>
      <c r="Z332" s="345"/>
      <c r="AA332" s="345"/>
      <c r="AB332" s="345"/>
      <c r="AC332" s="345"/>
      <c r="AD332" s="345"/>
      <c r="AE332" s="345"/>
      <c r="AF332" s="345"/>
      <c r="AG332" s="345"/>
      <c r="AH332" s="345"/>
      <c r="AI332" s="345"/>
      <c r="AJ332" s="345"/>
      <c r="AK332" s="345"/>
      <c r="AL332" s="345"/>
      <c r="AM332" s="345"/>
      <c r="AN332" s="345"/>
      <c r="AO332" s="345"/>
      <c r="AP332" s="345"/>
      <c r="AQ332" s="345"/>
      <c r="AR332" s="345"/>
      <c r="AS332" s="345"/>
    </row>
    <row r="333" ht="13.5" customHeight="1">
      <c r="A333" s="436">
        <f>'Membership Application List'!A562</f>
        <v>45908.43611</v>
      </c>
      <c r="B333" s="437" t="str">
        <f t="shared" si="6"/>
        <v>September</v>
      </c>
      <c r="C333" s="437">
        <f t="shared" si="7"/>
        <v>2025</v>
      </c>
      <c r="D333" s="438" t="str">
        <f>'Membership Application List'!E562</f>
        <v>Charlie Clopton</v>
      </c>
      <c r="E333" s="438">
        <f>IF('Membership Application List'!J562 = "Food/Litter Donation", 0, IF('Membership Application List'!J562 = "$15 Donation, Discord Verification", IF('Membership Application List'!N562 = TRUE, 15, 0)))</f>
        <v>15</v>
      </c>
      <c r="F333" s="438">
        <f>if('Membership Application List'!K562=TRUE, 5,0)</f>
        <v>0</v>
      </c>
      <c r="G333" s="438">
        <f t="shared" si="8"/>
        <v>15</v>
      </c>
      <c r="H333" s="439" t="str">
        <f>'Membership Application List'!L562</f>
        <v>Venmo</v>
      </c>
      <c r="I333" s="345"/>
      <c r="J333" s="441"/>
      <c r="K333" s="345"/>
      <c r="L333" s="478"/>
      <c r="M333" s="345"/>
      <c r="N333" s="345"/>
      <c r="O333" s="345"/>
      <c r="P333" s="414"/>
      <c r="Q333" s="414"/>
      <c r="R333" s="414"/>
      <c r="S333" s="445"/>
      <c r="T333" s="445"/>
      <c r="U333" s="445"/>
      <c r="V333" s="345"/>
      <c r="W333" s="441"/>
      <c r="X333" s="345"/>
      <c r="Y333" s="345"/>
      <c r="Z333" s="345"/>
      <c r="AA333" s="345"/>
      <c r="AB333" s="345"/>
      <c r="AC333" s="345"/>
      <c r="AD333" s="345"/>
      <c r="AE333" s="345"/>
      <c r="AF333" s="345"/>
      <c r="AG333" s="345"/>
      <c r="AH333" s="345"/>
      <c r="AI333" s="345"/>
      <c r="AJ333" s="345"/>
      <c r="AK333" s="345"/>
      <c r="AL333" s="345"/>
      <c r="AM333" s="345"/>
      <c r="AN333" s="345"/>
      <c r="AO333" s="345"/>
      <c r="AP333" s="345"/>
      <c r="AQ333" s="345"/>
      <c r="AR333" s="345"/>
      <c r="AS333" s="345"/>
    </row>
    <row r="334" ht="13.5" customHeight="1">
      <c r="A334" s="424">
        <f>'Membership Application List'!A563</f>
        <v>45908.56263</v>
      </c>
      <c r="B334" s="443" t="str">
        <f t="shared" si="6"/>
        <v>September</v>
      </c>
      <c r="C334" s="443">
        <f t="shared" si="7"/>
        <v>2025</v>
      </c>
      <c r="D334" s="426" t="str">
        <f>'Membership Application List'!E563</f>
        <v>Lucas Hunt</v>
      </c>
      <c r="E334" s="426">
        <f>IF('Membership Application List'!J563 = "Food/Litter Donation", 0, IF('Membership Application List'!J563 = "$15 Donation, Discord Verification", IF('Membership Application List'!N563 = TRUE, 15, 0)))</f>
        <v>15</v>
      </c>
      <c r="F334" s="426">
        <f>if('Membership Application List'!K563=TRUE, 5,0)</f>
        <v>0</v>
      </c>
      <c r="G334" s="426">
        <f t="shared" si="8"/>
        <v>15</v>
      </c>
      <c r="H334" s="427" t="str">
        <f>'Membership Application List'!L563</f>
        <v>Paypal</v>
      </c>
      <c r="I334" s="345"/>
      <c r="J334" s="441"/>
      <c r="K334" s="345"/>
      <c r="L334" s="478"/>
      <c r="M334" s="345"/>
      <c r="N334" s="345"/>
      <c r="O334" s="345"/>
      <c r="P334" s="414"/>
      <c r="Q334" s="414"/>
      <c r="R334" s="414"/>
      <c r="S334" s="445"/>
      <c r="T334" s="445"/>
      <c r="U334" s="445"/>
      <c r="V334" s="345"/>
      <c r="W334" s="441"/>
      <c r="X334" s="345"/>
      <c r="Y334" s="345"/>
      <c r="Z334" s="345"/>
      <c r="AA334" s="345"/>
      <c r="AB334" s="345"/>
      <c r="AC334" s="345"/>
      <c r="AD334" s="345"/>
      <c r="AE334" s="345"/>
      <c r="AF334" s="345"/>
      <c r="AG334" s="345"/>
      <c r="AH334" s="345"/>
      <c r="AI334" s="345"/>
      <c r="AJ334" s="345"/>
      <c r="AK334" s="345"/>
      <c r="AL334" s="345"/>
      <c r="AM334" s="345"/>
      <c r="AN334" s="345"/>
      <c r="AO334" s="345"/>
      <c r="AP334" s="345"/>
      <c r="AQ334" s="345"/>
      <c r="AR334" s="345"/>
      <c r="AS334" s="345"/>
    </row>
    <row r="335" ht="13.5" customHeight="1">
      <c r="A335" s="436">
        <f>'Membership Application List'!A564</f>
        <v>45908.66092</v>
      </c>
      <c r="B335" s="437" t="str">
        <f t="shared" si="6"/>
        <v>September</v>
      </c>
      <c r="C335" s="437">
        <f t="shared" si="7"/>
        <v>2025</v>
      </c>
      <c r="D335" s="438" t="str">
        <f>'Membership Application List'!E564</f>
        <v>William Brammer</v>
      </c>
      <c r="E335" s="438">
        <f>IF('Membership Application List'!J564 = "Food/Litter Donation", 0, IF('Membership Application List'!J564 = "$15 Donation, Discord Verification", IF('Membership Application List'!N564 = TRUE, 15, 0)))</f>
        <v>0</v>
      </c>
      <c r="F335" s="438">
        <f>if('Membership Application List'!K564=TRUE, 5,0)</f>
        <v>0</v>
      </c>
      <c r="G335" s="438">
        <f t="shared" si="8"/>
        <v>0</v>
      </c>
      <c r="H335" s="439" t="str">
        <f>'Membership Application List'!L564</f>
        <v/>
      </c>
      <c r="I335" s="345"/>
      <c r="J335" s="441"/>
      <c r="K335" s="345"/>
      <c r="L335" s="478"/>
      <c r="M335" s="345"/>
      <c r="N335" s="345"/>
      <c r="O335" s="345"/>
      <c r="P335" s="414"/>
      <c r="Q335" s="414"/>
      <c r="R335" s="414"/>
      <c r="S335" s="445"/>
      <c r="T335" s="445"/>
      <c r="U335" s="445"/>
      <c r="V335" s="345"/>
      <c r="W335" s="441"/>
      <c r="X335" s="345"/>
      <c r="Y335" s="345"/>
      <c r="Z335" s="345"/>
      <c r="AA335" s="345"/>
      <c r="AB335" s="345"/>
      <c r="AC335" s="345"/>
      <c r="AD335" s="345"/>
      <c r="AE335" s="345"/>
      <c r="AF335" s="345"/>
      <c r="AG335" s="345"/>
      <c r="AH335" s="345"/>
      <c r="AI335" s="345"/>
      <c r="AJ335" s="345"/>
      <c r="AK335" s="345"/>
      <c r="AL335" s="345"/>
      <c r="AM335" s="345"/>
      <c r="AN335" s="345"/>
      <c r="AO335" s="345"/>
      <c r="AP335" s="345"/>
      <c r="AQ335" s="345"/>
      <c r="AR335" s="345"/>
      <c r="AS335" s="345"/>
    </row>
    <row r="336" ht="13.5" customHeight="1">
      <c r="A336" s="424">
        <f>'Membership Application List'!A565</f>
        <v>45908.79776</v>
      </c>
      <c r="B336" s="443" t="str">
        <f t="shared" si="6"/>
        <v>September</v>
      </c>
      <c r="C336" s="443">
        <f t="shared" si="7"/>
        <v>2025</v>
      </c>
      <c r="D336" s="426" t="str">
        <f>'Membership Application List'!E565</f>
        <v>Eduardo Barrera</v>
      </c>
      <c r="E336" s="426">
        <f>IF('Membership Application List'!J565 = "Food/Litter Donation", 0, IF('Membership Application List'!J565 = "$15 Donation, Discord Verification", IF('Membership Application List'!N565 = TRUE, 15, 0)))</f>
        <v>15</v>
      </c>
      <c r="F336" s="426">
        <f>if('Membership Application List'!K565=TRUE, 5,0)</f>
        <v>0</v>
      </c>
      <c r="G336" s="426">
        <f t="shared" si="8"/>
        <v>15</v>
      </c>
      <c r="H336" s="427" t="str">
        <f>'Membership Application List'!L565</f>
        <v>Paypal</v>
      </c>
      <c r="I336" s="345"/>
      <c r="J336" s="441"/>
      <c r="K336" s="345"/>
      <c r="L336" s="478"/>
      <c r="M336" s="345"/>
      <c r="N336" s="345"/>
      <c r="O336" s="345"/>
      <c r="P336" s="414"/>
      <c r="Q336" s="414"/>
      <c r="R336" s="414"/>
      <c r="S336" s="445"/>
      <c r="T336" s="445"/>
      <c r="U336" s="445"/>
      <c r="V336" s="345"/>
      <c r="W336" s="441"/>
      <c r="X336" s="345"/>
      <c r="Y336" s="345"/>
      <c r="Z336" s="345"/>
      <c r="AA336" s="345"/>
      <c r="AB336" s="345"/>
      <c r="AC336" s="345"/>
      <c r="AD336" s="345"/>
      <c r="AE336" s="345"/>
      <c r="AF336" s="345"/>
      <c r="AG336" s="345"/>
      <c r="AH336" s="345"/>
      <c r="AI336" s="345"/>
      <c r="AJ336" s="345"/>
      <c r="AK336" s="345"/>
      <c r="AL336" s="345"/>
      <c r="AM336" s="345"/>
      <c r="AN336" s="345"/>
      <c r="AO336" s="345"/>
      <c r="AP336" s="345"/>
      <c r="AQ336" s="345"/>
      <c r="AR336" s="345"/>
      <c r="AS336" s="345"/>
    </row>
    <row r="337" ht="13.5" customHeight="1">
      <c r="A337" s="436">
        <f>'Membership Application List'!A566</f>
        <v>45908.84433</v>
      </c>
      <c r="B337" s="437" t="str">
        <f t="shared" si="6"/>
        <v>September</v>
      </c>
      <c r="C337" s="437">
        <f t="shared" si="7"/>
        <v>2025</v>
      </c>
      <c r="D337" s="438" t="str">
        <f>'Membership Application List'!E566</f>
        <v>Julia Magaña</v>
      </c>
      <c r="E337" s="438">
        <f>IF('Membership Application List'!J566 = "Food/Litter Donation", 0, IF('Membership Application List'!J566 = "$15 Donation, Discord Verification", IF('Membership Application List'!N566 = TRUE, 15, 0)))</f>
        <v>15</v>
      </c>
      <c r="F337" s="438">
        <f>if('Membership Application List'!K566=TRUE, 5,0)</f>
        <v>0</v>
      </c>
      <c r="G337" s="438">
        <f t="shared" si="8"/>
        <v>15</v>
      </c>
      <c r="H337" s="439" t="str">
        <f>'Membership Application List'!L566</f>
        <v>Cashapp</v>
      </c>
      <c r="I337" s="345"/>
      <c r="J337" s="441"/>
      <c r="K337" s="345"/>
      <c r="L337" s="478"/>
      <c r="M337" s="345"/>
      <c r="N337" s="345"/>
      <c r="O337" s="345"/>
      <c r="P337" s="414"/>
      <c r="Q337" s="414"/>
      <c r="R337" s="414"/>
      <c r="S337" s="445"/>
      <c r="T337" s="445"/>
      <c r="U337" s="445"/>
      <c r="V337" s="345"/>
      <c r="W337" s="441"/>
      <c r="X337" s="345"/>
      <c r="Y337" s="345"/>
      <c r="Z337" s="345"/>
      <c r="AA337" s="345"/>
      <c r="AB337" s="345"/>
      <c r="AC337" s="345"/>
      <c r="AD337" s="345"/>
      <c r="AE337" s="345"/>
      <c r="AF337" s="345"/>
      <c r="AG337" s="345"/>
      <c r="AH337" s="345"/>
      <c r="AI337" s="345"/>
      <c r="AJ337" s="345"/>
      <c r="AK337" s="345"/>
      <c r="AL337" s="345"/>
      <c r="AM337" s="345"/>
      <c r="AN337" s="345"/>
      <c r="AO337" s="345"/>
      <c r="AP337" s="345"/>
      <c r="AQ337" s="345"/>
      <c r="AR337" s="345"/>
      <c r="AS337" s="345"/>
    </row>
    <row r="338" ht="13.5" customHeight="1">
      <c r="A338" s="424">
        <f>'Membership Application List'!A567</f>
        <v>45910.47</v>
      </c>
      <c r="B338" s="443" t="str">
        <f t="shared" si="6"/>
        <v>September</v>
      </c>
      <c r="C338" s="443">
        <f t="shared" si="7"/>
        <v>2025</v>
      </c>
      <c r="D338" s="426" t="str">
        <f>'Membership Application List'!E567</f>
        <v>Xander Bluett Chaudhry </v>
      </c>
      <c r="E338" s="426">
        <f>IF('Membership Application List'!J567 = "Food/Litter Donation", 0, IF('Membership Application List'!J567 = "$15 Donation, Discord Verification", IF('Membership Application List'!N567 = TRUE, 15, 0)))</f>
        <v>15</v>
      </c>
      <c r="F338" s="426">
        <f>if('Membership Application List'!K567=TRUE, 5,0)</f>
        <v>0</v>
      </c>
      <c r="G338" s="426">
        <f t="shared" si="8"/>
        <v>15</v>
      </c>
      <c r="H338" s="427" t="str">
        <f>'Membership Application List'!L567</f>
        <v>Cash</v>
      </c>
      <c r="I338" s="345"/>
      <c r="J338" s="441"/>
      <c r="K338" s="345"/>
      <c r="L338" s="478"/>
      <c r="M338" s="345"/>
      <c r="N338" s="345"/>
      <c r="O338" s="345"/>
      <c r="P338" s="414"/>
      <c r="Q338" s="414"/>
      <c r="R338" s="414"/>
      <c r="S338" s="445"/>
      <c r="T338" s="445"/>
      <c r="U338" s="445"/>
      <c r="V338" s="345"/>
      <c r="W338" s="441"/>
      <c r="X338" s="345"/>
      <c r="Y338" s="345"/>
      <c r="Z338" s="345"/>
      <c r="AA338" s="345"/>
      <c r="AB338" s="345"/>
      <c r="AC338" s="345"/>
      <c r="AD338" s="345"/>
      <c r="AE338" s="345"/>
      <c r="AF338" s="345"/>
      <c r="AG338" s="345"/>
      <c r="AH338" s="345"/>
      <c r="AI338" s="345"/>
      <c r="AJ338" s="345"/>
      <c r="AK338" s="345"/>
      <c r="AL338" s="345"/>
      <c r="AM338" s="345"/>
      <c r="AN338" s="345"/>
      <c r="AO338" s="345"/>
      <c r="AP338" s="345"/>
      <c r="AQ338" s="345"/>
      <c r="AR338" s="345"/>
      <c r="AS338" s="345"/>
    </row>
    <row r="339" ht="13.5" customHeight="1">
      <c r="A339" s="436">
        <f>'Membership Application List'!A568</f>
        <v>45910.47052</v>
      </c>
      <c r="B339" s="437" t="str">
        <f t="shared" si="6"/>
        <v>September</v>
      </c>
      <c r="C339" s="437">
        <f t="shared" si="7"/>
        <v>2025</v>
      </c>
      <c r="D339" s="438" t="str">
        <f>'Membership Application List'!E568</f>
        <v>Mario Rodriguez </v>
      </c>
      <c r="E339" s="438">
        <f>IF('Membership Application List'!J568 = "Food/Litter Donation", 0, IF('Membership Application List'!J568 = "$15 Donation, Discord Verification", IF('Membership Application List'!N568 = TRUE, 15, 0)))</f>
        <v>15</v>
      </c>
      <c r="F339" s="438">
        <f>if('Membership Application List'!K568=TRUE, 5,0)</f>
        <v>0</v>
      </c>
      <c r="G339" s="438">
        <f t="shared" si="8"/>
        <v>15</v>
      </c>
      <c r="H339" s="439" t="str">
        <f>'Membership Application List'!L568</f>
        <v>Cashapp</v>
      </c>
      <c r="I339" s="345"/>
      <c r="J339" s="441"/>
      <c r="K339" s="345"/>
      <c r="L339" s="478"/>
      <c r="M339" s="345"/>
      <c r="N339" s="345"/>
      <c r="O339" s="345"/>
      <c r="P339" s="414"/>
      <c r="Q339" s="414"/>
      <c r="R339" s="414"/>
      <c r="S339" s="445"/>
      <c r="T339" s="445"/>
      <c r="U339" s="445"/>
      <c r="V339" s="345"/>
      <c r="W339" s="441"/>
      <c r="X339" s="345"/>
      <c r="Y339" s="345"/>
      <c r="Z339" s="345"/>
      <c r="AA339" s="345"/>
      <c r="AB339" s="345"/>
      <c r="AC339" s="345"/>
      <c r="AD339" s="345"/>
      <c r="AE339" s="345"/>
      <c r="AF339" s="345"/>
      <c r="AG339" s="345"/>
      <c r="AH339" s="345"/>
      <c r="AI339" s="345"/>
      <c r="AJ339" s="345"/>
      <c r="AK339" s="345"/>
      <c r="AL339" s="345"/>
      <c r="AM339" s="345"/>
      <c r="AN339" s="345"/>
      <c r="AO339" s="345"/>
      <c r="AP339" s="345"/>
      <c r="AQ339" s="345"/>
      <c r="AR339" s="345"/>
      <c r="AS339" s="345"/>
    </row>
    <row r="340" ht="13.5" customHeight="1">
      <c r="A340" s="424">
        <f>'Membership Application List'!A569</f>
        <v>45910.47088</v>
      </c>
      <c r="B340" s="443" t="str">
        <f t="shared" si="6"/>
        <v>September</v>
      </c>
      <c r="C340" s="443">
        <f t="shared" si="7"/>
        <v>2025</v>
      </c>
      <c r="D340" s="426" t="str">
        <f>'Membership Application List'!E569</f>
        <v>Loren Mediana</v>
      </c>
      <c r="E340" s="426">
        <f>IF('Membership Application List'!J569 = "Food/Litter Donation", 0, IF('Membership Application List'!J569 = "$15 Donation, Discord Verification", IF('Membership Application List'!N569 = TRUE, 15, 0)))</f>
        <v>15</v>
      </c>
      <c r="F340" s="426">
        <f>if('Membership Application List'!K569=TRUE, 5,0)</f>
        <v>0</v>
      </c>
      <c r="G340" s="426">
        <f t="shared" si="8"/>
        <v>15</v>
      </c>
      <c r="H340" s="427" t="str">
        <f>'Membership Application List'!L569</f>
        <v>Paypal</v>
      </c>
      <c r="I340" s="345"/>
      <c r="J340" s="441"/>
      <c r="K340" s="345"/>
      <c r="L340" s="478"/>
      <c r="M340" s="345"/>
      <c r="N340" s="345"/>
      <c r="O340" s="345"/>
      <c r="P340" s="414"/>
      <c r="Q340" s="414"/>
      <c r="R340" s="414"/>
      <c r="S340" s="445"/>
      <c r="T340" s="445"/>
      <c r="U340" s="445"/>
      <c r="V340" s="345"/>
      <c r="W340" s="441"/>
      <c r="X340" s="345"/>
      <c r="Y340" s="345"/>
      <c r="Z340" s="345"/>
      <c r="AA340" s="345"/>
      <c r="AB340" s="345"/>
      <c r="AC340" s="345"/>
      <c r="AD340" s="345"/>
      <c r="AE340" s="345"/>
      <c r="AF340" s="345"/>
      <c r="AG340" s="345"/>
      <c r="AH340" s="345"/>
      <c r="AI340" s="345"/>
      <c r="AJ340" s="345"/>
      <c r="AK340" s="345"/>
      <c r="AL340" s="345"/>
      <c r="AM340" s="345"/>
      <c r="AN340" s="345"/>
      <c r="AO340" s="345"/>
      <c r="AP340" s="345"/>
      <c r="AQ340" s="345"/>
      <c r="AR340" s="345"/>
      <c r="AS340" s="345"/>
    </row>
    <row r="341" ht="13.5" customHeight="1">
      <c r="A341" s="436">
        <f>'Membership Application List'!A570</f>
        <v>45910.47144</v>
      </c>
      <c r="B341" s="437" t="str">
        <f t="shared" si="6"/>
        <v>September</v>
      </c>
      <c r="C341" s="437">
        <f t="shared" si="7"/>
        <v>2025</v>
      </c>
      <c r="D341" s="438" t="str">
        <f>'Membership Application List'!E570</f>
        <v>Benjamin Tucker</v>
      </c>
      <c r="E341" s="438">
        <f>IF('Membership Application List'!J570 = "Food/Litter Donation", 0, IF('Membership Application List'!J570 = "$15 Donation, Discord Verification", IF('Membership Application List'!N570 = TRUE, 15, 0)))</f>
        <v>0</v>
      </c>
      <c r="F341" s="438">
        <f>if('Membership Application List'!K570=TRUE, 5,0)</f>
        <v>0</v>
      </c>
      <c r="G341" s="438">
        <f t="shared" si="8"/>
        <v>0</v>
      </c>
      <c r="H341" s="439" t="str">
        <f>'Membership Application List'!L570</f>
        <v/>
      </c>
      <c r="I341" s="345"/>
      <c r="J341" s="441"/>
      <c r="K341" s="345"/>
      <c r="L341" s="478"/>
      <c r="M341" s="345"/>
      <c r="N341" s="345"/>
      <c r="O341" s="345"/>
      <c r="P341" s="414"/>
      <c r="Q341" s="414"/>
      <c r="R341" s="414"/>
      <c r="S341" s="445"/>
      <c r="T341" s="445"/>
      <c r="U341" s="445"/>
      <c r="V341" s="345"/>
      <c r="W341" s="441"/>
      <c r="X341" s="345"/>
      <c r="Y341" s="345"/>
      <c r="Z341" s="345"/>
      <c r="AA341" s="345"/>
      <c r="AB341" s="345"/>
      <c r="AC341" s="345"/>
      <c r="AD341" s="345"/>
      <c r="AE341" s="345"/>
      <c r="AF341" s="345"/>
      <c r="AG341" s="345"/>
      <c r="AH341" s="345"/>
      <c r="AI341" s="345"/>
      <c r="AJ341" s="345"/>
      <c r="AK341" s="345"/>
      <c r="AL341" s="345"/>
      <c r="AM341" s="345"/>
      <c r="AN341" s="345"/>
      <c r="AO341" s="345"/>
      <c r="AP341" s="345"/>
      <c r="AQ341" s="345"/>
      <c r="AR341" s="345"/>
      <c r="AS341" s="345"/>
    </row>
    <row r="342" ht="13.5" customHeight="1">
      <c r="A342" s="424">
        <f>'Membership Application List'!A571</f>
        <v>45910.47155</v>
      </c>
      <c r="B342" s="443" t="str">
        <f t="shared" si="6"/>
        <v>September</v>
      </c>
      <c r="C342" s="443">
        <f t="shared" si="7"/>
        <v>2025</v>
      </c>
      <c r="D342" s="426" t="str">
        <f>'Membership Application List'!E571</f>
        <v>Miranda Lee</v>
      </c>
      <c r="E342" s="426">
        <f>IF('Membership Application List'!J571 = "Food/Litter Donation", 0, IF('Membership Application List'!J571 = "$15 Donation, Discord Verification", IF('Membership Application List'!N571 = TRUE, 15, 0)))</f>
        <v>0</v>
      </c>
      <c r="F342" s="426">
        <f>if('Membership Application List'!K571=TRUE, 5,0)</f>
        <v>0</v>
      </c>
      <c r="G342" s="426">
        <f t="shared" si="8"/>
        <v>0</v>
      </c>
      <c r="H342" s="427" t="str">
        <f>'Membership Application List'!L571</f>
        <v/>
      </c>
      <c r="I342" s="345"/>
      <c r="J342" s="441"/>
      <c r="K342" s="345"/>
      <c r="L342" s="478"/>
      <c r="M342" s="345"/>
      <c r="N342" s="345"/>
      <c r="O342" s="345"/>
      <c r="P342" s="414"/>
      <c r="Q342" s="414"/>
      <c r="R342" s="414"/>
      <c r="S342" s="445"/>
      <c r="T342" s="445"/>
      <c r="U342" s="445"/>
      <c r="V342" s="345"/>
      <c r="W342" s="441"/>
      <c r="X342" s="345"/>
      <c r="Y342" s="345"/>
      <c r="Z342" s="345"/>
      <c r="AA342" s="345"/>
      <c r="AB342" s="345"/>
      <c r="AC342" s="345"/>
      <c r="AD342" s="345"/>
      <c r="AE342" s="345"/>
      <c r="AF342" s="345"/>
      <c r="AG342" s="345"/>
      <c r="AH342" s="345"/>
      <c r="AI342" s="345"/>
      <c r="AJ342" s="345"/>
      <c r="AK342" s="345"/>
      <c r="AL342" s="345"/>
      <c r="AM342" s="345"/>
      <c r="AN342" s="345"/>
      <c r="AO342" s="345"/>
      <c r="AP342" s="345"/>
      <c r="AQ342" s="345"/>
      <c r="AR342" s="345"/>
      <c r="AS342" s="345"/>
    </row>
    <row r="343" ht="13.5" customHeight="1">
      <c r="A343" s="436">
        <f>'Membership Application List'!A572</f>
        <v>45910.47718</v>
      </c>
      <c r="B343" s="437" t="str">
        <f t="shared" si="6"/>
        <v>September</v>
      </c>
      <c r="C343" s="437">
        <f t="shared" si="7"/>
        <v>2025</v>
      </c>
      <c r="D343" s="438" t="str">
        <f>'Membership Application List'!E572</f>
        <v>Marco Paessler</v>
      </c>
      <c r="E343" s="438">
        <f>IF('Membership Application List'!J572 = "Food/Litter Donation", 0, IF('Membership Application List'!J572 = "$15 Donation, Discord Verification", IF('Membership Application List'!N572 = TRUE, 15, 0)))</f>
        <v>15</v>
      </c>
      <c r="F343" s="438">
        <f>if('Membership Application List'!K572=TRUE, 5,0)</f>
        <v>0</v>
      </c>
      <c r="G343" s="438">
        <f t="shared" si="8"/>
        <v>15</v>
      </c>
      <c r="H343" s="439" t="str">
        <f>'Membership Application List'!L572</f>
        <v>Cash</v>
      </c>
      <c r="I343" s="345"/>
      <c r="J343" s="441"/>
      <c r="K343" s="345"/>
      <c r="L343" s="478"/>
      <c r="M343" s="345"/>
      <c r="N343" s="345"/>
      <c r="O343" s="345"/>
      <c r="P343" s="414"/>
      <c r="Q343" s="414"/>
      <c r="R343" s="414"/>
      <c r="S343" s="445"/>
      <c r="T343" s="445"/>
      <c r="U343" s="445"/>
      <c r="V343" s="345"/>
      <c r="W343" s="441"/>
      <c r="X343" s="345"/>
      <c r="Y343" s="345"/>
      <c r="Z343" s="345"/>
      <c r="AA343" s="345"/>
      <c r="AB343" s="345"/>
      <c r="AC343" s="345"/>
      <c r="AD343" s="345"/>
      <c r="AE343" s="345"/>
      <c r="AF343" s="345"/>
      <c r="AG343" s="345"/>
      <c r="AH343" s="345"/>
      <c r="AI343" s="345"/>
      <c r="AJ343" s="345"/>
      <c r="AK343" s="345"/>
      <c r="AL343" s="345"/>
      <c r="AM343" s="345"/>
      <c r="AN343" s="345"/>
      <c r="AO343" s="345"/>
      <c r="AP343" s="345"/>
      <c r="AQ343" s="345"/>
      <c r="AR343" s="345"/>
      <c r="AS343" s="345"/>
    </row>
    <row r="344" ht="13.5" customHeight="1">
      <c r="A344" s="424">
        <f>'Membership Application List'!A573</f>
        <v>45910.47757</v>
      </c>
      <c r="B344" s="443" t="str">
        <f t="shared" si="6"/>
        <v>September</v>
      </c>
      <c r="C344" s="443">
        <f t="shared" si="7"/>
        <v>2025</v>
      </c>
      <c r="D344" s="426" t="str">
        <f>'Membership Application List'!E573</f>
        <v>Nicholas Ho</v>
      </c>
      <c r="E344" s="426">
        <f>IF('Membership Application List'!J573 = "Food/Litter Donation", 0, IF('Membership Application List'!J573 = "$15 Donation, Discord Verification", IF('Membership Application List'!N573 = TRUE, 15, 0)))</f>
        <v>0</v>
      </c>
      <c r="F344" s="426">
        <f>if('Membership Application List'!K573=TRUE, 5,0)</f>
        <v>0</v>
      </c>
      <c r="G344" s="426">
        <f t="shared" si="8"/>
        <v>0</v>
      </c>
      <c r="H344" s="427" t="str">
        <f>'Membership Application List'!L573</f>
        <v>Cash</v>
      </c>
      <c r="I344" s="345"/>
      <c r="J344" s="441"/>
      <c r="K344" s="345"/>
      <c r="L344" s="478"/>
      <c r="M344" s="345"/>
      <c r="N344" s="345"/>
      <c r="O344" s="345"/>
      <c r="P344" s="414"/>
      <c r="Q344" s="414"/>
      <c r="R344" s="414"/>
      <c r="S344" s="445"/>
      <c r="T344" s="445"/>
      <c r="U344" s="445"/>
      <c r="V344" s="345"/>
      <c r="W344" s="441"/>
      <c r="X344" s="345"/>
      <c r="Y344" s="345"/>
      <c r="Z344" s="345"/>
      <c r="AA344" s="345"/>
      <c r="AB344" s="345"/>
      <c r="AC344" s="345"/>
      <c r="AD344" s="345"/>
      <c r="AE344" s="345"/>
      <c r="AF344" s="345"/>
      <c r="AG344" s="345"/>
      <c r="AH344" s="345"/>
      <c r="AI344" s="345"/>
      <c r="AJ344" s="345"/>
      <c r="AK344" s="345"/>
      <c r="AL344" s="345"/>
      <c r="AM344" s="345"/>
      <c r="AN344" s="345"/>
      <c r="AO344" s="345"/>
      <c r="AP344" s="345"/>
      <c r="AQ344" s="345"/>
      <c r="AR344" s="345"/>
      <c r="AS344" s="345"/>
    </row>
    <row r="345" ht="13.5" customHeight="1">
      <c r="A345" s="436">
        <f>'Membership Application List'!A574</f>
        <v>45910.4797</v>
      </c>
      <c r="B345" s="437" t="str">
        <f t="shared" si="6"/>
        <v>September</v>
      </c>
      <c r="C345" s="437">
        <f t="shared" si="7"/>
        <v>2025</v>
      </c>
      <c r="D345" s="438" t="str">
        <f>'Membership Application List'!E574</f>
        <v>Brooke Bailey</v>
      </c>
      <c r="E345" s="438">
        <f>IF('Membership Application List'!J574 = "Food/Litter Donation", 0, IF('Membership Application List'!J574 = "$15 Donation, Discord Verification", IF('Membership Application List'!N574 = TRUE, 15, 0)))</f>
        <v>0</v>
      </c>
      <c r="F345" s="438">
        <f>if('Membership Application List'!K574=TRUE, 5,0)</f>
        <v>0</v>
      </c>
      <c r="G345" s="438">
        <f t="shared" si="8"/>
        <v>0</v>
      </c>
      <c r="H345" s="439" t="str">
        <f>'Membership Application List'!L574</f>
        <v>Venmo</v>
      </c>
      <c r="I345" s="345"/>
      <c r="J345" s="441"/>
      <c r="K345" s="345"/>
      <c r="L345" s="478"/>
      <c r="M345" s="345"/>
      <c r="N345" s="345"/>
      <c r="O345" s="345"/>
      <c r="P345" s="414"/>
      <c r="Q345" s="414"/>
      <c r="R345" s="414"/>
      <c r="S345" s="445"/>
      <c r="T345" s="445"/>
      <c r="U345" s="445"/>
      <c r="V345" s="345"/>
      <c r="W345" s="441"/>
      <c r="X345" s="345"/>
      <c r="Y345" s="345"/>
      <c r="Z345" s="345"/>
      <c r="AA345" s="345"/>
      <c r="AB345" s="345"/>
      <c r="AC345" s="345"/>
      <c r="AD345" s="345"/>
      <c r="AE345" s="345"/>
      <c r="AF345" s="345"/>
      <c r="AG345" s="345"/>
      <c r="AH345" s="345"/>
      <c r="AI345" s="345"/>
      <c r="AJ345" s="345"/>
      <c r="AK345" s="345"/>
      <c r="AL345" s="345"/>
      <c r="AM345" s="345"/>
      <c r="AN345" s="345"/>
      <c r="AO345" s="345"/>
      <c r="AP345" s="345"/>
      <c r="AQ345" s="345"/>
      <c r="AR345" s="345"/>
      <c r="AS345" s="345"/>
    </row>
    <row r="346" ht="13.5" customHeight="1">
      <c r="A346" s="424">
        <f>'Membership Application List'!A575</f>
        <v>45910.58875</v>
      </c>
      <c r="B346" s="443" t="str">
        <f t="shared" si="6"/>
        <v>September</v>
      </c>
      <c r="C346" s="443">
        <f t="shared" si="7"/>
        <v>2025</v>
      </c>
      <c r="D346" s="426" t="str">
        <f>'Membership Application List'!E575</f>
        <v>Jordan Hardin</v>
      </c>
      <c r="E346" s="426">
        <f>IF('Membership Application List'!J575 = "Food/Litter Donation", 0, IF('Membership Application List'!J575 = "$15 Donation, Discord Verification", IF('Membership Application List'!N575 = TRUE, 15, 0)))</f>
        <v>0</v>
      </c>
      <c r="F346" s="426">
        <f>if('Membership Application List'!K575=TRUE, 5,0)</f>
        <v>0</v>
      </c>
      <c r="G346" s="426">
        <f t="shared" si="8"/>
        <v>0</v>
      </c>
      <c r="H346" s="427" t="str">
        <f>'Membership Application List'!L575</f>
        <v/>
      </c>
      <c r="I346" s="345"/>
      <c r="J346" s="441"/>
      <c r="K346" s="345"/>
      <c r="L346" s="478"/>
      <c r="M346" s="345"/>
      <c r="N346" s="345"/>
      <c r="O346" s="345"/>
      <c r="P346" s="414"/>
      <c r="Q346" s="414"/>
      <c r="R346" s="414"/>
      <c r="S346" s="445"/>
      <c r="T346" s="445"/>
      <c r="U346" s="445"/>
      <c r="V346" s="345"/>
      <c r="W346" s="441"/>
      <c r="X346" s="345"/>
      <c r="Y346" s="345"/>
      <c r="Z346" s="345"/>
      <c r="AA346" s="345"/>
      <c r="AB346" s="345"/>
      <c r="AC346" s="345"/>
      <c r="AD346" s="345"/>
      <c r="AE346" s="345"/>
      <c r="AF346" s="345"/>
      <c r="AG346" s="345"/>
      <c r="AH346" s="345"/>
      <c r="AI346" s="345"/>
      <c r="AJ346" s="345"/>
      <c r="AK346" s="345"/>
      <c r="AL346" s="345"/>
      <c r="AM346" s="345"/>
      <c r="AN346" s="345"/>
      <c r="AO346" s="345"/>
      <c r="AP346" s="345"/>
      <c r="AQ346" s="345"/>
      <c r="AR346" s="345"/>
      <c r="AS346" s="345"/>
    </row>
    <row r="347" ht="13.5" customHeight="1">
      <c r="A347" s="436">
        <f>'Membership Application List'!A576</f>
        <v>45910.73353</v>
      </c>
      <c r="B347" s="437" t="str">
        <f t="shared" si="6"/>
        <v>September</v>
      </c>
      <c r="C347" s="437">
        <f t="shared" si="7"/>
        <v>2025</v>
      </c>
      <c r="D347" s="438" t="str">
        <f>'Membership Application List'!E576</f>
        <v>Olivia Gunstream </v>
      </c>
      <c r="E347" s="438">
        <f>IF('Membership Application List'!J576 = "Food/Litter Donation", 0, IF('Membership Application List'!J576 = "$15 Donation, Discord Verification", IF('Membership Application List'!N576 = TRUE, 15, 0)))</f>
        <v>15</v>
      </c>
      <c r="F347" s="438">
        <f>if('Membership Application List'!K576=TRUE, 5,0)</f>
        <v>0</v>
      </c>
      <c r="G347" s="438">
        <f t="shared" si="8"/>
        <v>15</v>
      </c>
      <c r="H347" s="439" t="str">
        <f>'Membership Application List'!L576</f>
        <v>Cash</v>
      </c>
      <c r="I347" s="345"/>
      <c r="J347" s="441"/>
      <c r="K347" s="345"/>
      <c r="L347" s="478"/>
      <c r="M347" s="345"/>
      <c r="N347" s="345"/>
      <c r="O347" s="345"/>
      <c r="P347" s="414"/>
      <c r="Q347" s="414"/>
      <c r="R347" s="414"/>
      <c r="S347" s="445"/>
      <c r="T347" s="445"/>
      <c r="U347" s="445"/>
      <c r="V347" s="345"/>
      <c r="W347" s="441"/>
      <c r="X347" s="345"/>
      <c r="Y347" s="345"/>
      <c r="Z347" s="345"/>
      <c r="AA347" s="345"/>
      <c r="AB347" s="345"/>
      <c r="AC347" s="345"/>
      <c r="AD347" s="345"/>
      <c r="AE347" s="345"/>
      <c r="AF347" s="345"/>
      <c r="AG347" s="345"/>
      <c r="AH347" s="345"/>
      <c r="AI347" s="345"/>
      <c r="AJ347" s="345"/>
      <c r="AK347" s="345"/>
      <c r="AL347" s="345"/>
      <c r="AM347" s="345"/>
      <c r="AN347" s="345"/>
      <c r="AO347" s="345"/>
      <c r="AP347" s="345"/>
      <c r="AQ347" s="345"/>
      <c r="AR347" s="345"/>
      <c r="AS347" s="345"/>
    </row>
    <row r="348" ht="13.5" customHeight="1">
      <c r="A348" s="424">
        <f>'Membership Application List'!A577</f>
        <v>45911.73289</v>
      </c>
      <c r="B348" s="443" t="str">
        <f t="shared" si="6"/>
        <v>September</v>
      </c>
      <c r="C348" s="443">
        <f t="shared" si="7"/>
        <v>2025</v>
      </c>
      <c r="D348" s="426" t="str">
        <f>'Membership Application List'!E577</f>
        <v>Axel Torres</v>
      </c>
      <c r="E348" s="426">
        <f>IF('Membership Application List'!J577 = "Food/Litter Donation", 0, IF('Membership Application List'!J577 = "$15 Donation, Discord Verification", IF('Membership Application List'!N577 = TRUE, 15, 0)))</f>
        <v>15</v>
      </c>
      <c r="F348" s="426">
        <f>if('Membership Application List'!K577=TRUE, 5,0)</f>
        <v>0</v>
      </c>
      <c r="G348" s="426">
        <f t="shared" si="8"/>
        <v>15</v>
      </c>
      <c r="H348" s="427" t="str">
        <f>'Membership Application List'!L577</f>
        <v>Paypal</v>
      </c>
      <c r="I348" s="345"/>
      <c r="J348" s="441"/>
      <c r="K348" s="345"/>
      <c r="L348" s="478"/>
      <c r="M348" s="345"/>
      <c r="N348" s="345"/>
      <c r="O348" s="345"/>
      <c r="P348" s="414"/>
      <c r="Q348" s="414"/>
      <c r="R348" s="414"/>
      <c r="S348" s="445"/>
      <c r="T348" s="445"/>
      <c r="U348" s="445"/>
      <c r="V348" s="345"/>
      <c r="W348" s="441"/>
      <c r="X348" s="345"/>
      <c r="Y348" s="345"/>
      <c r="Z348" s="345"/>
      <c r="AA348" s="345"/>
      <c r="AB348" s="345"/>
      <c r="AC348" s="345"/>
      <c r="AD348" s="345"/>
      <c r="AE348" s="345"/>
      <c r="AF348" s="345"/>
      <c r="AG348" s="345"/>
      <c r="AH348" s="345"/>
      <c r="AI348" s="345"/>
      <c r="AJ348" s="345"/>
      <c r="AK348" s="345"/>
      <c r="AL348" s="345"/>
      <c r="AM348" s="345"/>
      <c r="AN348" s="345"/>
      <c r="AO348" s="345"/>
      <c r="AP348" s="345"/>
      <c r="AQ348" s="345"/>
      <c r="AR348" s="345"/>
      <c r="AS348" s="345"/>
    </row>
    <row r="349" ht="13.5" customHeight="1">
      <c r="A349" s="436">
        <f>'Membership Application List'!A578</f>
        <v>45911.75766</v>
      </c>
      <c r="B349" s="437" t="str">
        <f t="shared" si="6"/>
        <v>September</v>
      </c>
      <c r="C349" s="437">
        <f t="shared" si="7"/>
        <v>2025</v>
      </c>
      <c r="D349" s="438" t="str">
        <f>'Membership Application List'!E578</f>
        <v>Thorin Ong</v>
      </c>
      <c r="E349" s="438">
        <f>IF('Membership Application List'!J578 = "Food/Litter Donation", 0, IF('Membership Application List'!J578 = "$15 Donation, Discord Verification", IF('Membership Application List'!N578 = TRUE, 15, 0)))</f>
        <v>15</v>
      </c>
      <c r="F349" s="438">
        <f>if('Membership Application List'!K578=TRUE, 5,0)</f>
        <v>0</v>
      </c>
      <c r="G349" s="438">
        <f t="shared" si="8"/>
        <v>15</v>
      </c>
      <c r="H349" s="439" t="str">
        <f>'Membership Application List'!L578</f>
        <v>Cash</v>
      </c>
      <c r="I349" s="345"/>
      <c r="J349" s="441"/>
      <c r="K349" s="345"/>
      <c r="L349" s="478"/>
      <c r="M349" s="345"/>
      <c r="N349" s="345"/>
      <c r="O349" s="345"/>
      <c r="P349" s="414"/>
      <c r="Q349" s="414"/>
      <c r="R349" s="414"/>
      <c r="S349" s="445"/>
      <c r="T349" s="445"/>
      <c r="U349" s="445"/>
      <c r="V349" s="345"/>
      <c r="W349" s="441"/>
      <c r="X349" s="345"/>
      <c r="Y349" s="345"/>
      <c r="Z349" s="345"/>
      <c r="AA349" s="345"/>
      <c r="AB349" s="345"/>
      <c r="AC349" s="345"/>
      <c r="AD349" s="345"/>
      <c r="AE349" s="345"/>
      <c r="AF349" s="345"/>
      <c r="AG349" s="345"/>
      <c r="AH349" s="345"/>
      <c r="AI349" s="345"/>
      <c r="AJ349" s="345"/>
      <c r="AK349" s="345"/>
      <c r="AL349" s="345"/>
      <c r="AM349" s="345"/>
      <c r="AN349" s="345"/>
      <c r="AO349" s="345"/>
      <c r="AP349" s="345"/>
      <c r="AQ349" s="345"/>
      <c r="AR349" s="345"/>
      <c r="AS349" s="345"/>
    </row>
    <row r="350" ht="13.5" customHeight="1">
      <c r="A350" s="424">
        <f>'Membership Application List'!A579</f>
        <v>45912.50056</v>
      </c>
      <c r="B350" s="443" t="str">
        <f t="shared" si="6"/>
        <v>September</v>
      </c>
      <c r="C350" s="443">
        <f t="shared" si="7"/>
        <v>2025</v>
      </c>
      <c r="D350" s="426" t="str">
        <f>'Membership Application List'!E579</f>
        <v>Jasmin Martinez</v>
      </c>
      <c r="E350" s="426">
        <f>IF('Membership Application List'!J579 = "Food/Litter Donation", 0, IF('Membership Application List'!J579 = "$15 Donation, Discord Verification", IF('Membership Application List'!N579 = TRUE, 15, 0)))</f>
        <v>15</v>
      </c>
      <c r="F350" s="426">
        <f>if('Membership Application List'!K579=TRUE, 5,0)</f>
        <v>0</v>
      </c>
      <c r="G350" s="426">
        <f t="shared" si="8"/>
        <v>15</v>
      </c>
      <c r="H350" s="427" t="str">
        <f>'Membership Application List'!L579</f>
        <v>Paypal</v>
      </c>
      <c r="I350" s="345"/>
      <c r="J350" s="441"/>
      <c r="K350" s="345"/>
      <c r="L350" s="478"/>
      <c r="M350" s="345"/>
      <c r="N350" s="345"/>
      <c r="O350" s="345"/>
      <c r="P350" s="414"/>
      <c r="Q350" s="414"/>
      <c r="R350" s="414"/>
      <c r="S350" s="445"/>
      <c r="T350" s="445"/>
      <c r="U350" s="445"/>
      <c r="V350" s="345"/>
      <c r="W350" s="441"/>
      <c r="X350" s="345"/>
      <c r="Y350" s="345"/>
      <c r="Z350" s="345"/>
      <c r="AA350" s="345"/>
      <c r="AB350" s="345"/>
      <c r="AC350" s="345"/>
      <c r="AD350" s="345"/>
      <c r="AE350" s="345"/>
      <c r="AF350" s="345"/>
      <c r="AG350" s="345"/>
      <c r="AH350" s="345"/>
      <c r="AI350" s="345"/>
      <c r="AJ350" s="345"/>
      <c r="AK350" s="345"/>
      <c r="AL350" s="345"/>
      <c r="AM350" s="345"/>
      <c r="AN350" s="345"/>
      <c r="AO350" s="345"/>
      <c r="AP350" s="345"/>
      <c r="AQ350" s="345"/>
      <c r="AR350" s="345"/>
      <c r="AS350" s="345"/>
    </row>
    <row r="351" ht="13.5" customHeight="1">
      <c r="A351" s="436">
        <f>'Membership Application List'!A580</f>
        <v>45912.64712</v>
      </c>
      <c r="B351" s="437" t="str">
        <f t="shared" si="6"/>
        <v>September</v>
      </c>
      <c r="C351" s="437">
        <f t="shared" si="7"/>
        <v>2025</v>
      </c>
      <c r="D351" s="438" t="str">
        <f>'Membership Application List'!E580</f>
        <v>Anya Brown</v>
      </c>
      <c r="E351" s="438">
        <f>IF('Membership Application List'!J580 = "Food/Litter Donation", 0, IF('Membership Application List'!J580 = "$15 Donation, Discord Verification", IF('Membership Application List'!N580 = TRUE, 15, 0)))</f>
        <v>0</v>
      </c>
      <c r="F351" s="438">
        <f>if('Membership Application List'!K580=TRUE, 5,0)</f>
        <v>0</v>
      </c>
      <c r="G351" s="438">
        <f t="shared" si="8"/>
        <v>0</v>
      </c>
      <c r="H351" s="439" t="str">
        <f>'Membership Application List'!L580</f>
        <v/>
      </c>
      <c r="I351" s="345"/>
      <c r="J351" s="441"/>
      <c r="K351" s="345"/>
      <c r="L351" s="478"/>
      <c r="M351" s="345"/>
      <c r="N351" s="345"/>
      <c r="O351" s="345"/>
      <c r="P351" s="414"/>
      <c r="Q351" s="414"/>
      <c r="R351" s="414"/>
      <c r="S351" s="445"/>
      <c r="T351" s="445"/>
      <c r="U351" s="445"/>
      <c r="V351" s="345"/>
      <c r="W351" s="441"/>
      <c r="X351" s="345"/>
      <c r="Y351" s="345"/>
      <c r="Z351" s="345"/>
      <c r="AA351" s="345"/>
      <c r="AB351" s="345"/>
      <c r="AC351" s="345"/>
      <c r="AD351" s="345"/>
      <c r="AE351" s="345"/>
      <c r="AF351" s="345"/>
      <c r="AG351" s="345"/>
      <c r="AH351" s="345"/>
      <c r="AI351" s="345"/>
      <c r="AJ351" s="345"/>
      <c r="AK351" s="345"/>
      <c r="AL351" s="345"/>
      <c r="AM351" s="345"/>
      <c r="AN351" s="345"/>
      <c r="AO351" s="345"/>
      <c r="AP351" s="345"/>
      <c r="AQ351" s="345"/>
      <c r="AR351" s="345"/>
      <c r="AS351" s="345"/>
    </row>
    <row r="352" ht="13.5" customHeight="1">
      <c r="A352" s="424">
        <f>'Membership Application List'!A581</f>
        <v>45912.85026</v>
      </c>
      <c r="B352" s="443" t="str">
        <f t="shared" si="6"/>
        <v>September</v>
      </c>
      <c r="C352" s="443">
        <f t="shared" si="7"/>
        <v>2025</v>
      </c>
      <c r="D352" s="426" t="str">
        <f>'Membership Application List'!E581</f>
        <v>Leely Nguyen</v>
      </c>
      <c r="E352" s="426">
        <f>IF('Membership Application List'!J581 = "Food/Litter Donation", 0, IF('Membership Application List'!J581 = "$15 Donation, Discord Verification", IF('Membership Application List'!N581 = TRUE, 15, 0)))</f>
        <v>0</v>
      </c>
      <c r="F352" s="426">
        <f>if('Membership Application List'!K581=TRUE, 5,0)</f>
        <v>0</v>
      </c>
      <c r="G352" s="426">
        <f t="shared" si="8"/>
        <v>0</v>
      </c>
      <c r="H352" s="427" t="str">
        <f>'Membership Application List'!L581</f>
        <v>Cash</v>
      </c>
      <c r="I352" s="345"/>
      <c r="J352" s="441"/>
      <c r="K352" s="345"/>
      <c r="L352" s="478"/>
      <c r="M352" s="345"/>
      <c r="N352" s="345"/>
      <c r="O352" s="345"/>
      <c r="P352" s="414"/>
      <c r="Q352" s="414"/>
      <c r="R352" s="414"/>
      <c r="S352" s="445"/>
      <c r="T352" s="445"/>
      <c r="U352" s="445"/>
      <c r="V352" s="345"/>
      <c r="W352" s="441"/>
      <c r="X352" s="345"/>
      <c r="Y352" s="345"/>
      <c r="Z352" s="345"/>
      <c r="AA352" s="345"/>
      <c r="AB352" s="345"/>
      <c r="AC352" s="345"/>
      <c r="AD352" s="345"/>
      <c r="AE352" s="345"/>
      <c r="AF352" s="345"/>
      <c r="AG352" s="345"/>
      <c r="AH352" s="345"/>
      <c r="AI352" s="345"/>
      <c r="AJ352" s="345"/>
      <c r="AK352" s="345"/>
      <c r="AL352" s="345"/>
      <c r="AM352" s="345"/>
      <c r="AN352" s="345"/>
      <c r="AO352" s="345"/>
      <c r="AP352" s="345"/>
      <c r="AQ352" s="345"/>
      <c r="AR352" s="345"/>
      <c r="AS352" s="345"/>
    </row>
    <row r="353" ht="13.5" customHeight="1">
      <c r="A353" s="436">
        <f>'Membership Application List'!A582</f>
        <v>45914.39255</v>
      </c>
      <c r="B353" s="437" t="str">
        <f t="shared" si="6"/>
        <v>September</v>
      </c>
      <c r="C353" s="437">
        <f t="shared" si="7"/>
        <v>2025</v>
      </c>
      <c r="D353" s="438" t="str">
        <f>'Membership Application List'!E582</f>
        <v>Brigid Whitney </v>
      </c>
      <c r="E353" s="438">
        <f>IF('Membership Application List'!J582 = "Food/Litter Donation", 0, IF('Membership Application List'!J582 = "$15 Donation, Discord Verification", IF('Membership Application List'!N582 = TRUE, 15, 0)))</f>
        <v>15</v>
      </c>
      <c r="F353" s="438">
        <f>if('Membership Application List'!K582=TRUE, 5,0)</f>
        <v>0</v>
      </c>
      <c r="G353" s="438">
        <f t="shared" si="8"/>
        <v>15</v>
      </c>
      <c r="H353" s="439" t="str">
        <f>'Membership Application List'!L582</f>
        <v>Cashapp</v>
      </c>
      <c r="I353" s="345"/>
      <c r="J353" s="441"/>
      <c r="K353" s="345"/>
      <c r="L353" s="478"/>
      <c r="M353" s="345"/>
      <c r="N353" s="345"/>
      <c r="O353" s="345"/>
      <c r="P353" s="414"/>
      <c r="Q353" s="414"/>
      <c r="R353" s="414"/>
      <c r="S353" s="445"/>
      <c r="T353" s="445"/>
      <c r="U353" s="445"/>
      <c r="V353" s="345"/>
      <c r="W353" s="441"/>
      <c r="X353" s="345"/>
      <c r="Y353" s="345"/>
      <c r="Z353" s="345"/>
      <c r="AA353" s="345"/>
      <c r="AB353" s="345"/>
      <c r="AC353" s="345"/>
      <c r="AD353" s="345"/>
      <c r="AE353" s="345"/>
      <c r="AF353" s="345"/>
      <c r="AG353" s="345"/>
      <c r="AH353" s="345"/>
      <c r="AI353" s="345"/>
      <c r="AJ353" s="345"/>
      <c r="AK353" s="345"/>
      <c r="AL353" s="345"/>
      <c r="AM353" s="345"/>
      <c r="AN353" s="345"/>
      <c r="AO353" s="345"/>
      <c r="AP353" s="345"/>
      <c r="AQ353" s="345"/>
      <c r="AR353" s="345"/>
      <c r="AS353" s="345"/>
    </row>
    <row r="354" ht="13.5" customHeight="1">
      <c r="A354" s="424">
        <f>'Membership Application List'!A583</f>
        <v>45914.90084</v>
      </c>
      <c r="B354" s="443" t="str">
        <f t="shared" si="6"/>
        <v>September</v>
      </c>
      <c r="C354" s="443">
        <f t="shared" si="7"/>
        <v>2025</v>
      </c>
      <c r="D354" s="426" t="str">
        <f>'Membership Application List'!E583</f>
        <v>Celeste Smith</v>
      </c>
      <c r="E354" s="426">
        <f>IF('Membership Application List'!J583 = "Food/Litter Donation", 0, IF('Membership Application List'!J583 = "$15 Donation, Discord Verification", IF('Membership Application List'!N583 = TRUE, 15, 0)))</f>
        <v>15</v>
      </c>
      <c r="F354" s="426">
        <f>if('Membership Application List'!K583=TRUE, 5,0)</f>
        <v>0</v>
      </c>
      <c r="G354" s="426">
        <f t="shared" si="8"/>
        <v>15</v>
      </c>
      <c r="H354" s="427" t="str">
        <f>'Membership Application List'!L583</f>
        <v/>
      </c>
      <c r="I354" s="345"/>
      <c r="J354" s="441"/>
      <c r="K354" s="345"/>
      <c r="L354" s="478"/>
      <c r="M354" s="345"/>
      <c r="N354" s="345"/>
      <c r="O354" s="345"/>
      <c r="P354" s="414"/>
      <c r="Q354" s="414"/>
      <c r="R354" s="414"/>
      <c r="S354" s="445"/>
      <c r="T354" s="445"/>
      <c r="U354" s="445"/>
      <c r="V354" s="345"/>
      <c r="W354" s="441"/>
      <c r="X354" s="345"/>
      <c r="Y354" s="345"/>
      <c r="Z354" s="345"/>
      <c r="AA354" s="345"/>
      <c r="AB354" s="345"/>
      <c r="AC354" s="345"/>
      <c r="AD354" s="345"/>
      <c r="AE354" s="345"/>
      <c r="AF354" s="345"/>
      <c r="AG354" s="345"/>
      <c r="AH354" s="345"/>
      <c r="AI354" s="345"/>
      <c r="AJ354" s="345"/>
      <c r="AK354" s="345"/>
      <c r="AL354" s="345"/>
      <c r="AM354" s="345"/>
      <c r="AN354" s="345"/>
      <c r="AO354" s="345"/>
      <c r="AP354" s="345"/>
      <c r="AQ354" s="345"/>
      <c r="AR354" s="345"/>
      <c r="AS354" s="345"/>
    </row>
    <row r="355" ht="13.5" customHeight="1">
      <c r="A355" s="436">
        <f>'Membership Application List'!A584</f>
        <v>45915.02301</v>
      </c>
      <c r="B355" s="437" t="str">
        <f t="shared" si="6"/>
        <v>September</v>
      </c>
      <c r="C355" s="437">
        <f t="shared" si="7"/>
        <v>2025</v>
      </c>
      <c r="D355" s="438" t="str">
        <f>'Membership Application List'!E584</f>
        <v>Danielle Gammill</v>
      </c>
      <c r="E355" s="438">
        <f>IF('Membership Application List'!J584 = "Food/Litter Donation", 0, IF('Membership Application List'!J584 = "$15 Donation, Discord Verification", IF('Membership Application List'!N584 = TRUE, 15, 0)))</f>
        <v>15</v>
      </c>
      <c r="F355" s="438">
        <f>if('Membership Application List'!K584=TRUE, 5,0)</f>
        <v>0</v>
      </c>
      <c r="G355" s="438">
        <f t="shared" si="8"/>
        <v>15</v>
      </c>
      <c r="H355" s="439" t="str">
        <f>'Membership Application List'!L584</f>
        <v>Cashapp</v>
      </c>
      <c r="I355" s="345"/>
      <c r="J355" s="441"/>
      <c r="K355" s="345"/>
      <c r="L355" s="478"/>
      <c r="M355" s="345"/>
      <c r="N355" s="345"/>
      <c r="O355" s="345"/>
      <c r="P355" s="414"/>
      <c r="Q355" s="414"/>
      <c r="R355" s="414"/>
      <c r="S355" s="445"/>
      <c r="T355" s="445"/>
      <c r="U355" s="445"/>
      <c r="V355" s="345"/>
      <c r="W355" s="441"/>
      <c r="X355" s="345"/>
      <c r="Y355" s="345"/>
      <c r="Z355" s="345"/>
      <c r="AA355" s="345"/>
      <c r="AB355" s="345"/>
      <c r="AC355" s="345"/>
      <c r="AD355" s="345"/>
      <c r="AE355" s="345"/>
      <c r="AF355" s="345"/>
      <c r="AG355" s="345"/>
      <c r="AH355" s="345"/>
      <c r="AI355" s="345"/>
      <c r="AJ355" s="345"/>
      <c r="AK355" s="345"/>
      <c r="AL355" s="345"/>
      <c r="AM355" s="345"/>
      <c r="AN355" s="345"/>
      <c r="AO355" s="345"/>
      <c r="AP355" s="345"/>
      <c r="AQ355" s="345"/>
      <c r="AR355" s="345"/>
      <c r="AS355" s="345"/>
    </row>
    <row r="356" ht="13.5" customHeight="1">
      <c r="A356" s="424">
        <f>'Membership Application List'!A585</f>
        <v>45916.50153</v>
      </c>
      <c r="B356" s="443" t="str">
        <f t="shared" si="6"/>
        <v>September</v>
      </c>
      <c r="C356" s="443">
        <f t="shared" si="7"/>
        <v>2025</v>
      </c>
      <c r="D356" s="426" t="str">
        <f>'Membership Application List'!E585</f>
        <v>Nick Hatcher</v>
      </c>
      <c r="E356" s="426">
        <f>IF('Membership Application List'!J585 = "Food/Litter Donation", 0, IF('Membership Application List'!J585 = "$15 Donation, Discord Verification", IF('Membership Application List'!N585 = TRUE, 15, 0)))</f>
        <v>0</v>
      </c>
      <c r="F356" s="426">
        <f>if('Membership Application List'!K585=TRUE, 5,0)</f>
        <v>0</v>
      </c>
      <c r="G356" s="426">
        <f t="shared" si="8"/>
        <v>0</v>
      </c>
      <c r="H356" s="427" t="str">
        <f>'Membership Application List'!L585</f>
        <v/>
      </c>
      <c r="I356" s="345"/>
      <c r="J356" s="441"/>
      <c r="K356" s="345"/>
      <c r="L356" s="478"/>
      <c r="M356" s="345"/>
      <c r="N356" s="345"/>
      <c r="O356" s="345"/>
      <c r="P356" s="414"/>
      <c r="Q356" s="414"/>
      <c r="R356" s="414"/>
      <c r="S356" s="445"/>
      <c r="T356" s="445"/>
      <c r="U356" s="445"/>
      <c r="V356" s="345"/>
      <c r="W356" s="441"/>
      <c r="X356" s="345"/>
      <c r="Y356" s="345"/>
      <c r="Z356" s="345"/>
      <c r="AA356" s="345"/>
      <c r="AB356" s="345"/>
      <c r="AC356" s="345"/>
      <c r="AD356" s="345"/>
      <c r="AE356" s="345"/>
      <c r="AF356" s="345"/>
      <c r="AG356" s="345"/>
      <c r="AH356" s="345"/>
      <c r="AI356" s="345"/>
      <c r="AJ356" s="345"/>
      <c r="AK356" s="345"/>
      <c r="AL356" s="345"/>
      <c r="AM356" s="345"/>
      <c r="AN356" s="345"/>
      <c r="AO356" s="345"/>
      <c r="AP356" s="345"/>
      <c r="AQ356" s="345"/>
      <c r="AR356" s="345"/>
      <c r="AS356" s="345"/>
    </row>
    <row r="357" ht="13.5" customHeight="1">
      <c r="A357" s="436">
        <f>'Membership Application List'!A586</f>
        <v>45918.8478</v>
      </c>
      <c r="B357" s="437" t="str">
        <f t="shared" si="6"/>
        <v>September</v>
      </c>
      <c r="C357" s="437">
        <f t="shared" si="7"/>
        <v>2025</v>
      </c>
      <c r="D357" s="438" t="str">
        <f>'Membership Application List'!E586</f>
        <v>Emma Sampson</v>
      </c>
      <c r="E357" s="438">
        <f>IF('Membership Application List'!J586 = "Food/Litter Donation", 0, IF('Membership Application List'!J586 = "$15 Donation, Discord Verification", IF('Membership Application List'!N586 = TRUE, 15, 0)))</f>
        <v>15</v>
      </c>
      <c r="F357" s="438">
        <f>if('Membership Application List'!K586=TRUE, 5,0)</f>
        <v>0</v>
      </c>
      <c r="G357" s="438">
        <f t="shared" si="8"/>
        <v>15</v>
      </c>
      <c r="H357" s="439" t="str">
        <f>'Membership Application List'!L586</f>
        <v>Cash</v>
      </c>
      <c r="I357" s="345"/>
      <c r="J357" s="441"/>
      <c r="K357" s="345"/>
      <c r="L357" s="478"/>
      <c r="M357" s="345"/>
      <c r="N357" s="345"/>
      <c r="O357" s="345"/>
      <c r="P357" s="414"/>
      <c r="Q357" s="414"/>
      <c r="R357" s="414"/>
      <c r="S357" s="445"/>
      <c r="T357" s="445"/>
      <c r="U357" s="445"/>
      <c r="V357" s="345"/>
      <c r="W357" s="441"/>
      <c r="X357" s="345"/>
      <c r="Y357" s="345"/>
      <c r="Z357" s="345"/>
      <c r="AA357" s="345"/>
      <c r="AB357" s="345"/>
      <c r="AC357" s="345"/>
      <c r="AD357" s="345"/>
      <c r="AE357" s="345"/>
      <c r="AF357" s="345"/>
      <c r="AG357" s="345"/>
      <c r="AH357" s="345"/>
      <c r="AI357" s="345"/>
      <c r="AJ357" s="345"/>
      <c r="AK357" s="345"/>
      <c r="AL357" s="345"/>
      <c r="AM357" s="345"/>
      <c r="AN357" s="345"/>
      <c r="AO357" s="345"/>
      <c r="AP357" s="345"/>
      <c r="AQ357" s="345"/>
      <c r="AR357" s="345"/>
      <c r="AS357" s="345"/>
    </row>
    <row r="358" ht="13.5" customHeight="1">
      <c r="A358" s="424">
        <f>'Membership Application List'!A587</f>
        <v>45919.45824</v>
      </c>
      <c r="B358" s="443" t="str">
        <f t="shared" si="6"/>
        <v>September</v>
      </c>
      <c r="C358" s="443">
        <f t="shared" si="7"/>
        <v>2025</v>
      </c>
      <c r="D358" s="426" t="str">
        <f>'Membership Application List'!E587</f>
        <v>Jayda Green </v>
      </c>
      <c r="E358" s="426">
        <f>IF('Membership Application List'!J587 = "Food/Litter Donation", 0, IF('Membership Application List'!J587 = "$15 Donation, Discord Verification", IF('Membership Application List'!N587 = TRUE, 15, 0)))</f>
        <v>0</v>
      </c>
      <c r="F358" s="426">
        <f>if('Membership Application List'!K587=TRUE, 5,0)</f>
        <v>0</v>
      </c>
      <c r="G358" s="426">
        <f t="shared" si="8"/>
        <v>0</v>
      </c>
      <c r="H358" s="427" t="str">
        <f>'Membership Application List'!L587</f>
        <v/>
      </c>
      <c r="I358" s="345"/>
      <c r="J358" s="441"/>
      <c r="K358" s="345"/>
      <c r="L358" s="478"/>
      <c r="M358" s="345"/>
      <c r="N358" s="345"/>
      <c r="O358" s="345"/>
      <c r="P358" s="414"/>
      <c r="Q358" s="414"/>
      <c r="R358" s="414"/>
      <c r="S358" s="445"/>
      <c r="T358" s="445"/>
      <c r="U358" s="445"/>
      <c r="V358" s="345"/>
      <c r="W358" s="441"/>
      <c r="X358" s="345"/>
      <c r="Y358" s="345"/>
      <c r="Z358" s="345"/>
      <c r="AA358" s="345"/>
      <c r="AB358" s="345"/>
      <c r="AC358" s="345"/>
      <c r="AD358" s="345"/>
      <c r="AE358" s="345"/>
      <c r="AF358" s="345"/>
      <c r="AG358" s="345"/>
      <c r="AH358" s="345"/>
      <c r="AI358" s="345"/>
      <c r="AJ358" s="345"/>
      <c r="AK358" s="345"/>
      <c r="AL358" s="345"/>
      <c r="AM358" s="345"/>
      <c r="AN358" s="345"/>
      <c r="AO358" s="345"/>
      <c r="AP358" s="345"/>
      <c r="AQ358" s="345"/>
      <c r="AR358" s="345"/>
      <c r="AS358" s="345"/>
    </row>
    <row r="359" ht="13.5" customHeight="1">
      <c r="A359" s="436">
        <f>'Membership Application List'!A588</f>
        <v>45920.77481</v>
      </c>
      <c r="B359" s="437" t="str">
        <f t="shared" si="6"/>
        <v>September</v>
      </c>
      <c r="C359" s="437">
        <f t="shared" si="7"/>
        <v>2025</v>
      </c>
      <c r="D359" s="438" t="str">
        <f>'Membership Application List'!E588</f>
        <v>Anabelle romana Garcia </v>
      </c>
      <c r="E359" s="438">
        <f>IF('Membership Application List'!J588 = "Food/Litter Donation", 0, IF('Membership Application List'!J588 = "$15 Donation, Discord Verification", IF('Membership Application List'!N588 = TRUE, 15, 0)))</f>
        <v>15</v>
      </c>
      <c r="F359" s="438">
        <f>if('Membership Application List'!K588=TRUE, 5,0)</f>
        <v>0</v>
      </c>
      <c r="G359" s="438">
        <f t="shared" si="8"/>
        <v>15</v>
      </c>
      <c r="H359" s="439" t="str">
        <f>'Membership Application List'!L588</f>
        <v>Cash</v>
      </c>
      <c r="I359" s="345"/>
      <c r="J359" s="441"/>
      <c r="K359" s="345"/>
      <c r="L359" s="478"/>
      <c r="M359" s="345"/>
      <c r="N359" s="345"/>
      <c r="O359" s="345"/>
      <c r="P359" s="414"/>
      <c r="Q359" s="414"/>
      <c r="R359" s="414"/>
      <c r="S359" s="445"/>
      <c r="T359" s="445"/>
      <c r="U359" s="445"/>
      <c r="V359" s="345"/>
      <c r="W359" s="441"/>
      <c r="X359" s="345"/>
      <c r="Y359" s="345"/>
      <c r="Z359" s="345"/>
      <c r="AA359" s="345"/>
      <c r="AB359" s="345"/>
      <c r="AC359" s="345"/>
      <c r="AD359" s="345"/>
      <c r="AE359" s="345"/>
      <c r="AF359" s="345"/>
      <c r="AG359" s="345"/>
      <c r="AH359" s="345"/>
      <c r="AI359" s="345"/>
      <c r="AJ359" s="345"/>
      <c r="AK359" s="345"/>
      <c r="AL359" s="345"/>
      <c r="AM359" s="345"/>
      <c r="AN359" s="345"/>
      <c r="AO359" s="345"/>
      <c r="AP359" s="345"/>
      <c r="AQ359" s="345"/>
      <c r="AR359" s="345"/>
      <c r="AS359" s="345"/>
    </row>
    <row r="360" ht="13.5" customHeight="1">
      <c r="A360" s="424">
        <f>'Membership Application List'!A589</f>
        <v>45921.46654</v>
      </c>
      <c r="B360" s="443" t="str">
        <f t="shared" si="6"/>
        <v>September</v>
      </c>
      <c r="C360" s="443">
        <f t="shared" si="7"/>
        <v>2025</v>
      </c>
      <c r="D360" s="426" t="str">
        <f>'Membership Application List'!E589</f>
        <v>Micaela Hamilton</v>
      </c>
      <c r="E360" s="426">
        <f>IF('Membership Application List'!J589 = "Food/Litter Donation", 0, IF('Membership Application List'!J589 = "$15 Donation, Discord Verification", IF('Membership Application List'!N589 = TRUE, 15, 0)))</f>
        <v>15</v>
      </c>
      <c r="F360" s="426">
        <f>if('Membership Application List'!K589=TRUE, 5,0)</f>
        <v>0</v>
      </c>
      <c r="G360" s="426">
        <f t="shared" si="8"/>
        <v>15</v>
      </c>
      <c r="H360" s="427" t="str">
        <f>'Membership Application List'!L589</f>
        <v>Cashapp</v>
      </c>
      <c r="I360" s="345"/>
      <c r="J360" s="441"/>
      <c r="K360" s="345"/>
      <c r="L360" s="478"/>
      <c r="M360" s="345"/>
      <c r="N360" s="345"/>
      <c r="O360" s="345"/>
      <c r="P360" s="414"/>
      <c r="Q360" s="414"/>
      <c r="R360" s="414"/>
      <c r="S360" s="445"/>
      <c r="T360" s="445"/>
      <c r="U360" s="445"/>
      <c r="V360" s="345"/>
      <c r="W360" s="441"/>
      <c r="X360" s="345"/>
      <c r="Y360" s="345"/>
      <c r="Z360" s="345"/>
      <c r="AA360" s="345"/>
      <c r="AB360" s="345"/>
      <c r="AC360" s="345"/>
      <c r="AD360" s="345"/>
      <c r="AE360" s="345"/>
      <c r="AF360" s="345"/>
      <c r="AG360" s="345"/>
      <c r="AH360" s="345"/>
      <c r="AI360" s="345"/>
      <c r="AJ360" s="345"/>
      <c r="AK360" s="345"/>
      <c r="AL360" s="345"/>
      <c r="AM360" s="345"/>
      <c r="AN360" s="345"/>
      <c r="AO360" s="345"/>
      <c r="AP360" s="345"/>
      <c r="AQ360" s="345"/>
      <c r="AR360" s="345"/>
      <c r="AS360" s="345"/>
    </row>
    <row r="361" ht="13.5" customHeight="1">
      <c r="A361" s="436" t="str">
        <f>'Membership Application List'!A590</f>
        <v/>
      </c>
      <c r="B361" s="437" t="str">
        <f t="shared" si="6"/>
        <v/>
      </c>
      <c r="C361" s="437" t="str">
        <f t="shared" si="7"/>
        <v/>
      </c>
      <c r="D361" s="438" t="str">
        <f>'Membership Application List'!E590</f>
        <v/>
      </c>
      <c r="E361" s="438" t="b">
        <f>IF('Membership Application List'!J590 = "Food/Litter Donation", 0, IF('Membership Application List'!J590 = "$15 Donation, Discord Verification", IF('Membership Application List'!N590 = TRUE, 15, 0)))</f>
        <v>0</v>
      </c>
      <c r="F361" s="438">
        <f>if('Membership Application List'!K590=TRUE, 5,0)</f>
        <v>0</v>
      </c>
      <c r="G361" s="438">
        <f t="shared" si="8"/>
        <v>0</v>
      </c>
      <c r="H361" s="439" t="str">
        <f>'Membership Application List'!L590</f>
        <v/>
      </c>
      <c r="I361" s="345"/>
      <c r="J361" s="441"/>
      <c r="K361" s="345"/>
      <c r="L361" s="478"/>
      <c r="M361" s="345"/>
      <c r="N361" s="345"/>
      <c r="O361" s="345"/>
      <c r="P361" s="414"/>
      <c r="Q361" s="414"/>
      <c r="R361" s="414"/>
      <c r="S361" s="445"/>
      <c r="T361" s="445"/>
      <c r="U361" s="445"/>
      <c r="V361" s="345"/>
      <c r="W361" s="441"/>
      <c r="X361" s="345"/>
      <c r="Y361" s="345"/>
      <c r="Z361" s="345"/>
      <c r="AA361" s="345"/>
      <c r="AB361" s="345"/>
      <c r="AC361" s="345"/>
      <c r="AD361" s="345"/>
      <c r="AE361" s="345"/>
      <c r="AF361" s="345"/>
      <c r="AG361" s="345"/>
      <c r="AH361" s="345"/>
      <c r="AI361" s="345"/>
      <c r="AJ361" s="345"/>
      <c r="AK361" s="345"/>
      <c r="AL361" s="345"/>
      <c r="AM361" s="345"/>
      <c r="AN361" s="345"/>
      <c r="AO361" s="345"/>
      <c r="AP361" s="345"/>
      <c r="AQ361" s="345"/>
      <c r="AR361" s="345"/>
      <c r="AS361" s="345"/>
    </row>
    <row r="362" ht="13.5" customHeight="1">
      <c r="A362" s="424" t="str">
        <f>'Membership Application List'!A591</f>
        <v/>
      </c>
      <c r="B362" s="443" t="str">
        <f t="shared" si="6"/>
        <v/>
      </c>
      <c r="C362" s="443" t="str">
        <f t="shared" si="7"/>
        <v/>
      </c>
      <c r="D362" s="426" t="str">
        <f>'Membership Application List'!E591</f>
        <v/>
      </c>
      <c r="E362" s="426" t="b">
        <f>IF('Membership Application List'!J591 = "Food/Litter Donation", 0, IF('Membership Application List'!J591 = "$15 Donation, Discord Verification", IF('Membership Application List'!N591 = TRUE, 15, 0)))</f>
        <v>0</v>
      </c>
      <c r="F362" s="426">
        <f>if('Membership Application List'!K591=TRUE, 5,0)</f>
        <v>0</v>
      </c>
      <c r="G362" s="426">
        <f t="shared" si="8"/>
        <v>0</v>
      </c>
      <c r="H362" s="427" t="str">
        <f>'Membership Application List'!L591</f>
        <v/>
      </c>
      <c r="I362" s="345"/>
      <c r="J362" s="441"/>
      <c r="K362" s="345"/>
      <c r="L362" s="478"/>
      <c r="M362" s="345"/>
      <c r="N362" s="345"/>
      <c r="O362" s="345"/>
      <c r="P362" s="414"/>
      <c r="Q362" s="414"/>
      <c r="R362" s="414"/>
      <c r="S362" s="445"/>
      <c r="T362" s="445"/>
      <c r="U362" s="445"/>
      <c r="V362" s="345"/>
      <c r="W362" s="441"/>
      <c r="X362" s="345"/>
      <c r="Y362" s="345"/>
      <c r="Z362" s="345"/>
      <c r="AA362" s="345"/>
      <c r="AB362" s="345"/>
      <c r="AC362" s="345"/>
      <c r="AD362" s="345"/>
      <c r="AE362" s="345"/>
      <c r="AF362" s="345"/>
      <c r="AG362" s="345"/>
      <c r="AH362" s="345"/>
      <c r="AI362" s="345"/>
      <c r="AJ362" s="345"/>
      <c r="AK362" s="345"/>
      <c r="AL362" s="345"/>
      <c r="AM362" s="345"/>
      <c r="AN362" s="345"/>
      <c r="AO362" s="345"/>
      <c r="AP362" s="345"/>
      <c r="AQ362" s="345"/>
      <c r="AR362" s="345"/>
      <c r="AS362" s="345"/>
    </row>
    <row r="363" ht="13.5" customHeight="1">
      <c r="A363" s="436" t="str">
        <f>'Membership Application List'!A592</f>
        <v/>
      </c>
      <c r="B363" s="437" t="str">
        <f t="shared" si="6"/>
        <v/>
      </c>
      <c r="C363" s="437" t="str">
        <f t="shared" si="7"/>
        <v/>
      </c>
      <c r="D363" s="438" t="str">
        <f>'Membership Application List'!E592</f>
        <v/>
      </c>
      <c r="E363" s="438" t="b">
        <f>IF('Membership Application List'!J592 = "Food/Litter Donation", 0, IF('Membership Application List'!J592 = "$15 Donation, Discord Verification", IF('Membership Application List'!N592 = TRUE, 15, 0)))</f>
        <v>0</v>
      </c>
      <c r="F363" s="438">
        <f>if('Membership Application List'!K592=TRUE, 5,0)</f>
        <v>0</v>
      </c>
      <c r="G363" s="438">
        <f t="shared" si="8"/>
        <v>0</v>
      </c>
      <c r="H363" s="439" t="str">
        <f>'Membership Application List'!L592</f>
        <v/>
      </c>
      <c r="I363" s="345"/>
      <c r="J363" s="441"/>
      <c r="K363" s="345"/>
      <c r="L363" s="478"/>
      <c r="M363" s="345"/>
      <c r="N363" s="345"/>
      <c r="O363" s="345"/>
      <c r="P363" s="414"/>
      <c r="Q363" s="414"/>
      <c r="R363" s="414"/>
      <c r="S363" s="445"/>
      <c r="T363" s="445"/>
      <c r="U363" s="445"/>
      <c r="V363" s="345"/>
      <c r="W363" s="441"/>
      <c r="X363" s="345"/>
      <c r="Y363" s="345"/>
      <c r="Z363" s="345"/>
      <c r="AA363" s="345"/>
      <c r="AB363" s="345"/>
      <c r="AC363" s="345"/>
      <c r="AD363" s="345"/>
      <c r="AE363" s="345"/>
      <c r="AF363" s="345"/>
      <c r="AG363" s="345"/>
      <c r="AH363" s="345"/>
      <c r="AI363" s="345"/>
      <c r="AJ363" s="345"/>
      <c r="AK363" s="345"/>
      <c r="AL363" s="345"/>
      <c r="AM363" s="345"/>
      <c r="AN363" s="345"/>
      <c r="AO363" s="345"/>
      <c r="AP363" s="345"/>
      <c r="AQ363" s="345"/>
      <c r="AR363" s="345"/>
      <c r="AS363" s="345"/>
    </row>
    <row r="364" ht="13.5" customHeight="1">
      <c r="A364" s="424" t="str">
        <f>'Membership Application List'!A593</f>
        <v/>
      </c>
      <c r="B364" s="443" t="str">
        <f t="shared" si="6"/>
        <v/>
      </c>
      <c r="C364" s="443" t="str">
        <f t="shared" si="7"/>
        <v/>
      </c>
      <c r="D364" s="426" t="str">
        <f>'Membership Application List'!E593</f>
        <v/>
      </c>
      <c r="E364" s="426" t="b">
        <f>IF('Membership Application List'!J593 = "Food/Litter Donation", 0, IF('Membership Application List'!J593 = "$15 Donation, Discord Verification", IF('Membership Application List'!N593 = TRUE, 15, 0)))</f>
        <v>0</v>
      </c>
      <c r="F364" s="426">
        <f>if('Membership Application List'!K593=TRUE, 5,0)</f>
        <v>0</v>
      </c>
      <c r="G364" s="426">
        <f t="shared" si="8"/>
        <v>0</v>
      </c>
      <c r="H364" s="427" t="str">
        <f>'Membership Application List'!L593</f>
        <v/>
      </c>
      <c r="I364" s="345"/>
      <c r="J364" s="441"/>
      <c r="K364" s="345"/>
      <c r="L364" s="478"/>
      <c r="M364" s="345"/>
      <c r="N364" s="345"/>
      <c r="O364" s="345"/>
      <c r="P364" s="414"/>
      <c r="Q364" s="414"/>
      <c r="R364" s="414"/>
      <c r="S364" s="445"/>
      <c r="T364" s="445"/>
      <c r="U364" s="445"/>
      <c r="V364" s="345"/>
      <c r="W364" s="441"/>
      <c r="X364" s="345"/>
      <c r="Y364" s="345"/>
      <c r="Z364" s="345"/>
      <c r="AA364" s="345"/>
      <c r="AB364" s="345"/>
      <c r="AC364" s="345"/>
      <c r="AD364" s="345"/>
      <c r="AE364" s="345"/>
      <c r="AF364" s="345"/>
      <c r="AG364" s="345"/>
      <c r="AH364" s="345"/>
      <c r="AI364" s="345"/>
      <c r="AJ364" s="345"/>
      <c r="AK364" s="345"/>
      <c r="AL364" s="345"/>
      <c r="AM364" s="345"/>
      <c r="AN364" s="345"/>
      <c r="AO364" s="345"/>
      <c r="AP364" s="345"/>
      <c r="AQ364" s="345"/>
      <c r="AR364" s="345"/>
      <c r="AS364" s="345"/>
    </row>
    <row r="365" ht="13.5" customHeight="1">
      <c r="A365" s="436" t="str">
        <f>'Membership Application List'!A594</f>
        <v/>
      </c>
      <c r="B365" s="437" t="str">
        <f t="shared" si="6"/>
        <v/>
      </c>
      <c r="C365" s="437" t="str">
        <f t="shared" si="7"/>
        <v/>
      </c>
      <c r="D365" s="438" t="str">
        <f>'Membership Application List'!E594</f>
        <v/>
      </c>
      <c r="E365" s="438" t="b">
        <f>IF('Membership Application List'!J594 = "Food/Litter Donation", 0, IF('Membership Application List'!J594 = "$15 Donation, Discord Verification", IF('Membership Application List'!N594 = TRUE, 15, 0)))</f>
        <v>0</v>
      </c>
      <c r="F365" s="438">
        <f>if('Membership Application List'!K594=TRUE, 5,0)</f>
        <v>0</v>
      </c>
      <c r="G365" s="438">
        <f t="shared" si="8"/>
        <v>0</v>
      </c>
      <c r="H365" s="439" t="str">
        <f>'Membership Application List'!L594</f>
        <v/>
      </c>
      <c r="I365" s="345"/>
      <c r="J365" s="441"/>
      <c r="K365" s="345"/>
      <c r="L365" s="478"/>
      <c r="M365" s="345"/>
      <c r="N365" s="345"/>
      <c r="O365" s="345"/>
      <c r="P365" s="414"/>
      <c r="Q365" s="414"/>
      <c r="R365" s="414"/>
      <c r="S365" s="445"/>
      <c r="T365" s="445"/>
      <c r="U365" s="445"/>
      <c r="V365" s="345"/>
      <c r="W365" s="441"/>
      <c r="X365" s="345"/>
      <c r="Y365" s="345"/>
      <c r="Z365" s="345"/>
      <c r="AA365" s="345"/>
      <c r="AB365" s="345"/>
      <c r="AC365" s="345"/>
      <c r="AD365" s="345"/>
      <c r="AE365" s="345"/>
      <c r="AF365" s="345"/>
      <c r="AG365" s="345"/>
      <c r="AH365" s="345"/>
      <c r="AI365" s="345"/>
      <c r="AJ365" s="345"/>
      <c r="AK365" s="345"/>
      <c r="AL365" s="345"/>
      <c r="AM365" s="345"/>
      <c r="AN365" s="345"/>
      <c r="AO365" s="345"/>
      <c r="AP365" s="345"/>
      <c r="AQ365" s="345"/>
      <c r="AR365" s="345"/>
      <c r="AS365" s="345"/>
    </row>
    <row r="366" ht="13.5" customHeight="1">
      <c r="A366" s="424" t="str">
        <f>'Membership Application List'!A595</f>
        <v/>
      </c>
      <c r="B366" s="443" t="str">
        <f t="shared" si="6"/>
        <v/>
      </c>
      <c r="C366" s="443" t="str">
        <f t="shared" si="7"/>
        <v/>
      </c>
      <c r="D366" s="426" t="str">
        <f>'Membership Application List'!E595</f>
        <v/>
      </c>
      <c r="E366" s="426" t="b">
        <f>IF('Membership Application List'!J595 = "Food/Litter Donation", 0, IF('Membership Application List'!J595 = "$15 Donation, Discord Verification", IF('Membership Application List'!N595 = TRUE, 15, 0)))</f>
        <v>0</v>
      </c>
      <c r="F366" s="426">
        <f>if('Membership Application List'!K595=TRUE, 5,0)</f>
        <v>0</v>
      </c>
      <c r="G366" s="426">
        <f t="shared" si="8"/>
        <v>0</v>
      </c>
      <c r="H366" s="427" t="str">
        <f>'Membership Application List'!L595</f>
        <v/>
      </c>
      <c r="I366" s="345"/>
      <c r="J366" s="441"/>
      <c r="K366" s="345"/>
      <c r="L366" s="478"/>
      <c r="M366" s="345"/>
      <c r="N366" s="345"/>
      <c r="O366" s="345"/>
      <c r="P366" s="414"/>
      <c r="Q366" s="414"/>
      <c r="R366" s="414"/>
      <c r="S366" s="445"/>
      <c r="T366" s="445"/>
      <c r="U366" s="445"/>
      <c r="V366" s="345"/>
      <c r="W366" s="441"/>
      <c r="X366" s="345"/>
      <c r="Y366" s="345"/>
      <c r="Z366" s="345"/>
      <c r="AA366" s="345"/>
      <c r="AB366" s="345"/>
      <c r="AC366" s="345"/>
      <c r="AD366" s="345"/>
      <c r="AE366" s="345"/>
      <c r="AF366" s="345"/>
      <c r="AG366" s="345"/>
      <c r="AH366" s="345"/>
      <c r="AI366" s="345"/>
      <c r="AJ366" s="345"/>
      <c r="AK366" s="345"/>
      <c r="AL366" s="345"/>
      <c r="AM366" s="345"/>
      <c r="AN366" s="345"/>
      <c r="AO366" s="345"/>
      <c r="AP366" s="345"/>
      <c r="AQ366" s="345"/>
      <c r="AR366" s="345"/>
      <c r="AS366" s="345"/>
    </row>
    <row r="367" ht="13.5" customHeight="1">
      <c r="A367" s="436" t="str">
        <f>'Membership Application List'!A596</f>
        <v/>
      </c>
      <c r="B367" s="437" t="str">
        <f t="shared" si="6"/>
        <v/>
      </c>
      <c r="C367" s="437" t="str">
        <f t="shared" si="7"/>
        <v/>
      </c>
      <c r="D367" s="438" t="str">
        <f>'Membership Application List'!E596</f>
        <v/>
      </c>
      <c r="E367" s="438" t="b">
        <f>IF('Membership Application List'!J596 = "Food/Litter Donation", 0, IF('Membership Application List'!J596 = "$15 Donation, Discord Verification", IF('Membership Application List'!N596 = TRUE, 15, 0)))</f>
        <v>0</v>
      </c>
      <c r="F367" s="438">
        <f>if('Membership Application List'!K596=TRUE, 5,0)</f>
        <v>0</v>
      </c>
      <c r="G367" s="438">
        <f t="shared" si="8"/>
        <v>0</v>
      </c>
      <c r="H367" s="439" t="str">
        <f>'Membership Application List'!L596</f>
        <v/>
      </c>
      <c r="I367" s="345"/>
      <c r="J367" s="441"/>
      <c r="K367" s="345"/>
      <c r="L367" s="478"/>
      <c r="M367" s="345"/>
      <c r="N367" s="345"/>
      <c r="O367" s="345"/>
      <c r="P367" s="414"/>
      <c r="Q367" s="414"/>
      <c r="R367" s="414"/>
      <c r="S367" s="445"/>
      <c r="T367" s="445"/>
      <c r="U367" s="445"/>
      <c r="V367" s="345"/>
      <c r="W367" s="441"/>
      <c r="X367" s="345"/>
      <c r="Y367" s="345"/>
      <c r="Z367" s="345"/>
      <c r="AA367" s="345"/>
      <c r="AB367" s="345"/>
      <c r="AC367" s="345"/>
      <c r="AD367" s="345"/>
      <c r="AE367" s="345"/>
      <c r="AF367" s="345"/>
      <c r="AG367" s="345"/>
      <c r="AH367" s="345"/>
      <c r="AI367" s="345"/>
      <c r="AJ367" s="345"/>
      <c r="AK367" s="345"/>
      <c r="AL367" s="345"/>
      <c r="AM367" s="345"/>
      <c r="AN367" s="345"/>
      <c r="AO367" s="345"/>
      <c r="AP367" s="345"/>
      <c r="AQ367" s="345"/>
      <c r="AR367" s="345"/>
      <c r="AS367" s="345"/>
    </row>
    <row r="368" ht="13.5" customHeight="1">
      <c r="A368" s="424" t="str">
        <f>'Membership Application List'!A597</f>
        <v/>
      </c>
      <c r="B368" s="443" t="str">
        <f t="shared" si="6"/>
        <v/>
      </c>
      <c r="C368" s="443" t="str">
        <f t="shared" si="7"/>
        <v/>
      </c>
      <c r="D368" s="426" t="str">
        <f>'Membership Application List'!E597</f>
        <v/>
      </c>
      <c r="E368" s="426" t="b">
        <f>IF('Membership Application List'!J597 = "Food/Litter Donation", 0, IF('Membership Application List'!J597 = "$15 Donation, Discord Verification", IF('Membership Application List'!N597 = TRUE, 15, 0)))</f>
        <v>0</v>
      </c>
      <c r="F368" s="426">
        <f>if('Membership Application List'!K597=TRUE, 5,0)</f>
        <v>0</v>
      </c>
      <c r="G368" s="426">
        <f t="shared" si="8"/>
        <v>0</v>
      </c>
      <c r="H368" s="427" t="str">
        <f>'Membership Application List'!L597</f>
        <v/>
      </c>
      <c r="I368" s="345"/>
      <c r="J368" s="441"/>
      <c r="K368" s="345"/>
      <c r="L368" s="478"/>
      <c r="M368" s="345"/>
      <c r="N368" s="345"/>
      <c r="O368" s="345"/>
      <c r="P368" s="414"/>
      <c r="Q368" s="414"/>
      <c r="R368" s="414"/>
      <c r="S368" s="445"/>
      <c r="T368" s="445"/>
      <c r="U368" s="445"/>
      <c r="V368" s="345"/>
      <c r="W368" s="441"/>
      <c r="X368" s="345"/>
      <c r="Y368" s="345"/>
      <c r="Z368" s="345"/>
      <c r="AA368" s="345"/>
      <c r="AB368" s="345"/>
      <c r="AC368" s="345"/>
      <c r="AD368" s="345"/>
      <c r="AE368" s="345"/>
      <c r="AF368" s="345"/>
      <c r="AG368" s="345"/>
      <c r="AH368" s="345"/>
      <c r="AI368" s="345"/>
      <c r="AJ368" s="345"/>
      <c r="AK368" s="345"/>
      <c r="AL368" s="345"/>
      <c r="AM368" s="345"/>
      <c r="AN368" s="345"/>
      <c r="AO368" s="345"/>
      <c r="AP368" s="345"/>
      <c r="AQ368" s="345"/>
      <c r="AR368" s="345"/>
      <c r="AS368" s="345"/>
    </row>
    <row r="369" ht="13.5" customHeight="1">
      <c r="A369" s="436" t="str">
        <f>'Membership Application List'!A598</f>
        <v/>
      </c>
      <c r="B369" s="437" t="str">
        <f t="shared" si="6"/>
        <v/>
      </c>
      <c r="C369" s="437" t="str">
        <f t="shared" si="7"/>
        <v/>
      </c>
      <c r="D369" s="438" t="str">
        <f>'Membership Application List'!E598</f>
        <v/>
      </c>
      <c r="E369" s="438" t="b">
        <f>IF('Membership Application List'!J598 = "Food/Litter Donation", 0, IF('Membership Application List'!J598 = "$15 Donation, Discord Verification", IF('Membership Application List'!N598 = TRUE, 15, 0)))</f>
        <v>0</v>
      </c>
      <c r="F369" s="438">
        <f>if('Membership Application List'!K598=TRUE, 5,0)</f>
        <v>0</v>
      </c>
      <c r="G369" s="438">
        <f t="shared" si="8"/>
        <v>0</v>
      </c>
      <c r="H369" s="439" t="str">
        <f>'Membership Application List'!L598</f>
        <v/>
      </c>
      <c r="I369" s="345"/>
      <c r="J369" s="441"/>
      <c r="K369" s="345"/>
      <c r="L369" s="478"/>
      <c r="M369" s="345"/>
      <c r="N369" s="345"/>
      <c r="O369" s="345"/>
      <c r="P369" s="414"/>
      <c r="Q369" s="414"/>
      <c r="R369" s="414"/>
      <c r="S369" s="445"/>
      <c r="T369" s="445"/>
      <c r="U369" s="445"/>
      <c r="V369" s="345"/>
      <c r="W369" s="441"/>
      <c r="X369" s="345"/>
      <c r="Y369" s="345"/>
      <c r="Z369" s="345"/>
      <c r="AA369" s="345"/>
      <c r="AB369" s="345"/>
      <c r="AC369" s="345"/>
      <c r="AD369" s="345"/>
      <c r="AE369" s="345"/>
      <c r="AF369" s="345"/>
      <c r="AG369" s="345"/>
      <c r="AH369" s="345"/>
      <c r="AI369" s="345"/>
      <c r="AJ369" s="345"/>
      <c r="AK369" s="345"/>
      <c r="AL369" s="345"/>
      <c r="AM369" s="345"/>
      <c r="AN369" s="345"/>
      <c r="AO369" s="345"/>
      <c r="AP369" s="345"/>
      <c r="AQ369" s="345"/>
      <c r="AR369" s="345"/>
      <c r="AS369" s="345"/>
    </row>
    <row r="370" ht="13.5" customHeight="1">
      <c r="A370" s="424" t="str">
        <f>'Membership Application List'!A599</f>
        <v/>
      </c>
      <c r="B370" s="443" t="str">
        <f t="shared" si="6"/>
        <v/>
      </c>
      <c r="C370" s="443" t="str">
        <f t="shared" si="7"/>
        <v/>
      </c>
      <c r="D370" s="426" t="str">
        <f>'Membership Application List'!E599</f>
        <v/>
      </c>
      <c r="E370" s="426" t="b">
        <f>IF('Membership Application List'!J599 = "Food/Litter Donation", 0, IF('Membership Application List'!J599 = "$15 Donation, Discord Verification", IF('Membership Application List'!N599 = TRUE, 15, 0)))</f>
        <v>0</v>
      </c>
      <c r="F370" s="426">
        <f>if('Membership Application List'!K599=TRUE, 5,0)</f>
        <v>0</v>
      </c>
      <c r="G370" s="426">
        <f t="shared" si="8"/>
        <v>0</v>
      </c>
      <c r="H370" s="427" t="str">
        <f>'Membership Application List'!L599</f>
        <v/>
      </c>
      <c r="I370" s="345"/>
      <c r="J370" s="441"/>
      <c r="K370" s="345"/>
      <c r="L370" s="478"/>
      <c r="M370" s="345"/>
      <c r="N370" s="345"/>
      <c r="O370" s="345"/>
      <c r="P370" s="414"/>
      <c r="Q370" s="414"/>
      <c r="R370" s="414"/>
      <c r="S370" s="445"/>
      <c r="T370" s="445"/>
      <c r="U370" s="445"/>
      <c r="V370" s="345"/>
      <c r="W370" s="441"/>
      <c r="X370" s="345"/>
      <c r="Y370" s="345"/>
      <c r="Z370" s="345"/>
      <c r="AA370" s="345"/>
      <c r="AB370" s="345"/>
      <c r="AC370" s="345"/>
      <c r="AD370" s="345"/>
      <c r="AE370" s="345"/>
      <c r="AF370" s="345"/>
      <c r="AG370" s="345"/>
      <c r="AH370" s="345"/>
      <c r="AI370" s="345"/>
      <c r="AJ370" s="345"/>
      <c r="AK370" s="345"/>
      <c r="AL370" s="345"/>
      <c r="AM370" s="345"/>
      <c r="AN370" s="345"/>
      <c r="AO370" s="345"/>
      <c r="AP370" s="345"/>
      <c r="AQ370" s="345"/>
      <c r="AR370" s="345"/>
      <c r="AS370" s="345"/>
    </row>
    <row r="371" ht="13.5" customHeight="1">
      <c r="A371" s="436" t="str">
        <f>'Membership Application List'!A600</f>
        <v/>
      </c>
      <c r="B371" s="437" t="str">
        <f t="shared" si="6"/>
        <v/>
      </c>
      <c r="C371" s="437" t="str">
        <f t="shared" si="7"/>
        <v/>
      </c>
      <c r="D371" s="438" t="str">
        <f>'Membership Application List'!E600</f>
        <v/>
      </c>
      <c r="E371" s="438" t="b">
        <f>IF('Membership Application List'!J600 = "Food/Litter Donation", 0, IF('Membership Application List'!J600 = "$15 Donation, Discord Verification", IF('Membership Application List'!N600 = TRUE, 15, 0)))</f>
        <v>0</v>
      </c>
      <c r="F371" s="438">
        <f>if('Membership Application List'!K600=TRUE, 5,0)</f>
        <v>0</v>
      </c>
      <c r="G371" s="438">
        <f t="shared" si="8"/>
        <v>0</v>
      </c>
      <c r="H371" s="439" t="str">
        <f>'Membership Application List'!L600</f>
        <v/>
      </c>
      <c r="I371" s="345"/>
      <c r="J371" s="441"/>
      <c r="K371" s="345"/>
      <c r="L371" s="478"/>
      <c r="M371" s="345"/>
      <c r="N371" s="345"/>
      <c r="O371" s="345"/>
      <c r="P371" s="414"/>
      <c r="Q371" s="414"/>
      <c r="R371" s="414"/>
      <c r="S371" s="445"/>
      <c r="T371" s="445"/>
      <c r="U371" s="445"/>
      <c r="V371" s="345"/>
      <c r="W371" s="441"/>
      <c r="X371" s="345"/>
      <c r="Y371" s="345"/>
      <c r="Z371" s="345"/>
      <c r="AA371" s="345"/>
      <c r="AB371" s="345"/>
      <c r="AC371" s="345"/>
      <c r="AD371" s="345"/>
      <c r="AE371" s="345"/>
      <c r="AF371" s="345"/>
      <c r="AG371" s="345"/>
      <c r="AH371" s="345"/>
      <c r="AI371" s="345"/>
      <c r="AJ371" s="345"/>
      <c r="AK371" s="345"/>
      <c r="AL371" s="345"/>
      <c r="AM371" s="345"/>
      <c r="AN371" s="345"/>
      <c r="AO371" s="345"/>
      <c r="AP371" s="345"/>
      <c r="AQ371" s="345"/>
      <c r="AR371" s="345"/>
      <c r="AS371" s="345"/>
    </row>
    <row r="372" ht="13.5" customHeight="1">
      <c r="A372" s="424" t="str">
        <f>'Membership Application List'!A601</f>
        <v/>
      </c>
      <c r="B372" s="443" t="str">
        <f t="shared" si="6"/>
        <v/>
      </c>
      <c r="C372" s="443" t="str">
        <f t="shared" si="7"/>
        <v/>
      </c>
      <c r="D372" s="426" t="str">
        <f>'Membership Application List'!E601</f>
        <v/>
      </c>
      <c r="E372" s="426" t="b">
        <f>IF('Membership Application List'!J601 = "Food/Litter Donation", 0, IF('Membership Application List'!J601 = "$15 Donation, Discord Verification", IF('Membership Application List'!N601 = TRUE, 15, 0)))</f>
        <v>0</v>
      </c>
      <c r="F372" s="426">
        <f>if('Membership Application List'!K601=TRUE, 5,0)</f>
        <v>0</v>
      </c>
      <c r="G372" s="426">
        <f t="shared" si="8"/>
        <v>0</v>
      </c>
      <c r="H372" s="427" t="str">
        <f>'Membership Application List'!L601</f>
        <v/>
      </c>
      <c r="I372" s="345"/>
      <c r="J372" s="441"/>
      <c r="K372" s="345"/>
      <c r="L372" s="478"/>
      <c r="M372" s="345"/>
      <c r="N372" s="345"/>
      <c r="O372" s="345"/>
      <c r="P372" s="414"/>
      <c r="Q372" s="414"/>
      <c r="R372" s="414"/>
      <c r="S372" s="445"/>
      <c r="T372" s="445"/>
      <c r="U372" s="445"/>
      <c r="V372" s="345"/>
      <c r="W372" s="441"/>
      <c r="X372" s="345"/>
      <c r="Y372" s="345"/>
      <c r="Z372" s="345"/>
      <c r="AA372" s="345"/>
      <c r="AB372" s="345"/>
      <c r="AC372" s="345"/>
      <c r="AD372" s="345"/>
      <c r="AE372" s="345"/>
      <c r="AF372" s="345"/>
      <c r="AG372" s="345"/>
      <c r="AH372" s="345"/>
      <c r="AI372" s="345"/>
      <c r="AJ372" s="345"/>
      <c r="AK372" s="345"/>
      <c r="AL372" s="345"/>
      <c r="AM372" s="345"/>
      <c r="AN372" s="345"/>
      <c r="AO372" s="345"/>
      <c r="AP372" s="345"/>
      <c r="AQ372" s="345"/>
      <c r="AR372" s="345"/>
      <c r="AS372" s="345"/>
    </row>
    <row r="373" ht="13.5" customHeight="1">
      <c r="A373" s="436" t="str">
        <f>'Membership Application List'!A602</f>
        <v/>
      </c>
      <c r="B373" s="437" t="str">
        <f t="shared" si="6"/>
        <v/>
      </c>
      <c r="C373" s="437" t="str">
        <f t="shared" si="7"/>
        <v/>
      </c>
      <c r="D373" s="438" t="str">
        <f>'Membership Application List'!E602</f>
        <v/>
      </c>
      <c r="E373" s="438" t="b">
        <f>IF('Membership Application List'!J602 = "Food/Litter Donation", 0, IF('Membership Application List'!J602 = "$15 Donation, Discord Verification", IF('Membership Application List'!N602 = TRUE, 15, 0)))</f>
        <v>0</v>
      </c>
      <c r="F373" s="438">
        <f>if('Membership Application List'!K602=TRUE, 5,0)</f>
        <v>0</v>
      </c>
      <c r="G373" s="438">
        <f t="shared" si="8"/>
        <v>0</v>
      </c>
      <c r="H373" s="439" t="str">
        <f>'Membership Application List'!L602</f>
        <v/>
      </c>
      <c r="I373" s="345"/>
      <c r="J373" s="441"/>
      <c r="K373" s="345"/>
      <c r="L373" s="478"/>
      <c r="M373" s="345"/>
      <c r="N373" s="345"/>
      <c r="O373" s="345"/>
      <c r="P373" s="414"/>
      <c r="Q373" s="414"/>
      <c r="R373" s="414"/>
      <c r="S373" s="445"/>
      <c r="T373" s="445"/>
      <c r="U373" s="445"/>
      <c r="V373" s="345"/>
      <c r="W373" s="441"/>
      <c r="X373" s="345"/>
      <c r="Y373" s="345"/>
      <c r="Z373" s="345"/>
      <c r="AA373" s="345"/>
      <c r="AB373" s="345"/>
      <c r="AC373" s="345"/>
      <c r="AD373" s="345"/>
      <c r="AE373" s="345"/>
      <c r="AF373" s="345"/>
      <c r="AG373" s="345"/>
      <c r="AH373" s="345"/>
      <c r="AI373" s="345"/>
      <c r="AJ373" s="345"/>
      <c r="AK373" s="345"/>
      <c r="AL373" s="345"/>
      <c r="AM373" s="345"/>
      <c r="AN373" s="345"/>
      <c r="AO373" s="345"/>
      <c r="AP373" s="345"/>
      <c r="AQ373" s="345"/>
      <c r="AR373" s="345"/>
      <c r="AS373" s="345"/>
    </row>
    <row r="374" ht="13.5" customHeight="1">
      <c r="A374" s="424" t="str">
        <f>'Membership Application List'!A603</f>
        <v/>
      </c>
      <c r="B374" s="443" t="str">
        <f t="shared" si="6"/>
        <v/>
      </c>
      <c r="C374" s="443" t="str">
        <f t="shared" si="7"/>
        <v/>
      </c>
      <c r="D374" s="426" t="str">
        <f>'Membership Application List'!E603</f>
        <v/>
      </c>
      <c r="E374" s="426" t="b">
        <f>IF('Membership Application List'!J603 = "Food/Litter Donation", 0, IF('Membership Application List'!J603 = "$15 Donation, Discord Verification", IF('Membership Application List'!N603 = TRUE, 15, 0)))</f>
        <v>0</v>
      </c>
      <c r="F374" s="426">
        <f>if('Membership Application List'!K603=TRUE, 5,0)</f>
        <v>0</v>
      </c>
      <c r="G374" s="426">
        <f t="shared" si="8"/>
        <v>0</v>
      </c>
      <c r="H374" s="427" t="str">
        <f>'Membership Application List'!L603</f>
        <v/>
      </c>
      <c r="I374" s="345"/>
      <c r="J374" s="441"/>
      <c r="K374" s="345"/>
      <c r="L374" s="478"/>
      <c r="M374" s="345"/>
      <c r="N374" s="345"/>
      <c r="O374" s="345"/>
      <c r="P374" s="414"/>
      <c r="Q374" s="414"/>
      <c r="R374" s="414"/>
      <c r="S374" s="445"/>
      <c r="T374" s="445"/>
      <c r="U374" s="445"/>
      <c r="V374" s="345"/>
      <c r="W374" s="441"/>
      <c r="X374" s="345"/>
      <c r="Y374" s="345"/>
      <c r="Z374" s="345"/>
      <c r="AA374" s="345"/>
      <c r="AB374" s="345"/>
      <c r="AC374" s="345"/>
      <c r="AD374" s="345"/>
      <c r="AE374" s="345"/>
      <c r="AF374" s="345"/>
      <c r="AG374" s="345"/>
      <c r="AH374" s="345"/>
      <c r="AI374" s="345"/>
      <c r="AJ374" s="345"/>
      <c r="AK374" s="345"/>
      <c r="AL374" s="345"/>
      <c r="AM374" s="345"/>
      <c r="AN374" s="345"/>
      <c r="AO374" s="345"/>
      <c r="AP374" s="345"/>
      <c r="AQ374" s="345"/>
      <c r="AR374" s="345"/>
      <c r="AS374" s="345"/>
    </row>
    <row r="375" ht="13.5" customHeight="1">
      <c r="A375" s="436" t="str">
        <f>'Membership Application List'!A604</f>
        <v/>
      </c>
      <c r="B375" s="437" t="str">
        <f t="shared" si="6"/>
        <v/>
      </c>
      <c r="C375" s="437" t="str">
        <f t="shared" si="7"/>
        <v/>
      </c>
      <c r="D375" s="438" t="str">
        <f>'Membership Application List'!E604</f>
        <v/>
      </c>
      <c r="E375" s="438" t="b">
        <f>IF('Membership Application List'!J604 = "Food/Litter Donation", 0, IF('Membership Application List'!J604 = "$15 Donation, Discord Verification", IF('Membership Application List'!N604 = TRUE, 15, 0)))</f>
        <v>0</v>
      </c>
      <c r="F375" s="438">
        <f>if('Membership Application List'!K604=TRUE, 5,0)</f>
        <v>0</v>
      </c>
      <c r="G375" s="438">
        <f t="shared" si="8"/>
        <v>0</v>
      </c>
      <c r="H375" s="439" t="str">
        <f>'Membership Application List'!L604</f>
        <v/>
      </c>
      <c r="I375" s="345"/>
      <c r="J375" s="441"/>
      <c r="K375" s="345"/>
      <c r="L375" s="478"/>
      <c r="M375" s="345"/>
      <c r="N375" s="345"/>
      <c r="O375" s="345"/>
      <c r="P375" s="414"/>
      <c r="Q375" s="414"/>
      <c r="R375" s="414"/>
      <c r="S375" s="445"/>
      <c r="T375" s="445"/>
      <c r="U375" s="445"/>
      <c r="V375" s="345"/>
      <c r="W375" s="441"/>
      <c r="X375" s="345"/>
      <c r="Y375" s="345"/>
      <c r="Z375" s="345"/>
      <c r="AA375" s="345"/>
      <c r="AB375" s="345"/>
      <c r="AC375" s="345"/>
      <c r="AD375" s="345"/>
      <c r="AE375" s="345"/>
      <c r="AF375" s="345"/>
      <c r="AG375" s="345"/>
      <c r="AH375" s="345"/>
      <c r="AI375" s="345"/>
      <c r="AJ375" s="345"/>
      <c r="AK375" s="345"/>
      <c r="AL375" s="345"/>
      <c r="AM375" s="345"/>
      <c r="AN375" s="345"/>
      <c r="AO375" s="345"/>
      <c r="AP375" s="345"/>
      <c r="AQ375" s="345"/>
      <c r="AR375" s="345"/>
      <c r="AS375" s="345"/>
    </row>
    <row r="376" ht="13.5" customHeight="1">
      <c r="A376" s="424" t="str">
        <f>'Membership Application List'!A605</f>
        <v/>
      </c>
      <c r="B376" s="443" t="str">
        <f t="shared" si="6"/>
        <v/>
      </c>
      <c r="C376" s="443" t="str">
        <f t="shared" si="7"/>
        <v/>
      </c>
      <c r="D376" s="426" t="str">
        <f>'Membership Application List'!E605</f>
        <v/>
      </c>
      <c r="E376" s="426" t="b">
        <f>IF('Membership Application List'!J605 = "Food/Litter Donation", 0, IF('Membership Application List'!J605 = "$15 Donation, Discord Verification", IF('Membership Application List'!N605 = TRUE, 15, 0)))</f>
        <v>0</v>
      </c>
      <c r="F376" s="426">
        <f>if('Membership Application List'!K605=TRUE, 5,0)</f>
        <v>0</v>
      </c>
      <c r="G376" s="426">
        <f t="shared" si="8"/>
        <v>0</v>
      </c>
      <c r="H376" s="427" t="str">
        <f>'Membership Application List'!L605</f>
        <v/>
      </c>
      <c r="I376" s="345"/>
      <c r="J376" s="441"/>
      <c r="K376" s="345"/>
      <c r="L376" s="478"/>
      <c r="M376" s="345"/>
      <c r="N376" s="345"/>
      <c r="O376" s="345"/>
      <c r="P376" s="414"/>
      <c r="Q376" s="414"/>
      <c r="R376" s="414"/>
      <c r="S376" s="445"/>
      <c r="T376" s="445"/>
      <c r="U376" s="445"/>
      <c r="V376" s="345"/>
      <c r="W376" s="441"/>
      <c r="X376" s="345"/>
      <c r="Y376" s="345"/>
      <c r="Z376" s="345"/>
      <c r="AA376" s="345"/>
      <c r="AB376" s="345"/>
      <c r="AC376" s="345"/>
      <c r="AD376" s="345"/>
      <c r="AE376" s="345"/>
      <c r="AF376" s="345"/>
      <c r="AG376" s="345"/>
      <c r="AH376" s="345"/>
      <c r="AI376" s="345"/>
      <c r="AJ376" s="345"/>
      <c r="AK376" s="345"/>
      <c r="AL376" s="345"/>
      <c r="AM376" s="345"/>
      <c r="AN376" s="345"/>
      <c r="AO376" s="345"/>
      <c r="AP376" s="345"/>
      <c r="AQ376" s="345"/>
      <c r="AR376" s="345"/>
      <c r="AS376" s="345"/>
    </row>
    <row r="377" ht="13.5" customHeight="1">
      <c r="A377" s="436" t="str">
        <f>'Membership Application List'!A606</f>
        <v/>
      </c>
      <c r="B377" s="437" t="str">
        <f t="shared" si="6"/>
        <v/>
      </c>
      <c r="C377" s="437" t="str">
        <f t="shared" si="7"/>
        <v/>
      </c>
      <c r="D377" s="438" t="str">
        <f>'Membership Application List'!E606</f>
        <v/>
      </c>
      <c r="E377" s="438" t="b">
        <f>IF('Membership Application List'!J606 = "Food/Litter Donation", 0, IF('Membership Application List'!J606 = "$15 Donation, Discord Verification", IF('Membership Application List'!N606 = TRUE, 15, 0)))</f>
        <v>0</v>
      </c>
      <c r="F377" s="438">
        <f>if('Membership Application List'!K606=TRUE, 5,0)</f>
        <v>0</v>
      </c>
      <c r="G377" s="438">
        <f t="shared" si="8"/>
        <v>0</v>
      </c>
      <c r="H377" s="439" t="str">
        <f>'Membership Application List'!L606</f>
        <v/>
      </c>
      <c r="I377" s="345"/>
      <c r="J377" s="441"/>
      <c r="K377" s="345"/>
      <c r="L377" s="478"/>
      <c r="M377" s="345"/>
      <c r="N377" s="345"/>
      <c r="O377" s="345"/>
      <c r="P377" s="414"/>
      <c r="Q377" s="414"/>
      <c r="R377" s="414"/>
      <c r="S377" s="445"/>
      <c r="T377" s="445"/>
      <c r="U377" s="445"/>
      <c r="V377" s="345"/>
      <c r="W377" s="441"/>
      <c r="X377" s="345"/>
      <c r="Y377" s="345"/>
      <c r="Z377" s="345"/>
      <c r="AA377" s="345"/>
      <c r="AB377" s="345"/>
      <c r="AC377" s="345"/>
      <c r="AD377" s="345"/>
      <c r="AE377" s="345"/>
      <c r="AF377" s="345"/>
      <c r="AG377" s="345"/>
      <c r="AH377" s="345"/>
      <c r="AI377" s="345"/>
      <c r="AJ377" s="345"/>
      <c r="AK377" s="345"/>
      <c r="AL377" s="345"/>
      <c r="AM377" s="345"/>
      <c r="AN377" s="345"/>
      <c r="AO377" s="345"/>
      <c r="AP377" s="345"/>
      <c r="AQ377" s="345"/>
      <c r="AR377" s="345"/>
      <c r="AS377" s="345"/>
    </row>
    <row r="378" ht="13.5" customHeight="1">
      <c r="A378" s="424" t="str">
        <f>'Membership Application List'!A607</f>
        <v/>
      </c>
      <c r="B378" s="443" t="str">
        <f t="shared" si="6"/>
        <v/>
      </c>
      <c r="C378" s="443" t="str">
        <f t="shared" si="7"/>
        <v/>
      </c>
      <c r="D378" s="426" t="str">
        <f>'Membership Application List'!E607</f>
        <v/>
      </c>
      <c r="E378" s="426" t="b">
        <f>IF('Membership Application List'!J607 = "Food/Litter Donation", 0, IF('Membership Application List'!J607 = "$15 Donation, Discord Verification", IF('Membership Application List'!N607 = TRUE, 15, 0)))</f>
        <v>0</v>
      </c>
      <c r="F378" s="426">
        <f>if('Membership Application List'!K607=TRUE, 5,0)</f>
        <v>0</v>
      </c>
      <c r="G378" s="426">
        <f t="shared" si="8"/>
        <v>0</v>
      </c>
      <c r="H378" s="427" t="str">
        <f>'Membership Application List'!L607</f>
        <v/>
      </c>
      <c r="I378" s="345"/>
      <c r="J378" s="441"/>
      <c r="K378" s="345"/>
      <c r="L378" s="478"/>
      <c r="M378" s="345"/>
      <c r="N378" s="345"/>
      <c r="O378" s="345"/>
      <c r="P378" s="414"/>
      <c r="Q378" s="414"/>
      <c r="R378" s="414"/>
      <c r="S378" s="445"/>
      <c r="T378" s="445"/>
      <c r="U378" s="445"/>
      <c r="V378" s="345"/>
      <c r="W378" s="441"/>
      <c r="X378" s="345"/>
      <c r="Y378" s="345"/>
      <c r="Z378" s="345"/>
      <c r="AA378" s="345"/>
      <c r="AB378" s="345"/>
      <c r="AC378" s="345"/>
      <c r="AD378" s="345"/>
      <c r="AE378" s="345"/>
      <c r="AF378" s="345"/>
      <c r="AG378" s="345"/>
      <c r="AH378" s="345"/>
      <c r="AI378" s="345"/>
      <c r="AJ378" s="345"/>
      <c r="AK378" s="345"/>
      <c r="AL378" s="345"/>
      <c r="AM378" s="345"/>
      <c r="AN378" s="345"/>
      <c r="AO378" s="345"/>
      <c r="AP378" s="345"/>
      <c r="AQ378" s="345"/>
      <c r="AR378" s="345"/>
      <c r="AS378" s="345"/>
    </row>
    <row r="379" ht="13.5" customHeight="1">
      <c r="A379" s="436" t="str">
        <f>'Membership Application List'!A608</f>
        <v/>
      </c>
      <c r="B379" s="437" t="str">
        <f t="shared" si="6"/>
        <v/>
      </c>
      <c r="C379" s="437" t="str">
        <f t="shared" si="7"/>
        <v/>
      </c>
      <c r="D379" s="438" t="str">
        <f>'Membership Application List'!E608</f>
        <v/>
      </c>
      <c r="E379" s="438" t="b">
        <f>IF('Membership Application List'!J608 = "Food/Litter Donation", 0, IF('Membership Application List'!J608 = "$15 Donation, Discord Verification", IF('Membership Application List'!N608 = TRUE, 15, 0)))</f>
        <v>0</v>
      </c>
      <c r="F379" s="438">
        <f>if('Membership Application List'!K608=TRUE, 5,0)</f>
        <v>0</v>
      </c>
      <c r="G379" s="438">
        <f t="shared" si="8"/>
        <v>0</v>
      </c>
      <c r="H379" s="439" t="str">
        <f>'Membership Application List'!L608</f>
        <v/>
      </c>
      <c r="I379" s="345"/>
      <c r="J379" s="441"/>
      <c r="K379" s="345"/>
      <c r="L379" s="478"/>
      <c r="M379" s="345"/>
      <c r="N379" s="345"/>
      <c r="O379" s="345"/>
      <c r="P379" s="414"/>
      <c r="Q379" s="414"/>
      <c r="R379" s="414"/>
      <c r="S379" s="445"/>
      <c r="T379" s="445"/>
      <c r="U379" s="445"/>
      <c r="V379" s="345"/>
      <c r="W379" s="441"/>
      <c r="X379" s="345"/>
      <c r="Y379" s="345"/>
      <c r="Z379" s="345"/>
      <c r="AA379" s="345"/>
      <c r="AB379" s="345"/>
      <c r="AC379" s="345"/>
      <c r="AD379" s="345"/>
      <c r="AE379" s="345"/>
      <c r="AF379" s="345"/>
      <c r="AG379" s="345"/>
      <c r="AH379" s="345"/>
      <c r="AI379" s="345"/>
      <c r="AJ379" s="345"/>
      <c r="AK379" s="345"/>
      <c r="AL379" s="345"/>
      <c r="AM379" s="345"/>
      <c r="AN379" s="345"/>
      <c r="AO379" s="345"/>
      <c r="AP379" s="345"/>
      <c r="AQ379" s="345"/>
      <c r="AR379" s="345"/>
      <c r="AS379" s="345"/>
    </row>
    <row r="380" ht="13.5" customHeight="1">
      <c r="A380" s="424" t="str">
        <f>'Membership Application List'!A609</f>
        <v/>
      </c>
      <c r="B380" s="443" t="str">
        <f t="shared" si="6"/>
        <v/>
      </c>
      <c r="C380" s="443" t="str">
        <f t="shared" si="7"/>
        <v/>
      </c>
      <c r="D380" s="426" t="str">
        <f>'Membership Application List'!E609</f>
        <v/>
      </c>
      <c r="E380" s="426" t="b">
        <f>IF('Membership Application List'!J609 = "Food/Litter Donation", 0, IF('Membership Application List'!J609 = "$15 Donation, Discord Verification", IF('Membership Application List'!N609 = TRUE, 15, 0)))</f>
        <v>0</v>
      </c>
      <c r="F380" s="426">
        <f>if('Membership Application List'!K609=TRUE, 5,0)</f>
        <v>0</v>
      </c>
      <c r="G380" s="426">
        <f t="shared" si="8"/>
        <v>0</v>
      </c>
      <c r="H380" s="427" t="str">
        <f>'Membership Application List'!L609</f>
        <v/>
      </c>
      <c r="I380" s="345"/>
      <c r="J380" s="441"/>
      <c r="K380" s="345"/>
      <c r="L380" s="478"/>
      <c r="M380" s="345"/>
      <c r="N380" s="345"/>
      <c r="O380" s="345"/>
      <c r="P380" s="414"/>
      <c r="Q380" s="414"/>
      <c r="R380" s="414"/>
      <c r="S380" s="445"/>
      <c r="T380" s="445"/>
      <c r="U380" s="445"/>
      <c r="V380" s="345"/>
      <c r="W380" s="441"/>
      <c r="X380" s="345"/>
      <c r="Y380" s="345"/>
      <c r="Z380" s="345"/>
      <c r="AA380" s="345"/>
      <c r="AB380" s="345"/>
      <c r="AC380" s="345"/>
      <c r="AD380" s="345"/>
      <c r="AE380" s="345"/>
      <c r="AF380" s="345"/>
      <c r="AG380" s="345"/>
      <c r="AH380" s="345"/>
      <c r="AI380" s="345"/>
      <c r="AJ380" s="345"/>
      <c r="AK380" s="345"/>
      <c r="AL380" s="345"/>
      <c r="AM380" s="345"/>
      <c r="AN380" s="345"/>
      <c r="AO380" s="345"/>
      <c r="AP380" s="345"/>
      <c r="AQ380" s="345"/>
      <c r="AR380" s="345"/>
      <c r="AS380" s="345"/>
    </row>
    <row r="381" ht="13.5" customHeight="1">
      <c r="A381" s="436" t="str">
        <f>'Membership Application List'!A610</f>
        <v/>
      </c>
      <c r="B381" s="437" t="str">
        <f t="shared" si="6"/>
        <v/>
      </c>
      <c r="C381" s="437" t="str">
        <f t="shared" si="7"/>
        <v/>
      </c>
      <c r="D381" s="438" t="str">
        <f>'Membership Application List'!E610</f>
        <v/>
      </c>
      <c r="E381" s="438" t="b">
        <f>IF('Membership Application List'!J610 = "Food/Litter Donation", 0, IF('Membership Application List'!J610 = "$15 Donation, Discord Verification", IF('Membership Application List'!N610 = TRUE, 15, 0)))</f>
        <v>0</v>
      </c>
      <c r="F381" s="438">
        <f>if('Membership Application List'!K610=TRUE, 5,0)</f>
        <v>0</v>
      </c>
      <c r="G381" s="438">
        <f t="shared" si="8"/>
        <v>0</v>
      </c>
      <c r="H381" s="439" t="str">
        <f>'Membership Application List'!L610</f>
        <v/>
      </c>
      <c r="I381" s="345"/>
      <c r="J381" s="441"/>
      <c r="K381" s="345"/>
      <c r="L381" s="478"/>
      <c r="M381" s="345"/>
      <c r="N381" s="345"/>
      <c r="O381" s="345"/>
      <c r="P381" s="414"/>
      <c r="Q381" s="414"/>
      <c r="R381" s="414"/>
      <c r="S381" s="445"/>
      <c r="T381" s="445"/>
      <c r="U381" s="445"/>
      <c r="V381" s="345"/>
      <c r="W381" s="441"/>
      <c r="X381" s="345"/>
      <c r="Y381" s="345"/>
      <c r="Z381" s="345"/>
      <c r="AA381" s="345"/>
      <c r="AB381" s="345"/>
      <c r="AC381" s="345"/>
      <c r="AD381" s="345"/>
      <c r="AE381" s="345"/>
      <c r="AF381" s="345"/>
      <c r="AG381" s="345"/>
      <c r="AH381" s="345"/>
      <c r="AI381" s="345"/>
      <c r="AJ381" s="345"/>
      <c r="AK381" s="345"/>
      <c r="AL381" s="345"/>
      <c r="AM381" s="345"/>
      <c r="AN381" s="345"/>
      <c r="AO381" s="345"/>
      <c r="AP381" s="345"/>
      <c r="AQ381" s="345"/>
      <c r="AR381" s="345"/>
      <c r="AS381" s="345"/>
    </row>
    <row r="382" ht="13.5" customHeight="1">
      <c r="A382" s="424" t="str">
        <f>'Membership Application List'!A611</f>
        <v/>
      </c>
      <c r="B382" s="443" t="str">
        <f t="shared" si="6"/>
        <v/>
      </c>
      <c r="C382" s="443" t="str">
        <f t="shared" si="7"/>
        <v/>
      </c>
      <c r="D382" s="426" t="str">
        <f>'Membership Application List'!E611</f>
        <v/>
      </c>
      <c r="E382" s="426" t="b">
        <f>IF('Membership Application List'!J611 = "Food/Litter Donation", 0, IF('Membership Application List'!J611 = "$15 Donation, Discord Verification", IF('Membership Application List'!N611 = TRUE, 15, 0)))</f>
        <v>0</v>
      </c>
      <c r="F382" s="426">
        <f>if('Membership Application List'!K611=TRUE, 5,0)</f>
        <v>0</v>
      </c>
      <c r="G382" s="426">
        <f t="shared" si="8"/>
        <v>0</v>
      </c>
      <c r="H382" s="427" t="str">
        <f>'Membership Application List'!L611</f>
        <v/>
      </c>
      <c r="I382" s="345"/>
      <c r="J382" s="441"/>
      <c r="K382" s="345"/>
      <c r="L382" s="478"/>
      <c r="M382" s="345"/>
      <c r="N382" s="345"/>
      <c r="O382" s="345"/>
      <c r="P382" s="414"/>
      <c r="Q382" s="414"/>
      <c r="R382" s="414"/>
      <c r="S382" s="445"/>
      <c r="T382" s="445"/>
      <c r="U382" s="445"/>
      <c r="V382" s="345"/>
      <c r="W382" s="441"/>
      <c r="X382" s="345"/>
      <c r="Y382" s="345"/>
      <c r="Z382" s="345"/>
      <c r="AA382" s="345"/>
      <c r="AB382" s="345"/>
      <c r="AC382" s="345"/>
      <c r="AD382" s="345"/>
      <c r="AE382" s="345"/>
      <c r="AF382" s="345"/>
      <c r="AG382" s="345"/>
      <c r="AH382" s="345"/>
      <c r="AI382" s="345"/>
      <c r="AJ382" s="345"/>
      <c r="AK382" s="345"/>
      <c r="AL382" s="345"/>
      <c r="AM382" s="345"/>
      <c r="AN382" s="345"/>
      <c r="AO382" s="345"/>
      <c r="AP382" s="345"/>
      <c r="AQ382" s="345"/>
      <c r="AR382" s="345"/>
      <c r="AS382" s="345"/>
    </row>
    <row r="383" ht="13.5" customHeight="1">
      <c r="A383" s="436" t="str">
        <f>'Membership Application List'!A612</f>
        <v/>
      </c>
      <c r="B383" s="437" t="str">
        <f t="shared" si="6"/>
        <v/>
      </c>
      <c r="C383" s="437" t="str">
        <f t="shared" si="7"/>
        <v/>
      </c>
      <c r="D383" s="438" t="str">
        <f>'Membership Application List'!E612</f>
        <v/>
      </c>
      <c r="E383" s="438" t="b">
        <f>IF('Membership Application List'!J612 = "Food/Litter Donation", 0, IF('Membership Application List'!J612 = "$15 Donation, Discord Verification", IF('Membership Application List'!N612 = TRUE, 15, 0)))</f>
        <v>0</v>
      </c>
      <c r="F383" s="438">
        <f>if('Membership Application List'!K612=TRUE, 5,0)</f>
        <v>0</v>
      </c>
      <c r="G383" s="438">
        <f t="shared" si="8"/>
        <v>0</v>
      </c>
      <c r="H383" s="439" t="str">
        <f>'Membership Application List'!L612</f>
        <v/>
      </c>
      <c r="I383" s="345"/>
      <c r="J383" s="441"/>
      <c r="K383" s="345"/>
      <c r="L383" s="478"/>
      <c r="M383" s="345"/>
      <c r="N383" s="345"/>
      <c r="O383" s="345"/>
      <c r="P383" s="414"/>
      <c r="Q383" s="414"/>
      <c r="R383" s="414"/>
      <c r="S383" s="445"/>
      <c r="T383" s="445"/>
      <c r="U383" s="445"/>
      <c r="V383" s="345"/>
      <c r="W383" s="441"/>
      <c r="X383" s="345"/>
      <c r="Y383" s="345"/>
      <c r="Z383" s="345"/>
      <c r="AA383" s="345"/>
      <c r="AB383" s="345"/>
      <c r="AC383" s="345"/>
      <c r="AD383" s="345"/>
      <c r="AE383" s="345"/>
      <c r="AF383" s="345"/>
      <c r="AG383" s="345"/>
      <c r="AH383" s="345"/>
      <c r="AI383" s="345"/>
      <c r="AJ383" s="345"/>
      <c r="AK383" s="345"/>
      <c r="AL383" s="345"/>
      <c r="AM383" s="345"/>
      <c r="AN383" s="345"/>
      <c r="AO383" s="345"/>
      <c r="AP383" s="345"/>
      <c r="AQ383" s="345"/>
      <c r="AR383" s="345"/>
      <c r="AS383" s="345"/>
    </row>
    <row r="384" ht="13.5" customHeight="1">
      <c r="A384" s="424" t="str">
        <f>'Membership Application List'!A613</f>
        <v/>
      </c>
      <c r="B384" s="443" t="str">
        <f t="shared" si="6"/>
        <v/>
      </c>
      <c r="C384" s="443" t="str">
        <f t="shared" si="7"/>
        <v/>
      </c>
      <c r="D384" s="426" t="str">
        <f>'Membership Application List'!E613</f>
        <v/>
      </c>
      <c r="E384" s="426" t="b">
        <f>IF('Membership Application List'!J613 = "Food/Litter Donation", 0, IF('Membership Application List'!J613 = "$15 Donation, Discord Verification", IF('Membership Application List'!N613 = TRUE, 15, 0)))</f>
        <v>0</v>
      </c>
      <c r="F384" s="426">
        <f>if('Membership Application List'!K613=TRUE, 5,0)</f>
        <v>0</v>
      </c>
      <c r="G384" s="426">
        <f t="shared" si="8"/>
        <v>0</v>
      </c>
      <c r="H384" s="427" t="str">
        <f>'Membership Application List'!L613</f>
        <v/>
      </c>
      <c r="I384" s="345"/>
      <c r="J384" s="441"/>
      <c r="K384" s="345"/>
      <c r="L384" s="478"/>
      <c r="M384" s="345"/>
      <c r="N384" s="345"/>
      <c r="O384" s="345"/>
      <c r="P384" s="414"/>
      <c r="Q384" s="414"/>
      <c r="R384" s="414"/>
      <c r="S384" s="445"/>
      <c r="T384" s="445"/>
      <c r="U384" s="445"/>
      <c r="V384" s="345"/>
      <c r="W384" s="441"/>
      <c r="X384" s="345"/>
      <c r="Y384" s="345"/>
      <c r="Z384" s="345"/>
      <c r="AA384" s="345"/>
      <c r="AB384" s="345"/>
      <c r="AC384" s="345"/>
      <c r="AD384" s="345"/>
      <c r="AE384" s="345"/>
      <c r="AF384" s="345"/>
      <c r="AG384" s="345"/>
      <c r="AH384" s="345"/>
      <c r="AI384" s="345"/>
      <c r="AJ384" s="345"/>
      <c r="AK384" s="345"/>
      <c r="AL384" s="345"/>
      <c r="AM384" s="345"/>
      <c r="AN384" s="345"/>
      <c r="AO384" s="345"/>
      <c r="AP384" s="345"/>
      <c r="AQ384" s="345"/>
      <c r="AR384" s="345"/>
      <c r="AS384" s="345"/>
    </row>
    <row r="385" ht="13.5" customHeight="1">
      <c r="A385" s="436" t="str">
        <f>'Membership Application List'!A614</f>
        <v/>
      </c>
      <c r="B385" s="437" t="str">
        <f t="shared" si="6"/>
        <v/>
      </c>
      <c r="C385" s="437" t="str">
        <f t="shared" si="7"/>
        <v/>
      </c>
      <c r="D385" s="438" t="str">
        <f>'Membership Application List'!E614</f>
        <v/>
      </c>
      <c r="E385" s="438" t="b">
        <f>IF('Membership Application List'!J614 = "Food/Litter Donation", 0, IF('Membership Application List'!J614 = "$15 Donation, Discord Verification", IF('Membership Application List'!N614 = TRUE, 15, 0)))</f>
        <v>0</v>
      </c>
      <c r="F385" s="438">
        <f>if('Membership Application List'!K614=TRUE, 5,0)</f>
        <v>0</v>
      </c>
      <c r="G385" s="438">
        <f t="shared" si="8"/>
        <v>0</v>
      </c>
      <c r="H385" s="439" t="str">
        <f>'Membership Application List'!L614</f>
        <v/>
      </c>
      <c r="I385" s="345"/>
      <c r="J385" s="441"/>
      <c r="K385" s="345"/>
      <c r="L385" s="478"/>
      <c r="M385" s="345"/>
      <c r="N385" s="345"/>
      <c r="O385" s="345"/>
      <c r="P385" s="414"/>
      <c r="Q385" s="414"/>
      <c r="R385" s="414"/>
      <c r="S385" s="445"/>
      <c r="T385" s="445"/>
      <c r="U385" s="445"/>
      <c r="V385" s="345"/>
      <c r="W385" s="441"/>
      <c r="X385" s="345"/>
      <c r="Y385" s="345"/>
      <c r="Z385" s="345"/>
      <c r="AA385" s="345"/>
      <c r="AB385" s="345"/>
      <c r="AC385" s="345"/>
      <c r="AD385" s="345"/>
      <c r="AE385" s="345"/>
      <c r="AF385" s="345"/>
      <c r="AG385" s="345"/>
      <c r="AH385" s="345"/>
      <c r="AI385" s="345"/>
      <c r="AJ385" s="345"/>
      <c r="AK385" s="345"/>
      <c r="AL385" s="345"/>
      <c r="AM385" s="345"/>
      <c r="AN385" s="345"/>
      <c r="AO385" s="345"/>
      <c r="AP385" s="345"/>
      <c r="AQ385" s="345"/>
      <c r="AR385" s="345"/>
      <c r="AS385" s="345"/>
    </row>
    <row r="386" ht="13.5" customHeight="1">
      <c r="A386" s="424" t="str">
        <f>'Membership Application List'!A615</f>
        <v/>
      </c>
      <c r="B386" s="443" t="str">
        <f t="shared" si="6"/>
        <v/>
      </c>
      <c r="C386" s="443" t="str">
        <f t="shared" si="7"/>
        <v/>
      </c>
      <c r="D386" s="426" t="str">
        <f>'Membership Application List'!E615</f>
        <v/>
      </c>
      <c r="E386" s="426" t="b">
        <f>IF('Membership Application List'!J615 = "Food/Litter Donation", 0, IF('Membership Application List'!J615 = "$15 Donation, Discord Verification", IF('Membership Application List'!N615 = TRUE, 15, 0)))</f>
        <v>0</v>
      </c>
      <c r="F386" s="426">
        <f>if('Membership Application List'!K615=TRUE, 5,0)</f>
        <v>0</v>
      </c>
      <c r="G386" s="426">
        <f t="shared" si="8"/>
        <v>0</v>
      </c>
      <c r="H386" s="427" t="str">
        <f>'Membership Application List'!L615</f>
        <v/>
      </c>
      <c r="I386" s="345"/>
      <c r="J386" s="441"/>
      <c r="K386" s="345"/>
      <c r="L386" s="478"/>
      <c r="M386" s="345"/>
      <c r="N386" s="345"/>
      <c r="O386" s="345"/>
      <c r="P386" s="414"/>
      <c r="Q386" s="414"/>
      <c r="R386" s="414"/>
      <c r="S386" s="445"/>
      <c r="T386" s="445"/>
      <c r="U386" s="445"/>
      <c r="V386" s="345"/>
      <c r="W386" s="441"/>
      <c r="X386" s="345"/>
      <c r="Y386" s="345"/>
      <c r="Z386" s="345"/>
      <c r="AA386" s="345"/>
      <c r="AB386" s="345"/>
      <c r="AC386" s="345"/>
      <c r="AD386" s="345"/>
      <c r="AE386" s="345"/>
      <c r="AF386" s="345"/>
      <c r="AG386" s="345"/>
      <c r="AH386" s="345"/>
      <c r="AI386" s="345"/>
      <c r="AJ386" s="345"/>
      <c r="AK386" s="345"/>
      <c r="AL386" s="345"/>
      <c r="AM386" s="345"/>
      <c r="AN386" s="345"/>
      <c r="AO386" s="345"/>
      <c r="AP386" s="345"/>
      <c r="AQ386" s="345"/>
      <c r="AR386" s="345"/>
      <c r="AS386" s="345"/>
    </row>
    <row r="387" ht="13.5" customHeight="1">
      <c r="A387" s="436" t="str">
        <f>'Membership Application List'!A616</f>
        <v/>
      </c>
      <c r="B387" s="437" t="str">
        <f t="shared" si="6"/>
        <v/>
      </c>
      <c r="C387" s="437" t="str">
        <f t="shared" si="7"/>
        <v/>
      </c>
      <c r="D387" s="438" t="str">
        <f>'Membership Application List'!E616</f>
        <v/>
      </c>
      <c r="E387" s="438" t="b">
        <f>IF('Membership Application List'!J616 = "Food/Litter Donation", 0, IF('Membership Application List'!J616 = "$15 Donation, Discord Verification", IF('Membership Application List'!N616 = TRUE, 15, 0)))</f>
        <v>0</v>
      </c>
      <c r="F387" s="438">
        <f>if('Membership Application List'!K616=TRUE, 5,0)</f>
        <v>0</v>
      </c>
      <c r="G387" s="438">
        <f t="shared" si="8"/>
        <v>0</v>
      </c>
      <c r="H387" s="439" t="str">
        <f>'Membership Application List'!L616</f>
        <v/>
      </c>
      <c r="I387" s="345"/>
      <c r="J387" s="441"/>
      <c r="K387" s="345"/>
      <c r="L387" s="478"/>
      <c r="M387" s="345"/>
      <c r="N387" s="345"/>
      <c r="O387" s="345"/>
      <c r="P387" s="414"/>
      <c r="Q387" s="414"/>
      <c r="R387" s="414"/>
      <c r="S387" s="445"/>
      <c r="T387" s="445"/>
      <c r="U387" s="445"/>
      <c r="V387" s="345"/>
      <c r="W387" s="441"/>
      <c r="X387" s="345"/>
      <c r="Y387" s="345"/>
      <c r="Z387" s="345"/>
      <c r="AA387" s="345"/>
      <c r="AB387" s="345"/>
      <c r="AC387" s="345"/>
      <c r="AD387" s="345"/>
      <c r="AE387" s="345"/>
      <c r="AF387" s="345"/>
      <c r="AG387" s="345"/>
      <c r="AH387" s="345"/>
      <c r="AI387" s="345"/>
      <c r="AJ387" s="345"/>
      <c r="AK387" s="345"/>
      <c r="AL387" s="345"/>
      <c r="AM387" s="345"/>
      <c r="AN387" s="345"/>
      <c r="AO387" s="345"/>
      <c r="AP387" s="345"/>
      <c r="AQ387" s="345"/>
      <c r="AR387" s="345"/>
      <c r="AS387" s="345"/>
    </row>
    <row r="388" ht="13.5" customHeight="1">
      <c r="A388" s="424" t="str">
        <f>'Membership Application List'!A617</f>
        <v/>
      </c>
      <c r="B388" s="443" t="str">
        <f t="shared" si="6"/>
        <v/>
      </c>
      <c r="C388" s="443" t="str">
        <f t="shared" si="7"/>
        <v/>
      </c>
      <c r="D388" s="426" t="str">
        <f>'Membership Application List'!E617</f>
        <v/>
      </c>
      <c r="E388" s="426" t="b">
        <f>IF('Membership Application List'!J617 = "Food/Litter Donation", 0, IF('Membership Application List'!J617 = "$15 Donation, Discord Verification", IF('Membership Application List'!N617 = TRUE, 15, 0)))</f>
        <v>0</v>
      </c>
      <c r="F388" s="426">
        <f>if('Membership Application List'!K617=TRUE, 5,0)</f>
        <v>0</v>
      </c>
      <c r="G388" s="426">
        <f t="shared" si="8"/>
        <v>0</v>
      </c>
      <c r="H388" s="427" t="str">
        <f>'Membership Application List'!L617</f>
        <v/>
      </c>
      <c r="I388" s="345"/>
      <c r="J388" s="441"/>
      <c r="K388" s="345"/>
      <c r="L388" s="478"/>
      <c r="M388" s="345"/>
      <c r="N388" s="345"/>
      <c r="O388" s="345"/>
      <c r="P388" s="414"/>
      <c r="Q388" s="414"/>
      <c r="R388" s="414"/>
      <c r="S388" s="445"/>
      <c r="T388" s="445"/>
      <c r="U388" s="445"/>
      <c r="V388" s="345"/>
      <c r="W388" s="441"/>
      <c r="X388" s="345"/>
      <c r="Y388" s="345"/>
      <c r="Z388" s="345"/>
      <c r="AA388" s="345"/>
      <c r="AB388" s="345"/>
      <c r="AC388" s="345"/>
      <c r="AD388" s="345"/>
      <c r="AE388" s="345"/>
      <c r="AF388" s="345"/>
      <c r="AG388" s="345"/>
      <c r="AH388" s="345"/>
      <c r="AI388" s="345"/>
      <c r="AJ388" s="345"/>
      <c r="AK388" s="345"/>
      <c r="AL388" s="345"/>
      <c r="AM388" s="345"/>
      <c r="AN388" s="345"/>
      <c r="AO388" s="345"/>
      <c r="AP388" s="345"/>
      <c r="AQ388" s="345"/>
      <c r="AR388" s="345"/>
      <c r="AS388" s="345"/>
    </row>
    <row r="389" ht="13.5" customHeight="1">
      <c r="A389" s="436" t="str">
        <f>'Membership Application List'!A618</f>
        <v/>
      </c>
      <c r="B389" s="437" t="str">
        <f t="shared" si="6"/>
        <v/>
      </c>
      <c r="C389" s="437" t="str">
        <f t="shared" si="7"/>
        <v/>
      </c>
      <c r="D389" s="438" t="str">
        <f>'Membership Application List'!E618</f>
        <v/>
      </c>
      <c r="E389" s="438" t="b">
        <f>IF('Membership Application List'!J618 = "Food/Litter Donation", 0, IF('Membership Application List'!J618 = "$15 Donation, Discord Verification", IF('Membership Application List'!N618 = TRUE, 15, 0)))</f>
        <v>0</v>
      </c>
      <c r="F389" s="438">
        <f>if('Membership Application List'!K618=TRUE, 5,0)</f>
        <v>0</v>
      </c>
      <c r="G389" s="438">
        <f t="shared" si="8"/>
        <v>0</v>
      </c>
      <c r="H389" s="439" t="str">
        <f>'Membership Application List'!L618</f>
        <v/>
      </c>
      <c r="I389" s="345"/>
      <c r="J389" s="441"/>
      <c r="K389" s="345"/>
      <c r="L389" s="478"/>
      <c r="M389" s="345"/>
      <c r="N389" s="345"/>
      <c r="O389" s="345"/>
      <c r="P389" s="414"/>
      <c r="Q389" s="414"/>
      <c r="R389" s="414"/>
      <c r="S389" s="445"/>
      <c r="T389" s="445"/>
      <c r="U389" s="445"/>
      <c r="V389" s="345"/>
      <c r="W389" s="441"/>
      <c r="X389" s="345"/>
      <c r="Y389" s="345"/>
      <c r="Z389" s="345"/>
      <c r="AA389" s="345"/>
      <c r="AB389" s="345"/>
      <c r="AC389" s="345"/>
      <c r="AD389" s="345"/>
      <c r="AE389" s="345"/>
      <c r="AF389" s="345"/>
      <c r="AG389" s="345"/>
      <c r="AH389" s="345"/>
      <c r="AI389" s="345"/>
      <c r="AJ389" s="345"/>
      <c r="AK389" s="345"/>
      <c r="AL389" s="345"/>
      <c r="AM389" s="345"/>
      <c r="AN389" s="345"/>
      <c r="AO389" s="345"/>
      <c r="AP389" s="345"/>
      <c r="AQ389" s="345"/>
      <c r="AR389" s="345"/>
      <c r="AS389" s="345"/>
    </row>
    <row r="390" ht="13.5" customHeight="1">
      <c r="A390" s="424" t="str">
        <f>'Membership Application List'!A619</f>
        <v/>
      </c>
      <c r="B390" s="443" t="str">
        <f t="shared" si="6"/>
        <v/>
      </c>
      <c r="C390" s="443" t="str">
        <f t="shared" si="7"/>
        <v/>
      </c>
      <c r="D390" s="426" t="str">
        <f>'Membership Application List'!E619</f>
        <v/>
      </c>
      <c r="E390" s="426" t="b">
        <f>IF('Membership Application List'!J619 = "Food/Litter Donation", 0, IF('Membership Application List'!J619 = "$15 Donation, Discord Verification", IF('Membership Application List'!N619 = TRUE, 15, 0)))</f>
        <v>0</v>
      </c>
      <c r="F390" s="426">
        <f>if('Membership Application List'!K619=TRUE, 5,0)</f>
        <v>0</v>
      </c>
      <c r="G390" s="426">
        <f t="shared" si="8"/>
        <v>0</v>
      </c>
      <c r="H390" s="427" t="str">
        <f>'Membership Application List'!L619</f>
        <v/>
      </c>
      <c r="I390" s="345"/>
      <c r="J390" s="441"/>
      <c r="K390" s="345"/>
      <c r="L390" s="478"/>
      <c r="M390" s="345"/>
      <c r="N390" s="345"/>
      <c r="O390" s="345"/>
      <c r="P390" s="414"/>
      <c r="Q390" s="414"/>
      <c r="R390" s="414"/>
      <c r="S390" s="445"/>
      <c r="T390" s="445"/>
      <c r="U390" s="445"/>
      <c r="V390" s="345"/>
      <c r="W390" s="441"/>
      <c r="X390" s="345"/>
      <c r="Y390" s="345"/>
      <c r="Z390" s="345"/>
      <c r="AA390" s="345"/>
      <c r="AB390" s="345"/>
      <c r="AC390" s="345"/>
      <c r="AD390" s="345"/>
      <c r="AE390" s="345"/>
      <c r="AF390" s="345"/>
      <c r="AG390" s="345"/>
      <c r="AH390" s="345"/>
      <c r="AI390" s="345"/>
      <c r="AJ390" s="345"/>
      <c r="AK390" s="345"/>
      <c r="AL390" s="345"/>
      <c r="AM390" s="345"/>
      <c r="AN390" s="345"/>
      <c r="AO390" s="345"/>
      <c r="AP390" s="345"/>
      <c r="AQ390" s="345"/>
      <c r="AR390" s="345"/>
      <c r="AS390" s="345"/>
    </row>
    <row r="391" ht="13.5" customHeight="1">
      <c r="A391" s="436" t="str">
        <f>'Membership Application List'!A620</f>
        <v/>
      </c>
      <c r="B391" s="437" t="str">
        <f t="shared" si="6"/>
        <v/>
      </c>
      <c r="C391" s="437" t="str">
        <f t="shared" si="7"/>
        <v/>
      </c>
      <c r="D391" s="438" t="str">
        <f>'Membership Application List'!E620</f>
        <v/>
      </c>
      <c r="E391" s="438" t="b">
        <f>IF('Membership Application List'!J620 = "Food/Litter Donation", 0, IF('Membership Application List'!J620 = "$15 Donation, Discord Verification", IF('Membership Application List'!N620 = TRUE, 15, 0)))</f>
        <v>0</v>
      </c>
      <c r="F391" s="438">
        <f>if('Membership Application List'!K620=TRUE, 5,0)</f>
        <v>0</v>
      </c>
      <c r="G391" s="438">
        <f t="shared" si="8"/>
        <v>0</v>
      </c>
      <c r="H391" s="439" t="str">
        <f>'Membership Application List'!L620</f>
        <v/>
      </c>
      <c r="I391" s="345"/>
      <c r="J391" s="441"/>
      <c r="K391" s="345"/>
      <c r="L391" s="478"/>
      <c r="M391" s="345"/>
      <c r="N391" s="345"/>
      <c r="O391" s="345"/>
      <c r="P391" s="414"/>
      <c r="Q391" s="414"/>
      <c r="R391" s="414"/>
      <c r="S391" s="445"/>
      <c r="T391" s="445"/>
      <c r="U391" s="445"/>
      <c r="V391" s="345"/>
      <c r="W391" s="441"/>
      <c r="X391" s="345"/>
      <c r="Y391" s="345"/>
      <c r="Z391" s="345"/>
      <c r="AA391" s="345"/>
      <c r="AB391" s="345"/>
      <c r="AC391" s="345"/>
      <c r="AD391" s="345"/>
      <c r="AE391" s="345"/>
      <c r="AF391" s="345"/>
      <c r="AG391" s="345"/>
      <c r="AH391" s="345"/>
      <c r="AI391" s="345"/>
      <c r="AJ391" s="345"/>
      <c r="AK391" s="345"/>
      <c r="AL391" s="345"/>
      <c r="AM391" s="345"/>
      <c r="AN391" s="345"/>
      <c r="AO391" s="345"/>
      <c r="AP391" s="345"/>
      <c r="AQ391" s="345"/>
      <c r="AR391" s="345"/>
      <c r="AS391" s="345"/>
    </row>
    <row r="392" ht="13.5" customHeight="1">
      <c r="A392" s="424" t="str">
        <f>'Membership Application List'!A621</f>
        <v/>
      </c>
      <c r="B392" s="443" t="str">
        <f t="shared" si="6"/>
        <v/>
      </c>
      <c r="C392" s="443" t="str">
        <f t="shared" si="7"/>
        <v/>
      </c>
      <c r="D392" s="426" t="str">
        <f>'Membership Application List'!E621</f>
        <v/>
      </c>
      <c r="E392" s="426" t="b">
        <f>IF('Membership Application List'!J621 = "Food/Litter Donation", 0, IF('Membership Application List'!J621 = "$15 Donation, Discord Verification", IF('Membership Application List'!N621 = TRUE, 15, 0)))</f>
        <v>0</v>
      </c>
      <c r="F392" s="426">
        <f>if('Membership Application List'!K621=TRUE, 5,0)</f>
        <v>0</v>
      </c>
      <c r="G392" s="426">
        <f t="shared" si="8"/>
        <v>0</v>
      </c>
      <c r="H392" s="427" t="str">
        <f>'Membership Application List'!L621</f>
        <v/>
      </c>
      <c r="I392" s="345"/>
      <c r="J392" s="441"/>
      <c r="K392" s="345"/>
      <c r="L392" s="478"/>
      <c r="M392" s="345"/>
      <c r="N392" s="345"/>
      <c r="O392" s="345"/>
      <c r="P392" s="414"/>
      <c r="Q392" s="414"/>
      <c r="R392" s="414"/>
      <c r="S392" s="445"/>
      <c r="T392" s="445"/>
      <c r="U392" s="445"/>
      <c r="V392" s="345"/>
      <c r="W392" s="441"/>
      <c r="X392" s="345"/>
      <c r="Y392" s="345"/>
      <c r="Z392" s="345"/>
      <c r="AA392" s="345"/>
      <c r="AB392" s="345"/>
      <c r="AC392" s="345"/>
      <c r="AD392" s="345"/>
      <c r="AE392" s="345"/>
      <c r="AF392" s="345"/>
      <c r="AG392" s="345"/>
      <c r="AH392" s="345"/>
      <c r="AI392" s="345"/>
      <c r="AJ392" s="345"/>
      <c r="AK392" s="345"/>
      <c r="AL392" s="345"/>
      <c r="AM392" s="345"/>
      <c r="AN392" s="345"/>
      <c r="AO392" s="345"/>
      <c r="AP392" s="345"/>
      <c r="AQ392" s="345"/>
      <c r="AR392" s="345"/>
      <c r="AS392" s="345"/>
    </row>
    <row r="393" ht="13.5" customHeight="1">
      <c r="A393" s="436" t="str">
        <f>'Membership Application List'!A622</f>
        <v/>
      </c>
      <c r="B393" s="437" t="str">
        <f t="shared" si="6"/>
        <v/>
      </c>
      <c r="C393" s="437" t="str">
        <f t="shared" si="7"/>
        <v/>
      </c>
      <c r="D393" s="438" t="str">
        <f>'Membership Application List'!E622</f>
        <v/>
      </c>
      <c r="E393" s="438" t="b">
        <f>IF('Membership Application List'!J622 = "Food/Litter Donation", 0, IF('Membership Application List'!J622 = "$15 Donation, Discord Verification", IF('Membership Application List'!N622 = TRUE, 15, 0)))</f>
        <v>0</v>
      </c>
      <c r="F393" s="438">
        <f>if('Membership Application List'!K622=TRUE, 5,0)</f>
        <v>0</v>
      </c>
      <c r="G393" s="438">
        <f t="shared" si="8"/>
        <v>0</v>
      </c>
      <c r="H393" s="439" t="str">
        <f>'Membership Application List'!L622</f>
        <v/>
      </c>
      <c r="I393" s="345"/>
      <c r="J393" s="441"/>
      <c r="K393" s="345"/>
      <c r="L393" s="478"/>
      <c r="M393" s="345"/>
      <c r="N393" s="345"/>
      <c r="O393" s="345"/>
      <c r="P393" s="414"/>
      <c r="Q393" s="414"/>
      <c r="R393" s="414"/>
      <c r="S393" s="445"/>
      <c r="T393" s="445"/>
      <c r="U393" s="445"/>
      <c r="V393" s="345"/>
      <c r="W393" s="441"/>
      <c r="X393" s="345"/>
      <c r="Y393" s="345"/>
      <c r="Z393" s="345"/>
      <c r="AA393" s="345"/>
      <c r="AB393" s="345"/>
      <c r="AC393" s="345"/>
      <c r="AD393" s="345"/>
      <c r="AE393" s="345"/>
      <c r="AF393" s="345"/>
      <c r="AG393" s="345"/>
      <c r="AH393" s="345"/>
      <c r="AI393" s="345"/>
      <c r="AJ393" s="345"/>
      <c r="AK393" s="345"/>
      <c r="AL393" s="345"/>
      <c r="AM393" s="345"/>
      <c r="AN393" s="345"/>
      <c r="AO393" s="345"/>
      <c r="AP393" s="345"/>
      <c r="AQ393" s="345"/>
      <c r="AR393" s="345"/>
      <c r="AS393" s="345"/>
    </row>
    <row r="394" ht="13.5" customHeight="1">
      <c r="A394" s="424" t="str">
        <f>'Membership Application List'!A623</f>
        <v/>
      </c>
      <c r="B394" s="443" t="str">
        <f t="shared" si="6"/>
        <v/>
      </c>
      <c r="C394" s="443" t="str">
        <f t="shared" si="7"/>
        <v/>
      </c>
      <c r="D394" s="426" t="str">
        <f>'Membership Application List'!E623</f>
        <v/>
      </c>
      <c r="E394" s="426" t="b">
        <f>IF('Membership Application List'!J623 = "Food/Litter Donation", 0, IF('Membership Application List'!J623 = "$15 Donation, Discord Verification", IF('Membership Application List'!N623 = TRUE, 15, 0)))</f>
        <v>0</v>
      </c>
      <c r="F394" s="426">
        <f>if('Membership Application List'!K623=TRUE, 5,0)</f>
        <v>0</v>
      </c>
      <c r="G394" s="426">
        <f t="shared" si="8"/>
        <v>0</v>
      </c>
      <c r="H394" s="427" t="str">
        <f>'Membership Application List'!L623</f>
        <v/>
      </c>
      <c r="I394" s="345"/>
      <c r="J394" s="441"/>
      <c r="K394" s="345"/>
      <c r="L394" s="478"/>
      <c r="M394" s="345"/>
      <c r="N394" s="345"/>
      <c r="O394" s="345"/>
      <c r="P394" s="414"/>
      <c r="Q394" s="414"/>
      <c r="R394" s="414"/>
      <c r="S394" s="445"/>
      <c r="T394" s="445"/>
      <c r="U394" s="445"/>
      <c r="V394" s="345"/>
      <c r="W394" s="441"/>
      <c r="X394" s="345"/>
      <c r="Y394" s="345"/>
      <c r="Z394" s="345"/>
      <c r="AA394" s="345"/>
      <c r="AB394" s="345"/>
      <c r="AC394" s="345"/>
      <c r="AD394" s="345"/>
      <c r="AE394" s="345"/>
      <c r="AF394" s="345"/>
      <c r="AG394" s="345"/>
      <c r="AH394" s="345"/>
      <c r="AI394" s="345"/>
      <c r="AJ394" s="345"/>
      <c r="AK394" s="345"/>
      <c r="AL394" s="345"/>
      <c r="AM394" s="345"/>
      <c r="AN394" s="345"/>
      <c r="AO394" s="345"/>
      <c r="AP394" s="345"/>
      <c r="AQ394" s="345"/>
      <c r="AR394" s="345"/>
      <c r="AS394" s="345"/>
    </row>
    <row r="395" ht="13.5" customHeight="1">
      <c r="A395" s="436" t="str">
        <f>'Membership Application List'!A624</f>
        <v/>
      </c>
      <c r="B395" s="437" t="str">
        <f t="shared" si="6"/>
        <v/>
      </c>
      <c r="C395" s="437" t="str">
        <f t="shared" si="7"/>
        <v/>
      </c>
      <c r="D395" s="438" t="str">
        <f>'Membership Application List'!E624</f>
        <v/>
      </c>
      <c r="E395" s="438" t="b">
        <f>IF('Membership Application List'!J624 = "Food/Litter Donation", 0, IF('Membership Application List'!J624 = "$15 Donation, Discord Verification", IF('Membership Application List'!N624 = TRUE, 15, 0)))</f>
        <v>0</v>
      </c>
      <c r="F395" s="438">
        <f>if('Membership Application List'!K624=TRUE, 5,0)</f>
        <v>0</v>
      </c>
      <c r="G395" s="438">
        <f t="shared" si="8"/>
        <v>0</v>
      </c>
      <c r="H395" s="439" t="str">
        <f>'Membership Application List'!L624</f>
        <v/>
      </c>
      <c r="I395" s="345"/>
      <c r="J395" s="441"/>
      <c r="K395" s="345"/>
      <c r="L395" s="478"/>
      <c r="M395" s="345"/>
      <c r="N395" s="345"/>
      <c r="O395" s="345"/>
      <c r="P395" s="414"/>
      <c r="Q395" s="414"/>
      <c r="R395" s="414"/>
      <c r="S395" s="445"/>
      <c r="T395" s="445"/>
      <c r="U395" s="445"/>
      <c r="V395" s="345"/>
      <c r="W395" s="441"/>
      <c r="X395" s="345"/>
      <c r="Y395" s="345"/>
      <c r="Z395" s="345"/>
      <c r="AA395" s="345"/>
      <c r="AB395" s="345"/>
      <c r="AC395" s="345"/>
      <c r="AD395" s="345"/>
      <c r="AE395" s="345"/>
      <c r="AF395" s="345"/>
      <c r="AG395" s="345"/>
      <c r="AH395" s="345"/>
      <c r="AI395" s="345"/>
      <c r="AJ395" s="345"/>
      <c r="AK395" s="345"/>
      <c r="AL395" s="345"/>
      <c r="AM395" s="345"/>
      <c r="AN395" s="345"/>
      <c r="AO395" s="345"/>
      <c r="AP395" s="345"/>
      <c r="AQ395" s="345"/>
      <c r="AR395" s="345"/>
      <c r="AS395" s="345"/>
    </row>
    <row r="396" ht="13.5" customHeight="1">
      <c r="A396" s="424" t="str">
        <f>'Membership Application List'!A625</f>
        <v/>
      </c>
      <c r="B396" s="443" t="str">
        <f t="shared" si="6"/>
        <v/>
      </c>
      <c r="C396" s="443" t="str">
        <f t="shared" si="7"/>
        <v/>
      </c>
      <c r="D396" s="426" t="str">
        <f>'Membership Application List'!E625</f>
        <v/>
      </c>
      <c r="E396" s="426" t="b">
        <f>IF('Membership Application List'!J625 = "Food/Litter Donation", 0, IF('Membership Application List'!J625 = "$15 Donation, Discord Verification", IF('Membership Application List'!N625 = TRUE, 15, 0)))</f>
        <v>0</v>
      </c>
      <c r="F396" s="426">
        <f>if('Membership Application List'!K625=TRUE, 5,0)</f>
        <v>0</v>
      </c>
      <c r="G396" s="426">
        <f t="shared" si="8"/>
        <v>0</v>
      </c>
      <c r="H396" s="427" t="str">
        <f>'Membership Application List'!L625</f>
        <v/>
      </c>
      <c r="I396" s="345"/>
      <c r="J396" s="441"/>
      <c r="K396" s="345"/>
      <c r="L396" s="478"/>
      <c r="M396" s="345"/>
      <c r="N396" s="345"/>
      <c r="O396" s="345"/>
      <c r="P396" s="414"/>
      <c r="Q396" s="414"/>
      <c r="R396" s="414"/>
      <c r="S396" s="445"/>
      <c r="T396" s="445"/>
      <c r="U396" s="445"/>
      <c r="V396" s="345"/>
      <c r="W396" s="441"/>
      <c r="X396" s="345"/>
      <c r="Y396" s="345"/>
      <c r="Z396" s="345"/>
      <c r="AA396" s="345"/>
      <c r="AB396" s="345"/>
      <c r="AC396" s="345"/>
      <c r="AD396" s="345"/>
      <c r="AE396" s="345"/>
      <c r="AF396" s="345"/>
      <c r="AG396" s="345"/>
      <c r="AH396" s="345"/>
      <c r="AI396" s="345"/>
      <c r="AJ396" s="345"/>
      <c r="AK396" s="345"/>
      <c r="AL396" s="345"/>
      <c r="AM396" s="345"/>
      <c r="AN396" s="345"/>
      <c r="AO396" s="345"/>
      <c r="AP396" s="345"/>
      <c r="AQ396" s="345"/>
      <c r="AR396" s="345"/>
      <c r="AS396" s="345"/>
    </row>
    <row r="397" ht="13.5" customHeight="1">
      <c r="A397" s="436" t="str">
        <f>'Membership Application List'!A626</f>
        <v/>
      </c>
      <c r="B397" s="437" t="str">
        <f t="shared" si="6"/>
        <v/>
      </c>
      <c r="C397" s="437" t="str">
        <f t="shared" si="7"/>
        <v/>
      </c>
      <c r="D397" s="438" t="str">
        <f>'Membership Application List'!E626</f>
        <v/>
      </c>
      <c r="E397" s="438" t="b">
        <f>IF('Membership Application List'!J626 = "Food/Litter Donation", 0, IF('Membership Application List'!J626 = "$15 Donation, Discord Verification", IF('Membership Application List'!N626 = TRUE, 15, 0)))</f>
        <v>0</v>
      </c>
      <c r="F397" s="438">
        <f>if('Membership Application List'!K626=TRUE, 5,0)</f>
        <v>0</v>
      </c>
      <c r="G397" s="438">
        <f t="shared" si="8"/>
        <v>0</v>
      </c>
      <c r="H397" s="439" t="str">
        <f>'Membership Application List'!L626</f>
        <v/>
      </c>
      <c r="I397" s="345"/>
      <c r="J397" s="441"/>
      <c r="K397" s="345"/>
      <c r="L397" s="478"/>
      <c r="M397" s="345"/>
      <c r="N397" s="345"/>
      <c r="O397" s="345"/>
      <c r="P397" s="414"/>
      <c r="Q397" s="414"/>
      <c r="R397" s="414"/>
      <c r="S397" s="445"/>
      <c r="T397" s="445"/>
      <c r="U397" s="445"/>
      <c r="V397" s="345"/>
      <c r="W397" s="441"/>
      <c r="X397" s="345"/>
      <c r="Y397" s="345"/>
      <c r="Z397" s="345"/>
      <c r="AA397" s="345"/>
      <c r="AB397" s="345"/>
      <c r="AC397" s="345"/>
      <c r="AD397" s="345"/>
      <c r="AE397" s="345"/>
      <c r="AF397" s="345"/>
      <c r="AG397" s="345"/>
      <c r="AH397" s="345"/>
      <c r="AI397" s="345"/>
      <c r="AJ397" s="345"/>
      <c r="AK397" s="345"/>
      <c r="AL397" s="345"/>
      <c r="AM397" s="345"/>
      <c r="AN397" s="345"/>
      <c r="AO397" s="345"/>
      <c r="AP397" s="345"/>
      <c r="AQ397" s="345"/>
      <c r="AR397" s="345"/>
      <c r="AS397" s="345"/>
    </row>
    <row r="398" ht="13.5" customHeight="1">
      <c r="A398" s="424" t="str">
        <f>'Membership Application List'!A627</f>
        <v/>
      </c>
      <c r="B398" s="443" t="str">
        <f t="shared" si="6"/>
        <v/>
      </c>
      <c r="C398" s="443" t="str">
        <f t="shared" si="7"/>
        <v/>
      </c>
      <c r="D398" s="426" t="str">
        <f>'Membership Application List'!E627</f>
        <v/>
      </c>
      <c r="E398" s="426" t="b">
        <f>IF('Membership Application List'!J627 = "Food/Litter Donation", 0, IF('Membership Application List'!J627 = "$15 Donation, Discord Verification", IF('Membership Application List'!N627 = TRUE, 15, 0)))</f>
        <v>0</v>
      </c>
      <c r="F398" s="426">
        <f>if('Membership Application List'!K627=TRUE, 5,0)</f>
        <v>0</v>
      </c>
      <c r="G398" s="426">
        <f t="shared" si="8"/>
        <v>0</v>
      </c>
      <c r="H398" s="427" t="str">
        <f>'Membership Application List'!L627</f>
        <v/>
      </c>
      <c r="I398" s="345"/>
      <c r="J398" s="441"/>
      <c r="K398" s="345"/>
      <c r="L398" s="478"/>
      <c r="M398" s="345"/>
      <c r="N398" s="345"/>
      <c r="O398" s="345"/>
      <c r="P398" s="414"/>
      <c r="Q398" s="414"/>
      <c r="R398" s="414"/>
      <c r="S398" s="445"/>
      <c r="T398" s="445"/>
      <c r="U398" s="445"/>
      <c r="V398" s="345"/>
      <c r="W398" s="441"/>
      <c r="X398" s="345"/>
      <c r="Y398" s="345"/>
      <c r="Z398" s="345"/>
      <c r="AA398" s="345"/>
      <c r="AB398" s="345"/>
      <c r="AC398" s="345"/>
      <c r="AD398" s="345"/>
      <c r="AE398" s="345"/>
      <c r="AF398" s="345"/>
      <c r="AG398" s="345"/>
      <c r="AH398" s="345"/>
      <c r="AI398" s="345"/>
      <c r="AJ398" s="345"/>
      <c r="AK398" s="345"/>
      <c r="AL398" s="345"/>
      <c r="AM398" s="345"/>
      <c r="AN398" s="345"/>
      <c r="AO398" s="345"/>
      <c r="AP398" s="345"/>
      <c r="AQ398" s="345"/>
      <c r="AR398" s="345"/>
      <c r="AS398" s="345"/>
    </row>
    <row r="399" ht="13.5" customHeight="1">
      <c r="A399" s="436" t="str">
        <f>'Membership Application List'!A628</f>
        <v/>
      </c>
      <c r="B399" s="437" t="str">
        <f t="shared" si="6"/>
        <v/>
      </c>
      <c r="C399" s="437" t="str">
        <f t="shared" si="7"/>
        <v/>
      </c>
      <c r="D399" s="438" t="str">
        <f>'Membership Application List'!E628</f>
        <v/>
      </c>
      <c r="E399" s="438" t="b">
        <f>IF('Membership Application List'!J628 = "Food/Litter Donation", 0, IF('Membership Application List'!J628 = "$15 Donation, Discord Verification", IF('Membership Application List'!N628 = TRUE, 15, 0)))</f>
        <v>0</v>
      </c>
      <c r="F399" s="438">
        <f>if('Membership Application List'!K628=TRUE, 5,0)</f>
        <v>0</v>
      </c>
      <c r="G399" s="438">
        <f t="shared" si="8"/>
        <v>0</v>
      </c>
      <c r="H399" s="439" t="str">
        <f>'Membership Application List'!L628</f>
        <v/>
      </c>
      <c r="I399" s="345"/>
      <c r="J399" s="441"/>
      <c r="K399" s="345"/>
      <c r="L399" s="478"/>
      <c r="M399" s="345"/>
      <c r="N399" s="345"/>
      <c r="O399" s="345"/>
      <c r="P399" s="414"/>
      <c r="Q399" s="414"/>
      <c r="R399" s="414"/>
      <c r="S399" s="445"/>
      <c r="T399" s="445"/>
      <c r="U399" s="445"/>
      <c r="V399" s="345"/>
      <c r="W399" s="441"/>
      <c r="X399" s="345"/>
      <c r="Y399" s="345"/>
      <c r="Z399" s="345"/>
      <c r="AA399" s="345"/>
      <c r="AB399" s="345"/>
      <c r="AC399" s="345"/>
      <c r="AD399" s="345"/>
      <c r="AE399" s="345"/>
      <c r="AF399" s="345"/>
      <c r="AG399" s="345"/>
      <c r="AH399" s="345"/>
      <c r="AI399" s="345"/>
      <c r="AJ399" s="345"/>
      <c r="AK399" s="345"/>
      <c r="AL399" s="345"/>
      <c r="AM399" s="345"/>
      <c r="AN399" s="345"/>
      <c r="AO399" s="345"/>
      <c r="AP399" s="345"/>
      <c r="AQ399" s="345"/>
      <c r="AR399" s="345"/>
      <c r="AS399" s="345"/>
    </row>
    <row r="400" ht="13.5" customHeight="1">
      <c r="A400" s="424" t="str">
        <f>'Membership Application List'!A629</f>
        <v/>
      </c>
      <c r="B400" s="443" t="str">
        <f t="shared" si="6"/>
        <v/>
      </c>
      <c r="C400" s="443" t="str">
        <f t="shared" si="7"/>
        <v/>
      </c>
      <c r="D400" s="426" t="str">
        <f>'Membership Application List'!E629</f>
        <v/>
      </c>
      <c r="E400" s="426" t="b">
        <f>IF('Membership Application List'!J629 = "Food/Litter Donation", 0, IF('Membership Application List'!J629 = "$15 Donation, Discord Verification", IF('Membership Application List'!N629 = TRUE, 15, 0)))</f>
        <v>0</v>
      </c>
      <c r="F400" s="426">
        <f>if('Membership Application List'!K629=TRUE, 5,0)</f>
        <v>0</v>
      </c>
      <c r="G400" s="426">
        <f t="shared" si="8"/>
        <v>0</v>
      </c>
      <c r="H400" s="427" t="str">
        <f>'Membership Application List'!L629</f>
        <v/>
      </c>
      <c r="I400" s="345"/>
      <c r="J400" s="441"/>
      <c r="K400" s="345"/>
      <c r="L400" s="478"/>
      <c r="M400" s="345"/>
      <c r="N400" s="345"/>
      <c r="O400" s="345"/>
      <c r="P400" s="414"/>
      <c r="Q400" s="414"/>
      <c r="R400" s="414"/>
      <c r="S400" s="445"/>
      <c r="T400" s="445"/>
      <c r="U400" s="445"/>
      <c r="V400" s="345"/>
      <c r="W400" s="441"/>
      <c r="X400" s="345"/>
      <c r="Y400" s="345"/>
      <c r="Z400" s="345"/>
      <c r="AA400" s="345"/>
      <c r="AB400" s="345"/>
      <c r="AC400" s="345"/>
      <c r="AD400" s="345"/>
      <c r="AE400" s="345"/>
      <c r="AF400" s="345"/>
      <c r="AG400" s="345"/>
      <c r="AH400" s="345"/>
      <c r="AI400" s="345"/>
      <c r="AJ400" s="345"/>
      <c r="AK400" s="345"/>
      <c r="AL400" s="345"/>
      <c r="AM400" s="345"/>
      <c r="AN400" s="345"/>
      <c r="AO400" s="345"/>
      <c r="AP400" s="345"/>
      <c r="AQ400" s="345"/>
      <c r="AR400" s="345"/>
      <c r="AS400" s="345"/>
    </row>
    <row r="401" ht="13.5" customHeight="1">
      <c r="A401" s="436" t="str">
        <f>'Membership Application List'!A630</f>
        <v/>
      </c>
      <c r="B401" s="437" t="str">
        <f t="shared" si="6"/>
        <v/>
      </c>
      <c r="C401" s="437" t="str">
        <f t="shared" si="7"/>
        <v/>
      </c>
      <c r="D401" s="438" t="str">
        <f>'Membership Application List'!E630</f>
        <v/>
      </c>
      <c r="E401" s="438" t="b">
        <f>IF('Membership Application List'!J630 = "Food/Litter Donation", 0, IF('Membership Application List'!J630 = "$15 Donation, Discord Verification", IF('Membership Application List'!N630 = TRUE, 15, 0)))</f>
        <v>0</v>
      </c>
      <c r="F401" s="438">
        <f>if('Membership Application List'!K630=TRUE, 5,0)</f>
        <v>0</v>
      </c>
      <c r="G401" s="438">
        <f t="shared" si="8"/>
        <v>0</v>
      </c>
      <c r="H401" s="439" t="str">
        <f>'Membership Application List'!L630</f>
        <v/>
      </c>
      <c r="I401" s="345"/>
      <c r="J401" s="441"/>
      <c r="K401" s="345"/>
      <c r="L401" s="478"/>
      <c r="M401" s="345"/>
      <c r="N401" s="345"/>
      <c r="O401" s="345"/>
      <c r="P401" s="414"/>
      <c r="Q401" s="414"/>
      <c r="R401" s="414"/>
      <c r="S401" s="445"/>
      <c r="T401" s="445"/>
      <c r="U401" s="445"/>
      <c r="V401" s="345"/>
      <c r="W401" s="441"/>
      <c r="X401" s="345"/>
      <c r="Y401" s="345"/>
      <c r="Z401" s="345"/>
      <c r="AA401" s="345"/>
      <c r="AB401" s="345"/>
      <c r="AC401" s="345"/>
      <c r="AD401" s="345"/>
      <c r="AE401" s="345"/>
      <c r="AF401" s="345"/>
      <c r="AG401" s="345"/>
      <c r="AH401" s="345"/>
      <c r="AI401" s="345"/>
      <c r="AJ401" s="345"/>
      <c r="AK401" s="345"/>
      <c r="AL401" s="345"/>
      <c r="AM401" s="345"/>
      <c r="AN401" s="345"/>
      <c r="AO401" s="345"/>
      <c r="AP401" s="345"/>
      <c r="AQ401" s="345"/>
      <c r="AR401" s="345"/>
      <c r="AS401" s="345"/>
    </row>
    <row r="402" ht="13.5" customHeight="1">
      <c r="A402" s="424" t="str">
        <f>'Membership Application List'!A631</f>
        <v/>
      </c>
      <c r="B402" s="443" t="str">
        <f t="shared" si="6"/>
        <v/>
      </c>
      <c r="C402" s="443" t="str">
        <f t="shared" si="7"/>
        <v/>
      </c>
      <c r="D402" s="426" t="str">
        <f>'Membership Application List'!E631</f>
        <v/>
      </c>
      <c r="E402" s="426" t="b">
        <f>IF('Membership Application List'!J631 = "Food/Litter Donation", 0, IF('Membership Application List'!J631 = "$15 Donation, Discord Verification", IF('Membership Application List'!N631 = TRUE, 15, 0)))</f>
        <v>0</v>
      </c>
      <c r="F402" s="426">
        <f>if('Membership Application List'!K631=TRUE, 5,0)</f>
        <v>0</v>
      </c>
      <c r="G402" s="426">
        <f t="shared" si="8"/>
        <v>0</v>
      </c>
      <c r="H402" s="427" t="str">
        <f>'Membership Application List'!L631</f>
        <v/>
      </c>
      <c r="I402" s="345"/>
      <c r="J402" s="441"/>
      <c r="K402" s="345"/>
      <c r="L402" s="478"/>
      <c r="M402" s="345"/>
      <c r="N402" s="345"/>
      <c r="O402" s="345"/>
      <c r="P402" s="414"/>
      <c r="Q402" s="414"/>
      <c r="R402" s="414"/>
      <c r="S402" s="445"/>
      <c r="T402" s="445"/>
      <c r="U402" s="445"/>
      <c r="V402" s="345"/>
      <c r="W402" s="441"/>
      <c r="X402" s="345"/>
      <c r="Y402" s="345"/>
      <c r="Z402" s="345"/>
      <c r="AA402" s="345"/>
      <c r="AB402" s="345"/>
      <c r="AC402" s="345"/>
      <c r="AD402" s="345"/>
      <c r="AE402" s="345"/>
      <c r="AF402" s="345"/>
      <c r="AG402" s="345"/>
      <c r="AH402" s="345"/>
      <c r="AI402" s="345"/>
      <c r="AJ402" s="345"/>
      <c r="AK402" s="345"/>
      <c r="AL402" s="345"/>
      <c r="AM402" s="345"/>
      <c r="AN402" s="345"/>
      <c r="AO402" s="345"/>
      <c r="AP402" s="345"/>
      <c r="AQ402" s="345"/>
      <c r="AR402" s="345"/>
      <c r="AS402" s="345"/>
    </row>
    <row r="403" ht="13.5" customHeight="1">
      <c r="A403" s="436" t="str">
        <f>'Membership Application List'!A632</f>
        <v/>
      </c>
      <c r="B403" s="437" t="str">
        <f t="shared" si="6"/>
        <v/>
      </c>
      <c r="C403" s="437" t="str">
        <f t="shared" si="7"/>
        <v/>
      </c>
      <c r="D403" s="438" t="str">
        <f>'Membership Application List'!E632</f>
        <v/>
      </c>
      <c r="E403" s="438" t="b">
        <f>IF('Membership Application List'!J632 = "Food/Litter Donation", 0, IF('Membership Application List'!J632 = "$15 Donation, Discord Verification", IF('Membership Application List'!N632 = TRUE, 15, 0)))</f>
        <v>0</v>
      </c>
      <c r="F403" s="438">
        <f>if('Membership Application List'!K632=TRUE, 5,0)</f>
        <v>0</v>
      </c>
      <c r="G403" s="438">
        <f t="shared" si="8"/>
        <v>0</v>
      </c>
      <c r="H403" s="439" t="str">
        <f>'Membership Application List'!L632</f>
        <v/>
      </c>
      <c r="I403" s="345"/>
      <c r="J403" s="441"/>
      <c r="K403" s="345"/>
      <c r="L403" s="478"/>
      <c r="M403" s="345"/>
      <c r="N403" s="345"/>
      <c r="O403" s="345"/>
      <c r="P403" s="414"/>
      <c r="Q403" s="414"/>
      <c r="R403" s="414"/>
      <c r="S403" s="445"/>
      <c r="T403" s="445"/>
      <c r="U403" s="445"/>
      <c r="V403" s="345"/>
      <c r="W403" s="441"/>
      <c r="X403" s="345"/>
      <c r="Y403" s="345"/>
      <c r="Z403" s="345"/>
      <c r="AA403" s="345"/>
      <c r="AB403" s="345"/>
      <c r="AC403" s="345"/>
      <c r="AD403" s="345"/>
      <c r="AE403" s="345"/>
      <c r="AF403" s="345"/>
      <c r="AG403" s="345"/>
      <c r="AH403" s="345"/>
      <c r="AI403" s="345"/>
      <c r="AJ403" s="345"/>
      <c r="AK403" s="345"/>
      <c r="AL403" s="345"/>
      <c r="AM403" s="345"/>
      <c r="AN403" s="345"/>
      <c r="AO403" s="345"/>
      <c r="AP403" s="345"/>
      <c r="AQ403" s="345"/>
      <c r="AR403" s="345"/>
      <c r="AS403" s="345"/>
    </row>
    <row r="404" ht="13.5" customHeight="1">
      <c r="A404" s="424" t="str">
        <f>'Membership Application List'!A633</f>
        <v/>
      </c>
      <c r="B404" s="443" t="str">
        <f t="shared" si="6"/>
        <v/>
      </c>
      <c r="C404" s="443" t="str">
        <f t="shared" si="7"/>
        <v/>
      </c>
      <c r="D404" s="426" t="str">
        <f>'Membership Application List'!E633</f>
        <v/>
      </c>
      <c r="E404" s="426" t="b">
        <f>IF('Membership Application List'!J633 = "Food/Litter Donation", 0, IF('Membership Application List'!J633 = "$15 Donation, Discord Verification", IF('Membership Application List'!N633 = TRUE, 15, 0)))</f>
        <v>0</v>
      </c>
      <c r="F404" s="426">
        <f>if('Membership Application List'!K633=TRUE, 5,0)</f>
        <v>0</v>
      </c>
      <c r="G404" s="426">
        <f t="shared" si="8"/>
        <v>0</v>
      </c>
      <c r="H404" s="427" t="str">
        <f>'Membership Application List'!L633</f>
        <v/>
      </c>
      <c r="I404" s="345"/>
      <c r="J404" s="441"/>
      <c r="K404" s="345"/>
      <c r="L404" s="478"/>
      <c r="M404" s="345"/>
      <c r="N404" s="345"/>
      <c r="O404" s="345"/>
      <c r="P404" s="414"/>
      <c r="Q404" s="414"/>
      <c r="R404" s="414"/>
      <c r="S404" s="445"/>
      <c r="T404" s="445"/>
      <c r="U404" s="445"/>
      <c r="V404" s="345"/>
      <c r="W404" s="441"/>
      <c r="X404" s="345"/>
      <c r="Y404" s="345"/>
      <c r="Z404" s="345"/>
      <c r="AA404" s="345"/>
      <c r="AB404" s="345"/>
      <c r="AC404" s="345"/>
      <c r="AD404" s="345"/>
      <c r="AE404" s="345"/>
      <c r="AF404" s="345"/>
      <c r="AG404" s="345"/>
      <c r="AH404" s="345"/>
      <c r="AI404" s="345"/>
      <c r="AJ404" s="345"/>
      <c r="AK404" s="345"/>
      <c r="AL404" s="345"/>
      <c r="AM404" s="345"/>
      <c r="AN404" s="345"/>
      <c r="AO404" s="345"/>
      <c r="AP404" s="345"/>
      <c r="AQ404" s="345"/>
      <c r="AR404" s="345"/>
      <c r="AS404" s="345"/>
    </row>
    <row r="405" ht="13.5" customHeight="1">
      <c r="A405" s="436" t="str">
        <f>'Membership Application List'!A634</f>
        <v/>
      </c>
      <c r="B405" s="437" t="str">
        <f t="shared" si="6"/>
        <v/>
      </c>
      <c r="C405" s="437" t="str">
        <f t="shared" si="7"/>
        <v/>
      </c>
      <c r="D405" s="438" t="str">
        <f>'Membership Application List'!E634</f>
        <v/>
      </c>
      <c r="E405" s="438" t="b">
        <f>IF('Membership Application List'!J634 = "Food/Litter Donation", 0, IF('Membership Application List'!J634 = "$15 Donation, Discord Verification", IF('Membership Application List'!N634 = TRUE, 15, 0)))</f>
        <v>0</v>
      </c>
      <c r="F405" s="438">
        <f>if('Membership Application List'!K634=TRUE, 5,0)</f>
        <v>0</v>
      </c>
      <c r="G405" s="438">
        <f t="shared" si="8"/>
        <v>0</v>
      </c>
      <c r="H405" s="439" t="str">
        <f>'Membership Application List'!L634</f>
        <v/>
      </c>
      <c r="I405" s="345"/>
      <c r="J405" s="441"/>
      <c r="K405" s="345"/>
      <c r="L405" s="478"/>
      <c r="M405" s="345"/>
      <c r="N405" s="345"/>
      <c r="O405" s="345"/>
      <c r="P405" s="414"/>
      <c r="Q405" s="414"/>
      <c r="R405" s="414"/>
      <c r="S405" s="445"/>
      <c r="T405" s="445"/>
      <c r="U405" s="445"/>
      <c r="V405" s="345"/>
      <c r="W405" s="441"/>
      <c r="X405" s="345"/>
      <c r="Y405" s="345"/>
      <c r="Z405" s="345"/>
      <c r="AA405" s="345"/>
      <c r="AB405" s="345"/>
      <c r="AC405" s="345"/>
      <c r="AD405" s="345"/>
      <c r="AE405" s="345"/>
      <c r="AF405" s="345"/>
      <c r="AG405" s="345"/>
      <c r="AH405" s="345"/>
      <c r="AI405" s="345"/>
      <c r="AJ405" s="345"/>
      <c r="AK405" s="345"/>
      <c r="AL405" s="345"/>
      <c r="AM405" s="345"/>
      <c r="AN405" s="345"/>
      <c r="AO405" s="345"/>
      <c r="AP405" s="345"/>
      <c r="AQ405" s="345"/>
      <c r="AR405" s="345"/>
      <c r="AS405" s="345"/>
    </row>
    <row r="406" ht="13.5" customHeight="1">
      <c r="A406" s="424" t="str">
        <f>'Membership Application List'!A635</f>
        <v/>
      </c>
      <c r="B406" s="443" t="str">
        <f t="shared" si="6"/>
        <v/>
      </c>
      <c r="C406" s="443" t="str">
        <f t="shared" si="7"/>
        <v/>
      </c>
      <c r="D406" s="426" t="str">
        <f>'Membership Application List'!E635</f>
        <v/>
      </c>
      <c r="E406" s="426" t="b">
        <f>IF('Membership Application List'!J635 = "Food/Litter Donation", 0, IF('Membership Application List'!J635 = "$15 Donation, Discord Verification", IF('Membership Application List'!N635 = TRUE, 15, 0)))</f>
        <v>0</v>
      </c>
      <c r="F406" s="426">
        <f>if('Membership Application List'!K635=TRUE, 5,0)</f>
        <v>0</v>
      </c>
      <c r="G406" s="426">
        <f t="shared" si="8"/>
        <v>0</v>
      </c>
      <c r="H406" s="427" t="str">
        <f>'Membership Application List'!L635</f>
        <v/>
      </c>
      <c r="I406" s="345"/>
      <c r="J406" s="441"/>
      <c r="K406" s="345"/>
      <c r="L406" s="478"/>
      <c r="M406" s="345"/>
      <c r="N406" s="345"/>
      <c r="O406" s="345"/>
      <c r="P406" s="414"/>
      <c r="Q406" s="414"/>
      <c r="R406" s="414"/>
      <c r="S406" s="445"/>
      <c r="T406" s="445"/>
      <c r="U406" s="445"/>
      <c r="V406" s="345"/>
      <c r="W406" s="441"/>
      <c r="X406" s="345"/>
      <c r="Y406" s="345"/>
      <c r="Z406" s="345"/>
      <c r="AA406" s="345"/>
      <c r="AB406" s="345"/>
      <c r="AC406" s="345"/>
      <c r="AD406" s="345"/>
      <c r="AE406" s="345"/>
      <c r="AF406" s="345"/>
      <c r="AG406" s="345"/>
      <c r="AH406" s="345"/>
      <c r="AI406" s="345"/>
      <c r="AJ406" s="345"/>
      <c r="AK406" s="345"/>
      <c r="AL406" s="345"/>
      <c r="AM406" s="345"/>
      <c r="AN406" s="345"/>
      <c r="AO406" s="345"/>
      <c r="AP406" s="345"/>
      <c r="AQ406" s="345"/>
      <c r="AR406" s="345"/>
      <c r="AS406" s="345"/>
    </row>
    <row r="407" ht="13.5" customHeight="1">
      <c r="A407" s="436" t="str">
        <f>'Membership Application List'!A636</f>
        <v/>
      </c>
      <c r="B407" s="437" t="str">
        <f t="shared" si="6"/>
        <v/>
      </c>
      <c r="C407" s="437" t="str">
        <f t="shared" si="7"/>
        <v/>
      </c>
      <c r="D407" s="438" t="str">
        <f>'Membership Application List'!E636</f>
        <v/>
      </c>
      <c r="E407" s="438" t="b">
        <f>IF('Membership Application List'!J636 = "Food/Litter Donation", 0, IF('Membership Application List'!J636 = "$15 Donation, Discord Verification", IF('Membership Application List'!N636 = TRUE, 15, 0)))</f>
        <v>0</v>
      </c>
      <c r="F407" s="438">
        <f>if('Membership Application List'!K636=TRUE, 5,0)</f>
        <v>0</v>
      </c>
      <c r="G407" s="438">
        <f t="shared" si="8"/>
        <v>0</v>
      </c>
      <c r="H407" s="439" t="str">
        <f>'Membership Application List'!L636</f>
        <v/>
      </c>
      <c r="I407" s="345"/>
      <c r="J407" s="441"/>
      <c r="K407" s="345"/>
      <c r="L407" s="478"/>
      <c r="M407" s="345"/>
      <c r="N407" s="345"/>
      <c r="O407" s="345"/>
      <c r="P407" s="414"/>
      <c r="Q407" s="414"/>
      <c r="R407" s="414"/>
      <c r="S407" s="445"/>
      <c r="T407" s="445"/>
      <c r="U407" s="445"/>
      <c r="V407" s="345"/>
      <c r="W407" s="441"/>
      <c r="X407" s="345"/>
      <c r="Y407" s="345"/>
      <c r="Z407" s="345"/>
      <c r="AA407" s="345"/>
      <c r="AB407" s="345"/>
      <c r="AC407" s="345"/>
      <c r="AD407" s="345"/>
      <c r="AE407" s="345"/>
      <c r="AF407" s="345"/>
      <c r="AG407" s="345"/>
      <c r="AH407" s="345"/>
      <c r="AI407" s="345"/>
      <c r="AJ407" s="345"/>
      <c r="AK407" s="345"/>
      <c r="AL407" s="345"/>
      <c r="AM407" s="345"/>
      <c r="AN407" s="345"/>
      <c r="AO407" s="345"/>
      <c r="AP407" s="345"/>
      <c r="AQ407" s="345"/>
      <c r="AR407" s="345"/>
      <c r="AS407" s="345"/>
    </row>
    <row r="408" ht="13.5" customHeight="1">
      <c r="A408" s="424" t="str">
        <f>'Membership Application List'!A637</f>
        <v/>
      </c>
      <c r="B408" s="443" t="str">
        <f t="shared" si="6"/>
        <v/>
      </c>
      <c r="C408" s="443" t="str">
        <f t="shared" si="7"/>
        <v/>
      </c>
      <c r="D408" s="426" t="str">
        <f>'Membership Application List'!E637</f>
        <v/>
      </c>
      <c r="E408" s="426" t="b">
        <f>IF('Membership Application List'!J637 = "Food/Litter Donation", 0, IF('Membership Application List'!J637 = "$15 Donation, Discord Verification", IF('Membership Application List'!N637 = TRUE, 15, 0)))</f>
        <v>0</v>
      </c>
      <c r="F408" s="426">
        <f>if('Membership Application List'!K637=TRUE, 5,0)</f>
        <v>0</v>
      </c>
      <c r="G408" s="426">
        <f t="shared" si="8"/>
        <v>0</v>
      </c>
      <c r="H408" s="427" t="str">
        <f>'Membership Application List'!L637</f>
        <v/>
      </c>
      <c r="I408" s="345"/>
      <c r="J408" s="441"/>
      <c r="K408" s="345"/>
      <c r="L408" s="478"/>
      <c r="M408" s="345"/>
      <c r="N408" s="345"/>
      <c r="O408" s="345"/>
      <c r="P408" s="414"/>
      <c r="Q408" s="414"/>
      <c r="R408" s="414"/>
      <c r="S408" s="445"/>
      <c r="T408" s="445"/>
      <c r="U408" s="445"/>
      <c r="V408" s="345"/>
      <c r="W408" s="441"/>
      <c r="X408" s="345"/>
      <c r="Y408" s="345"/>
      <c r="Z408" s="345"/>
      <c r="AA408" s="345"/>
      <c r="AB408" s="345"/>
      <c r="AC408" s="345"/>
      <c r="AD408" s="345"/>
      <c r="AE408" s="345"/>
      <c r="AF408" s="345"/>
      <c r="AG408" s="345"/>
      <c r="AH408" s="345"/>
      <c r="AI408" s="345"/>
      <c r="AJ408" s="345"/>
      <c r="AK408" s="345"/>
      <c r="AL408" s="345"/>
      <c r="AM408" s="345"/>
      <c r="AN408" s="345"/>
      <c r="AO408" s="345"/>
      <c r="AP408" s="345"/>
      <c r="AQ408" s="345"/>
      <c r="AR408" s="345"/>
      <c r="AS408" s="345"/>
    </row>
    <row r="409" ht="13.5" customHeight="1">
      <c r="A409" s="436" t="str">
        <f>'Membership Application List'!A638</f>
        <v/>
      </c>
      <c r="B409" s="437" t="str">
        <f t="shared" si="6"/>
        <v/>
      </c>
      <c r="C409" s="437" t="str">
        <f t="shared" si="7"/>
        <v/>
      </c>
      <c r="D409" s="438" t="str">
        <f>'Membership Application List'!E638</f>
        <v/>
      </c>
      <c r="E409" s="438" t="b">
        <f>IF('Membership Application List'!J638 = "Food/Litter Donation", 0, IF('Membership Application List'!J638 = "$15 Donation, Discord Verification", IF('Membership Application List'!N638 = TRUE, 15, 0)))</f>
        <v>0</v>
      </c>
      <c r="F409" s="438">
        <f>if('Membership Application List'!K638=TRUE, 5,0)</f>
        <v>0</v>
      </c>
      <c r="G409" s="438">
        <f t="shared" si="8"/>
        <v>0</v>
      </c>
      <c r="H409" s="439" t="str">
        <f>'Membership Application List'!L638</f>
        <v/>
      </c>
      <c r="I409" s="345"/>
      <c r="J409" s="441"/>
      <c r="K409" s="345"/>
      <c r="L409" s="478"/>
      <c r="M409" s="345"/>
      <c r="N409" s="345"/>
      <c r="O409" s="345"/>
      <c r="P409" s="414"/>
      <c r="Q409" s="414"/>
      <c r="R409" s="414"/>
      <c r="S409" s="445"/>
      <c r="T409" s="445"/>
      <c r="U409" s="445"/>
      <c r="V409" s="345"/>
      <c r="W409" s="441"/>
      <c r="X409" s="345"/>
      <c r="Y409" s="345"/>
      <c r="Z409" s="345"/>
      <c r="AA409" s="345"/>
      <c r="AB409" s="345"/>
      <c r="AC409" s="345"/>
      <c r="AD409" s="345"/>
      <c r="AE409" s="345"/>
      <c r="AF409" s="345"/>
      <c r="AG409" s="345"/>
      <c r="AH409" s="345"/>
      <c r="AI409" s="345"/>
      <c r="AJ409" s="345"/>
      <c r="AK409" s="345"/>
      <c r="AL409" s="345"/>
      <c r="AM409" s="345"/>
      <c r="AN409" s="345"/>
      <c r="AO409" s="345"/>
      <c r="AP409" s="345"/>
      <c r="AQ409" s="345"/>
      <c r="AR409" s="345"/>
      <c r="AS409" s="345"/>
    </row>
    <row r="410" ht="13.5" customHeight="1">
      <c r="A410" s="424" t="str">
        <f>'Membership Application List'!A639</f>
        <v/>
      </c>
      <c r="B410" s="443" t="str">
        <f t="shared" si="6"/>
        <v/>
      </c>
      <c r="C410" s="443" t="str">
        <f t="shared" si="7"/>
        <v/>
      </c>
      <c r="D410" s="426" t="str">
        <f>'Membership Application List'!E639</f>
        <v/>
      </c>
      <c r="E410" s="426" t="b">
        <f>IF('Membership Application List'!J639 = "Food/Litter Donation", 0, IF('Membership Application List'!J639 = "$15 Donation, Discord Verification", IF('Membership Application List'!N639 = TRUE, 15, 0)))</f>
        <v>0</v>
      </c>
      <c r="F410" s="426">
        <f>if('Membership Application List'!K639=TRUE, 5,0)</f>
        <v>0</v>
      </c>
      <c r="G410" s="426">
        <f t="shared" si="8"/>
        <v>0</v>
      </c>
      <c r="H410" s="427" t="str">
        <f>'Membership Application List'!L639</f>
        <v/>
      </c>
      <c r="I410" s="345"/>
      <c r="J410" s="441"/>
      <c r="K410" s="345"/>
      <c r="L410" s="478"/>
      <c r="M410" s="345"/>
      <c r="N410" s="345"/>
      <c r="O410" s="345"/>
      <c r="P410" s="414"/>
      <c r="Q410" s="414"/>
      <c r="R410" s="414"/>
      <c r="S410" s="445"/>
      <c r="T410" s="445"/>
      <c r="U410" s="445"/>
      <c r="V410" s="345"/>
      <c r="W410" s="441"/>
      <c r="X410" s="345"/>
      <c r="Y410" s="345"/>
      <c r="Z410" s="345"/>
      <c r="AA410" s="345"/>
      <c r="AB410" s="345"/>
      <c r="AC410" s="345"/>
      <c r="AD410" s="345"/>
      <c r="AE410" s="345"/>
      <c r="AF410" s="345"/>
      <c r="AG410" s="345"/>
      <c r="AH410" s="345"/>
      <c r="AI410" s="345"/>
      <c r="AJ410" s="345"/>
      <c r="AK410" s="345"/>
      <c r="AL410" s="345"/>
      <c r="AM410" s="345"/>
      <c r="AN410" s="345"/>
      <c r="AO410" s="345"/>
      <c r="AP410" s="345"/>
      <c r="AQ410" s="345"/>
      <c r="AR410" s="345"/>
      <c r="AS410" s="345"/>
    </row>
    <row r="411" ht="13.5" customHeight="1">
      <c r="A411" s="436" t="str">
        <f>'Membership Application List'!A640</f>
        <v/>
      </c>
      <c r="B411" s="437" t="str">
        <f t="shared" si="6"/>
        <v/>
      </c>
      <c r="C411" s="437" t="str">
        <f t="shared" si="7"/>
        <v/>
      </c>
      <c r="D411" s="438" t="str">
        <f>'Membership Application List'!E640</f>
        <v/>
      </c>
      <c r="E411" s="438" t="b">
        <f>IF('Membership Application List'!J640 = "Food/Litter Donation", 0, IF('Membership Application List'!J640 = "$15 Donation, Discord Verification", IF('Membership Application List'!N640 = TRUE, 15, 0)))</f>
        <v>0</v>
      </c>
      <c r="F411" s="438">
        <f>if('Membership Application List'!K640=TRUE, 5,0)</f>
        <v>0</v>
      </c>
      <c r="G411" s="438">
        <f t="shared" si="8"/>
        <v>0</v>
      </c>
      <c r="H411" s="439" t="str">
        <f>'Membership Application List'!L640</f>
        <v/>
      </c>
      <c r="I411" s="345"/>
      <c r="J411" s="441"/>
      <c r="K411" s="345"/>
      <c r="L411" s="478"/>
      <c r="M411" s="345"/>
      <c r="N411" s="345"/>
      <c r="O411" s="345"/>
      <c r="P411" s="414"/>
      <c r="Q411" s="414"/>
      <c r="R411" s="414"/>
      <c r="S411" s="445"/>
      <c r="T411" s="445"/>
      <c r="U411" s="445"/>
      <c r="V411" s="345"/>
      <c r="W411" s="441"/>
      <c r="X411" s="345"/>
      <c r="Y411" s="345"/>
      <c r="Z411" s="345"/>
      <c r="AA411" s="345"/>
      <c r="AB411" s="345"/>
      <c r="AC411" s="345"/>
      <c r="AD411" s="345"/>
      <c r="AE411" s="345"/>
      <c r="AF411" s="345"/>
      <c r="AG411" s="345"/>
      <c r="AH411" s="345"/>
      <c r="AI411" s="345"/>
      <c r="AJ411" s="345"/>
      <c r="AK411" s="345"/>
      <c r="AL411" s="345"/>
      <c r="AM411" s="345"/>
      <c r="AN411" s="345"/>
      <c r="AO411" s="345"/>
      <c r="AP411" s="345"/>
      <c r="AQ411" s="345"/>
      <c r="AR411" s="345"/>
      <c r="AS411" s="345"/>
    </row>
    <row r="412" ht="13.5" customHeight="1">
      <c r="A412" s="424" t="str">
        <f>'Membership Application List'!A641</f>
        <v/>
      </c>
      <c r="B412" s="443" t="str">
        <f t="shared" si="6"/>
        <v/>
      </c>
      <c r="C412" s="443" t="str">
        <f t="shared" si="7"/>
        <v/>
      </c>
      <c r="D412" s="426" t="str">
        <f>'Membership Application List'!E641</f>
        <v/>
      </c>
      <c r="E412" s="426" t="b">
        <f>IF('Membership Application List'!J641 = "Food/Litter Donation", 0, IF('Membership Application List'!J641 = "$15 Donation, Discord Verification", IF('Membership Application List'!N641 = TRUE, 15, 0)))</f>
        <v>0</v>
      </c>
      <c r="F412" s="426">
        <f>if('Membership Application List'!K641=TRUE, 5,0)</f>
        <v>0</v>
      </c>
      <c r="G412" s="426">
        <f t="shared" si="8"/>
        <v>0</v>
      </c>
      <c r="H412" s="427" t="str">
        <f>'Membership Application List'!L641</f>
        <v/>
      </c>
      <c r="I412" s="345"/>
      <c r="J412" s="441"/>
      <c r="K412" s="345"/>
      <c r="L412" s="478"/>
      <c r="M412" s="345"/>
      <c r="N412" s="345"/>
      <c r="O412" s="345"/>
      <c r="P412" s="414"/>
      <c r="Q412" s="414"/>
      <c r="R412" s="414"/>
      <c r="S412" s="445"/>
      <c r="T412" s="445"/>
      <c r="U412" s="445"/>
      <c r="V412" s="345"/>
      <c r="W412" s="441"/>
      <c r="X412" s="345"/>
      <c r="Y412" s="345"/>
      <c r="Z412" s="345"/>
      <c r="AA412" s="345"/>
      <c r="AB412" s="345"/>
      <c r="AC412" s="345"/>
      <c r="AD412" s="345"/>
      <c r="AE412" s="345"/>
      <c r="AF412" s="345"/>
      <c r="AG412" s="345"/>
      <c r="AH412" s="345"/>
      <c r="AI412" s="345"/>
      <c r="AJ412" s="345"/>
      <c r="AK412" s="345"/>
      <c r="AL412" s="345"/>
      <c r="AM412" s="345"/>
      <c r="AN412" s="345"/>
      <c r="AO412" s="345"/>
      <c r="AP412" s="345"/>
      <c r="AQ412" s="345"/>
      <c r="AR412" s="345"/>
      <c r="AS412" s="345"/>
    </row>
    <row r="413" ht="13.5" customHeight="1">
      <c r="A413" s="436" t="str">
        <f>'Membership Application List'!A642</f>
        <v/>
      </c>
      <c r="B413" s="437" t="str">
        <f t="shared" si="6"/>
        <v/>
      </c>
      <c r="C413" s="437" t="str">
        <f t="shared" si="7"/>
        <v/>
      </c>
      <c r="D413" s="438" t="str">
        <f>'Membership Application List'!E642</f>
        <v/>
      </c>
      <c r="E413" s="438" t="b">
        <f>IF('Membership Application List'!J642 = "Food/Litter Donation", 0, IF('Membership Application List'!J642 = "$15 Donation, Discord Verification", IF('Membership Application List'!N642 = TRUE, 15, 0)))</f>
        <v>0</v>
      </c>
      <c r="F413" s="438">
        <f>if('Membership Application List'!K642=TRUE, 5,0)</f>
        <v>0</v>
      </c>
      <c r="G413" s="438">
        <f t="shared" si="8"/>
        <v>0</v>
      </c>
      <c r="H413" s="439" t="str">
        <f>'Membership Application List'!L642</f>
        <v/>
      </c>
      <c r="I413" s="345"/>
      <c r="J413" s="441"/>
      <c r="K413" s="345"/>
      <c r="L413" s="478"/>
      <c r="M413" s="345"/>
      <c r="N413" s="345"/>
      <c r="O413" s="345"/>
      <c r="P413" s="414"/>
      <c r="Q413" s="414"/>
      <c r="R413" s="414"/>
      <c r="S413" s="445"/>
      <c r="T413" s="445"/>
      <c r="U413" s="445"/>
      <c r="V413" s="345"/>
      <c r="W413" s="441"/>
      <c r="X413" s="345"/>
      <c r="Y413" s="345"/>
      <c r="Z413" s="345"/>
      <c r="AA413" s="345"/>
      <c r="AB413" s="345"/>
      <c r="AC413" s="345"/>
      <c r="AD413" s="345"/>
      <c r="AE413" s="345"/>
      <c r="AF413" s="345"/>
      <c r="AG413" s="345"/>
      <c r="AH413" s="345"/>
      <c r="AI413" s="345"/>
      <c r="AJ413" s="345"/>
      <c r="AK413" s="345"/>
      <c r="AL413" s="345"/>
      <c r="AM413" s="345"/>
      <c r="AN413" s="345"/>
      <c r="AO413" s="345"/>
      <c r="AP413" s="345"/>
      <c r="AQ413" s="345"/>
      <c r="AR413" s="345"/>
      <c r="AS413" s="345"/>
    </row>
    <row r="414" ht="13.5" customHeight="1">
      <c r="A414" s="424" t="str">
        <f>'Membership Application List'!A643</f>
        <v/>
      </c>
      <c r="B414" s="443" t="str">
        <f t="shared" si="6"/>
        <v/>
      </c>
      <c r="C414" s="443" t="str">
        <f t="shared" si="7"/>
        <v/>
      </c>
      <c r="D414" s="426" t="str">
        <f>'Membership Application List'!E643</f>
        <v/>
      </c>
      <c r="E414" s="426" t="b">
        <f>IF('Membership Application List'!J643 = "Food/Litter Donation", 0, IF('Membership Application List'!J643 = "$15 Donation, Discord Verification", IF('Membership Application List'!N643 = TRUE, 15, 0)))</f>
        <v>0</v>
      </c>
      <c r="F414" s="426">
        <f>if('Membership Application List'!K643=TRUE, 5,0)</f>
        <v>0</v>
      </c>
      <c r="G414" s="426">
        <f t="shared" si="8"/>
        <v>0</v>
      </c>
      <c r="H414" s="427" t="str">
        <f>'Membership Application List'!L643</f>
        <v/>
      </c>
      <c r="I414" s="345"/>
      <c r="J414" s="441"/>
      <c r="K414" s="345"/>
      <c r="L414" s="478"/>
      <c r="M414" s="345"/>
      <c r="N414" s="345"/>
      <c r="O414" s="345"/>
      <c r="P414" s="414"/>
      <c r="Q414" s="414"/>
      <c r="R414" s="414"/>
      <c r="S414" s="445"/>
      <c r="T414" s="445"/>
      <c r="U414" s="445"/>
      <c r="V414" s="345"/>
      <c r="W414" s="441"/>
      <c r="X414" s="345"/>
      <c r="Y414" s="345"/>
      <c r="Z414" s="345"/>
      <c r="AA414" s="345"/>
      <c r="AB414" s="345"/>
      <c r="AC414" s="345"/>
      <c r="AD414" s="345"/>
      <c r="AE414" s="345"/>
      <c r="AF414" s="345"/>
      <c r="AG414" s="345"/>
      <c r="AH414" s="345"/>
      <c r="AI414" s="345"/>
      <c r="AJ414" s="345"/>
      <c r="AK414" s="345"/>
      <c r="AL414" s="345"/>
      <c r="AM414" s="345"/>
      <c r="AN414" s="345"/>
      <c r="AO414" s="345"/>
      <c r="AP414" s="345"/>
      <c r="AQ414" s="345"/>
      <c r="AR414" s="345"/>
      <c r="AS414" s="345"/>
    </row>
    <row r="415" ht="13.5" customHeight="1">
      <c r="A415" s="436" t="str">
        <f>'Membership Application List'!A644</f>
        <v/>
      </c>
      <c r="B415" s="437" t="str">
        <f t="shared" si="6"/>
        <v/>
      </c>
      <c r="C415" s="437" t="str">
        <f t="shared" si="7"/>
        <v/>
      </c>
      <c r="D415" s="438" t="str">
        <f>'Membership Application List'!E644</f>
        <v/>
      </c>
      <c r="E415" s="438" t="b">
        <f>IF('Membership Application List'!J644 = "Food/Litter Donation", 0, IF('Membership Application List'!J644 = "$15 Donation, Discord Verification", IF('Membership Application List'!N644 = TRUE, 15, 0)))</f>
        <v>0</v>
      </c>
      <c r="F415" s="438">
        <f>if('Membership Application List'!K644=TRUE, 5,0)</f>
        <v>0</v>
      </c>
      <c r="G415" s="438">
        <f t="shared" si="8"/>
        <v>0</v>
      </c>
      <c r="H415" s="439" t="str">
        <f>'Membership Application List'!L644</f>
        <v/>
      </c>
      <c r="I415" s="345"/>
      <c r="J415" s="441"/>
      <c r="K415" s="345"/>
      <c r="L415" s="478"/>
      <c r="M415" s="345"/>
      <c r="N415" s="345"/>
      <c r="O415" s="345"/>
      <c r="P415" s="414"/>
      <c r="Q415" s="414"/>
      <c r="R415" s="414"/>
      <c r="S415" s="445"/>
      <c r="T415" s="445"/>
      <c r="U415" s="445"/>
      <c r="V415" s="345"/>
      <c r="W415" s="441"/>
      <c r="X415" s="345"/>
      <c r="Y415" s="345"/>
      <c r="Z415" s="345"/>
      <c r="AA415" s="345"/>
      <c r="AB415" s="345"/>
      <c r="AC415" s="345"/>
      <c r="AD415" s="345"/>
      <c r="AE415" s="345"/>
      <c r="AF415" s="345"/>
      <c r="AG415" s="345"/>
      <c r="AH415" s="345"/>
      <c r="AI415" s="345"/>
      <c r="AJ415" s="345"/>
      <c r="AK415" s="345"/>
      <c r="AL415" s="345"/>
      <c r="AM415" s="345"/>
      <c r="AN415" s="345"/>
      <c r="AO415" s="345"/>
      <c r="AP415" s="345"/>
      <c r="AQ415" s="345"/>
      <c r="AR415" s="345"/>
      <c r="AS415" s="345"/>
    </row>
    <row r="416" ht="13.5" customHeight="1">
      <c r="A416" s="424" t="str">
        <f>'Membership Application List'!A645</f>
        <v/>
      </c>
      <c r="B416" s="443" t="str">
        <f t="shared" si="6"/>
        <v/>
      </c>
      <c r="C416" s="443" t="str">
        <f t="shared" si="7"/>
        <v/>
      </c>
      <c r="D416" s="426" t="str">
        <f>'Membership Application List'!E645</f>
        <v/>
      </c>
      <c r="E416" s="426" t="b">
        <f>IF('Membership Application List'!J645 = "Food/Litter Donation", 0, IF('Membership Application List'!J645 = "$15 Donation, Discord Verification", IF('Membership Application List'!N645 = TRUE, 15, 0)))</f>
        <v>0</v>
      </c>
      <c r="F416" s="426">
        <f>if('Membership Application List'!K645=TRUE, 5,0)</f>
        <v>0</v>
      </c>
      <c r="G416" s="426">
        <f t="shared" si="8"/>
        <v>0</v>
      </c>
      <c r="H416" s="427" t="str">
        <f>'Membership Application List'!L645</f>
        <v/>
      </c>
      <c r="I416" s="345"/>
      <c r="J416" s="441"/>
      <c r="K416" s="345"/>
      <c r="L416" s="478"/>
      <c r="M416" s="345"/>
      <c r="N416" s="345"/>
      <c r="O416" s="345"/>
      <c r="P416" s="414"/>
      <c r="Q416" s="414"/>
      <c r="R416" s="414"/>
      <c r="S416" s="445"/>
      <c r="T416" s="445"/>
      <c r="U416" s="445"/>
      <c r="V416" s="345"/>
      <c r="W416" s="441"/>
      <c r="X416" s="345"/>
      <c r="Y416" s="345"/>
      <c r="Z416" s="345"/>
      <c r="AA416" s="345"/>
      <c r="AB416" s="345"/>
      <c r="AC416" s="345"/>
      <c r="AD416" s="345"/>
      <c r="AE416" s="345"/>
      <c r="AF416" s="345"/>
      <c r="AG416" s="345"/>
      <c r="AH416" s="345"/>
      <c r="AI416" s="345"/>
      <c r="AJ416" s="345"/>
      <c r="AK416" s="345"/>
      <c r="AL416" s="345"/>
      <c r="AM416" s="345"/>
      <c r="AN416" s="345"/>
      <c r="AO416" s="345"/>
      <c r="AP416" s="345"/>
      <c r="AQ416" s="345"/>
      <c r="AR416" s="345"/>
      <c r="AS416" s="345"/>
    </row>
    <row r="417" ht="13.5" customHeight="1">
      <c r="A417" s="436" t="str">
        <f>'Membership Application List'!A646</f>
        <v/>
      </c>
      <c r="B417" s="437" t="str">
        <f t="shared" si="6"/>
        <v/>
      </c>
      <c r="C417" s="437" t="str">
        <f t="shared" si="7"/>
        <v/>
      </c>
      <c r="D417" s="438" t="str">
        <f>'Membership Application List'!E646</f>
        <v/>
      </c>
      <c r="E417" s="438" t="b">
        <f>IF('Membership Application List'!J646 = "Food/Litter Donation", 0, IF('Membership Application List'!J646 = "$15 Donation, Discord Verification", IF('Membership Application List'!N646 = TRUE, 15, 0)))</f>
        <v>0</v>
      </c>
      <c r="F417" s="438">
        <f>if('Membership Application List'!K646=TRUE, 5,0)</f>
        <v>0</v>
      </c>
      <c r="G417" s="438">
        <f t="shared" si="8"/>
        <v>0</v>
      </c>
      <c r="H417" s="439" t="str">
        <f>'Membership Application List'!L646</f>
        <v/>
      </c>
      <c r="I417" s="345"/>
      <c r="J417" s="441"/>
      <c r="K417" s="345"/>
      <c r="L417" s="478"/>
      <c r="M417" s="345"/>
      <c r="N417" s="345"/>
      <c r="O417" s="345"/>
      <c r="P417" s="414"/>
      <c r="Q417" s="414"/>
      <c r="R417" s="414"/>
      <c r="S417" s="445"/>
      <c r="T417" s="445"/>
      <c r="U417" s="445"/>
      <c r="V417" s="345"/>
      <c r="W417" s="441"/>
      <c r="X417" s="345"/>
      <c r="Y417" s="345"/>
      <c r="Z417" s="345"/>
      <c r="AA417" s="345"/>
      <c r="AB417" s="345"/>
      <c r="AC417" s="345"/>
      <c r="AD417" s="345"/>
      <c r="AE417" s="345"/>
      <c r="AF417" s="345"/>
      <c r="AG417" s="345"/>
      <c r="AH417" s="345"/>
      <c r="AI417" s="345"/>
      <c r="AJ417" s="345"/>
      <c r="AK417" s="345"/>
      <c r="AL417" s="345"/>
      <c r="AM417" s="345"/>
      <c r="AN417" s="345"/>
      <c r="AO417" s="345"/>
      <c r="AP417" s="345"/>
      <c r="AQ417" s="345"/>
      <c r="AR417" s="345"/>
      <c r="AS417" s="345"/>
    </row>
    <row r="418" ht="13.5" customHeight="1">
      <c r="A418" s="424" t="str">
        <f>'Membership Application List'!A647</f>
        <v/>
      </c>
      <c r="B418" s="443" t="str">
        <f t="shared" si="6"/>
        <v/>
      </c>
      <c r="C418" s="443" t="str">
        <f t="shared" si="7"/>
        <v/>
      </c>
      <c r="D418" s="426" t="str">
        <f>'Membership Application List'!E647</f>
        <v/>
      </c>
      <c r="E418" s="426" t="b">
        <f>IF('Membership Application List'!J647 = "Food/Litter Donation", 0, IF('Membership Application List'!J647 = "$15 Donation, Discord Verification", IF('Membership Application List'!N647 = TRUE, 15, 0)))</f>
        <v>0</v>
      </c>
      <c r="F418" s="426">
        <f>if('Membership Application List'!K647=TRUE, 5,0)</f>
        <v>0</v>
      </c>
      <c r="G418" s="426">
        <f t="shared" si="8"/>
        <v>0</v>
      </c>
      <c r="H418" s="427" t="str">
        <f>'Membership Application List'!L647</f>
        <v/>
      </c>
      <c r="I418" s="345"/>
      <c r="J418" s="441"/>
      <c r="K418" s="345"/>
      <c r="L418" s="478"/>
      <c r="M418" s="345"/>
      <c r="N418" s="345"/>
      <c r="O418" s="345"/>
      <c r="P418" s="414"/>
      <c r="Q418" s="414"/>
      <c r="R418" s="414"/>
      <c r="S418" s="445"/>
      <c r="T418" s="445"/>
      <c r="U418" s="445"/>
      <c r="V418" s="345"/>
      <c r="W418" s="441"/>
      <c r="X418" s="345"/>
      <c r="Y418" s="345"/>
      <c r="Z418" s="345"/>
      <c r="AA418" s="345"/>
      <c r="AB418" s="345"/>
      <c r="AC418" s="345"/>
      <c r="AD418" s="345"/>
      <c r="AE418" s="345"/>
      <c r="AF418" s="345"/>
      <c r="AG418" s="345"/>
      <c r="AH418" s="345"/>
      <c r="AI418" s="345"/>
      <c r="AJ418" s="345"/>
      <c r="AK418" s="345"/>
      <c r="AL418" s="345"/>
      <c r="AM418" s="345"/>
      <c r="AN418" s="345"/>
      <c r="AO418" s="345"/>
      <c r="AP418" s="345"/>
      <c r="AQ418" s="345"/>
      <c r="AR418" s="345"/>
      <c r="AS418" s="345"/>
    </row>
    <row r="419" ht="13.5" customHeight="1">
      <c r="A419" s="436" t="str">
        <f>'Membership Application List'!A648</f>
        <v/>
      </c>
      <c r="B419" s="437" t="str">
        <f t="shared" si="6"/>
        <v/>
      </c>
      <c r="C419" s="437" t="str">
        <f t="shared" si="7"/>
        <v/>
      </c>
      <c r="D419" s="438" t="str">
        <f>'Membership Application List'!E648</f>
        <v/>
      </c>
      <c r="E419" s="438" t="b">
        <f>IF('Membership Application List'!J648 = "Food/Litter Donation", 0, IF('Membership Application List'!J648 = "$15 Donation, Discord Verification", IF('Membership Application List'!N648 = TRUE, 15, 0)))</f>
        <v>0</v>
      </c>
      <c r="F419" s="438">
        <f>if('Membership Application List'!K648=TRUE, 5,0)</f>
        <v>0</v>
      </c>
      <c r="G419" s="438">
        <f t="shared" si="8"/>
        <v>0</v>
      </c>
      <c r="H419" s="439" t="str">
        <f>'Membership Application List'!L648</f>
        <v/>
      </c>
      <c r="I419" s="345"/>
      <c r="J419" s="441"/>
      <c r="K419" s="345"/>
      <c r="L419" s="478"/>
      <c r="M419" s="345"/>
      <c r="N419" s="345"/>
      <c r="O419" s="345"/>
      <c r="P419" s="414"/>
      <c r="Q419" s="414"/>
      <c r="R419" s="414"/>
      <c r="S419" s="445"/>
      <c r="T419" s="445"/>
      <c r="U419" s="445"/>
      <c r="V419" s="345"/>
      <c r="W419" s="441"/>
      <c r="X419" s="345"/>
      <c r="Y419" s="345"/>
      <c r="Z419" s="345"/>
      <c r="AA419" s="345"/>
      <c r="AB419" s="345"/>
      <c r="AC419" s="345"/>
      <c r="AD419" s="345"/>
      <c r="AE419" s="345"/>
      <c r="AF419" s="345"/>
      <c r="AG419" s="345"/>
      <c r="AH419" s="345"/>
      <c r="AI419" s="345"/>
      <c r="AJ419" s="345"/>
      <c r="AK419" s="345"/>
      <c r="AL419" s="345"/>
      <c r="AM419" s="345"/>
      <c r="AN419" s="345"/>
      <c r="AO419" s="345"/>
      <c r="AP419" s="345"/>
      <c r="AQ419" s="345"/>
      <c r="AR419" s="345"/>
      <c r="AS419" s="345"/>
    </row>
    <row r="420" ht="13.5" customHeight="1">
      <c r="A420" s="424" t="str">
        <f>'Membership Application List'!A649</f>
        <v/>
      </c>
      <c r="B420" s="443" t="str">
        <f t="shared" si="6"/>
        <v/>
      </c>
      <c r="C420" s="443" t="str">
        <f t="shared" si="7"/>
        <v/>
      </c>
      <c r="D420" s="426" t="str">
        <f>'Membership Application List'!E649</f>
        <v/>
      </c>
      <c r="E420" s="426" t="b">
        <f>IF('Membership Application List'!J649 = "Food/Litter Donation", 0, IF('Membership Application List'!J649 = "$15 Donation, Discord Verification", IF('Membership Application List'!N649 = TRUE, 15, 0)))</f>
        <v>0</v>
      </c>
      <c r="F420" s="426">
        <f>if('Membership Application List'!K649=TRUE, 5,0)</f>
        <v>0</v>
      </c>
      <c r="G420" s="426">
        <f t="shared" si="8"/>
        <v>0</v>
      </c>
      <c r="H420" s="427" t="str">
        <f>'Membership Application List'!L649</f>
        <v/>
      </c>
      <c r="I420" s="345"/>
      <c r="J420" s="441"/>
      <c r="K420" s="345"/>
      <c r="L420" s="478"/>
      <c r="M420" s="345"/>
      <c r="N420" s="345"/>
      <c r="O420" s="345"/>
      <c r="P420" s="414"/>
      <c r="Q420" s="414"/>
      <c r="R420" s="414"/>
      <c r="S420" s="445"/>
      <c r="T420" s="445"/>
      <c r="U420" s="445"/>
      <c r="V420" s="345"/>
      <c r="W420" s="441"/>
      <c r="X420" s="345"/>
      <c r="Y420" s="345"/>
      <c r="Z420" s="345"/>
      <c r="AA420" s="345"/>
      <c r="AB420" s="345"/>
      <c r="AC420" s="345"/>
      <c r="AD420" s="345"/>
      <c r="AE420" s="345"/>
      <c r="AF420" s="345"/>
      <c r="AG420" s="345"/>
      <c r="AH420" s="345"/>
      <c r="AI420" s="345"/>
      <c r="AJ420" s="345"/>
      <c r="AK420" s="345"/>
      <c r="AL420" s="345"/>
      <c r="AM420" s="345"/>
      <c r="AN420" s="345"/>
      <c r="AO420" s="345"/>
      <c r="AP420" s="345"/>
      <c r="AQ420" s="345"/>
      <c r="AR420" s="345"/>
      <c r="AS420" s="345"/>
    </row>
    <row r="421" ht="13.5" customHeight="1">
      <c r="A421" s="436" t="str">
        <f>'Membership Application List'!A650</f>
        <v/>
      </c>
      <c r="B421" s="437" t="str">
        <f t="shared" si="6"/>
        <v/>
      </c>
      <c r="C421" s="437" t="str">
        <f t="shared" si="7"/>
        <v/>
      </c>
      <c r="D421" s="438" t="str">
        <f>'Membership Application List'!E650</f>
        <v/>
      </c>
      <c r="E421" s="438" t="b">
        <f>IF('Membership Application List'!J650 = "Food/Litter Donation", 0, IF('Membership Application List'!J650 = "$15 Donation, Discord Verification", IF('Membership Application List'!N650 = TRUE, 15, 0)))</f>
        <v>0</v>
      </c>
      <c r="F421" s="438">
        <f>if('Membership Application List'!K650=TRUE, 5,0)</f>
        <v>0</v>
      </c>
      <c r="G421" s="438">
        <f t="shared" si="8"/>
        <v>0</v>
      </c>
      <c r="H421" s="439" t="str">
        <f>'Membership Application List'!L650</f>
        <v/>
      </c>
      <c r="I421" s="345"/>
      <c r="J421" s="441"/>
      <c r="K421" s="345"/>
      <c r="L421" s="478"/>
      <c r="M421" s="345"/>
      <c r="N421" s="345"/>
      <c r="O421" s="345"/>
      <c r="P421" s="414"/>
      <c r="Q421" s="414"/>
      <c r="R421" s="414"/>
      <c r="S421" s="445"/>
      <c r="T421" s="445"/>
      <c r="U421" s="445"/>
      <c r="V421" s="345"/>
      <c r="W421" s="441"/>
      <c r="X421" s="345"/>
      <c r="Y421" s="345"/>
      <c r="Z421" s="345"/>
      <c r="AA421" s="345"/>
      <c r="AB421" s="345"/>
      <c r="AC421" s="345"/>
      <c r="AD421" s="345"/>
      <c r="AE421" s="345"/>
      <c r="AF421" s="345"/>
      <c r="AG421" s="345"/>
      <c r="AH421" s="345"/>
      <c r="AI421" s="345"/>
      <c r="AJ421" s="345"/>
      <c r="AK421" s="345"/>
      <c r="AL421" s="345"/>
      <c r="AM421" s="345"/>
      <c r="AN421" s="345"/>
      <c r="AO421" s="345"/>
      <c r="AP421" s="345"/>
      <c r="AQ421" s="345"/>
      <c r="AR421" s="345"/>
      <c r="AS421" s="345"/>
    </row>
    <row r="422" ht="13.5" customHeight="1">
      <c r="A422" s="424" t="str">
        <f>'Membership Application List'!A651</f>
        <v/>
      </c>
      <c r="B422" s="443" t="str">
        <f t="shared" si="6"/>
        <v/>
      </c>
      <c r="C422" s="443" t="str">
        <f t="shared" si="7"/>
        <v/>
      </c>
      <c r="D422" s="426" t="str">
        <f>'Membership Application List'!E651</f>
        <v/>
      </c>
      <c r="E422" s="426" t="b">
        <f>IF('Membership Application List'!J651 = "Food/Litter Donation", 0, IF('Membership Application List'!J651 = "$15 Donation, Discord Verification", IF('Membership Application List'!N651 = TRUE, 15, 0)))</f>
        <v>0</v>
      </c>
      <c r="F422" s="426">
        <f>if('Membership Application List'!K651=TRUE, 5,0)</f>
        <v>0</v>
      </c>
      <c r="G422" s="426">
        <f t="shared" si="8"/>
        <v>0</v>
      </c>
      <c r="H422" s="427" t="str">
        <f>'Membership Application List'!L651</f>
        <v/>
      </c>
      <c r="I422" s="345"/>
      <c r="J422" s="441"/>
      <c r="K422" s="345"/>
      <c r="L422" s="478"/>
      <c r="M422" s="345"/>
      <c r="N422" s="345"/>
      <c r="O422" s="345"/>
      <c r="P422" s="414"/>
      <c r="Q422" s="414"/>
      <c r="R422" s="414"/>
      <c r="S422" s="445"/>
      <c r="T422" s="445"/>
      <c r="U422" s="445"/>
      <c r="V422" s="345"/>
      <c r="W422" s="441"/>
      <c r="X422" s="345"/>
      <c r="Y422" s="345"/>
      <c r="Z422" s="345"/>
      <c r="AA422" s="345"/>
      <c r="AB422" s="345"/>
      <c r="AC422" s="345"/>
      <c r="AD422" s="345"/>
      <c r="AE422" s="345"/>
      <c r="AF422" s="345"/>
      <c r="AG422" s="345"/>
      <c r="AH422" s="345"/>
      <c r="AI422" s="345"/>
      <c r="AJ422" s="345"/>
      <c r="AK422" s="345"/>
      <c r="AL422" s="345"/>
      <c r="AM422" s="345"/>
      <c r="AN422" s="345"/>
      <c r="AO422" s="345"/>
      <c r="AP422" s="345"/>
      <c r="AQ422" s="345"/>
      <c r="AR422" s="345"/>
      <c r="AS422" s="345"/>
    </row>
    <row r="423" ht="13.5" customHeight="1">
      <c r="A423" s="436" t="str">
        <f>'Membership Application List'!A652</f>
        <v/>
      </c>
      <c r="B423" s="437" t="str">
        <f t="shared" si="6"/>
        <v/>
      </c>
      <c r="C423" s="437" t="str">
        <f t="shared" si="7"/>
        <v/>
      </c>
      <c r="D423" s="438" t="str">
        <f>'Membership Application List'!E652</f>
        <v/>
      </c>
      <c r="E423" s="438" t="b">
        <f>IF('Membership Application List'!J652 = "Food/Litter Donation", 0, IF('Membership Application List'!J652 = "$15 Donation, Discord Verification", IF('Membership Application List'!N652 = TRUE, 15, 0)))</f>
        <v>0</v>
      </c>
      <c r="F423" s="438">
        <f>if('Membership Application List'!K652=TRUE, 5,0)</f>
        <v>0</v>
      </c>
      <c r="G423" s="438">
        <f t="shared" si="8"/>
        <v>0</v>
      </c>
      <c r="H423" s="439" t="str">
        <f>'Membership Application List'!L652</f>
        <v/>
      </c>
      <c r="I423" s="345"/>
      <c r="J423" s="441"/>
      <c r="K423" s="345"/>
      <c r="L423" s="478"/>
      <c r="M423" s="345"/>
      <c r="N423" s="345"/>
      <c r="O423" s="345"/>
      <c r="P423" s="414"/>
      <c r="Q423" s="414"/>
      <c r="R423" s="414"/>
      <c r="S423" s="445"/>
      <c r="T423" s="445"/>
      <c r="U423" s="445"/>
      <c r="V423" s="345"/>
      <c r="W423" s="441"/>
      <c r="X423" s="345"/>
      <c r="Y423" s="345"/>
      <c r="Z423" s="345"/>
      <c r="AA423" s="345"/>
      <c r="AB423" s="345"/>
      <c r="AC423" s="345"/>
      <c r="AD423" s="345"/>
      <c r="AE423" s="345"/>
      <c r="AF423" s="345"/>
      <c r="AG423" s="345"/>
      <c r="AH423" s="345"/>
      <c r="AI423" s="345"/>
      <c r="AJ423" s="345"/>
      <c r="AK423" s="345"/>
      <c r="AL423" s="345"/>
      <c r="AM423" s="345"/>
      <c r="AN423" s="345"/>
      <c r="AO423" s="345"/>
      <c r="AP423" s="345"/>
      <c r="AQ423" s="345"/>
      <c r="AR423" s="345"/>
      <c r="AS423" s="345"/>
    </row>
    <row r="424" ht="13.5" customHeight="1">
      <c r="A424" s="424" t="str">
        <f>'Membership Application List'!A653</f>
        <v/>
      </c>
      <c r="B424" s="443" t="str">
        <f t="shared" si="6"/>
        <v/>
      </c>
      <c r="C424" s="443" t="str">
        <f t="shared" si="7"/>
        <v/>
      </c>
      <c r="D424" s="426" t="str">
        <f>'Membership Application List'!E653</f>
        <v/>
      </c>
      <c r="E424" s="426" t="b">
        <f>IF('Membership Application List'!J653 = "Food/Litter Donation", 0, IF('Membership Application List'!J653 = "$15 Donation, Discord Verification", IF('Membership Application List'!N653 = TRUE, 15, 0)))</f>
        <v>0</v>
      </c>
      <c r="F424" s="426">
        <f>if('Membership Application List'!K653=TRUE, 5,0)</f>
        <v>0</v>
      </c>
      <c r="G424" s="426">
        <f t="shared" si="8"/>
        <v>0</v>
      </c>
      <c r="H424" s="427" t="str">
        <f>'Membership Application List'!L653</f>
        <v/>
      </c>
      <c r="I424" s="345"/>
      <c r="J424" s="441"/>
      <c r="K424" s="345"/>
      <c r="L424" s="478"/>
      <c r="M424" s="345"/>
      <c r="N424" s="345"/>
      <c r="O424" s="345"/>
      <c r="P424" s="414"/>
      <c r="Q424" s="414"/>
      <c r="R424" s="414"/>
      <c r="S424" s="445"/>
      <c r="T424" s="445"/>
      <c r="U424" s="445"/>
      <c r="V424" s="345"/>
      <c r="W424" s="441"/>
      <c r="X424" s="345"/>
      <c r="Y424" s="345"/>
      <c r="Z424" s="345"/>
      <c r="AA424" s="345"/>
      <c r="AB424" s="345"/>
      <c r="AC424" s="345"/>
      <c r="AD424" s="345"/>
      <c r="AE424" s="345"/>
      <c r="AF424" s="345"/>
      <c r="AG424" s="345"/>
      <c r="AH424" s="345"/>
      <c r="AI424" s="345"/>
      <c r="AJ424" s="345"/>
      <c r="AK424" s="345"/>
      <c r="AL424" s="345"/>
      <c r="AM424" s="345"/>
      <c r="AN424" s="345"/>
      <c r="AO424" s="345"/>
      <c r="AP424" s="345"/>
      <c r="AQ424" s="345"/>
      <c r="AR424" s="345"/>
      <c r="AS424" s="345"/>
    </row>
    <row r="425" ht="13.5" customHeight="1">
      <c r="A425" s="436" t="str">
        <f>'Membership Application List'!A654</f>
        <v/>
      </c>
      <c r="B425" s="437" t="str">
        <f t="shared" si="6"/>
        <v/>
      </c>
      <c r="C425" s="437" t="str">
        <f t="shared" si="7"/>
        <v/>
      </c>
      <c r="D425" s="438" t="str">
        <f>'Membership Application List'!E654</f>
        <v/>
      </c>
      <c r="E425" s="438" t="b">
        <f>IF('Membership Application List'!J654 = "Food/Litter Donation", 0, IF('Membership Application List'!J654 = "$15 Donation, Discord Verification", IF('Membership Application List'!N654 = TRUE, 15, 0)))</f>
        <v>0</v>
      </c>
      <c r="F425" s="438">
        <f>if('Membership Application List'!K654=TRUE, 5,0)</f>
        <v>0</v>
      </c>
      <c r="G425" s="438">
        <f t="shared" si="8"/>
        <v>0</v>
      </c>
      <c r="H425" s="439" t="str">
        <f>'Membership Application List'!L654</f>
        <v/>
      </c>
      <c r="I425" s="345"/>
      <c r="J425" s="441"/>
      <c r="K425" s="345"/>
      <c r="L425" s="478"/>
      <c r="M425" s="345"/>
      <c r="N425" s="345"/>
      <c r="O425" s="345"/>
      <c r="P425" s="414"/>
      <c r="Q425" s="414"/>
      <c r="R425" s="414"/>
      <c r="S425" s="445"/>
      <c r="T425" s="445"/>
      <c r="U425" s="445"/>
      <c r="V425" s="345"/>
      <c r="W425" s="441"/>
      <c r="X425" s="345"/>
      <c r="Y425" s="345"/>
      <c r="Z425" s="345"/>
      <c r="AA425" s="345"/>
      <c r="AB425" s="345"/>
      <c r="AC425" s="345"/>
      <c r="AD425" s="345"/>
      <c r="AE425" s="345"/>
      <c r="AF425" s="345"/>
      <c r="AG425" s="345"/>
      <c r="AH425" s="345"/>
      <c r="AI425" s="345"/>
      <c r="AJ425" s="345"/>
      <c r="AK425" s="345"/>
      <c r="AL425" s="345"/>
      <c r="AM425" s="345"/>
      <c r="AN425" s="345"/>
      <c r="AO425" s="345"/>
      <c r="AP425" s="345"/>
      <c r="AQ425" s="345"/>
      <c r="AR425" s="345"/>
      <c r="AS425" s="345"/>
    </row>
    <row r="426" ht="13.5" customHeight="1">
      <c r="A426" s="424" t="str">
        <f>'Membership Application List'!A655</f>
        <v/>
      </c>
      <c r="B426" s="443" t="str">
        <f t="shared" si="6"/>
        <v/>
      </c>
      <c r="C426" s="443" t="str">
        <f t="shared" si="7"/>
        <v/>
      </c>
      <c r="D426" s="426" t="str">
        <f>'Membership Application List'!E655</f>
        <v/>
      </c>
      <c r="E426" s="426" t="b">
        <f>IF('Membership Application List'!J655 = "Food/Litter Donation", 0, IF('Membership Application List'!J655 = "$15 Donation, Discord Verification", IF('Membership Application List'!N655 = TRUE, 15, 0)))</f>
        <v>0</v>
      </c>
      <c r="F426" s="426">
        <f>if('Membership Application List'!K655=TRUE, 5,0)</f>
        <v>0</v>
      </c>
      <c r="G426" s="426">
        <f t="shared" si="8"/>
        <v>0</v>
      </c>
      <c r="H426" s="427" t="str">
        <f>'Membership Application List'!L655</f>
        <v/>
      </c>
      <c r="I426" s="345"/>
      <c r="J426" s="441"/>
      <c r="K426" s="345"/>
      <c r="L426" s="478"/>
      <c r="M426" s="345"/>
      <c r="N426" s="345"/>
      <c r="O426" s="345"/>
      <c r="P426" s="414"/>
      <c r="Q426" s="414"/>
      <c r="R426" s="414"/>
      <c r="S426" s="445"/>
      <c r="T426" s="445"/>
      <c r="U426" s="445"/>
      <c r="V426" s="345"/>
      <c r="W426" s="441"/>
      <c r="X426" s="345"/>
      <c r="Y426" s="345"/>
      <c r="Z426" s="345"/>
      <c r="AA426" s="345"/>
      <c r="AB426" s="345"/>
      <c r="AC426" s="345"/>
      <c r="AD426" s="345"/>
      <c r="AE426" s="345"/>
      <c r="AF426" s="345"/>
      <c r="AG426" s="345"/>
      <c r="AH426" s="345"/>
      <c r="AI426" s="345"/>
      <c r="AJ426" s="345"/>
      <c r="AK426" s="345"/>
      <c r="AL426" s="345"/>
      <c r="AM426" s="345"/>
      <c r="AN426" s="345"/>
      <c r="AO426" s="345"/>
      <c r="AP426" s="345"/>
      <c r="AQ426" s="345"/>
      <c r="AR426" s="345"/>
      <c r="AS426" s="345"/>
    </row>
    <row r="427" ht="13.5" customHeight="1">
      <c r="A427" s="436" t="str">
        <f>'Membership Application List'!A656</f>
        <v/>
      </c>
      <c r="B427" s="437" t="str">
        <f t="shared" si="6"/>
        <v/>
      </c>
      <c r="C427" s="437" t="str">
        <f t="shared" si="7"/>
        <v/>
      </c>
      <c r="D427" s="438" t="str">
        <f>'Membership Application List'!E656</f>
        <v/>
      </c>
      <c r="E427" s="438" t="b">
        <f>IF('Membership Application List'!J656 = "Food/Litter Donation", 0, IF('Membership Application List'!J656 = "$15 Donation, Discord Verification", IF('Membership Application List'!N656 = TRUE, 15, 0)))</f>
        <v>0</v>
      </c>
      <c r="F427" s="438">
        <f>if('Membership Application List'!K656=TRUE, 5,0)</f>
        <v>0</v>
      </c>
      <c r="G427" s="438">
        <f t="shared" si="8"/>
        <v>0</v>
      </c>
      <c r="H427" s="439" t="str">
        <f>'Membership Application List'!L656</f>
        <v/>
      </c>
      <c r="I427" s="345"/>
      <c r="J427" s="441"/>
      <c r="K427" s="345"/>
      <c r="L427" s="478"/>
      <c r="M427" s="345"/>
      <c r="N427" s="345"/>
      <c r="O427" s="345"/>
      <c r="P427" s="414"/>
      <c r="Q427" s="414"/>
      <c r="R427" s="414"/>
      <c r="S427" s="445"/>
      <c r="T427" s="445"/>
      <c r="U427" s="445"/>
      <c r="V427" s="345"/>
      <c r="W427" s="441"/>
      <c r="X427" s="345"/>
      <c r="Y427" s="345"/>
      <c r="Z427" s="345"/>
      <c r="AA427" s="345"/>
      <c r="AB427" s="345"/>
      <c r="AC427" s="345"/>
      <c r="AD427" s="345"/>
      <c r="AE427" s="345"/>
      <c r="AF427" s="345"/>
      <c r="AG427" s="345"/>
      <c r="AH427" s="345"/>
      <c r="AI427" s="345"/>
      <c r="AJ427" s="345"/>
      <c r="AK427" s="345"/>
      <c r="AL427" s="345"/>
      <c r="AM427" s="345"/>
      <c r="AN427" s="345"/>
      <c r="AO427" s="345"/>
      <c r="AP427" s="345"/>
      <c r="AQ427" s="345"/>
      <c r="AR427" s="345"/>
      <c r="AS427" s="345"/>
    </row>
    <row r="428" ht="13.5" customHeight="1">
      <c r="A428" s="424" t="str">
        <f>'Membership Application List'!A657</f>
        <v/>
      </c>
      <c r="B428" s="443" t="str">
        <f t="shared" si="6"/>
        <v/>
      </c>
      <c r="C428" s="443" t="str">
        <f t="shared" si="7"/>
        <v/>
      </c>
      <c r="D428" s="426" t="str">
        <f>'Membership Application List'!E657</f>
        <v/>
      </c>
      <c r="E428" s="426" t="b">
        <f>IF('Membership Application List'!J657 = "Food/Litter Donation", 0, IF('Membership Application List'!J657 = "$15 Donation, Discord Verification", IF('Membership Application List'!N657 = TRUE, 15, 0)))</f>
        <v>0</v>
      </c>
      <c r="F428" s="426">
        <f>if('Membership Application List'!K657=TRUE, 5,0)</f>
        <v>0</v>
      </c>
      <c r="G428" s="426">
        <f t="shared" si="8"/>
        <v>0</v>
      </c>
      <c r="H428" s="427" t="str">
        <f>'Membership Application List'!L657</f>
        <v/>
      </c>
      <c r="I428" s="345"/>
      <c r="J428" s="441"/>
      <c r="K428" s="345"/>
      <c r="L428" s="478"/>
      <c r="M428" s="345"/>
      <c r="N428" s="345"/>
      <c r="O428" s="345"/>
      <c r="P428" s="414"/>
      <c r="Q428" s="414"/>
      <c r="R428" s="414"/>
      <c r="S428" s="445"/>
      <c r="T428" s="445"/>
      <c r="U428" s="445"/>
      <c r="V428" s="345"/>
      <c r="W428" s="441"/>
      <c r="X428" s="345"/>
      <c r="Y428" s="345"/>
      <c r="Z428" s="345"/>
      <c r="AA428" s="345"/>
      <c r="AB428" s="345"/>
      <c r="AC428" s="345"/>
      <c r="AD428" s="345"/>
      <c r="AE428" s="345"/>
      <c r="AF428" s="345"/>
      <c r="AG428" s="345"/>
      <c r="AH428" s="345"/>
      <c r="AI428" s="345"/>
      <c r="AJ428" s="345"/>
      <c r="AK428" s="345"/>
      <c r="AL428" s="345"/>
      <c r="AM428" s="345"/>
      <c r="AN428" s="345"/>
      <c r="AO428" s="345"/>
      <c r="AP428" s="345"/>
      <c r="AQ428" s="345"/>
      <c r="AR428" s="345"/>
      <c r="AS428" s="345"/>
    </row>
    <row r="429" ht="13.5" customHeight="1">
      <c r="A429" s="436" t="str">
        <f>'Membership Application List'!A658</f>
        <v/>
      </c>
      <c r="B429" s="437" t="str">
        <f t="shared" si="6"/>
        <v/>
      </c>
      <c r="C429" s="437" t="str">
        <f t="shared" si="7"/>
        <v/>
      </c>
      <c r="D429" s="438" t="str">
        <f>'Membership Application List'!E658</f>
        <v/>
      </c>
      <c r="E429" s="438" t="b">
        <f>IF('Membership Application List'!J658 = "Food/Litter Donation", 0, IF('Membership Application List'!J658 = "$15 Donation, Discord Verification", IF('Membership Application List'!N658 = TRUE, 15, 0)))</f>
        <v>0</v>
      </c>
      <c r="F429" s="438">
        <f>if('Membership Application List'!K658=TRUE, 5,0)</f>
        <v>0</v>
      </c>
      <c r="G429" s="438">
        <f t="shared" si="8"/>
        <v>0</v>
      </c>
      <c r="H429" s="439" t="str">
        <f>'Membership Application List'!L658</f>
        <v/>
      </c>
      <c r="I429" s="345"/>
      <c r="J429" s="441"/>
      <c r="K429" s="345"/>
      <c r="L429" s="478"/>
      <c r="M429" s="345"/>
      <c r="N429" s="345"/>
      <c r="O429" s="345"/>
      <c r="P429" s="414"/>
      <c r="Q429" s="414"/>
      <c r="R429" s="414"/>
      <c r="S429" s="445"/>
      <c r="T429" s="445"/>
      <c r="U429" s="445"/>
      <c r="V429" s="345"/>
      <c r="W429" s="441"/>
      <c r="X429" s="345"/>
      <c r="Y429" s="345"/>
      <c r="Z429" s="345"/>
      <c r="AA429" s="345"/>
      <c r="AB429" s="345"/>
      <c r="AC429" s="345"/>
      <c r="AD429" s="345"/>
      <c r="AE429" s="345"/>
      <c r="AF429" s="345"/>
      <c r="AG429" s="345"/>
      <c r="AH429" s="345"/>
      <c r="AI429" s="345"/>
      <c r="AJ429" s="345"/>
      <c r="AK429" s="345"/>
      <c r="AL429" s="345"/>
      <c r="AM429" s="345"/>
      <c r="AN429" s="345"/>
      <c r="AO429" s="345"/>
      <c r="AP429" s="345"/>
      <c r="AQ429" s="345"/>
      <c r="AR429" s="345"/>
      <c r="AS429" s="345"/>
    </row>
    <row r="430" ht="13.5" customHeight="1">
      <c r="A430" s="424" t="str">
        <f>'Membership Application List'!A659</f>
        <v/>
      </c>
      <c r="B430" s="443" t="str">
        <f t="shared" si="6"/>
        <v/>
      </c>
      <c r="C430" s="443" t="str">
        <f t="shared" si="7"/>
        <v/>
      </c>
      <c r="D430" s="426" t="str">
        <f>'Membership Application List'!E659</f>
        <v/>
      </c>
      <c r="E430" s="426" t="b">
        <f>IF('Membership Application List'!J659 = "Food/Litter Donation", 0, IF('Membership Application List'!J659 = "$15 Donation, Discord Verification", IF('Membership Application List'!N659 = TRUE, 15, 0)))</f>
        <v>0</v>
      </c>
      <c r="F430" s="426">
        <f>if('Membership Application List'!K659=TRUE, 5,0)</f>
        <v>0</v>
      </c>
      <c r="G430" s="426">
        <f t="shared" si="8"/>
        <v>0</v>
      </c>
      <c r="H430" s="427" t="str">
        <f>'Membership Application List'!L659</f>
        <v/>
      </c>
      <c r="I430" s="345"/>
      <c r="J430" s="441"/>
      <c r="K430" s="345"/>
      <c r="L430" s="478"/>
      <c r="M430" s="345"/>
      <c r="N430" s="345"/>
      <c r="O430" s="345"/>
      <c r="P430" s="414"/>
      <c r="Q430" s="414"/>
      <c r="R430" s="414"/>
      <c r="S430" s="445"/>
      <c r="T430" s="445"/>
      <c r="U430" s="445"/>
      <c r="V430" s="345"/>
      <c r="W430" s="441"/>
      <c r="X430" s="345"/>
      <c r="Y430" s="345"/>
      <c r="Z430" s="345"/>
      <c r="AA430" s="345"/>
      <c r="AB430" s="345"/>
      <c r="AC430" s="345"/>
      <c r="AD430" s="345"/>
      <c r="AE430" s="345"/>
      <c r="AF430" s="345"/>
      <c r="AG430" s="345"/>
      <c r="AH430" s="345"/>
      <c r="AI430" s="345"/>
      <c r="AJ430" s="345"/>
      <c r="AK430" s="345"/>
      <c r="AL430" s="345"/>
      <c r="AM430" s="345"/>
      <c r="AN430" s="345"/>
      <c r="AO430" s="345"/>
      <c r="AP430" s="345"/>
      <c r="AQ430" s="345"/>
      <c r="AR430" s="345"/>
      <c r="AS430" s="345"/>
    </row>
    <row r="431" ht="13.5" customHeight="1">
      <c r="A431" s="436" t="str">
        <f>'Membership Application List'!A660</f>
        <v/>
      </c>
      <c r="B431" s="437" t="str">
        <f t="shared" si="6"/>
        <v/>
      </c>
      <c r="C431" s="437" t="str">
        <f t="shared" si="7"/>
        <v/>
      </c>
      <c r="D431" s="438" t="str">
        <f>'Membership Application List'!E660</f>
        <v/>
      </c>
      <c r="E431" s="438" t="b">
        <f>IF('Membership Application List'!J660 = "Food/Litter Donation", 0, IF('Membership Application List'!J660 = "$15 Donation, Discord Verification", IF('Membership Application List'!N660 = TRUE, 15, 0)))</f>
        <v>0</v>
      </c>
      <c r="F431" s="438">
        <f>if('Membership Application List'!K660=TRUE, 5,0)</f>
        <v>0</v>
      </c>
      <c r="G431" s="438">
        <f t="shared" si="8"/>
        <v>0</v>
      </c>
      <c r="H431" s="439" t="str">
        <f>'Membership Application List'!L660</f>
        <v/>
      </c>
      <c r="I431" s="345"/>
      <c r="J431" s="441"/>
      <c r="K431" s="345"/>
      <c r="L431" s="478"/>
      <c r="M431" s="345"/>
      <c r="N431" s="345"/>
      <c r="O431" s="345"/>
      <c r="P431" s="414"/>
      <c r="Q431" s="414"/>
      <c r="R431" s="414"/>
      <c r="S431" s="445"/>
      <c r="T431" s="445"/>
      <c r="U431" s="445"/>
      <c r="V431" s="345"/>
      <c r="W431" s="441"/>
      <c r="X431" s="345"/>
      <c r="Y431" s="345"/>
      <c r="Z431" s="345"/>
      <c r="AA431" s="345"/>
      <c r="AB431" s="345"/>
      <c r="AC431" s="345"/>
      <c r="AD431" s="345"/>
      <c r="AE431" s="345"/>
      <c r="AF431" s="345"/>
      <c r="AG431" s="345"/>
      <c r="AH431" s="345"/>
      <c r="AI431" s="345"/>
      <c r="AJ431" s="345"/>
      <c r="AK431" s="345"/>
      <c r="AL431" s="345"/>
      <c r="AM431" s="345"/>
      <c r="AN431" s="345"/>
      <c r="AO431" s="345"/>
      <c r="AP431" s="345"/>
      <c r="AQ431" s="345"/>
      <c r="AR431" s="345"/>
      <c r="AS431" s="345"/>
    </row>
    <row r="432" ht="13.5" customHeight="1">
      <c r="A432" s="424" t="str">
        <f>'Membership Application List'!A661</f>
        <v/>
      </c>
      <c r="B432" s="443" t="str">
        <f t="shared" si="6"/>
        <v/>
      </c>
      <c r="C432" s="443" t="str">
        <f t="shared" si="7"/>
        <v/>
      </c>
      <c r="D432" s="426" t="str">
        <f>'Membership Application List'!E661</f>
        <v/>
      </c>
      <c r="E432" s="426" t="b">
        <f>IF('Membership Application List'!J661 = "Food/Litter Donation", 0, IF('Membership Application List'!J661 = "$15 Donation, Discord Verification", IF('Membership Application List'!N661 = TRUE, 15, 0)))</f>
        <v>0</v>
      </c>
      <c r="F432" s="426">
        <f>if('Membership Application List'!K661=TRUE, 5,0)</f>
        <v>0</v>
      </c>
      <c r="G432" s="426">
        <f t="shared" si="8"/>
        <v>0</v>
      </c>
      <c r="H432" s="427" t="str">
        <f>'Membership Application List'!L661</f>
        <v/>
      </c>
      <c r="I432" s="345"/>
      <c r="J432" s="441"/>
      <c r="K432" s="345"/>
      <c r="L432" s="478"/>
      <c r="M432" s="345"/>
      <c r="N432" s="345"/>
      <c r="O432" s="345"/>
      <c r="P432" s="414"/>
      <c r="Q432" s="414"/>
      <c r="R432" s="414"/>
      <c r="S432" s="445"/>
      <c r="T432" s="445"/>
      <c r="U432" s="445"/>
      <c r="V432" s="345"/>
      <c r="W432" s="441"/>
      <c r="X432" s="345"/>
      <c r="Y432" s="345"/>
      <c r="Z432" s="345"/>
      <c r="AA432" s="345"/>
      <c r="AB432" s="345"/>
      <c r="AC432" s="345"/>
      <c r="AD432" s="345"/>
      <c r="AE432" s="345"/>
      <c r="AF432" s="345"/>
      <c r="AG432" s="345"/>
      <c r="AH432" s="345"/>
      <c r="AI432" s="345"/>
      <c r="AJ432" s="345"/>
      <c r="AK432" s="345"/>
      <c r="AL432" s="345"/>
      <c r="AM432" s="345"/>
      <c r="AN432" s="345"/>
      <c r="AO432" s="345"/>
      <c r="AP432" s="345"/>
      <c r="AQ432" s="345"/>
      <c r="AR432" s="345"/>
      <c r="AS432" s="345"/>
    </row>
    <row r="433" ht="13.5" customHeight="1">
      <c r="A433" s="436" t="str">
        <f>'Membership Application List'!A662</f>
        <v/>
      </c>
      <c r="B433" s="437" t="str">
        <f t="shared" si="6"/>
        <v/>
      </c>
      <c r="C433" s="437" t="str">
        <f t="shared" si="7"/>
        <v/>
      </c>
      <c r="D433" s="438" t="str">
        <f>'Membership Application List'!E662</f>
        <v/>
      </c>
      <c r="E433" s="438" t="b">
        <f>IF('Membership Application List'!J662 = "Food/Litter Donation", 0, IF('Membership Application List'!J662 = "$15 Donation, Discord Verification", IF('Membership Application List'!N662 = TRUE, 15, 0)))</f>
        <v>0</v>
      </c>
      <c r="F433" s="438">
        <f>if('Membership Application List'!K662=TRUE, 5,0)</f>
        <v>0</v>
      </c>
      <c r="G433" s="438">
        <f t="shared" si="8"/>
        <v>0</v>
      </c>
      <c r="H433" s="439" t="str">
        <f>'Membership Application List'!L662</f>
        <v/>
      </c>
      <c r="I433" s="345"/>
      <c r="J433" s="441"/>
      <c r="K433" s="345"/>
      <c r="L433" s="478"/>
      <c r="M433" s="345"/>
      <c r="N433" s="345"/>
      <c r="O433" s="345"/>
      <c r="P433" s="414"/>
      <c r="Q433" s="414"/>
      <c r="R433" s="414"/>
      <c r="S433" s="445"/>
      <c r="T433" s="445"/>
      <c r="U433" s="445"/>
      <c r="V433" s="345"/>
      <c r="W433" s="441"/>
      <c r="X433" s="345"/>
      <c r="Y433" s="345"/>
      <c r="Z433" s="345"/>
      <c r="AA433" s="345"/>
      <c r="AB433" s="345"/>
      <c r="AC433" s="345"/>
      <c r="AD433" s="345"/>
      <c r="AE433" s="345"/>
      <c r="AF433" s="345"/>
      <c r="AG433" s="345"/>
      <c r="AH433" s="345"/>
      <c r="AI433" s="345"/>
      <c r="AJ433" s="345"/>
      <c r="AK433" s="345"/>
      <c r="AL433" s="345"/>
      <c r="AM433" s="345"/>
      <c r="AN433" s="345"/>
      <c r="AO433" s="345"/>
      <c r="AP433" s="345"/>
      <c r="AQ433" s="345"/>
      <c r="AR433" s="345"/>
      <c r="AS433" s="345"/>
    </row>
    <row r="434" ht="13.5" customHeight="1">
      <c r="A434" s="424" t="str">
        <f>'Membership Application List'!A663</f>
        <v/>
      </c>
      <c r="B434" s="443" t="str">
        <f t="shared" si="6"/>
        <v/>
      </c>
      <c r="C434" s="443" t="str">
        <f t="shared" si="7"/>
        <v/>
      </c>
      <c r="D434" s="426" t="str">
        <f>'Membership Application List'!E663</f>
        <v/>
      </c>
      <c r="E434" s="426" t="b">
        <f>IF('Membership Application List'!J663 = "Food/Litter Donation", 0, IF('Membership Application List'!J663 = "$15 Donation, Discord Verification", IF('Membership Application List'!N663 = TRUE, 15, 0)))</f>
        <v>0</v>
      </c>
      <c r="F434" s="426">
        <f>if('Membership Application List'!K663=TRUE, 5,0)</f>
        <v>0</v>
      </c>
      <c r="G434" s="426">
        <f t="shared" si="8"/>
        <v>0</v>
      </c>
      <c r="H434" s="427" t="str">
        <f>'Membership Application List'!L663</f>
        <v/>
      </c>
      <c r="I434" s="345"/>
      <c r="J434" s="441"/>
      <c r="K434" s="345"/>
      <c r="L434" s="478"/>
      <c r="M434" s="345"/>
      <c r="N434" s="345"/>
      <c r="O434" s="345"/>
      <c r="P434" s="414"/>
      <c r="Q434" s="414"/>
      <c r="R434" s="414"/>
      <c r="S434" s="445"/>
      <c r="T434" s="445"/>
      <c r="U434" s="445"/>
      <c r="V434" s="345"/>
      <c r="W434" s="441"/>
      <c r="X434" s="345"/>
      <c r="Y434" s="345"/>
      <c r="Z434" s="345"/>
      <c r="AA434" s="345"/>
      <c r="AB434" s="345"/>
      <c r="AC434" s="345"/>
      <c r="AD434" s="345"/>
      <c r="AE434" s="345"/>
      <c r="AF434" s="345"/>
      <c r="AG434" s="345"/>
      <c r="AH434" s="345"/>
      <c r="AI434" s="345"/>
      <c r="AJ434" s="345"/>
      <c r="AK434" s="345"/>
      <c r="AL434" s="345"/>
      <c r="AM434" s="345"/>
      <c r="AN434" s="345"/>
      <c r="AO434" s="345"/>
      <c r="AP434" s="345"/>
      <c r="AQ434" s="345"/>
      <c r="AR434" s="345"/>
      <c r="AS434" s="345"/>
    </row>
    <row r="435" ht="13.5" customHeight="1">
      <c r="A435" s="436" t="str">
        <f>'Membership Application List'!A664</f>
        <v/>
      </c>
      <c r="B435" s="437" t="str">
        <f t="shared" si="6"/>
        <v/>
      </c>
      <c r="C435" s="437" t="str">
        <f t="shared" si="7"/>
        <v/>
      </c>
      <c r="D435" s="438" t="str">
        <f>'Membership Application List'!E664</f>
        <v/>
      </c>
      <c r="E435" s="438" t="b">
        <f>IF('Membership Application List'!J664 = "Food/Litter Donation", 0, IF('Membership Application List'!J664 = "$15 Donation, Discord Verification", IF('Membership Application List'!N664 = TRUE, 15, 0)))</f>
        <v>0</v>
      </c>
      <c r="F435" s="438">
        <f>if('Membership Application List'!K664=TRUE, 5,0)</f>
        <v>0</v>
      </c>
      <c r="G435" s="438">
        <f t="shared" si="8"/>
        <v>0</v>
      </c>
      <c r="H435" s="439" t="str">
        <f>'Membership Application List'!L664</f>
        <v/>
      </c>
      <c r="I435" s="345"/>
      <c r="J435" s="441"/>
      <c r="K435" s="345"/>
      <c r="L435" s="478"/>
      <c r="M435" s="345"/>
      <c r="N435" s="345"/>
      <c r="O435" s="345"/>
      <c r="P435" s="414"/>
      <c r="Q435" s="414"/>
      <c r="R435" s="414"/>
      <c r="S435" s="445"/>
      <c r="T435" s="445"/>
      <c r="U435" s="445"/>
      <c r="V435" s="345"/>
      <c r="W435" s="441"/>
      <c r="X435" s="345"/>
      <c r="Y435" s="345"/>
      <c r="Z435" s="345"/>
      <c r="AA435" s="345"/>
      <c r="AB435" s="345"/>
      <c r="AC435" s="345"/>
      <c r="AD435" s="345"/>
      <c r="AE435" s="345"/>
      <c r="AF435" s="345"/>
      <c r="AG435" s="345"/>
      <c r="AH435" s="345"/>
      <c r="AI435" s="345"/>
      <c r="AJ435" s="345"/>
      <c r="AK435" s="345"/>
      <c r="AL435" s="345"/>
      <c r="AM435" s="345"/>
      <c r="AN435" s="345"/>
      <c r="AO435" s="345"/>
      <c r="AP435" s="345"/>
      <c r="AQ435" s="345"/>
      <c r="AR435" s="345"/>
      <c r="AS435" s="345"/>
    </row>
    <row r="436" ht="13.5" customHeight="1">
      <c r="A436" s="424" t="str">
        <f>'Membership Application List'!A665</f>
        <v/>
      </c>
      <c r="B436" s="443" t="str">
        <f t="shared" si="6"/>
        <v/>
      </c>
      <c r="C436" s="443" t="str">
        <f t="shared" si="7"/>
        <v/>
      </c>
      <c r="D436" s="426" t="str">
        <f>'Membership Application List'!E665</f>
        <v/>
      </c>
      <c r="E436" s="426" t="b">
        <f>IF('Membership Application List'!J665 = "Food/Litter Donation", 0, IF('Membership Application List'!J665 = "$15 Donation, Discord Verification", IF('Membership Application List'!N665 = TRUE, 15, 0)))</f>
        <v>0</v>
      </c>
      <c r="F436" s="426">
        <f>if('Membership Application List'!K665=TRUE, 5,0)</f>
        <v>0</v>
      </c>
      <c r="G436" s="426">
        <f t="shared" si="8"/>
        <v>0</v>
      </c>
      <c r="H436" s="427" t="str">
        <f>'Membership Application List'!L665</f>
        <v/>
      </c>
      <c r="I436" s="345"/>
      <c r="J436" s="441"/>
      <c r="K436" s="345"/>
      <c r="L436" s="478"/>
      <c r="M436" s="345"/>
      <c r="N436" s="345"/>
      <c r="O436" s="345"/>
      <c r="P436" s="414"/>
      <c r="Q436" s="414"/>
      <c r="R436" s="414"/>
      <c r="S436" s="445"/>
      <c r="T436" s="445"/>
      <c r="U436" s="445"/>
      <c r="V436" s="345"/>
      <c r="W436" s="441"/>
      <c r="X436" s="345"/>
      <c r="Y436" s="345"/>
      <c r="Z436" s="345"/>
      <c r="AA436" s="345"/>
      <c r="AB436" s="345"/>
      <c r="AC436" s="345"/>
      <c r="AD436" s="345"/>
      <c r="AE436" s="345"/>
      <c r="AF436" s="345"/>
      <c r="AG436" s="345"/>
      <c r="AH436" s="345"/>
      <c r="AI436" s="345"/>
      <c r="AJ436" s="345"/>
      <c r="AK436" s="345"/>
      <c r="AL436" s="345"/>
      <c r="AM436" s="345"/>
      <c r="AN436" s="345"/>
      <c r="AO436" s="345"/>
      <c r="AP436" s="345"/>
      <c r="AQ436" s="345"/>
      <c r="AR436" s="345"/>
      <c r="AS436" s="345"/>
    </row>
    <row r="437" ht="13.5" customHeight="1">
      <c r="A437" s="436" t="str">
        <f>'Membership Application List'!A666</f>
        <v/>
      </c>
      <c r="B437" s="437" t="str">
        <f t="shared" si="6"/>
        <v/>
      </c>
      <c r="C437" s="437" t="str">
        <f t="shared" si="7"/>
        <v/>
      </c>
      <c r="D437" s="438" t="str">
        <f>'Membership Application List'!E666</f>
        <v/>
      </c>
      <c r="E437" s="438" t="b">
        <f>IF('Membership Application List'!J666 = "Food/Litter Donation", 0, IF('Membership Application List'!J666 = "$15 Donation, Discord Verification", IF('Membership Application List'!N666 = TRUE, 15, 0)))</f>
        <v>0</v>
      </c>
      <c r="F437" s="438">
        <f>if('Membership Application List'!K666=TRUE, 5,0)</f>
        <v>0</v>
      </c>
      <c r="G437" s="438">
        <f t="shared" si="8"/>
        <v>0</v>
      </c>
      <c r="H437" s="439" t="str">
        <f>'Membership Application List'!L666</f>
        <v/>
      </c>
      <c r="I437" s="345"/>
      <c r="J437" s="441"/>
      <c r="K437" s="345"/>
      <c r="L437" s="478"/>
      <c r="M437" s="345"/>
      <c r="N437" s="345"/>
      <c r="O437" s="345"/>
      <c r="P437" s="414"/>
      <c r="Q437" s="414"/>
      <c r="R437" s="414"/>
      <c r="S437" s="445"/>
      <c r="T437" s="445"/>
      <c r="U437" s="445"/>
      <c r="V437" s="345"/>
      <c r="W437" s="441"/>
      <c r="X437" s="345"/>
      <c r="Y437" s="345"/>
      <c r="Z437" s="345"/>
      <c r="AA437" s="345"/>
      <c r="AB437" s="345"/>
      <c r="AC437" s="345"/>
      <c r="AD437" s="345"/>
      <c r="AE437" s="345"/>
      <c r="AF437" s="345"/>
      <c r="AG437" s="345"/>
      <c r="AH437" s="345"/>
      <c r="AI437" s="345"/>
      <c r="AJ437" s="345"/>
      <c r="AK437" s="345"/>
      <c r="AL437" s="345"/>
      <c r="AM437" s="345"/>
      <c r="AN437" s="345"/>
      <c r="AO437" s="345"/>
      <c r="AP437" s="345"/>
      <c r="AQ437" s="345"/>
      <c r="AR437" s="345"/>
      <c r="AS437" s="345"/>
    </row>
    <row r="438" ht="13.5" customHeight="1">
      <c r="A438" s="424" t="str">
        <f>'Membership Application List'!A667</f>
        <v/>
      </c>
      <c r="B438" s="443" t="str">
        <f t="shared" si="6"/>
        <v/>
      </c>
      <c r="C438" s="443" t="str">
        <f t="shared" si="7"/>
        <v/>
      </c>
      <c r="D438" s="426" t="str">
        <f>'Membership Application List'!E667</f>
        <v/>
      </c>
      <c r="E438" s="426" t="b">
        <f>IF('Membership Application List'!J667 = "Food/Litter Donation", 0, IF('Membership Application List'!J667 = "$15 Donation, Discord Verification", IF('Membership Application List'!N667 = TRUE, 15, 0)))</f>
        <v>0</v>
      </c>
      <c r="F438" s="426">
        <f>if('Membership Application List'!K667=TRUE, 5,0)</f>
        <v>0</v>
      </c>
      <c r="G438" s="426">
        <f t="shared" si="8"/>
        <v>0</v>
      </c>
      <c r="H438" s="427" t="str">
        <f>'Membership Application List'!L667</f>
        <v/>
      </c>
      <c r="I438" s="345"/>
      <c r="J438" s="441"/>
      <c r="K438" s="345"/>
      <c r="L438" s="478"/>
      <c r="M438" s="345"/>
      <c r="N438" s="345"/>
      <c r="O438" s="345"/>
      <c r="P438" s="414"/>
      <c r="Q438" s="414"/>
      <c r="R438" s="414"/>
      <c r="S438" s="445"/>
      <c r="T438" s="445"/>
      <c r="U438" s="445"/>
      <c r="V438" s="345"/>
      <c r="W438" s="441"/>
      <c r="X438" s="345"/>
      <c r="Y438" s="345"/>
      <c r="Z438" s="345"/>
      <c r="AA438" s="345"/>
      <c r="AB438" s="345"/>
      <c r="AC438" s="345"/>
      <c r="AD438" s="345"/>
      <c r="AE438" s="345"/>
      <c r="AF438" s="345"/>
      <c r="AG438" s="345"/>
      <c r="AH438" s="345"/>
      <c r="AI438" s="345"/>
      <c r="AJ438" s="345"/>
      <c r="AK438" s="345"/>
      <c r="AL438" s="345"/>
      <c r="AM438" s="345"/>
      <c r="AN438" s="345"/>
      <c r="AO438" s="345"/>
      <c r="AP438" s="345"/>
      <c r="AQ438" s="345"/>
      <c r="AR438" s="345"/>
      <c r="AS438" s="345"/>
    </row>
    <row r="439" ht="13.5" customHeight="1">
      <c r="A439" s="436" t="str">
        <f>'Membership Application List'!A668</f>
        <v/>
      </c>
      <c r="B439" s="437" t="str">
        <f t="shared" si="6"/>
        <v/>
      </c>
      <c r="C439" s="437" t="str">
        <f t="shared" si="7"/>
        <v/>
      </c>
      <c r="D439" s="438" t="str">
        <f>'Membership Application List'!E668</f>
        <v/>
      </c>
      <c r="E439" s="438" t="b">
        <f>IF('Membership Application List'!J668 = "Food/Litter Donation", 0, IF('Membership Application List'!J668 = "$15 Donation, Discord Verification", IF('Membership Application List'!N668 = TRUE, 15, 0)))</f>
        <v>0</v>
      </c>
      <c r="F439" s="438">
        <f>if('Membership Application List'!K668=TRUE, 5,0)</f>
        <v>0</v>
      </c>
      <c r="G439" s="438">
        <f t="shared" si="8"/>
        <v>0</v>
      </c>
      <c r="H439" s="439" t="str">
        <f>'Membership Application List'!L668</f>
        <v/>
      </c>
      <c r="I439" s="345"/>
      <c r="J439" s="441"/>
      <c r="K439" s="345"/>
      <c r="L439" s="478"/>
      <c r="M439" s="345"/>
      <c r="N439" s="345"/>
      <c r="O439" s="345"/>
      <c r="P439" s="414"/>
      <c r="Q439" s="414"/>
      <c r="R439" s="414"/>
      <c r="S439" s="445"/>
      <c r="T439" s="445"/>
      <c r="U439" s="445"/>
      <c r="V439" s="345"/>
      <c r="W439" s="441"/>
      <c r="X439" s="345"/>
      <c r="Y439" s="345"/>
      <c r="Z439" s="345"/>
      <c r="AA439" s="345"/>
      <c r="AB439" s="345"/>
      <c r="AC439" s="345"/>
      <c r="AD439" s="345"/>
      <c r="AE439" s="345"/>
      <c r="AF439" s="345"/>
      <c r="AG439" s="345"/>
      <c r="AH439" s="345"/>
      <c r="AI439" s="345"/>
      <c r="AJ439" s="345"/>
      <c r="AK439" s="345"/>
      <c r="AL439" s="345"/>
      <c r="AM439" s="345"/>
      <c r="AN439" s="345"/>
      <c r="AO439" s="345"/>
      <c r="AP439" s="345"/>
      <c r="AQ439" s="345"/>
      <c r="AR439" s="345"/>
      <c r="AS439" s="345"/>
    </row>
    <row r="440" ht="13.5" customHeight="1">
      <c r="A440" s="424" t="str">
        <f>'Membership Application List'!A669</f>
        <v/>
      </c>
      <c r="B440" s="443" t="str">
        <f t="shared" si="6"/>
        <v/>
      </c>
      <c r="C440" s="443" t="str">
        <f t="shared" si="7"/>
        <v/>
      </c>
      <c r="D440" s="426" t="str">
        <f>'Membership Application List'!E669</f>
        <v/>
      </c>
      <c r="E440" s="426" t="b">
        <f>IF('Membership Application List'!J669 = "Food/Litter Donation", 0, IF('Membership Application List'!J669 = "$15 Donation, Discord Verification", IF('Membership Application List'!N669 = TRUE, 15, 0)))</f>
        <v>0</v>
      </c>
      <c r="F440" s="426">
        <f>if('Membership Application List'!K669=TRUE, 5,0)</f>
        <v>0</v>
      </c>
      <c r="G440" s="426">
        <f t="shared" si="8"/>
        <v>0</v>
      </c>
      <c r="H440" s="427" t="str">
        <f>'Membership Application List'!L669</f>
        <v/>
      </c>
      <c r="I440" s="345"/>
      <c r="J440" s="441"/>
      <c r="K440" s="345"/>
      <c r="L440" s="478"/>
      <c r="M440" s="345"/>
      <c r="N440" s="345"/>
      <c r="O440" s="345"/>
      <c r="P440" s="414"/>
      <c r="Q440" s="414"/>
      <c r="R440" s="414"/>
      <c r="S440" s="445"/>
      <c r="T440" s="445"/>
      <c r="U440" s="445"/>
      <c r="V440" s="345"/>
      <c r="W440" s="441"/>
      <c r="X440" s="345"/>
      <c r="Y440" s="345"/>
      <c r="Z440" s="345"/>
      <c r="AA440" s="345"/>
      <c r="AB440" s="345"/>
      <c r="AC440" s="345"/>
      <c r="AD440" s="345"/>
      <c r="AE440" s="345"/>
      <c r="AF440" s="345"/>
      <c r="AG440" s="345"/>
      <c r="AH440" s="345"/>
      <c r="AI440" s="345"/>
      <c r="AJ440" s="345"/>
      <c r="AK440" s="345"/>
      <c r="AL440" s="345"/>
      <c r="AM440" s="345"/>
      <c r="AN440" s="345"/>
      <c r="AO440" s="345"/>
      <c r="AP440" s="345"/>
      <c r="AQ440" s="345"/>
      <c r="AR440" s="345"/>
      <c r="AS440" s="345"/>
    </row>
    <row r="441" ht="13.5" customHeight="1">
      <c r="A441" s="436" t="str">
        <f>'Membership Application List'!A670</f>
        <v/>
      </c>
      <c r="B441" s="437" t="str">
        <f t="shared" si="6"/>
        <v/>
      </c>
      <c r="C441" s="437" t="str">
        <f t="shared" si="7"/>
        <v/>
      </c>
      <c r="D441" s="438" t="str">
        <f>'Membership Application List'!E670</f>
        <v/>
      </c>
      <c r="E441" s="438" t="b">
        <f>IF('Membership Application List'!J670 = "Food/Litter Donation", 0, IF('Membership Application List'!J670 = "$15 Donation, Discord Verification", IF('Membership Application List'!N670 = TRUE, 15, 0)))</f>
        <v>0</v>
      </c>
      <c r="F441" s="438">
        <f>if('Membership Application List'!K670=TRUE, 5,0)</f>
        <v>0</v>
      </c>
      <c r="G441" s="438">
        <f t="shared" si="8"/>
        <v>0</v>
      </c>
      <c r="H441" s="439" t="str">
        <f>'Membership Application List'!L670</f>
        <v/>
      </c>
      <c r="I441" s="345"/>
      <c r="J441" s="441"/>
      <c r="K441" s="345"/>
      <c r="L441" s="478"/>
      <c r="M441" s="345"/>
      <c r="N441" s="345"/>
      <c r="O441" s="345"/>
      <c r="P441" s="414"/>
      <c r="Q441" s="414"/>
      <c r="R441" s="414"/>
      <c r="S441" s="445"/>
      <c r="T441" s="445"/>
      <c r="U441" s="445"/>
      <c r="V441" s="345"/>
      <c r="W441" s="441"/>
      <c r="X441" s="345"/>
      <c r="Y441" s="345"/>
      <c r="Z441" s="345"/>
      <c r="AA441" s="345"/>
      <c r="AB441" s="345"/>
      <c r="AC441" s="345"/>
      <c r="AD441" s="345"/>
      <c r="AE441" s="345"/>
      <c r="AF441" s="345"/>
      <c r="AG441" s="345"/>
      <c r="AH441" s="345"/>
      <c r="AI441" s="345"/>
      <c r="AJ441" s="345"/>
      <c r="AK441" s="345"/>
      <c r="AL441" s="345"/>
      <c r="AM441" s="345"/>
      <c r="AN441" s="345"/>
      <c r="AO441" s="345"/>
      <c r="AP441" s="345"/>
      <c r="AQ441" s="345"/>
      <c r="AR441" s="345"/>
      <c r="AS441" s="345"/>
    </row>
    <row r="442" ht="13.5" customHeight="1">
      <c r="A442" s="424" t="str">
        <f>'Membership Application List'!A671</f>
        <v/>
      </c>
      <c r="B442" s="443" t="str">
        <f t="shared" si="6"/>
        <v/>
      </c>
      <c r="C442" s="443" t="str">
        <f t="shared" si="7"/>
        <v/>
      </c>
      <c r="D442" s="426" t="str">
        <f>'Membership Application List'!E671</f>
        <v/>
      </c>
      <c r="E442" s="426" t="b">
        <f>IF('Membership Application List'!J671 = "Food/Litter Donation", 0, IF('Membership Application List'!J671 = "$15 Donation, Discord Verification", IF('Membership Application List'!N671 = TRUE, 15, 0)))</f>
        <v>0</v>
      </c>
      <c r="F442" s="426">
        <f>if('Membership Application List'!K671=TRUE, 5,0)</f>
        <v>0</v>
      </c>
      <c r="G442" s="426">
        <f t="shared" si="8"/>
        <v>0</v>
      </c>
      <c r="H442" s="427" t="str">
        <f>'Membership Application List'!L671</f>
        <v/>
      </c>
      <c r="I442" s="345"/>
      <c r="J442" s="441"/>
      <c r="K442" s="345"/>
      <c r="L442" s="478"/>
      <c r="M442" s="345"/>
      <c r="N442" s="345"/>
      <c r="O442" s="345"/>
      <c r="P442" s="414"/>
      <c r="Q442" s="414"/>
      <c r="R442" s="414"/>
      <c r="S442" s="445"/>
      <c r="T442" s="445"/>
      <c r="U442" s="445"/>
      <c r="V442" s="345"/>
      <c r="W442" s="441"/>
      <c r="X442" s="345"/>
      <c r="Y442" s="345"/>
      <c r="Z442" s="345"/>
      <c r="AA442" s="345"/>
      <c r="AB442" s="345"/>
      <c r="AC442" s="345"/>
      <c r="AD442" s="345"/>
      <c r="AE442" s="345"/>
      <c r="AF442" s="345"/>
      <c r="AG442" s="345"/>
      <c r="AH442" s="345"/>
      <c r="AI442" s="345"/>
      <c r="AJ442" s="345"/>
      <c r="AK442" s="345"/>
      <c r="AL442" s="345"/>
      <c r="AM442" s="345"/>
      <c r="AN442" s="345"/>
      <c r="AO442" s="345"/>
      <c r="AP442" s="345"/>
      <c r="AQ442" s="345"/>
      <c r="AR442" s="345"/>
      <c r="AS442" s="345"/>
    </row>
    <row r="443" ht="13.5" customHeight="1">
      <c r="A443" s="436" t="str">
        <f>'Membership Application List'!A672</f>
        <v/>
      </c>
      <c r="B443" s="437" t="str">
        <f t="shared" si="6"/>
        <v/>
      </c>
      <c r="C443" s="437" t="str">
        <f t="shared" si="7"/>
        <v/>
      </c>
      <c r="D443" s="438" t="str">
        <f>'Membership Application List'!E672</f>
        <v/>
      </c>
      <c r="E443" s="438" t="b">
        <f>IF('Membership Application List'!J672 = "Food/Litter Donation", 0, IF('Membership Application List'!J672 = "$15 Donation, Discord Verification", IF('Membership Application List'!N672 = TRUE, 15, 0)))</f>
        <v>0</v>
      </c>
      <c r="F443" s="438">
        <f>if('Membership Application List'!K672=TRUE, 5,0)</f>
        <v>0</v>
      </c>
      <c r="G443" s="438">
        <f t="shared" si="8"/>
        <v>0</v>
      </c>
      <c r="H443" s="439" t="str">
        <f>'Membership Application List'!L672</f>
        <v/>
      </c>
      <c r="I443" s="345"/>
      <c r="J443" s="441"/>
      <c r="K443" s="345"/>
      <c r="L443" s="478"/>
      <c r="M443" s="345"/>
      <c r="N443" s="345"/>
      <c r="O443" s="345"/>
      <c r="P443" s="414"/>
      <c r="Q443" s="414"/>
      <c r="R443" s="414"/>
      <c r="S443" s="445"/>
      <c r="T443" s="445"/>
      <c r="U443" s="445"/>
      <c r="V443" s="345"/>
      <c r="W443" s="441"/>
      <c r="X443" s="345"/>
      <c r="Y443" s="345"/>
      <c r="Z443" s="345"/>
      <c r="AA443" s="345"/>
      <c r="AB443" s="345"/>
      <c r="AC443" s="345"/>
      <c r="AD443" s="345"/>
      <c r="AE443" s="345"/>
      <c r="AF443" s="345"/>
      <c r="AG443" s="345"/>
      <c r="AH443" s="345"/>
      <c r="AI443" s="345"/>
      <c r="AJ443" s="345"/>
      <c r="AK443" s="345"/>
      <c r="AL443" s="345"/>
      <c r="AM443" s="345"/>
      <c r="AN443" s="345"/>
      <c r="AO443" s="345"/>
      <c r="AP443" s="345"/>
      <c r="AQ443" s="345"/>
      <c r="AR443" s="345"/>
      <c r="AS443" s="345"/>
    </row>
    <row r="444" ht="13.5" customHeight="1">
      <c r="A444" s="424" t="str">
        <f>'Membership Application List'!A673</f>
        <v/>
      </c>
      <c r="B444" s="443" t="str">
        <f t="shared" si="6"/>
        <v/>
      </c>
      <c r="C444" s="443" t="str">
        <f t="shared" si="7"/>
        <v/>
      </c>
      <c r="D444" s="426" t="str">
        <f>'Membership Application List'!E673</f>
        <v/>
      </c>
      <c r="E444" s="426" t="b">
        <f>IF('Membership Application List'!J673 = "Food/Litter Donation", 0, IF('Membership Application List'!J673 = "$15 Donation, Discord Verification", IF('Membership Application List'!N673 = TRUE, 15, 0)))</f>
        <v>0</v>
      </c>
      <c r="F444" s="426">
        <f>if('Membership Application List'!K673=TRUE, 5,0)</f>
        <v>0</v>
      </c>
      <c r="G444" s="426">
        <f t="shared" si="8"/>
        <v>0</v>
      </c>
      <c r="H444" s="427" t="str">
        <f>'Membership Application List'!L673</f>
        <v/>
      </c>
      <c r="I444" s="345"/>
      <c r="J444" s="441"/>
      <c r="K444" s="345"/>
      <c r="L444" s="478"/>
      <c r="M444" s="345"/>
      <c r="N444" s="345"/>
      <c r="O444" s="345"/>
      <c r="P444" s="414"/>
      <c r="Q444" s="414"/>
      <c r="R444" s="414"/>
      <c r="S444" s="445"/>
      <c r="T444" s="445"/>
      <c r="U444" s="445"/>
      <c r="V444" s="345"/>
      <c r="W444" s="441"/>
      <c r="X444" s="345"/>
      <c r="Y444" s="345"/>
      <c r="Z444" s="345"/>
      <c r="AA444" s="345"/>
      <c r="AB444" s="345"/>
      <c r="AC444" s="345"/>
      <c r="AD444" s="345"/>
      <c r="AE444" s="345"/>
      <c r="AF444" s="345"/>
      <c r="AG444" s="345"/>
      <c r="AH444" s="345"/>
      <c r="AI444" s="345"/>
      <c r="AJ444" s="345"/>
      <c r="AK444" s="345"/>
      <c r="AL444" s="345"/>
      <c r="AM444" s="345"/>
      <c r="AN444" s="345"/>
      <c r="AO444" s="345"/>
      <c r="AP444" s="345"/>
      <c r="AQ444" s="345"/>
      <c r="AR444" s="345"/>
      <c r="AS444" s="345"/>
    </row>
    <row r="445" ht="13.5" customHeight="1">
      <c r="A445" s="436" t="str">
        <f>'Membership Application List'!A674</f>
        <v/>
      </c>
      <c r="B445" s="437" t="str">
        <f t="shared" si="6"/>
        <v/>
      </c>
      <c r="C445" s="437" t="str">
        <f t="shared" si="7"/>
        <v/>
      </c>
      <c r="D445" s="438" t="str">
        <f>'Membership Application List'!E674</f>
        <v/>
      </c>
      <c r="E445" s="438" t="b">
        <f>IF('Membership Application List'!J674 = "Food/Litter Donation", 0, IF('Membership Application List'!J674 = "$15 Donation, Discord Verification", IF('Membership Application List'!N674 = TRUE, 15, 0)))</f>
        <v>0</v>
      </c>
      <c r="F445" s="438">
        <f>if('Membership Application List'!K674=TRUE, 5,0)</f>
        <v>0</v>
      </c>
      <c r="G445" s="438">
        <f t="shared" si="8"/>
        <v>0</v>
      </c>
      <c r="H445" s="439" t="str">
        <f>'Membership Application List'!L674</f>
        <v/>
      </c>
      <c r="I445" s="345"/>
      <c r="J445" s="441"/>
      <c r="K445" s="345"/>
      <c r="L445" s="478"/>
      <c r="M445" s="345"/>
      <c r="N445" s="345"/>
      <c r="O445" s="345"/>
      <c r="P445" s="414"/>
      <c r="Q445" s="414"/>
      <c r="R445" s="414"/>
      <c r="S445" s="445"/>
      <c r="T445" s="445"/>
      <c r="U445" s="445"/>
      <c r="V445" s="345"/>
      <c r="W445" s="441"/>
      <c r="X445" s="345"/>
      <c r="Y445" s="345"/>
      <c r="Z445" s="345"/>
      <c r="AA445" s="345"/>
      <c r="AB445" s="345"/>
      <c r="AC445" s="345"/>
      <c r="AD445" s="345"/>
      <c r="AE445" s="345"/>
      <c r="AF445" s="345"/>
      <c r="AG445" s="345"/>
      <c r="AH445" s="345"/>
      <c r="AI445" s="345"/>
      <c r="AJ445" s="345"/>
      <c r="AK445" s="345"/>
      <c r="AL445" s="345"/>
      <c r="AM445" s="345"/>
      <c r="AN445" s="345"/>
      <c r="AO445" s="345"/>
      <c r="AP445" s="345"/>
      <c r="AQ445" s="345"/>
      <c r="AR445" s="345"/>
      <c r="AS445" s="345"/>
    </row>
    <row r="446" ht="13.5" customHeight="1">
      <c r="A446" s="424" t="str">
        <f>'Membership Application List'!A675</f>
        <v/>
      </c>
      <c r="B446" s="443" t="str">
        <f t="shared" si="6"/>
        <v/>
      </c>
      <c r="C446" s="443" t="str">
        <f t="shared" si="7"/>
        <v/>
      </c>
      <c r="D446" s="426" t="str">
        <f>'Membership Application List'!E675</f>
        <v/>
      </c>
      <c r="E446" s="426" t="b">
        <f>IF('Membership Application List'!J675 = "Food/Litter Donation", 0, IF('Membership Application List'!J675 = "$15 Donation, Discord Verification", IF('Membership Application List'!N675 = TRUE, 15, 0)))</f>
        <v>0</v>
      </c>
      <c r="F446" s="426">
        <f>if('Membership Application List'!K675=TRUE, 5,0)</f>
        <v>0</v>
      </c>
      <c r="G446" s="426">
        <f t="shared" si="8"/>
        <v>0</v>
      </c>
      <c r="H446" s="427" t="str">
        <f>'Membership Application List'!L675</f>
        <v/>
      </c>
      <c r="I446" s="345"/>
      <c r="J446" s="441"/>
      <c r="K446" s="345"/>
      <c r="L446" s="478"/>
      <c r="M446" s="345"/>
      <c r="N446" s="345"/>
      <c r="O446" s="345"/>
      <c r="P446" s="414"/>
      <c r="Q446" s="414"/>
      <c r="R446" s="414"/>
      <c r="S446" s="445"/>
      <c r="T446" s="445"/>
      <c r="U446" s="445"/>
      <c r="V446" s="345"/>
      <c r="W446" s="441"/>
      <c r="X446" s="345"/>
      <c r="Y446" s="345"/>
      <c r="Z446" s="345"/>
      <c r="AA446" s="345"/>
      <c r="AB446" s="345"/>
      <c r="AC446" s="345"/>
      <c r="AD446" s="345"/>
      <c r="AE446" s="345"/>
      <c r="AF446" s="345"/>
      <c r="AG446" s="345"/>
      <c r="AH446" s="345"/>
      <c r="AI446" s="345"/>
      <c r="AJ446" s="345"/>
      <c r="AK446" s="345"/>
      <c r="AL446" s="345"/>
      <c r="AM446" s="345"/>
      <c r="AN446" s="345"/>
      <c r="AO446" s="345"/>
      <c r="AP446" s="345"/>
      <c r="AQ446" s="345"/>
      <c r="AR446" s="345"/>
      <c r="AS446" s="345"/>
    </row>
    <row r="447" ht="13.5" customHeight="1">
      <c r="A447" s="436" t="str">
        <f>'Membership Application List'!A676</f>
        <v/>
      </c>
      <c r="B447" s="437" t="str">
        <f t="shared" si="6"/>
        <v/>
      </c>
      <c r="C447" s="437" t="str">
        <f t="shared" si="7"/>
        <v/>
      </c>
      <c r="D447" s="438" t="str">
        <f>'Membership Application List'!E676</f>
        <v/>
      </c>
      <c r="E447" s="438" t="b">
        <f>IF('Membership Application List'!J676 = "Food/Litter Donation", 0, IF('Membership Application List'!J676 = "$15 Donation, Discord Verification", IF('Membership Application List'!N676 = TRUE, 15, 0)))</f>
        <v>0</v>
      </c>
      <c r="F447" s="438">
        <f>if('Membership Application List'!K676=TRUE, 5,0)</f>
        <v>0</v>
      </c>
      <c r="G447" s="438">
        <f t="shared" si="8"/>
        <v>0</v>
      </c>
      <c r="H447" s="439" t="str">
        <f>'Membership Application List'!L676</f>
        <v/>
      </c>
      <c r="I447" s="345"/>
      <c r="J447" s="441"/>
      <c r="K447" s="345"/>
      <c r="L447" s="478"/>
      <c r="M447" s="345"/>
      <c r="N447" s="345"/>
      <c r="O447" s="345"/>
      <c r="P447" s="414"/>
      <c r="Q447" s="414"/>
      <c r="R447" s="414"/>
      <c r="S447" s="445"/>
      <c r="T447" s="445"/>
      <c r="U447" s="445"/>
      <c r="V447" s="345"/>
      <c r="W447" s="441"/>
      <c r="X447" s="345"/>
      <c r="Y447" s="345"/>
      <c r="Z447" s="345"/>
      <c r="AA447" s="345"/>
      <c r="AB447" s="345"/>
      <c r="AC447" s="345"/>
      <c r="AD447" s="345"/>
      <c r="AE447" s="345"/>
      <c r="AF447" s="345"/>
      <c r="AG447" s="345"/>
      <c r="AH447" s="345"/>
      <c r="AI447" s="345"/>
      <c r="AJ447" s="345"/>
      <c r="AK447" s="345"/>
      <c r="AL447" s="345"/>
      <c r="AM447" s="345"/>
      <c r="AN447" s="345"/>
      <c r="AO447" s="345"/>
      <c r="AP447" s="345"/>
      <c r="AQ447" s="345"/>
      <c r="AR447" s="345"/>
      <c r="AS447" s="345"/>
    </row>
    <row r="448" ht="13.5" customHeight="1">
      <c r="A448" s="424" t="str">
        <f>'Membership Application List'!A677</f>
        <v/>
      </c>
      <c r="B448" s="443" t="str">
        <f t="shared" si="6"/>
        <v/>
      </c>
      <c r="C448" s="443" t="str">
        <f t="shared" si="7"/>
        <v/>
      </c>
      <c r="D448" s="426" t="str">
        <f>'Membership Application List'!E677</f>
        <v/>
      </c>
      <c r="E448" s="426" t="b">
        <f>IF('Membership Application List'!J677 = "Food/Litter Donation", 0, IF('Membership Application List'!J677 = "$15 Donation, Discord Verification", IF('Membership Application List'!N677 = TRUE, 15, 0)))</f>
        <v>0</v>
      </c>
      <c r="F448" s="426">
        <f>if('Membership Application List'!K677=TRUE, 5,0)</f>
        <v>0</v>
      </c>
      <c r="G448" s="426">
        <f t="shared" si="8"/>
        <v>0</v>
      </c>
      <c r="H448" s="427" t="str">
        <f>'Membership Application List'!L677</f>
        <v/>
      </c>
      <c r="I448" s="345"/>
      <c r="J448" s="441"/>
      <c r="K448" s="345"/>
      <c r="L448" s="478"/>
      <c r="M448" s="345"/>
      <c r="N448" s="345"/>
      <c r="O448" s="345"/>
      <c r="P448" s="414"/>
      <c r="Q448" s="414"/>
      <c r="R448" s="414"/>
      <c r="S448" s="445"/>
      <c r="T448" s="445"/>
      <c r="U448" s="445"/>
      <c r="V448" s="345"/>
      <c r="W448" s="441"/>
      <c r="X448" s="345"/>
      <c r="Y448" s="345"/>
      <c r="Z448" s="345"/>
      <c r="AA448" s="345"/>
      <c r="AB448" s="345"/>
      <c r="AC448" s="345"/>
      <c r="AD448" s="345"/>
      <c r="AE448" s="345"/>
      <c r="AF448" s="345"/>
      <c r="AG448" s="345"/>
      <c r="AH448" s="345"/>
      <c r="AI448" s="345"/>
      <c r="AJ448" s="345"/>
      <c r="AK448" s="345"/>
      <c r="AL448" s="345"/>
      <c r="AM448" s="345"/>
      <c r="AN448" s="345"/>
      <c r="AO448" s="345"/>
      <c r="AP448" s="345"/>
      <c r="AQ448" s="345"/>
      <c r="AR448" s="345"/>
      <c r="AS448" s="345"/>
    </row>
    <row r="449" ht="13.5" customHeight="1">
      <c r="A449" s="436" t="str">
        <f>'Membership Application List'!A678</f>
        <v/>
      </c>
      <c r="B449" s="437" t="str">
        <f t="shared" si="6"/>
        <v/>
      </c>
      <c r="C449" s="437" t="str">
        <f t="shared" si="7"/>
        <v/>
      </c>
      <c r="D449" s="438" t="str">
        <f>'Membership Application List'!E678</f>
        <v/>
      </c>
      <c r="E449" s="438" t="b">
        <f>IF('Membership Application List'!J678 = "Food/Litter Donation", 0, IF('Membership Application List'!J678 = "$15 Donation, Discord Verification", IF('Membership Application List'!N678 = TRUE, 15, 0)))</f>
        <v>0</v>
      </c>
      <c r="F449" s="438">
        <f>if('Membership Application List'!K678=TRUE, 5,0)</f>
        <v>0</v>
      </c>
      <c r="G449" s="438">
        <f t="shared" si="8"/>
        <v>0</v>
      </c>
      <c r="H449" s="439" t="str">
        <f>'Membership Application List'!L678</f>
        <v/>
      </c>
      <c r="I449" s="345"/>
      <c r="J449" s="441"/>
      <c r="K449" s="345"/>
      <c r="L449" s="478"/>
      <c r="M449" s="345"/>
      <c r="N449" s="345"/>
      <c r="O449" s="345"/>
      <c r="P449" s="414"/>
      <c r="Q449" s="414"/>
      <c r="R449" s="414"/>
      <c r="S449" s="445"/>
      <c r="T449" s="445"/>
      <c r="U449" s="445"/>
      <c r="V449" s="345"/>
      <c r="W449" s="441"/>
      <c r="X449" s="345"/>
      <c r="Y449" s="345"/>
      <c r="Z449" s="345"/>
      <c r="AA449" s="345"/>
      <c r="AB449" s="345"/>
      <c r="AC449" s="345"/>
      <c r="AD449" s="345"/>
      <c r="AE449" s="345"/>
      <c r="AF449" s="345"/>
      <c r="AG449" s="345"/>
      <c r="AH449" s="345"/>
      <c r="AI449" s="345"/>
      <c r="AJ449" s="345"/>
      <c r="AK449" s="345"/>
      <c r="AL449" s="345"/>
      <c r="AM449" s="345"/>
      <c r="AN449" s="345"/>
      <c r="AO449" s="345"/>
      <c r="AP449" s="345"/>
      <c r="AQ449" s="345"/>
      <c r="AR449" s="345"/>
      <c r="AS449" s="345"/>
    </row>
    <row r="450" ht="13.5" customHeight="1">
      <c r="A450" s="424" t="str">
        <f>'Membership Application List'!A679</f>
        <v/>
      </c>
      <c r="B450" s="443" t="str">
        <f t="shared" si="6"/>
        <v/>
      </c>
      <c r="C450" s="443" t="str">
        <f t="shared" si="7"/>
        <v/>
      </c>
      <c r="D450" s="426" t="str">
        <f>'Membership Application List'!E679</f>
        <v/>
      </c>
      <c r="E450" s="426" t="b">
        <f>IF('Membership Application List'!J679 = "Food/Litter Donation", 0, IF('Membership Application List'!J679 = "$15 Donation, Discord Verification", IF('Membership Application List'!N679 = TRUE, 15, 0)))</f>
        <v>0</v>
      </c>
      <c r="F450" s="426">
        <f>if('Membership Application List'!K679=TRUE, 5,0)</f>
        <v>0</v>
      </c>
      <c r="G450" s="426">
        <f t="shared" si="8"/>
        <v>0</v>
      </c>
      <c r="H450" s="427" t="str">
        <f>'Membership Application List'!L679</f>
        <v/>
      </c>
      <c r="I450" s="345"/>
      <c r="J450" s="441"/>
      <c r="K450" s="345"/>
      <c r="L450" s="478"/>
      <c r="M450" s="345"/>
      <c r="N450" s="345"/>
      <c r="O450" s="345"/>
      <c r="P450" s="414"/>
      <c r="Q450" s="414"/>
      <c r="R450" s="414"/>
      <c r="S450" s="445"/>
      <c r="T450" s="445"/>
      <c r="U450" s="445"/>
      <c r="V450" s="345"/>
      <c r="W450" s="441"/>
      <c r="X450" s="345"/>
      <c r="Y450" s="345"/>
      <c r="Z450" s="345"/>
      <c r="AA450" s="345"/>
      <c r="AB450" s="345"/>
      <c r="AC450" s="345"/>
      <c r="AD450" s="345"/>
      <c r="AE450" s="345"/>
      <c r="AF450" s="345"/>
      <c r="AG450" s="345"/>
      <c r="AH450" s="345"/>
      <c r="AI450" s="345"/>
      <c r="AJ450" s="345"/>
      <c r="AK450" s="345"/>
      <c r="AL450" s="345"/>
      <c r="AM450" s="345"/>
      <c r="AN450" s="345"/>
      <c r="AO450" s="345"/>
      <c r="AP450" s="345"/>
      <c r="AQ450" s="345"/>
      <c r="AR450" s="345"/>
      <c r="AS450" s="345"/>
    </row>
    <row r="451" ht="13.5" customHeight="1">
      <c r="A451" s="436" t="str">
        <f>'Membership Application List'!A680</f>
        <v/>
      </c>
      <c r="B451" s="437" t="str">
        <f t="shared" si="6"/>
        <v/>
      </c>
      <c r="C451" s="437" t="str">
        <f t="shared" si="7"/>
        <v/>
      </c>
      <c r="D451" s="438" t="str">
        <f>'Membership Application List'!E680</f>
        <v/>
      </c>
      <c r="E451" s="438" t="b">
        <f>IF('Membership Application List'!J680 = "Food/Litter Donation", 0, IF('Membership Application List'!J680 = "$15 Donation, Discord Verification", IF('Membership Application List'!N680 = TRUE, 15, 0)))</f>
        <v>0</v>
      </c>
      <c r="F451" s="438">
        <f>if('Membership Application List'!K680=TRUE, 5,0)</f>
        <v>0</v>
      </c>
      <c r="G451" s="438">
        <f t="shared" si="8"/>
        <v>0</v>
      </c>
      <c r="H451" s="439" t="str">
        <f>'Membership Application List'!L680</f>
        <v/>
      </c>
      <c r="I451" s="345"/>
      <c r="J451" s="441"/>
      <c r="K451" s="345"/>
      <c r="L451" s="478"/>
      <c r="M451" s="345"/>
      <c r="N451" s="345"/>
      <c r="O451" s="345"/>
      <c r="P451" s="414"/>
      <c r="Q451" s="414"/>
      <c r="R451" s="414"/>
      <c r="S451" s="445"/>
      <c r="T451" s="445"/>
      <c r="U451" s="445"/>
      <c r="V451" s="345"/>
      <c r="W451" s="441"/>
      <c r="X451" s="345"/>
      <c r="Y451" s="345"/>
      <c r="Z451" s="345"/>
      <c r="AA451" s="345"/>
      <c r="AB451" s="345"/>
      <c r="AC451" s="345"/>
      <c r="AD451" s="345"/>
      <c r="AE451" s="345"/>
      <c r="AF451" s="345"/>
      <c r="AG451" s="345"/>
      <c r="AH451" s="345"/>
      <c r="AI451" s="345"/>
      <c r="AJ451" s="345"/>
      <c r="AK451" s="345"/>
      <c r="AL451" s="345"/>
      <c r="AM451" s="345"/>
      <c r="AN451" s="345"/>
      <c r="AO451" s="345"/>
      <c r="AP451" s="345"/>
      <c r="AQ451" s="345"/>
      <c r="AR451" s="345"/>
      <c r="AS451" s="345"/>
    </row>
    <row r="452" ht="13.5" customHeight="1">
      <c r="A452" s="424" t="str">
        <f>'Membership Application List'!A681</f>
        <v/>
      </c>
      <c r="B452" s="443" t="str">
        <f t="shared" si="6"/>
        <v/>
      </c>
      <c r="C452" s="443" t="str">
        <f t="shared" si="7"/>
        <v/>
      </c>
      <c r="D452" s="426" t="str">
        <f>'Membership Application List'!E681</f>
        <v/>
      </c>
      <c r="E452" s="426" t="b">
        <f>IF('Membership Application List'!J681 = "Food/Litter Donation", 0, IF('Membership Application List'!J681 = "$15 Donation, Discord Verification", IF('Membership Application List'!N681 = TRUE, 15, 0)))</f>
        <v>0</v>
      </c>
      <c r="F452" s="426">
        <f>if('Membership Application List'!K681=TRUE, 5,0)</f>
        <v>0</v>
      </c>
      <c r="G452" s="426">
        <f t="shared" si="8"/>
        <v>0</v>
      </c>
      <c r="H452" s="427" t="str">
        <f>'Membership Application List'!L681</f>
        <v/>
      </c>
      <c r="I452" s="345"/>
      <c r="J452" s="441"/>
      <c r="K452" s="345"/>
      <c r="L452" s="478"/>
      <c r="M452" s="345"/>
      <c r="N452" s="345"/>
      <c r="O452" s="345"/>
      <c r="P452" s="414"/>
      <c r="Q452" s="414"/>
      <c r="R452" s="414"/>
      <c r="S452" s="445"/>
      <c r="T452" s="445"/>
      <c r="U452" s="445"/>
      <c r="V452" s="345"/>
      <c r="W452" s="441"/>
      <c r="X452" s="345"/>
      <c r="Y452" s="345"/>
      <c r="Z452" s="345"/>
      <c r="AA452" s="345"/>
      <c r="AB452" s="345"/>
      <c r="AC452" s="345"/>
      <c r="AD452" s="345"/>
      <c r="AE452" s="345"/>
      <c r="AF452" s="345"/>
      <c r="AG452" s="345"/>
      <c r="AH452" s="345"/>
      <c r="AI452" s="345"/>
      <c r="AJ452" s="345"/>
      <c r="AK452" s="345"/>
      <c r="AL452" s="345"/>
      <c r="AM452" s="345"/>
      <c r="AN452" s="345"/>
      <c r="AO452" s="345"/>
      <c r="AP452" s="345"/>
      <c r="AQ452" s="345"/>
      <c r="AR452" s="345"/>
      <c r="AS452" s="345"/>
    </row>
    <row r="453" ht="13.5" customHeight="1">
      <c r="A453" s="436" t="str">
        <f>'Membership Application List'!A682</f>
        <v/>
      </c>
      <c r="B453" s="437" t="str">
        <f t="shared" si="6"/>
        <v/>
      </c>
      <c r="C453" s="437" t="str">
        <f t="shared" si="7"/>
        <v/>
      </c>
      <c r="D453" s="438" t="str">
        <f>'Membership Application List'!E682</f>
        <v/>
      </c>
      <c r="E453" s="438" t="b">
        <f>IF('Membership Application List'!J682 = "Food/Litter Donation", 0, IF('Membership Application List'!J682 = "$15 Donation, Discord Verification", IF('Membership Application List'!N682 = TRUE, 15, 0)))</f>
        <v>0</v>
      </c>
      <c r="F453" s="438">
        <f>if('Membership Application List'!K682=TRUE, 5,0)</f>
        <v>0</v>
      </c>
      <c r="G453" s="438">
        <f t="shared" si="8"/>
        <v>0</v>
      </c>
      <c r="H453" s="439" t="str">
        <f>'Membership Application List'!L682</f>
        <v/>
      </c>
      <c r="I453" s="345"/>
      <c r="J453" s="441"/>
      <c r="K453" s="345"/>
      <c r="L453" s="478"/>
      <c r="M453" s="345"/>
      <c r="N453" s="345"/>
      <c r="O453" s="345"/>
      <c r="P453" s="414"/>
      <c r="Q453" s="414"/>
      <c r="R453" s="414"/>
      <c r="S453" s="445"/>
      <c r="T453" s="445"/>
      <c r="U453" s="445"/>
      <c r="V453" s="345"/>
      <c r="W453" s="441"/>
      <c r="X453" s="345"/>
      <c r="Y453" s="345"/>
      <c r="Z453" s="345"/>
      <c r="AA453" s="345"/>
      <c r="AB453" s="345"/>
      <c r="AC453" s="345"/>
      <c r="AD453" s="345"/>
      <c r="AE453" s="345"/>
      <c r="AF453" s="345"/>
      <c r="AG453" s="345"/>
      <c r="AH453" s="345"/>
      <c r="AI453" s="345"/>
      <c r="AJ453" s="345"/>
      <c r="AK453" s="345"/>
      <c r="AL453" s="345"/>
      <c r="AM453" s="345"/>
      <c r="AN453" s="345"/>
      <c r="AO453" s="345"/>
      <c r="AP453" s="345"/>
      <c r="AQ453" s="345"/>
      <c r="AR453" s="345"/>
      <c r="AS453" s="345"/>
    </row>
    <row r="454" ht="13.5" customHeight="1">
      <c r="A454" s="424" t="str">
        <f>'Membership Application List'!A683</f>
        <v/>
      </c>
      <c r="B454" s="443" t="str">
        <f t="shared" si="6"/>
        <v/>
      </c>
      <c r="C454" s="443" t="str">
        <f t="shared" si="7"/>
        <v/>
      </c>
      <c r="D454" s="426" t="str">
        <f>'Membership Application List'!E683</f>
        <v/>
      </c>
      <c r="E454" s="426" t="b">
        <f>IF('Membership Application List'!J683 = "Food/Litter Donation", 0, IF('Membership Application List'!J683 = "$15 Donation, Discord Verification", IF('Membership Application List'!N683 = TRUE, 15, 0)))</f>
        <v>0</v>
      </c>
      <c r="F454" s="426">
        <f>if('Membership Application List'!K683=TRUE, 5,0)</f>
        <v>0</v>
      </c>
      <c r="G454" s="426">
        <f t="shared" si="8"/>
        <v>0</v>
      </c>
      <c r="H454" s="427" t="str">
        <f>'Membership Application List'!L683</f>
        <v/>
      </c>
      <c r="I454" s="345"/>
      <c r="J454" s="441"/>
      <c r="K454" s="345"/>
      <c r="L454" s="478"/>
      <c r="M454" s="345"/>
      <c r="N454" s="345"/>
      <c r="O454" s="345"/>
      <c r="P454" s="414"/>
      <c r="Q454" s="414"/>
      <c r="R454" s="414"/>
      <c r="S454" s="445"/>
      <c r="T454" s="445"/>
      <c r="U454" s="445"/>
      <c r="V454" s="345"/>
      <c r="W454" s="441"/>
      <c r="X454" s="345"/>
      <c r="Y454" s="345"/>
      <c r="Z454" s="345"/>
      <c r="AA454" s="345"/>
      <c r="AB454" s="345"/>
      <c r="AC454" s="345"/>
      <c r="AD454" s="345"/>
      <c r="AE454" s="345"/>
      <c r="AF454" s="345"/>
      <c r="AG454" s="345"/>
      <c r="AH454" s="345"/>
      <c r="AI454" s="345"/>
      <c r="AJ454" s="345"/>
      <c r="AK454" s="345"/>
      <c r="AL454" s="345"/>
      <c r="AM454" s="345"/>
      <c r="AN454" s="345"/>
      <c r="AO454" s="345"/>
      <c r="AP454" s="345"/>
      <c r="AQ454" s="345"/>
      <c r="AR454" s="345"/>
      <c r="AS454" s="345"/>
    </row>
    <row r="455" ht="13.5" customHeight="1">
      <c r="A455" s="436" t="str">
        <f>'Membership Application List'!A684</f>
        <v/>
      </c>
      <c r="B455" s="437" t="str">
        <f t="shared" si="6"/>
        <v/>
      </c>
      <c r="C455" s="437" t="str">
        <f t="shared" si="7"/>
        <v/>
      </c>
      <c r="D455" s="438" t="str">
        <f>'Membership Application List'!E684</f>
        <v/>
      </c>
      <c r="E455" s="438" t="b">
        <f>IF('Membership Application List'!J684 = "Food/Litter Donation", 0, IF('Membership Application List'!J684 = "$15 Donation, Discord Verification", IF('Membership Application List'!N684 = TRUE, 15, 0)))</f>
        <v>0</v>
      </c>
      <c r="F455" s="438">
        <f>if('Membership Application List'!K684=TRUE, 5,0)</f>
        <v>0</v>
      </c>
      <c r="G455" s="438">
        <f t="shared" si="8"/>
        <v>0</v>
      </c>
      <c r="H455" s="439" t="str">
        <f>'Membership Application List'!L684</f>
        <v/>
      </c>
      <c r="I455" s="345"/>
      <c r="J455" s="441"/>
      <c r="K455" s="345"/>
      <c r="L455" s="478"/>
      <c r="M455" s="345"/>
      <c r="N455" s="345"/>
      <c r="O455" s="345"/>
      <c r="P455" s="414"/>
      <c r="Q455" s="414"/>
      <c r="R455" s="414"/>
      <c r="S455" s="445"/>
      <c r="T455" s="445"/>
      <c r="U455" s="445"/>
      <c r="V455" s="345"/>
      <c r="W455" s="441"/>
      <c r="X455" s="345"/>
      <c r="Y455" s="345"/>
      <c r="Z455" s="345"/>
      <c r="AA455" s="345"/>
      <c r="AB455" s="345"/>
      <c r="AC455" s="345"/>
      <c r="AD455" s="345"/>
      <c r="AE455" s="345"/>
      <c r="AF455" s="345"/>
      <c r="AG455" s="345"/>
      <c r="AH455" s="345"/>
      <c r="AI455" s="345"/>
      <c r="AJ455" s="345"/>
      <c r="AK455" s="345"/>
      <c r="AL455" s="345"/>
      <c r="AM455" s="345"/>
      <c r="AN455" s="345"/>
      <c r="AO455" s="345"/>
      <c r="AP455" s="345"/>
      <c r="AQ455" s="345"/>
      <c r="AR455" s="345"/>
      <c r="AS455" s="345"/>
    </row>
    <row r="456" ht="13.5" customHeight="1">
      <c r="A456" s="424" t="str">
        <f>'Membership Application List'!A685</f>
        <v/>
      </c>
      <c r="B456" s="443" t="str">
        <f t="shared" si="6"/>
        <v/>
      </c>
      <c r="C456" s="443" t="str">
        <f t="shared" si="7"/>
        <v/>
      </c>
      <c r="D456" s="426" t="str">
        <f>'Membership Application List'!E685</f>
        <v/>
      </c>
      <c r="E456" s="426" t="b">
        <f>IF('Membership Application List'!J685 = "Food/Litter Donation", 0, IF('Membership Application List'!J685 = "$15 Donation, Discord Verification", IF('Membership Application List'!N685 = TRUE, 15, 0)))</f>
        <v>0</v>
      </c>
      <c r="F456" s="426">
        <f>if('Membership Application List'!K685=TRUE, 5,0)</f>
        <v>0</v>
      </c>
      <c r="G456" s="426">
        <f t="shared" si="8"/>
        <v>0</v>
      </c>
      <c r="H456" s="427" t="str">
        <f>'Membership Application List'!L685</f>
        <v/>
      </c>
      <c r="I456" s="345"/>
      <c r="J456" s="441"/>
      <c r="K456" s="345"/>
      <c r="L456" s="478"/>
      <c r="M456" s="345"/>
      <c r="N456" s="345"/>
      <c r="O456" s="345"/>
      <c r="P456" s="414"/>
      <c r="Q456" s="414"/>
      <c r="R456" s="414"/>
      <c r="S456" s="445"/>
      <c r="T456" s="445"/>
      <c r="U456" s="445"/>
      <c r="V456" s="345"/>
      <c r="W456" s="441"/>
      <c r="X456" s="345"/>
      <c r="Y456" s="345"/>
      <c r="Z456" s="345"/>
      <c r="AA456" s="345"/>
      <c r="AB456" s="345"/>
      <c r="AC456" s="345"/>
      <c r="AD456" s="345"/>
      <c r="AE456" s="345"/>
      <c r="AF456" s="345"/>
      <c r="AG456" s="345"/>
      <c r="AH456" s="345"/>
      <c r="AI456" s="345"/>
      <c r="AJ456" s="345"/>
      <c r="AK456" s="345"/>
      <c r="AL456" s="345"/>
      <c r="AM456" s="345"/>
      <c r="AN456" s="345"/>
      <c r="AO456" s="345"/>
      <c r="AP456" s="345"/>
      <c r="AQ456" s="345"/>
      <c r="AR456" s="345"/>
      <c r="AS456" s="345"/>
    </row>
    <row r="457" ht="13.5" customHeight="1">
      <c r="A457" s="436" t="str">
        <f>'Membership Application List'!A686</f>
        <v/>
      </c>
      <c r="B457" s="437" t="str">
        <f t="shared" si="6"/>
        <v/>
      </c>
      <c r="C457" s="437" t="str">
        <f t="shared" si="7"/>
        <v/>
      </c>
      <c r="D457" s="438" t="str">
        <f>'Membership Application List'!E686</f>
        <v/>
      </c>
      <c r="E457" s="438" t="b">
        <f>IF('Membership Application List'!J686 = "Food/Litter Donation", 0, IF('Membership Application List'!J686 = "$15 Donation, Discord Verification", IF('Membership Application List'!N686 = TRUE, 15, 0)))</f>
        <v>0</v>
      </c>
      <c r="F457" s="438">
        <f>if('Membership Application List'!K686=TRUE, 5,0)</f>
        <v>0</v>
      </c>
      <c r="G457" s="438">
        <f t="shared" si="8"/>
        <v>0</v>
      </c>
      <c r="H457" s="439" t="str">
        <f>'Membership Application List'!L686</f>
        <v/>
      </c>
      <c r="I457" s="345"/>
      <c r="J457" s="441"/>
      <c r="K457" s="345"/>
      <c r="L457" s="478"/>
      <c r="M457" s="345"/>
      <c r="N457" s="345"/>
      <c r="O457" s="345"/>
      <c r="P457" s="414"/>
      <c r="Q457" s="414"/>
      <c r="R457" s="414"/>
      <c r="S457" s="445"/>
      <c r="T457" s="445"/>
      <c r="U457" s="445"/>
      <c r="V457" s="345"/>
      <c r="W457" s="441"/>
      <c r="X457" s="345"/>
      <c r="Y457" s="345"/>
      <c r="Z457" s="345"/>
      <c r="AA457" s="345"/>
      <c r="AB457" s="345"/>
      <c r="AC457" s="345"/>
      <c r="AD457" s="345"/>
      <c r="AE457" s="345"/>
      <c r="AF457" s="345"/>
      <c r="AG457" s="345"/>
      <c r="AH457" s="345"/>
      <c r="AI457" s="345"/>
      <c r="AJ457" s="345"/>
      <c r="AK457" s="345"/>
      <c r="AL457" s="345"/>
      <c r="AM457" s="345"/>
      <c r="AN457" s="345"/>
      <c r="AO457" s="345"/>
      <c r="AP457" s="345"/>
      <c r="AQ457" s="345"/>
      <c r="AR457" s="345"/>
      <c r="AS457" s="345"/>
    </row>
    <row r="458" ht="13.5" customHeight="1">
      <c r="A458" s="424" t="str">
        <f>'Membership Application List'!A687</f>
        <v/>
      </c>
      <c r="B458" s="443" t="str">
        <f t="shared" si="6"/>
        <v/>
      </c>
      <c r="C458" s="443" t="str">
        <f t="shared" si="7"/>
        <v/>
      </c>
      <c r="D458" s="426" t="str">
        <f>'Membership Application List'!E687</f>
        <v/>
      </c>
      <c r="E458" s="426" t="b">
        <f>IF('Membership Application List'!J687 = "Food/Litter Donation", 0, IF('Membership Application List'!J687 = "$15 Donation, Discord Verification", IF('Membership Application List'!N687 = TRUE, 15, 0)))</f>
        <v>0</v>
      </c>
      <c r="F458" s="426">
        <f>if('Membership Application List'!K687=TRUE, 5,0)</f>
        <v>0</v>
      </c>
      <c r="G458" s="426">
        <f t="shared" si="8"/>
        <v>0</v>
      </c>
      <c r="H458" s="427" t="str">
        <f>'Membership Application List'!L687</f>
        <v/>
      </c>
      <c r="I458" s="345"/>
      <c r="J458" s="441"/>
      <c r="K458" s="345"/>
      <c r="L458" s="478"/>
      <c r="M458" s="345"/>
      <c r="N458" s="345"/>
      <c r="O458" s="345"/>
      <c r="P458" s="414"/>
      <c r="Q458" s="414"/>
      <c r="R458" s="414"/>
      <c r="S458" s="445"/>
      <c r="T458" s="445"/>
      <c r="U458" s="445"/>
      <c r="V458" s="345"/>
      <c r="W458" s="441"/>
      <c r="X458" s="345"/>
      <c r="Y458" s="345"/>
      <c r="Z458" s="345"/>
      <c r="AA458" s="345"/>
      <c r="AB458" s="345"/>
      <c r="AC458" s="345"/>
      <c r="AD458" s="345"/>
      <c r="AE458" s="345"/>
      <c r="AF458" s="345"/>
      <c r="AG458" s="345"/>
      <c r="AH458" s="345"/>
      <c r="AI458" s="345"/>
      <c r="AJ458" s="345"/>
      <c r="AK458" s="345"/>
      <c r="AL458" s="345"/>
      <c r="AM458" s="345"/>
      <c r="AN458" s="345"/>
      <c r="AO458" s="345"/>
      <c r="AP458" s="345"/>
      <c r="AQ458" s="345"/>
      <c r="AR458" s="345"/>
      <c r="AS458" s="345"/>
    </row>
    <row r="459" ht="13.5" customHeight="1">
      <c r="A459" s="436" t="str">
        <f>'Membership Application List'!A688</f>
        <v/>
      </c>
      <c r="B459" s="437" t="str">
        <f t="shared" si="6"/>
        <v/>
      </c>
      <c r="C459" s="437" t="str">
        <f t="shared" si="7"/>
        <v/>
      </c>
      <c r="D459" s="438" t="str">
        <f>'Membership Application List'!E688</f>
        <v/>
      </c>
      <c r="E459" s="438" t="b">
        <f>IF('Membership Application List'!J688 = "Food/Litter Donation", 0, IF('Membership Application List'!J688 = "$15 Donation, Discord Verification", IF('Membership Application List'!N688 = TRUE, 15, 0)))</f>
        <v>0</v>
      </c>
      <c r="F459" s="438">
        <f>if('Membership Application List'!K688=TRUE, 5,0)</f>
        <v>0</v>
      </c>
      <c r="G459" s="438">
        <f t="shared" si="8"/>
        <v>0</v>
      </c>
      <c r="H459" s="439" t="str">
        <f>'Membership Application List'!L688</f>
        <v/>
      </c>
      <c r="I459" s="345"/>
      <c r="J459" s="441"/>
      <c r="K459" s="345"/>
      <c r="L459" s="478"/>
      <c r="M459" s="345"/>
      <c r="N459" s="345"/>
      <c r="O459" s="345"/>
      <c r="P459" s="414"/>
      <c r="Q459" s="414"/>
      <c r="R459" s="414"/>
      <c r="S459" s="445"/>
      <c r="T459" s="445"/>
      <c r="U459" s="445"/>
      <c r="V459" s="345"/>
      <c r="W459" s="441"/>
      <c r="X459" s="345"/>
      <c r="Y459" s="345"/>
      <c r="Z459" s="345"/>
      <c r="AA459" s="345"/>
      <c r="AB459" s="345"/>
      <c r="AC459" s="345"/>
      <c r="AD459" s="345"/>
      <c r="AE459" s="345"/>
      <c r="AF459" s="345"/>
      <c r="AG459" s="345"/>
      <c r="AH459" s="345"/>
      <c r="AI459" s="345"/>
      <c r="AJ459" s="345"/>
      <c r="AK459" s="345"/>
      <c r="AL459" s="345"/>
      <c r="AM459" s="345"/>
      <c r="AN459" s="345"/>
      <c r="AO459" s="345"/>
      <c r="AP459" s="345"/>
      <c r="AQ459" s="345"/>
      <c r="AR459" s="345"/>
      <c r="AS459" s="345"/>
    </row>
    <row r="460" ht="13.5" customHeight="1">
      <c r="A460" s="424" t="str">
        <f>'Membership Application List'!A689</f>
        <v/>
      </c>
      <c r="B460" s="443" t="str">
        <f t="shared" si="6"/>
        <v/>
      </c>
      <c r="C460" s="443" t="str">
        <f t="shared" si="7"/>
        <v/>
      </c>
      <c r="D460" s="426" t="str">
        <f>'Membership Application List'!E689</f>
        <v/>
      </c>
      <c r="E460" s="426" t="b">
        <f>IF('Membership Application List'!J689 = "Food/Litter Donation", 0, IF('Membership Application List'!J689 = "$15 Donation, Discord Verification", IF('Membership Application List'!N689 = TRUE, 15, 0)))</f>
        <v>0</v>
      </c>
      <c r="F460" s="426">
        <f>if('Membership Application List'!K689=TRUE, 5,0)</f>
        <v>0</v>
      </c>
      <c r="G460" s="426">
        <f t="shared" si="8"/>
        <v>0</v>
      </c>
      <c r="H460" s="427" t="str">
        <f>'Membership Application List'!L689</f>
        <v/>
      </c>
      <c r="I460" s="345"/>
      <c r="J460" s="441"/>
      <c r="K460" s="345"/>
      <c r="L460" s="478"/>
      <c r="M460" s="345"/>
      <c r="N460" s="345"/>
      <c r="O460" s="345"/>
      <c r="P460" s="414"/>
      <c r="Q460" s="414"/>
      <c r="R460" s="414"/>
      <c r="S460" s="445"/>
      <c r="T460" s="445"/>
      <c r="U460" s="445"/>
      <c r="V460" s="345"/>
      <c r="W460" s="441"/>
      <c r="X460" s="345"/>
      <c r="Y460" s="345"/>
      <c r="Z460" s="345"/>
      <c r="AA460" s="345"/>
      <c r="AB460" s="345"/>
      <c r="AC460" s="345"/>
      <c r="AD460" s="345"/>
      <c r="AE460" s="345"/>
      <c r="AF460" s="345"/>
      <c r="AG460" s="345"/>
      <c r="AH460" s="345"/>
      <c r="AI460" s="345"/>
      <c r="AJ460" s="345"/>
      <c r="AK460" s="345"/>
      <c r="AL460" s="345"/>
      <c r="AM460" s="345"/>
      <c r="AN460" s="345"/>
      <c r="AO460" s="345"/>
      <c r="AP460" s="345"/>
      <c r="AQ460" s="345"/>
      <c r="AR460" s="345"/>
      <c r="AS460" s="345"/>
    </row>
    <row r="461" ht="13.5" customHeight="1">
      <c r="A461" s="436" t="str">
        <f>'Membership Application List'!A690</f>
        <v/>
      </c>
      <c r="B461" s="437" t="str">
        <f t="shared" si="6"/>
        <v/>
      </c>
      <c r="C461" s="437" t="str">
        <f t="shared" si="7"/>
        <v/>
      </c>
      <c r="D461" s="438" t="str">
        <f>'Membership Application List'!E690</f>
        <v/>
      </c>
      <c r="E461" s="438" t="b">
        <f>IF('Membership Application List'!J690 = "Food/Litter Donation", 0, IF('Membership Application List'!J690 = "$15 Donation, Discord Verification", IF('Membership Application List'!N690 = TRUE, 15, 0)))</f>
        <v>0</v>
      </c>
      <c r="F461" s="438">
        <f>if('Membership Application List'!K690=TRUE, 5,0)</f>
        <v>0</v>
      </c>
      <c r="G461" s="438">
        <f t="shared" si="8"/>
        <v>0</v>
      </c>
      <c r="H461" s="439" t="str">
        <f>'Membership Application List'!L690</f>
        <v/>
      </c>
      <c r="I461" s="345"/>
      <c r="J461" s="441"/>
      <c r="K461" s="345"/>
      <c r="L461" s="478"/>
      <c r="M461" s="345"/>
      <c r="N461" s="345"/>
      <c r="O461" s="345"/>
      <c r="P461" s="414"/>
      <c r="Q461" s="414"/>
      <c r="R461" s="414"/>
      <c r="S461" s="445"/>
      <c r="T461" s="445"/>
      <c r="U461" s="445"/>
      <c r="V461" s="345"/>
      <c r="W461" s="441"/>
      <c r="X461" s="345"/>
      <c r="Y461" s="345"/>
      <c r="Z461" s="345"/>
      <c r="AA461" s="345"/>
      <c r="AB461" s="345"/>
      <c r="AC461" s="345"/>
      <c r="AD461" s="345"/>
      <c r="AE461" s="345"/>
      <c r="AF461" s="345"/>
      <c r="AG461" s="345"/>
      <c r="AH461" s="345"/>
      <c r="AI461" s="345"/>
      <c r="AJ461" s="345"/>
      <c r="AK461" s="345"/>
      <c r="AL461" s="345"/>
      <c r="AM461" s="345"/>
      <c r="AN461" s="345"/>
      <c r="AO461" s="345"/>
      <c r="AP461" s="345"/>
      <c r="AQ461" s="345"/>
      <c r="AR461" s="345"/>
      <c r="AS461" s="345"/>
    </row>
    <row r="462" ht="13.5" customHeight="1">
      <c r="A462" s="424" t="str">
        <f>'Membership Application List'!A691</f>
        <v/>
      </c>
      <c r="B462" s="443" t="str">
        <f t="shared" si="6"/>
        <v/>
      </c>
      <c r="C462" s="443" t="str">
        <f t="shared" si="7"/>
        <v/>
      </c>
      <c r="D462" s="426" t="str">
        <f>'Membership Application List'!E691</f>
        <v/>
      </c>
      <c r="E462" s="426" t="b">
        <f>IF('Membership Application List'!J691 = "Food/Litter Donation", 0, IF('Membership Application List'!J691 = "$15 Donation, Discord Verification", IF('Membership Application List'!N691 = TRUE, 15, 0)))</f>
        <v>0</v>
      </c>
      <c r="F462" s="426">
        <f>if('Membership Application List'!K691=TRUE, 5,0)</f>
        <v>0</v>
      </c>
      <c r="G462" s="426">
        <f t="shared" si="8"/>
        <v>0</v>
      </c>
      <c r="H462" s="427" t="str">
        <f>'Membership Application List'!L691</f>
        <v/>
      </c>
      <c r="I462" s="345"/>
      <c r="J462" s="441"/>
      <c r="K462" s="345"/>
      <c r="L462" s="478"/>
      <c r="M462" s="345"/>
      <c r="N462" s="345"/>
      <c r="O462" s="345"/>
      <c r="P462" s="414"/>
      <c r="Q462" s="414"/>
      <c r="R462" s="414"/>
      <c r="S462" s="445"/>
      <c r="T462" s="445"/>
      <c r="U462" s="445"/>
      <c r="V462" s="345"/>
      <c r="W462" s="441"/>
      <c r="X462" s="345"/>
      <c r="Y462" s="345"/>
      <c r="Z462" s="345"/>
      <c r="AA462" s="345"/>
      <c r="AB462" s="345"/>
      <c r="AC462" s="345"/>
      <c r="AD462" s="345"/>
      <c r="AE462" s="345"/>
      <c r="AF462" s="345"/>
      <c r="AG462" s="345"/>
      <c r="AH462" s="345"/>
      <c r="AI462" s="345"/>
      <c r="AJ462" s="345"/>
      <c r="AK462" s="345"/>
      <c r="AL462" s="345"/>
      <c r="AM462" s="345"/>
      <c r="AN462" s="345"/>
      <c r="AO462" s="345"/>
      <c r="AP462" s="345"/>
      <c r="AQ462" s="345"/>
      <c r="AR462" s="345"/>
      <c r="AS462" s="345"/>
    </row>
    <row r="463" ht="13.5" customHeight="1">
      <c r="A463" s="436" t="str">
        <f>'Membership Application List'!A692</f>
        <v/>
      </c>
      <c r="B463" s="437" t="str">
        <f t="shared" si="6"/>
        <v/>
      </c>
      <c r="C463" s="437" t="str">
        <f t="shared" si="7"/>
        <v/>
      </c>
      <c r="D463" s="438" t="str">
        <f>'Membership Application List'!E692</f>
        <v/>
      </c>
      <c r="E463" s="438" t="b">
        <f>IF('Membership Application List'!J692 = "Food/Litter Donation", 0, IF('Membership Application List'!J692 = "$15 Donation, Discord Verification", IF('Membership Application List'!N692 = TRUE, 15, 0)))</f>
        <v>0</v>
      </c>
      <c r="F463" s="438">
        <f>if('Membership Application List'!K692=TRUE, 5,0)</f>
        <v>0</v>
      </c>
      <c r="G463" s="438">
        <f t="shared" si="8"/>
        <v>0</v>
      </c>
      <c r="H463" s="439" t="str">
        <f>'Membership Application List'!L692</f>
        <v/>
      </c>
      <c r="I463" s="345"/>
      <c r="J463" s="441"/>
      <c r="K463" s="345"/>
      <c r="L463" s="478"/>
      <c r="M463" s="345"/>
      <c r="N463" s="345"/>
      <c r="O463" s="345"/>
      <c r="P463" s="414"/>
      <c r="Q463" s="414"/>
      <c r="R463" s="414"/>
      <c r="S463" s="445"/>
      <c r="T463" s="445"/>
      <c r="U463" s="445"/>
      <c r="V463" s="345"/>
      <c r="W463" s="441"/>
      <c r="X463" s="345"/>
      <c r="Y463" s="345"/>
      <c r="Z463" s="345"/>
      <c r="AA463" s="345"/>
      <c r="AB463" s="345"/>
      <c r="AC463" s="345"/>
      <c r="AD463" s="345"/>
      <c r="AE463" s="345"/>
      <c r="AF463" s="345"/>
      <c r="AG463" s="345"/>
      <c r="AH463" s="345"/>
      <c r="AI463" s="345"/>
      <c r="AJ463" s="345"/>
      <c r="AK463" s="345"/>
      <c r="AL463" s="345"/>
      <c r="AM463" s="345"/>
      <c r="AN463" s="345"/>
      <c r="AO463" s="345"/>
      <c r="AP463" s="345"/>
      <c r="AQ463" s="345"/>
      <c r="AR463" s="345"/>
      <c r="AS463" s="345"/>
    </row>
    <row r="464" ht="13.5" customHeight="1">
      <c r="A464" s="424" t="str">
        <f>'Membership Application List'!A693</f>
        <v/>
      </c>
      <c r="B464" s="443" t="str">
        <f t="shared" si="6"/>
        <v/>
      </c>
      <c r="C464" s="443" t="str">
        <f t="shared" si="7"/>
        <v/>
      </c>
      <c r="D464" s="426" t="str">
        <f>'Membership Application List'!E693</f>
        <v/>
      </c>
      <c r="E464" s="426" t="b">
        <f>IF('Membership Application List'!J693 = "Food/Litter Donation", 0, IF('Membership Application List'!J693 = "$15 Donation, Discord Verification", IF('Membership Application List'!N693 = TRUE, 15, 0)))</f>
        <v>0</v>
      </c>
      <c r="F464" s="426">
        <f>if('Membership Application List'!K693=TRUE, 5,0)</f>
        <v>0</v>
      </c>
      <c r="G464" s="426">
        <f t="shared" si="8"/>
        <v>0</v>
      </c>
      <c r="H464" s="427" t="str">
        <f>'Membership Application List'!L693</f>
        <v/>
      </c>
      <c r="I464" s="345"/>
      <c r="J464" s="441"/>
      <c r="K464" s="345"/>
      <c r="L464" s="478"/>
      <c r="M464" s="345"/>
      <c r="N464" s="345"/>
      <c r="O464" s="345"/>
      <c r="P464" s="414"/>
      <c r="Q464" s="414"/>
      <c r="R464" s="414"/>
      <c r="S464" s="445"/>
      <c r="T464" s="445"/>
      <c r="U464" s="445"/>
      <c r="V464" s="345"/>
      <c r="W464" s="441"/>
      <c r="X464" s="345"/>
      <c r="Y464" s="345"/>
      <c r="Z464" s="345"/>
      <c r="AA464" s="345"/>
      <c r="AB464" s="345"/>
      <c r="AC464" s="345"/>
      <c r="AD464" s="345"/>
      <c r="AE464" s="345"/>
      <c r="AF464" s="345"/>
      <c r="AG464" s="345"/>
      <c r="AH464" s="345"/>
      <c r="AI464" s="345"/>
      <c r="AJ464" s="345"/>
      <c r="AK464" s="345"/>
      <c r="AL464" s="345"/>
      <c r="AM464" s="345"/>
      <c r="AN464" s="345"/>
      <c r="AO464" s="345"/>
      <c r="AP464" s="345"/>
      <c r="AQ464" s="345"/>
      <c r="AR464" s="345"/>
      <c r="AS464" s="345"/>
    </row>
    <row r="465" ht="13.5" customHeight="1">
      <c r="A465" s="436" t="str">
        <f>'Membership Application List'!A694</f>
        <v/>
      </c>
      <c r="B465" s="437" t="str">
        <f t="shared" si="6"/>
        <v/>
      </c>
      <c r="C465" s="437" t="str">
        <f t="shared" si="7"/>
        <v/>
      </c>
      <c r="D465" s="438" t="str">
        <f>'Membership Application List'!E694</f>
        <v/>
      </c>
      <c r="E465" s="438" t="b">
        <f>IF('Membership Application List'!J694 = "Food/Litter Donation", 0, IF('Membership Application List'!J694 = "$15 Donation, Discord Verification", IF('Membership Application List'!N694 = TRUE, 15, 0)))</f>
        <v>0</v>
      </c>
      <c r="F465" s="438">
        <f>if('Membership Application List'!K694=TRUE, 5,0)</f>
        <v>0</v>
      </c>
      <c r="G465" s="438">
        <f t="shared" si="8"/>
        <v>0</v>
      </c>
      <c r="H465" s="439" t="str">
        <f>'Membership Application List'!L694</f>
        <v/>
      </c>
      <c r="I465" s="345"/>
      <c r="J465" s="441"/>
      <c r="K465" s="345"/>
      <c r="L465" s="478"/>
      <c r="M465" s="345"/>
      <c r="N465" s="345"/>
      <c r="O465" s="345"/>
      <c r="P465" s="414"/>
      <c r="Q465" s="414"/>
      <c r="R465" s="414"/>
      <c r="S465" s="445"/>
      <c r="T465" s="445"/>
      <c r="U465" s="445"/>
      <c r="V465" s="345"/>
      <c r="W465" s="441"/>
      <c r="X465" s="345"/>
      <c r="Y465" s="345"/>
      <c r="Z465" s="345"/>
      <c r="AA465" s="345"/>
      <c r="AB465" s="345"/>
      <c r="AC465" s="345"/>
      <c r="AD465" s="345"/>
      <c r="AE465" s="345"/>
      <c r="AF465" s="345"/>
      <c r="AG465" s="345"/>
      <c r="AH465" s="345"/>
      <c r="AI465" s="345"/>
      <c r="AJ465" s="345"/>
      <c r="AK465" s="345"/>
      <c r="AL465" s="345"/>
      <c r="AM465" s="345"/>
      <c r="AN465" s="345"/>
      <c r="AO465" s="345"/>
      <c r="AP465" s="345"/>
      <c r="AQ465" s="345"/>
      <c r="AR465" s="345"/>
      <c r="AS465" s="345"/>
    </row>
    <row r="466" ht="13.5" customHeight="1">
      <c r="A466" s="424" t="str">
        <f>'Membership Application List'!A695</f>
        <v/>
      </c>
      <c r="B466" s="443" t="str">
        <f t="shared" si="6"/>
        <v/>
      </c>
      <c r="C466" s="443" t="str">
        <f t="shared" si="7"/>
        <v/>
      </c>
      <c r="D466" s="426" t="str">
        <f>'Membership Application List'!E695</f>
        <v/>
      </c>
      <c r="E466" s="426" t="b">
        <f>IF('Membership Application List'!J695 = "Food/Litter Donation", 0, IF('Membership Application List'!J695 = "$15 Donation, Discord Verification", IF('Membership Application List'!N695 = TRUE, 15, 0)))</f>
        <v>0</v>
      </c>
      <c r="F466" s="426">
        <f>if('Membership Application List'!K695=TRUE, 5,0)</f>
        <v>0</v>
      </c>
      <c r="G466" s="426">
        <f t="shared" si="8"/>
        <v>0</v>
      </c>
      <c r="H466" s="427" t="str">
        <f>'Membership Application List'!L695</f>
        <v/>
      </c>
      <c r="I466" s="345"/>
      <c r="J466" s="441"/>
      <c r="K466" s="345"/>
      <c r="L466" s="478"/>
      <c r="M466" s="345"/>
      <c r="N466" s="345"/>
      <c r="O466" s="345"/>
      <c r="P466" s="414"/>
      <c r="Q466" s="414"/>
      <c r="R466" s="414"/>
      <c r="S466" s="445"/>
      <c r="T466" s="445"/>
      <c r="U466" s="445"/>
      <c r="V466" s="345"/>
      <c r="W466" s="441"/>
      <c r="X466" s="345"/>
      <c r="Y466" s="345"/>
      <c r="Z466" s="345"/>
      <c r="AA466" s="345"/>
      <c r="AB466" s="345"/>
      <c r="AC466" s="345"/>
      <c r="AD466" s="345"/>
      <c r="AE466" s="345"/>
      <c r="AF466" s="345"/>
      <c r="AG466" s="345"/>
      <c r="AH466" s="345"/>
      <c r="AI466" s="345"/>
      <c r="AJ466" s="345"/>
      <c r="AK466" s="345"/>
      <c r="AL466" s="345"/>
      <c r="AM466" s="345"/>
      <c r="AN466" s="345"/>
      <c r="AO466" s="345"/>
      <c r="AP466" s="345"/>
      <c r="AQ466" s="345"/>
      <c r="AR466" s="345"/>
      <c r="AS466" s="345"/>
    </row>
    <row r="467" ht="13.5" customHeight="1">
      <c r="A467" s="436" t="str">
        <f>'Membership Application List'!A696</f>
        <v/>
      </c>
      <c r="B467" s="437" t="str">
        <f t="shared" si="6"/>
        <v/>
      </c>
      <c r="C467" s="437" t="str">
        <f t="shared" si="7"/>
        <v/>
      </c>
      <c r="D467" s="438" t="str">
        <f>'Membership Application List'!E696</f>
        <v/>
      </c>
      <c r="E467" s="438" t="b">
        <f>IF('Membership Application List'!J696 = "Food/Litter Donation", 0, IF('Membership Application List'!J696 = "$15 Donation, Discord Verification", IF('Membership Application List'!N696 = TRUE, 15, 0)))</f>
        <v>0</v>
      </c>
      <c r="F467" s="438">
        <f>if('Membership Application List'!K696=TRUE, 5,0)</f>
        <v>0</v>
      </c>
      <c r="G467" s="438">
        <f t="shared" si="8"/>
        <v>0</v>
      </c>
      <c r="H467" s="439" t="str">
        <f>'Membership Application List'!L696</f>
        <v/>
      </c>
      <c r="I467" s="345"/>
      <c r="J467" s="441"/>
      <c r="K467" s="345"/>
      <c r="L467" s="478"/>
      <c r="M467" s="345"/>
      <c r="N467" s="345"/>
      <c r="O467" s="345"/>
      <c r="P467" s="414"/>
      <c r="Q467" s="414"/>
      <c r="R467" s="414"/>
      <c r="S467" s="445"/>
      <c r="T467" s="445"/>
      <c r="U467" s="445"/>
      <c r="V467" s="345"/>
      <c r="W467" s="441"/>
      <c r="X467" s="345"/>
      <c r="Y467" s="345"/>
      <c r="Z467" s="345"/>
      <c r="AA467" s="345"/>
      <c r="AB467" s="345"/>
      <c r="AC467" s="345"/>
      <c r="AD467" s="345"/>
      <c r="AE467" s="345"/>
      <c r="AF467" s="345"/>
      <c r="AG467" s="345"/>
      <c r="AH467" s="345"/>
      <c r="AI467" s="345"/>
      <c r="AJ467" s="345"/>
      <c r="AK467" s="345"/>
      <c r="AL467" s="345"/>
      <c r="AM467" s="345"/>
      <c r="AN467" s="345"/>
      <c r="AO467" s="345"/>
      <c r="AP467" s="345"/>
      <c r="AQ467" s="345"/>
      <c r="AR467" s="345"/>
      <c r="AS467" s="345"/>
    </row>
    <row r="468" ht="13.5" customHeight="1">
      <c r="A468" s="424" t="str">
        <f>'Membership Application List'!A697</f>
        <v/>
      </c>
      <c r="B468" s="443" t="str">
        <f t="shared" si="6"/>
        <v/>
      </c>
      <c r="C468" s="443" t="str">
        <f t="shared" si="7"/>
        <v/>
      </c>
      <c r="D468" s="426" t="str">
        <f>'Membership Application List'!E697</f>
        <v/>
      </c>
      <c r="E468" s="426" t="b">
        <f>IF('Membership Application List'!J697 = "Food/Litter Donation", 0, IF('Membership Application List'!J697 = "$15 Donation, Discord Verification", IF('Membership Application List'!N697 = TRUE, 15, 0)))</f>
        <v>0</v>
      </c>
      <c r="F468" s="426">
        <f>if('Membership Application List'!K697=TRUE, 5,0)</f>
        <v>0</v>
      </c>
      <c r="G468" s="426">
        <f t="shared" si="8"/>
        <v>0</v>
      </c>
      <c r="H468" s="427" t="str">
        <f>'Membership Application List'!L697</f>
        <v/>
      </c>
      <c r="I468" s="345"/>
      <c r="J468" s="441"/>
      <c r="K468" s="345"/>
      <c r="L468" s="478"/>
      <c r="M468" s="345"/>
      <c r="N468" s="345"/>
      <c r="O468" s="345"/>
      <c r="P468" s="414"/>
      <c r="Q468" s="414"/>
      <c r="R468" s="414"/>
      <c r="S468" s="445"/>
      <c r="T468" s="445"/>
      <c r="U468" s="445"/>
      <c r="V468" s="345"/>
      <c r="W468" s="441"/>
      <c r="X468" s="345"/>
      <c r="Y468" s="345"/>
      <c r="Z468" s="345"/>
      <c r="AA468" s="345"/>
      <c r="AB468" s="345"/>
      <c r="AC468" s="345"/>
      <c r="AD468" s="345"/>
      <c r="AE468" s="345"/>
      <c r="AF468" s="345"/>
      <c r="AG468" s="345"/>
      <c r="AH468" s="345"/>
      <c r="AI468" s="345"/>
      <c r="AJ468" s="345"/>
      <c r="AK468" s="345"/>
      <c r="AL468" s="345"/>
      <c r="AM468" s="345"/>
      <c r="AN468" s="345"/>
      <c r="AO468" s="345"/>
      <c r="AP468" s="345"/>
      <c r="AQ468" s="345"/>
      <c r="AR468" s="345"/>
      <c r="AS468" s="345"/>
    </row>
    <row r="469" ht="13.5" customHeight="1">
      <c r="A469" s="436" t="str">
        <f>'Membership Application List'!A698</f>
        <v/>
      </c>
      <c r="B469" s="437" t="str">
        <f t="shared" si="6"/>
        <v/>
      </c>
      <c r="C469" s="437" t="str">
        <f t="shared" si="7"/>
        <v/>
      </c>
      <c r="D469" s="438" t="str">
        <f>'Membership Application List'!E698</f>
        <v/>
      </c>
      <c r="E469" s="438" t="b">
        <f>IF('Membership Application List'!J698 = "Food/Litter Donation", 0, IF('Membership Application List'!J698 = "$15 Donation, Discord Verification", IF('Membership Application List'!N698 = TRUE, 15, 0)))</f>
        <v>0</v>
      </c>
      <c r="F469" s="438">
        <f>if('Membership Application List'!K698=TRUE, 5,0)</f>
        <v>0</v>
      </c>
      <c r="G469" s="438">
        <f t="shared" si="8"/>
        <v>0</v>
      </c>
      <c r="H469" s="439" t="str">
        <f>'Membership Application List'!L698</f>
        <v/>
      </c>
      <c r="I469" s="345"/>
      <c r="J469" s="441"/>
      <c r="K469" s="345"/>
      <c r="L469" s="478"/>
      <c r="M469" s="345"/>
      <c r="N469" s="345"/>
      <c r="O469" s="345"/>
      <c r="P469" s="414"/>
      <c r="Q469" s="414"/>
      <c r="R469" s="414"/>
      <c r="S469" s="445"/>
      <c r="T469" s="445"/>
      <c r="U469" s="445"/>
      <c r="V469" s="345"/>
      <c r="W469" s="441"/>
      <c r="X469" s="345"/>
      <c r="Y469" s="345"/>
      <c r="Z469" s="345"/>
      <c r="AA469" s="345"/>
      <c r="AB469" s="345"/>
      <c r="AC469" s="345"/>
      <c r="AD469" s="345"/>
      <c r="AE469" s="345"/>
      <c r="AF469" s="345"/>
      <c r="AG469" s="345"/>
      <c r="AH469" s="345"/>
      <c r="AI469" s="345"/>
      <c r="AJ469" s="345"/>
      <c r="AK469" s="345"/>
      <c r="AL469" s="345"/>
      <c r="AM469" s="345"/>
      <c r="AN469" s="345"/>
      <c r="AO469" s="345"/>
      <c r="AP469" s="345"/>
      <c r="AQ469" s="345"/>
      <c r="AR469" s="345"/>
      <c r="AS469" s="345"/>
    </row>
    <row r="470" ht="13.5" customHeight="1">
      <c r="A470" s="424" t="str">
        <f>'Membership Application List'!A699</f>
        <v/>
      </c>
      <c r="B470" s="443" t="str">
        <f t="shared" si="6"/>
        <v/>
      </c>
      <c r="C470" s="443" t="str">
        <f t="shared" si="7"/>
        <v/>
      </c>
      <c r="D470" s="426" t="str">
        <f>'Membership Application List'!E699</f>
        <v/>
      </c>
      <c r="E470" s="426" t="b">
        <f>IF('Membership Application List'!J699 = "Food/Litter Donation", 0, IF('Membership Application List'!J699 = "$15 Donation, Discord Verification", IF('Membership Application List'!N699 = TRUE, 15, 0)))</f>
        <v>0</v>
      </c>
      <c r="F470" s="426">
        <f>if('Membership Application List'!K699=TRUE, 5,0)</f>
        <v>0</v>
      </c>
      <c r="G470" s="426">
        <f t="shared" si="8"/>
        <v>0</v>
      </c>
      <c r="H470" s="427" t="str">
        <f>'Membership Application List'!L699</f>
        <v/>
      </c>
      <c r="I470" s="345"/>
      <c r="J470" s="441"/>
      <c r="K470" s="345"/>
      <c r="L470" s="478"/>
      <c r="M470" s="345"/>
      <c r="N470" s="345"/>
      <c r="O470" s="345"/>
      <c r="P470" s="414"/>
      <c r="Q470" s="414"/>
      <c r="R470" s="414"/>
      <c r="S470" s="445"/>
      <c r="T470" s="445"/>
      <c r="U470" s="445"/>
      <c r="V470" s="345"/>
      <c r="W470" s="441"/>
      <c r="X470" s="345"/>
      <c r="Y470" s="345"/>
      <c r="Z470" s="345"/>
      <c r="AA470" s="345"/>
      <c r="AB470" s="345"/>
      <c r="AC470" s="345"/>
      <c r="AD470" s="345"/>
      <c r="AE470" s="345"/>
      <c r="AF470" s="345"/>
      <c r="AG470" s="345"/>
      <c r="AH470" s="345"/>
      <c r="AI470" s="345"/>
      <c r="AJ470" s="345"/>
      <c r="AK470" s="345"/>
      <c r="AL470" s="345"/>
      <c r="AM470" s="345"/>
      <c r="AN470" s="345"/>
      <c r="AO470" s="345"/>
      <c r="AP470" s="345"/>
      <c r="AQ470" s="345"/>
      <c r="AR470" s="345"/>
      <c r="AS470" s="345"/>
    </row>
    <row r="471" ht="13.5" customHeight="1">
      <c r="A471" s="436" t="str">
        <f>'Membership Application List'!A700</f>
        <v/>
      </c>
      <c r="B471" s="437" t="str">
        <f t="shared" si="6"/>
        <v/>
      </c>
      <c r="C471" s="437" t="str">
        <f t="shared" si="7"/>
        <v/>
      </c>
      <c r="D471" s="438" t="str">
        <f>'Membership Application List'!E700</f>
        <v/>
      </c>
      <c r="E471" s="438" t="b">
        <f>IF('Membership Application List'!J700 = "Food/Litter Donation", 0, IF('Membership Application List'!J700 = "$15 Donation, Discord Verification", IF('Membership Application List'!N700 = TRUE, 15, 0)))</f>
        <v>0</v>
      </c>
      <c r="F471" s="438">
        <f>if('Membership Application List'!K700=TRUE, 5,0)</f>
        <v>0</v>
      </c>
      <c r="G471" s="438">
        <f t="shared" si="8"/>
        <v>0</v>
      </c>
      <c r="H471" s="439" t="str">
        <f>'Membership Application List'!L700</f>
        <v/>
      </c>
      <c r="I471" s="345"/>
      <c r="J471" s="441"/>
      <c r="K471" s="345"/>
      <c r="L471" s="478"/>
      <c r="M471" s="345"/>
      <c r="N471" s="345"/>
      <c r="O471" s="345"/>
      <c r="P471" s="414"/>
      <c r="Q471" s="414"/>
      <c r="R471" s="414"/>
      <c r="S471" s="445"/>
      <c r="T471" s="445"/>
      <c r="U471" s="445"/>
      <c r="V471" s="345"/>
      <c r="W471" s="441"/>
      <c r="X471" s="345"/>
      <c r="Y471" s="345"/>
      <c r="Z471" s="345"/>
      <c r="AA471" s="345"/>
      <c r="AB471" s="345"/>
      <c r="AC471" s="345"/>
      <c r="AD471" s="345"/>
      <c r="AE471" s="345"/>
      <c r="AF471" s="345"/>
      <c r="AG471" s="345"/>
      <c r="AH471" s="345"/>
      <c r="AI471" s="345"/>
      <c r="AJ471" s="345"/>
      <c r="AK471" s="345"/>
      <c r="AL471" s="345"/>
      <c r="AM471" s="345"/>
      <c r="AN471" s="345"/>
      <c r="AO471" s="345"/>
      <c r="AP471" s="345"/>
      <c r="AQ471" s="345"/>
      <c r="AR471" s="345"/>
      <c r="AS471" s="345"/>
    </row>
    <row r="472" ht="13.5" customHeight="1">
      <c r="A472" s="424" t="str">
        <f>'Membership Application List'!A701</f>
        <v/>
      </c>
      <c r="B472" s="443" t="str">
        <f t="shared" si="6"/>
        <v/>
      </c>
      <c r="C472" s="443" t="str">
        <f t="shared" si="7"/>
        <v/>
      </c>
      <c r="D472" s="426" t="str">
        <f>'Membership Application List'!E701</f>
        <v/>
      </c>
      <c r="E472" s="426" t="b">
        <f>IF('Membership Application List'!J701 = "Food/Litter Donation", 0, IF('Membership Application List'!J701 = "$15 Donation, Discord Verification", IF('Membership Application List'!N701 = TRUE, 15, 0)))</f>
        <v>0</v>
      </c>
      <c r="F472" s="426">
        <f>if('Membership Application List'!K701=TRUE, 5,0)</f>
        <v>0</v>
      </c>
      <c r="G472" s="426">
        <f t="shared" si="8"/>
        <v>0</v>
      </c>
      <c r="H472" s="427" t="str">
        <f>'Membership Application List'!L701</f>
        <v/>
      </c>
      <c r="I472" s="345"/>
      <c r="J472" s="441"/>
      <c r="K472" s="345"/>
      <c r="L472" s="478"/>
      <c r="M472" s="345"/>
      <c r="N472" s="345"/>
      <c r="O472" s="345"/>
      <c r="P472" s="414"/>
      <c r="Q472" s="414"/>
      <c r="R472" s="414"/>
      <c r="S472" s="445"/>
      <c r="T472" s="445"/>
      <c r="U472" s="445"/>
      <c r="V472" s="345"/>
      <c r="W472" s="441"/>
      <c r="X472" s="345"/>
      <c r="Y472" s="345"/>
      <c r="Z472" s="345"/>
      <c r="AA472" s="345"/>
      <c r="AB472" s="345"/>
      <c r="AC472" s="345"/>
      <c r="AD472" s="345"/>
      <c r="AE472" s="345"/>
      <c r="AF472" s="345"/>
      <c r="AG472" s="345"/>
      <c r="AH472" s="345"/>
      <c r="AI472" s="345"/>
      <c r="AJ472" s="345"/>
      <c r="AK472" s="345"/>
      <c r="AL472" s="345"/>
      <c r="AM472" s="345"/>
      <c r="AN472" s="345"/>
      <c r="AO472" s="345"/>
      <c r="AP472" s="345"/>
      <c r="AQ472" s="345"/>
      <c r="AR472" s="345"/>
      <c r="AS472" s="345"/>
    </row>
    <row r="473" ht="13.5" customHeight="1">
      <c r="A473" s="436" t="str">
        <f>'Membership Application List'!A702</f>
        <v/>
      </c>
      <c r="B473" s="437" t="str">
        <f t="shared" si="6"/>
        <v/>
      </c>
      <c r="C473" s="437" t="str">
        <f t="shared" si="7"/>
        <v/>
      </c>
      <c r="D473" s="438" t="str">
        <f>'Membership Application List'!E702</f>
        <v/>
      </c>
      <c r="E473" s="438" t="b">
        <f>IF('Membership Application List'!J702 = "Food/Litter Donation", 0, IF('Membership Application List'!J702 = "$15 Donation, Discord Verification", IF('Membership Application List'!N702 = TRUE, 15, 0)))</f>
        <v>0</v>
      </c>
      <c r="F473" s="438">
        <f>if('Membership Application List'!K702=TRUE, 5,0)</f>
        <v>0</v>
      </c>
      <c r="G473" s="438">
        <f t="shared" si="8"/>
        <v>0</v>
      </c>
      <c r="H473" s="439" t="str">
        <f>'Membership Application List'!L702</f>
        <v/>
      </c>
      <c r="I473" s="345"/>
      <c r="J473" s="441"/>
      <c r="K473" s="345"/>
      <c r="L473" s="478"/>
      <c r="M473" s="345"/>
      <c r="N473" s="345"/>
      <c r="O473" s="345"/>
      <c r="P473" s="414"/>
      <c r="Q473" s="414"/>
      <c r="R473" s="414"/>
      <c r="S473" s="445"/>
      <c r="T473" s="445"/>
      <c r="U473" s="445"/>
      <c r="V473" s="345"/>
      <c r="W473" s="441"/>
      <c r="X473" s="345"/>
      <c r="Y473" s="345"/>
      <c r="Z473" s="345"/>
      <c r="AA473" s="345"/>
      <c r="AB473" s="345"/>
      <c r="AC473" s="345"/>
      <c r="AD473" s="345"/>
      <c r="AE473" s="345"/>
      <c r="AF473" s="345"/>
      <c r="AG473" s="345"/>
      <c r="AH473" s="345"/>
      <c r="AI473" s="345"/>
      <c r="AJ473" s="345"/>
      <c r="AK473" s="345"/>
      <c r="AL473" s="345"/>
      <c r="AM473" s="345"/>
      <c r="AN473" s="345"/>
      <c r="AO473" s="345"/>
      <c r="AP473" s="345"/>
      <c r="AQ473" s="345"/>
      <c r="AR473" s="345"/>
      <c r="AS473" s="345"/>
    </row>
    <row r="474" ht="13.5" customHeight="1">
      <c r="A474" s="424" t="str">
        <f>'Membership Application List'!A703</f>
        <v/>
      </c>
      <c r="B474" s="443" t="str">
        <f t="shared" si="6"/>
        <v/>
      </c>
      <c r="C474" s="443" t="str">
        <f t="shared" si="7"/>
        <v/>
      </c>
      <c r="D474" s="426" t="str">
        <f>'Membership Application List'!E703</f>
        <v/>
      </c>
      <c r="E474" s="426" t="b">
        <f>IF('Membership Application List'!J703 = "Food/Litter Donation", 0, IF('Membership Application List'!J703 = "$15 Donation, Discord Verification", IF('Membership Application List'!N703 = TRUE, 15, 0)))</f>
        <v>0</v>
      </c>
      <c r="F474" s="426">
        <f>if('Membership Application List'!K703=TRUE, 5,0)</f>
        <v>0</v>
      </c>
      <c r="G474" s="426">
        <f t="shared" si="8"/>
        <v>0</v>
      </c>
      <c r="H474" s="427" t="str">
        <f>'Membership Application List'!L703</f>
        <v/>
      </c>
      <c r="I474" s="345"/>
      <c r="J474" s="441"/>
      <c r="K474" s="345"/>
      <c r="L474" s="478"/>
      <c r="M474" s="345"/>
      <c r="N474" s="345"/>
      <c r="O474" s="345"/>
      <c r="P474" s="414"/>
      <c r="Q474" s="414"/>
      <c r="R474" s="414"/>
      <c r="S474" s="445"/>
      <c r="T474" s="445"/>
      <c r="U474" s="445"/>
      <c r="V474" s="345"/>
      <c r="W474" s="441"/>
      <c r="X474" s="345"/>
      <c r="Y474" s="345"/>
      <c r="Z474" s="345"/>
      <c r="AA474" s="345"/>
      <c r="AB474" s="345"/>
      <c r="AC474" s="345"/>
      <c r="AD474" s="345"/>
      <c r="AE474" s="345"/>
      <c r="AF474" s="345"/>
      <c r="AG474" s="345"/>
      <c r="AH474" s="345"/>
      <c r="AI474" s="345"/>
      <c r="AJ474" s="345"/>
      <c r="AK474" s="345"/>
      <c r="AL474" s="345"/>
      <c r="AM474" s="345"/>
      <c r="AN474" s="345"/>
      <c r="AO474" s="345"/>
      <c r="AP474" s="345"/>
      <c r="AQ474" s="345"/>
      <c r="AR474" s="345"/>
      <c r="AS474" s="345"/>
    </row>
    <row r="475" ht="13.5" customHeight="1">
      <c r="A475" s="436" t="str">
        <f>'Membership Application List'!A704</f>
        <v/>
      </c>
      <c r="B475" s="437" t="str">
        <f t="shared" si="6"/>
        <v/>
      </c>
      <c r="C475" s="437" t="str">
        <f t="shared" si="7"/>
        <v/>
      </c>
      <c r="D475" s="438" t="str">
        <f>'Membership Application List'!E704</f>
        <v/>
      </c>
      <c r="E475" s="438" t="b">
        <f>IF('Membership Application List'!J704 = "Food/Litter Donation", 0, IF('Membership Application List'!J704 = "$15 Donation, Discord Verification", IF('Membership Application List'!N704 = TRUE, 15, 0)))</f>
        <v>0</v>
      </c>
      <c r="F475" s="438">
        <f>if('Membership Application List'!K704=TRUE, 5,0)</f>
        <v>0</v>
      </c>
      <c r="G475" s="438">
        <f t="shared" si="8"/>
        <v>0</v>
      </c>
      <c r="H475" s="439" t="str">
        <f>'Membership Application List'!L704</f>
        <v/>
      </c>
      <c r="I475" s="345"/>
      <c r="J475" s="441"/>
      <c r="K475" s="345"/>
      <c r="L475" s="478"/>
      <c r="M475" s="345"/>
      <c r="N475" s="345"/>
      <c r="O475" s="345"/>
      <c r="P475" s="414"/>
      <c r="Q475" s="414"/>
      <c r="R475" s="414"/>
      <c r="S475" s="445"/>
      <c r="T475" s="445"/>
      <c r="U475" s="445"/>
      <c r="V475" s="345"/>
      <c r="W475" s="441"/>
      <c r="X475" s="345"/>
      <c r="Y475" s="345"/>
      <c r="Z475" s="345"/>
      <c r="AA475" s="345"/>
      <c r="AB475" s="345"/>
      <c r="AC475" s="345"/>
      <c r="AD475" s="345"/>
      <c r="AE475" s="345"/>
      <c r="AF475" s="345"/>
      <c r="AG475" s="345"/>
      <c r="AH475" s="345"/>
      <c r="AI475" s="345"/>
      <c r="AJ475" s="345"/>
      <c r="AK475" s="345"/>
      <c r="AL475" s="345"/>
      <c r="AM475" s="345"/>
      <c r="AN475" s="345"/>
      <c r="AO475" s="345"/>
      <c r="AP475" s="345"/>
      <c r="AQ475" s="345"/>
      <c r="AR475" s="345"/>
      <c r="AS475" s="345"/>
    </row>
    <row r="476" ht="13.5" customHeight="1">
      <c r="A476" s="424" t="str">
        <f>'Membership Application List'!A705</f>
        <v/>
      </c>
      <c r="B476" s="443" t="str">
        <f t="shared" si="6"/>
        <v/>
      </c>
      <c r="C476" s="443" t="str">
        <f t="shared" si="7"/>
        <v/>
      </c>
      <c r="D476" s="426" t="str">
        <f>'Membership Application List'!E705</f>
        <v/>
      </c>
      <c r="E476" s="426" t="b">
        <f>IF('Membership Application List'!J705 = "Food/Litter Donation", 0, IF('Membership Application List'!J705 = "$15 Donation, Discord Verification", IF('Membership Application List'!N705 = TRUE, 15, 0)))</f>
        <v>0</v>
      </c>
      <c r="F476" s="426">
        <f>if('Membership Application List'!K705=TRUE, 5,0)</f>
        <v>0</v>
      </c>
      <c r="G476" s="426">
        <f t="shared" si="8"/>
        <v>0</v>
      </c>
      <c r="H476" s="427" t="str">
        <f>'Membership Application List'!L705</f>
        <v/>
      </c>
      <c r="I476" s="345"/>
      <c r="J476" s="441"/>
      <c r="K476" s="345"/>
      <c r="L476" s="478"/>
      <c r="M476" s="345"/>
      <c r="N476" s="345"/>
      <c r="O476" s="345"/>
      <c r="P476" s="414"/>
      <c r="Q476" s="414"/>
      <c r="R476" s="414"/>
      <c r="S476" s="445"/>
      <c r="T476" s="445"/>
      <c r="U476" s="445"/>
      <c r="V476" s="345"/>
      <c r="W476" s="441"/>
      <c r="X476" s="345"/>
      <c r="Y476" s="345"/>
      <c r="Z476" s="345"/>
      <c r="AA476" s="345"/>
      <c r="AB476" s="345"/>
      <c r="AC476" s="345"/>
      <c r="AD476" s="345"/>
      <c r="AE476" s="345"/>
      <c r="AF476" s="345"/>
      <c r="AG476" s="345"/>
      <c r="AH476" s="345"/>
      <c r="AI476" s="345"/>
      <c r="AJ476" s="345"/>
      <c r="AK476" s="345"/>
      <c r="AL476" s="345"/>
      <c r="AM476" s="345"/>
      <c r="AN476" s="345"/>
      <c r="AO476" s="345"/>
      <c r="AP476" s="345"/>
      <c r="AQ476" s="345"/>
      <c r="AR476" s="345"/>
      <c r="AS476" s="345"/>
    </row>
    <row r="477" ht="13.5" customHeight="1">
      <c r="A477" s="436" t="str">
        <f>'Membership Application List'!A706</f>
        <v/>
      </c>
      <c r="B477" s="437" t="str">
        <f t="shared" si="6"/>
        <v/>
      </c>
      <c r="C477" s="437" t="str">
        <f t="shared" si="7"/>
        <v/>
      </c>
      <c r="D477" s="438" t="str">
        <f>'Membership Application List'!E706</f>
        <v/>
      </c>
      <c r="E477" s="438" t="b">
        <f>IF('Membership Application List'!J706 = "Food/Litter Donation", 0, IF('Membership Application List'!J706 = "$15 Donation, Discord Verification", IF('Membership Application List'!N706 = TRUE, 15, 0)))</f>
        <v>0</v>
      </c>
      <c r="F477" s="438">
        <f>if('Membership Application List'!K706=TRUE, 5,0)</f>
        <v>0</v>
      </c>
      <c r="G477" s="438">
        <f t="shared" si="8"/>
        <v>0</v>
      </c>
      <c r="H477" s="439" t="str">
        <f>'Membership Application List'!L706</f>
        <v/>
      </c>
      <c r="I477" s="345"/>
      <c r="J477" s="441"/>
      <c r="K477" s="345"/>
      <c r="L477" s="478"/>
      <c r="M477" s="345"/>
      <c r="N477" s="345"/>
      <c r="O477" s="345"/>
      <c r="P477" s="414"/>
      <c r="Q477" s="414"/>
      <c r="R477" s="414"/>
      <c r="S477" s="445"/>
      <c r="T477" s="445"/>
      <c r="U477" s="445"/>
      <c r="V477" s="345"/>
      <c r="W477" s="441"/>
      <c r="X477" s="345"/>
      <c r="Y477" s="345"/>
      <c r="Z477" s="345"/>
      <c r="AA477" s="345"/>
      <c r="AB477" s="345"/>
      <c r="AC477" s="345"/>
      <c r="AD477" s="345"/>
      <c r="AE477" s="345"/>
      <c r="AF477" s="345"/>
      <c r="AG477" s="345"/>
      <c r="AH477" s="345"/>
      <c r="AI477" s="345"/>
      <c r="AJ477" s="345"/>
      <c r="AK477" s="345"/>
      <c r="AL477" s="345"/>
      <c r="AM477" s="345"/>
      <c r="AN477" s="345"/>
      <c r="AO477" s="345"/>
      <c r="AP477" s="345"/>
      <c r="AQ477" s="345"/>
      <c r="AR477" s="345"/>
      <c r="AS477" s="345"/>
    </row>
    <row r="478" ht="13.5" customHeight="1">
      <c r="A478" s="424" t="str">
        <f>'Membership Application List'!A707</f>
        <v/>
      </c>
      <c r="B478" s="443" t="str">
        <f t="shared" si="6"/>
        <v/>
      </c>
      <c r="C478" s="443" t="str">
        <f t="shared" si="7"/>
        <v/>
      </c>
      <c r="D478" s="426" t="str">
        <f>'Membership Application List'!E707</f>
        <v/>
      </c>
      <c r="E478" s="426" t="b">
        <f>IF('Membership Application List'!J707 = "Food/Litter Donation", 0, IF('Membership Application List'!J707 = "$15 Donation, Discord Verification", IF('Membership Application List'!N707 = TRUE, 15, 0)))</f>
        <v>0</v>
      </c>
      <c r="F478" s="426">
        <f>if('Membership Application List'!K707=TRUE, 5,0)</f>
        <v>0</v>
      </c>
      <c r="G478" s="426">
        <f t="shared" si="8"/>
        <v>0</v>
      </c>
      <c r="H478" s="427" t="str">
        <f>'Membership Application List'!L707</f>
        <v/>
      </c>
      <c r="I478" s="345"/>
      <c r="J478" s="441"/>
      <c r="K478" s="345"/>
      <c r="L478" s="478"/>
      <c r="M478" s="345"/>
      <c r="N478" s="345"/>
      <c r="O478" s="345"/>
      <c r="P478" s="414"/>
      <c r="Q478" s="414"/>
      <c r="R478" s="414"/>
      <c r="S478" s="445"/>
      <c r="T478" s="445"/>
      <c r="U478" s="445"/>
      <c r="V478" s="345"/>
      <c r="W478" s="441"/>
      <c r="X478" s="345"/>
      <c r="Y478" s="345"/>
      <c r="Z478" s="345"/>
      <c r="AA478" s="345"/>
      <c r="AB478" s="345"/>
      <c r="AC478" s="345"/>
      <c r="AD478" s="345"/>
      <c r="AE478" s="345"/>
      <c r="AF478" s="345"/>
      <c r="AG478" s="345"/>
      <c r="AH478" s="345"/>
      <c r="AI478" s="345"/>
      <c r="AJ478" s="345"/>
      <c r="AK478" s="345"/>
      <c r="AL478" s="345"/>
      <c r="AM478" s="345"/>
      <c r="AN478" s="345"/>
      <c r="AO478" s="345"/>
      <c r="AP478" s="345"/>
      <c r="AQ478" s="345"/>
      <c r="AR478" s="345"/>
      <c r="AS478" s="345"/>
    </row>
    <row r="479" ht="13.5" customHeight="1">
      <c r="A479" s="436" t="str">
        <f>'Membership Application List'!A708</f>
        <v/>
      </c>
      <c r="B479" s="437" t="str">
        <f t="shared" si="6"/>
        <v/>
      </c>
      <c r="C479" s="437" t="str">
        <f t="shared" si="7"/>
        <v/>
      </c>
      <c r="D479" s="438" t="str">
        <f>'Membership Application List'!E708</f>
        <v/>
      </c>
      <c r="E479" s="438" t="b">
        <f>IF('Membership Application List'!J708 = "Food/Litter Donation", 0, IF('Membership Application List'!J708 = "$15 Donation, Discord Verification", IF('Membership Application List'!N708 = TRUE, 15, 0)))</f>
        <v>0</v>
      </c>
      <c r="F479" s="438">
        <f>if('Membership Application List'!K708=TRUE, 5,0)</f>
        <v>0</v>
      </c>
      <c r="G479" s="438">
        <f t="shared" si="8"/>
        <v>0</v>
      </c>
      <c r="H479" s="439" t="str">
        <f>'Membership Application List'!L708</f>
        <v/>
      </c>
      <c r="I479" s="345"/>
      <c r="J479" s="441"/>
      <c r="K479" s="345"/>
      <c r="L479" s="478"/>
      <c r="M479" s="345"/>
      <c r="N479" s="345"/>
      <c r="O479" s="345"/>
      <c r="P479" s="414"/>
      <c r="Q479" s="414"/>
      <c r="R479" s="414"/>
      <c r="S479" s="445"/>
      <c r="T479" s="445"/>
      <c r="U479" s="445"/>
      <c r="V479" s="345"/>
      <c r="W479" s="441"/>
      <c r="X479" s="345"/>
      <c r="Y479" s="345"/>
      <c r="Z479" s="345"/>
      <c r="AA479" s="345"/>
      <c r="AB479" s="345"/>
      <c r="AC479" s="345"/>
      <c r="AD479" s="345"/>
      <c r="AE479" s="345"/>
      <c r="AF479" s="345"/>
      <c r="AG479" s="345"/>
      <c r="AH479" s="345"/>
      <c r="AI479" s="345"/>
      <c r="AJ479" s="345"/>
      <c r="AK479" s="345"/>
      <c r="AL479" s="345"/>
      <c r="AM479" s="345"/>
      <c r="AN479" s="345"/>
      <c r="AO479" s="345"/>
      <c r="AP479" s="345"/>
      <c r="AQ479" s="345"/>
      <c r="AR479" s="345"/>
      <c r="AS479" s="345"/>
    </row>
    <row r="480" ht="13.5" customHeight="1">
      <c r="A480" s="424" t="str">
        <f>'Membership Application List'!A709</f>
        <v/>
      </c>
      <c r="B480" s="443" t="str">
        <f t="shared" si="6"/>
        <v/>
      </c>
      <c r="C480" s="443" t="str">
        <f t="shared" si="7"/>
        <v/>
      </c>
      <c r="D480" s="426" t="str">
        <f>'Membership Application List'!E709</f>
        <v/>
      </c>
      <c r="E480" s="426" t="b">
        <f>IF('Membership Application List'!J709 = "Food/Litter Donation", 0, IF('Membership Application List'!J709 = "$15 Donation, Discord Verification", IF('Membership Application List'!N709 = TRUE, 15, 0)))</f>
        <v>0</v>
      </c>
      <c r="F480" s="426">
        <f>if('Membership Application List'!K709=TRUE, 5,0)</f>
        <v>0</v>
      </c>
      <c r="G480" s="426">
        <f t="shared" si="8"/>
        <v>0</v>
      </c>
      <c r="H480" s="427" t="str">
        <f>'Membership Application List'!L709</f>
        <v/>
      </c>
      <c r="I480" s="345"/>
      <c r="J480" s="441"/>
      <c r="K480" s="345"/>
      <c r="L480" s="478"/>
      <c r="M480" s="345"/>
      <c r="N480" s="345"/>
      <c r="O480" s="345"/>
      <c r="P480" s="414"/>
      <c r="Q480" s="414"/>
      <c r="R480" s="414"/>
      <c r="S480" s="445"/>
      <c r="T480" s="445"/>
      <c r="U480" s="445"/>
      <c r="V480" s="345"/>
      <c r="W480" s="441"/>
      <c r="X480" s="345"/>
      <c r="Y480" s="345"/>
      <c r="Z480" s="345"/>
      <c r="AA480" s="345"/>
      <c r="AB480" s="345"/>
      <c r="AC480" s="345"/>
      <c r="AD480" s="345"/>
      <c r="AE480" s="345"/>
      <c r="AF480" s="345"/>
      <c r="AG480" s="345"/>
      <c r="AH480" s="345"/>
      <c r="AI480" s="345"/>
      <c r="AJ480" s="345"/>
      <c r="AK480" s="345"/>
      <c r="AL480" s="345"/>
      <c r="AM480" s="345"/>
      <c r="AN480" s="345"/>
      <c r="AO480" s="345"/>
      <c r="AP480" s="345"/>
      <c r="AQ480" s="345"/>
      <c r="AR480" s="345"/>
      <c r="AS480" s="345"/>
    </row>
    <row r="481" ht="13.5" customHeight="1">
      <c r="A481" s="436" t="str">
        <f>'Membership Application List'!A710</f>
        <v/>
      </c>
      <c r="B481" s="437" t="str">
        <f t="shared" si="6"/>
        <v/>
      </c>
      <c r="C481" s="437" t="str">
        <f t="shared" si="7"/>
        <v/>
      </c>
      <c r="D481" s="438" t="str">
        <f>'Membership Application List'!E710</f>
        <v/>
      </c>
      <c r="E481" s="438" t="b">
        <f>IF('Membership Application List'!J710 = "Food/Litter Donation", 0, IF('Membership Application List'!J710 = "$15 Donation, Discord Verification", IF('Membership Application List'!N710 = TRUE, 15, 0)))</f>
        <v>0</v>
      </c>
      <c r="F481" s="438">
        <f>if('Membership Application List'!K710=TRUE, 5,0)</f>
        <v>0</v>
      </c>
      <c r="G481" s="438">
        <f t="shared" si="8"/>
        <v>0</v>
      </c>
      <c r="H481" s="439" t="str">
        <f>'Membership Application List'!L710</f>
        <v/>
      </c>
      <c r="I481" s="345"/>
      <c r="J481" s="441"/>
      <c r="K481" s="345"/>
      <c r="L481" s="478"/>
      <c r="M481" s="345"/>
      <c r="N481" s="345"/>
      <c r="O481" s="345"/>
      <c r="P481" s="414"/>
      <c r="Q481" s="414"/>
      <c r="R481" s="414"/>
      <c r="S481" s="445"/>
      <c r="T481" s="445"/>
      <c r="U481" s="445"/>
      <c r="V481" s="345"/>
      <c r="W481" s="441"/>
      <c r="X481" s="345"/>
      <c r="Y481" s="345"/>
      <c r="Z481" s="345"/>
      <c r="AA481" s="345"/>
      <c r="AB481" s="345"/>
      <c r="AC481" s="345"/>
      <c r="AD481" s="345"/>
      <c r="AE481" s="345"/>
      <c r="AF481" s="345"/>
      <c r="AG481" s="345"/>
      <c r="AH481" s="345"/>
      <c r="AI481" s="345"/>
      <c r="AJ481" s="345"/>
      <c r="AK481" s="345"/>
      <c r="AL481" s="345"/>
      <c r="AM481" s="345"/>
      <c r="AN481" s="345"/>
      <c r="AO481" s="345"/>
      <c r="AP481" s="345"/>
      <c r="AQ481" s="345"/>
      <c r="AR481" s="345"/>
      <c r="AS481" s="345"/>
    </row>
    <row r="482" ht="13.5" customHeight="1">
      <c r="A482" s="424" t="str">
        <f>'Membership Application List'!A711</f>
        <v/>
      </c>
      <c r="B482" s="443" t="str">
        <f t="shared" si="6"/>
        <v/>
      </c>
      <c r="C482" s="443" t="str">
        <f t="shared" si="7"/>
        <v/>
      </c>
      <c r="D482" s="426" t="str">
        <f>'Membership Application List'!E711</f>
        <v/>
      </c>
      <c r="E482" s="426" t="b">
        <f>IF('Membership Application List'!J711 = "Food/Litter Donation", 0, IF('Membership Application List'!J711 = "$15 Donation, Discord Verification", IF('Membership Application List'!N711 = TRUE, 15, 0)))</f>
        <v>0</v>
      </c>
      <c r="F482" s="426">
        <f>if('Membership Application List'!K711=TRUE, 5,0)</f>
        <v>0</v>
      </c>
      <c r="G482" s="426">
        <f t="shared" si="8"/>
        <v>0</v>
      </c>
      <c r="H482" s="427" t="str">
        <f>'Membership Application List'!L711</f>
        <v/>
      </c>
      <c r="I482" s="345"/>
      <c r="J482" s="441"/>
      <c r="K482" s="345"/>
      <c r="L482" s="478"/>
      <c r="M482" s="345"/>
      <c r="N482" s="345"/>
      <c r="O482" s="345"/>
      <c r="P482" s="414"/>
      <c r="Q482" s="414"/>
      <c r="R482" s="414"/>
      <c r="S482" s="445"/>
      <c r="T482" s="445"/>
      <c r="U482" s="445"/>
      <c r="V482" s="345"/>
      <c r="W482" s="441"/>
      <c r="X482" s="345"/>
      <c r="Y482" s="345"/>
      <c r="Z482" s="345"/>
      <c r="AA482" s="345"/>
      <c r="AB482" s="345"/>
      <c r="AC482" s="345"/>
      <c r="AD482" s="345"/>
      <c r="AE482" s="345"/>
      <c r="AF482" s="345"/>
      <c r="AG482" s="345"/>
      <c r="AH482" s="345"/>
      <c r="AI482" s="345"/>
      <c r="AJ482" s="345"/>
      <c r="AK482" s="345"/>
      <c r="AL482" s="345"/>
      <c r="AM482" s="345"/>
      <c r="AN482" s="345"/>
      <c r="AO482" s="345"/>
      <c r="AP482" s="345"/>
      <c r="AQ482" s="345"/>
      <c r="AR482" s="345"/>
      <c r="AS482" s="345"/>
    </row>
    <row r="483" ht="13.5" customHeight="1">
      <c r="A483" s="436" t="str">
        <f>'Membership Application List'!A712</f>
        <v/>
      </c>
      <c r="B483" s="437" t="str">
        <f t="shared" si="6"/>
        <v/>
      </c>
      <c r="C483" s="437" t="str">
        <f t="shared" si="7"/>
        <v/>
      </c>
      <c r="D483" s="438" t="str">
        <f>'Membership Application List'!E712</f>
        <v/>
      </c>
      <c r="E483" s="438" t="b">
        <f>IF('Membership Application List'!J712 = "Food/Litter Donation", 0, IF('Membership Application List'!J712 = "$15 Donation, Discord Verification", IF('Membership Application List'!N712 = TRUE, 15, 0)))</f>
        <v>0</v>
      </c>
      <c r="F483" s="438">
        <f>if('Membership Application List'!K712=TRUE, 5,0)</f>
        <v>0</v>
      </c>
      <c r="G483" s="438">
        <f t="shared" si="8"/>
        <v>0</v>
      </c>
      <c r="H483" s="439" t="str">
        <f>'Membership Application List'!L712</f>
        <v/>
      </c>
      <c r="I483" s="345"/>
      <c r="J483" s="441"/>
      <c r="K483" s="345"/>
      <c r="L483" s="478"/>
      <c r="M483" s="345"/>
      <c r="N483" s="345"/>
      <c r="O483" s="345"/>
      <c r="P483" s="414"/>
      <c r="Q483" s="414"/>
      <c r="R483" s="414"/>
      <c r="S483" s="445"/>
      <c r="T483" s="445"/>
      <c r="U483" s="445"/>
      <c r="V483" s="345"/>
      <c r="W483" s="441"/>
      <c r="X483" s="345"/>
      <c r="Y483" s="345"/>
      <c r="Z483" s="345"/>
      <c r="AA483" s="345"/>
      <c r="AB483" s="345"/>
      <c r="AC483" s="345"/>
      <c r="AD483" s="345"/>
      <c r="AE483" s="345"/>
      <c r="AF483" s="345"/>
      <c r="AG483" s="345"/>
      <c r="AH483" s="345"/>
      <c r="AI483" s="345"/>
      <c r="AJ483" s="345"/>
      <c r="AK483" s="345"/>
      <c r="AL483" s="345"/>
      <c r="AM483" s="345"/>
      <c r="AN483" s="345"/>
      <c r="AO483" s="345"/>
      <c r="AP483" s="345"/>
      <c r="AQ483" s="345"/>
      <c r="AR483" s="345"/>
      <c r="AS483" s="345"/>
    </row>
    <row r="484" ht="13.5" customHeight="1">
      <c r="A484" s="424" t="str">
        <f>'Membership Application List'!A713</f>
        <v/>
      </c>
      <c r="B484" s="443" t="str">
        <f t="shared" si="6"/>
        <v/>
      </c>
      <c r="C484" s="443" t="str">
        <f t="shared" si="7"/>
        <v/>
      </c>
      <c r="D484" s="426" t="str">
        <f>'Membership Application List'!E713</f>
        <v/>
      </c>
      <c r="E484" s="426" t="b">
        <f>IF('Membership Application List'!J713 = "Food/Litter Donation", 0, IF('Membership Application List'!J713 = "$15 Donation, Discord Verification", IF('Membership Application List'!N713 = TRUE, 15, 0)))</f>
        <v>0</v>
      </c>
      <c r="F484" s="426">
        <f>if('Membership Application List'!K713=TRUE, 5,0)</f>
        <v>0</v>
      </c>
      <c r="G484" s="426">
        <f t="shared" si="8"/>
        <v>0</v>
      </c>
      <c r="H484" s="427" t="str">
        <f>'Membership Application List'!L713</f>
        <v/>
      </c>
      <c r="I484" s="345"/>
      <c r="J484" s="441"/>
      <c r="K484" s="345"/>
      <c r="L484" s="478"/>
      <c r="M484" s="345"/>
      <c r="N484" s="345"/>
      <c r="O484" s="345"/>
      <c r="P484" s="414"/>
      <c r="Q484" s="414"/>
      <c r="R484" s="414"/>
      <c r="S484" s="445"/>
      <c r="T484" s="445"/>
      <c r="U484" s="445"/>
      <c r="V484" s="345"/>
      <c r="W484" s="441"/>
      <c r="X484" s="345"/>
      <c r="Y484" s="345"/>
      <c r="Z484" s="345"/>
      <c r="AA484" s="345"/>
      <c r="AB484" s="345"/>
      <c r="AC484" s="345"/>
      <c r="AD484" s="345"/>
      <c r="AE484" s="345"/>
      <c r="AF484" s="345"/>
      <c r="AG484" s="345"/>
      <c r="AH484" s="345"/>
      <c r="AI484" s="345"/>
      <c r="AJ484" s="345"/>
      <c r="AK484" s="345"/>
      <c r="AL484" s="345"/>
      <c r="AM484" s="345"/>
      <c r="AN484" s="345"/>
      <c r="AO484" s="345"/>
      <c r="AP484" s="345"/>
      <c r="AQ484" s="345"/>
      <c r="AR484" s="345"/>
      <c r="AS484" s="345"/>
    </row>
    <row r="485" ht="13.5" customHeight="1">
      <c r="A485" s="436" t="str">
        <f>'Membership Application List'!A714</f>
        <v/>
      </c>
      <c r="B485" s="437" t="str">
        <f t="shared" si="6"/>
        <v/>
      </c>
      <c r="C485" s="437" t="str">
        <f t="shared" si="7"/>
        <v/>
      </c>
      <c r="D485" s="438" t="str">
        <f>'Membership Application List'!E714</f>
        <v/>
      </c>
      <c r="E485" s="438" t="b">
        <f>IF('Membership Application List'!J714 = "Food/Litter Donation", 0, IF('Membership Application List'!J714 = "$15 Donation, Discord Verification", IF('Membership Application List'!N714 = TRUE, 15, 0)))</f>
        <v>0</v>
      </c>
      <c r="F485" s="438">
        <f>if('Membership Application List'!K714=TRUE, 5,0)</f>
        <v>0</v>
      </c>
      <c r="G485" s="438">
        <f t="shared" si="8"/>
        <v>0</v>
      </c>
      <c r="H485" s="439" t="str">
        <f>'Membership Application List'!L714</f>
        <v/>
      </c>
      <c r="I485" s="345"/>
      <c r="J485" s="441"/>
      <c r="K485" s="345"/>
      <c r="L485" s="478"/>
      <c r="M485" s="345"/>
      <c r="N485" s="345"/>
      <c r="O485" s="345"/>
      <c r="P485" s="414"/>
      <c r="Q485" s="414"/>
      <c r="R485" s="414"/>
      <c r="S485" s="445"/>
      <c r="T485" s="445"/>
      <c r="U485" s="445"/>
      <c r="V485" s="345"/>
      <c r="W485" s="441"/>
      <c r="X485" s="345"/>
      <c r="Y485" s="345"/>
      <c r="Z485" s="345"/>
      <c r="AA485" s="345"/>
      <c r="AB485" s="345"/>
      <c r="AC485" s="345"/>
      <c r="AD485" s="345"/>
      <c r="AE485" s="345"/>
      <c r="AF485" s="345"/>
      <c r="AG485" s="345"/>
      <c r="AH485" s="345"/>
      <c r="AI485" s="345"/>
      <c r="AJ485" s="345"/>
      <c r="AK485" s="345"/>
      <c r="AL485" s="345"/>
      <c r="AM485" s="345"/>
      <c r="AN485" s="345"/>
      <c r="AO485" s="345"/>
      <c r="AP485" s="345"/>
      <c r="AQ485" s="345"/>
      <c r="AR485" s="345"/>
      <c r="AS485" s="345"/>
    </row>
    <row r="486" ht="13.5" customHeight="1">
      <c r="A486" s="424" t="str">
        <f>'Membership Application List'!A715</f>
        <v/>
      </c>
      <c r="B486" s="443" t="str">
        <f t="shared" si="6"/>
        <v/>
      </c>
      <c r="C486" s="443" t="str">
        <f t="shared" si="7"/>
        <v/>
      </c>
      <c r="D486" s="426" t="str">
        <f>'Membership Application List'!E715</f>
        <v/>
      </c>
      <c r="E486" s="426" t="b">
        <f>IF('Membership Application List'!J715 = "Food/Litter Donation", 0, IF('Membership Application List'!J715 = "$15 Donation, Discord Verification", IF('Membership Application List'!N715 = TRUE, 15, 0)))</f>
        <v>0</v>
      </c>
      <c r="F486" s="426">
        <f>if('Membership Application List'!K715=TRUE, 5,0)</f>
        <v>0</v>
      </c>
      <c r="G486" s="426">
        <f t="shared" si="8"/>
        <v>0</v>
      </c>
      <c r="H486" s="427" t="str">
        <f>'Membership Application List'!L715</f>
        <v/>
      </c>
      <c r="I486" s="345"/>
      <c r="J486" s="441"/>
      <c r="K486" s="345"/>
      <c r="L486" s="478"/>
      <c r="M486" s="345"/>
      <c r="N486" s="345"/>
      <c r="O486" s="345"/>
      <c r="P486" s="414"/>
      <c r="Q486" s="414"/>
      <c r="R486" s="414"/>
      <c r="S486" s="445"/>
      <c r="T486" s="445"/>
      <c r="U486" s="445"/>
      <c r="V486" s="345"/>
      <c r="W486" s="441"/>
      <c r="X486" s="345"/>
      <c r="Y486" s="345"/>
      <c r="Z486" s="345"/>
      <c r="AA486" s="345"/>
      <c r="AB486" s="345"/>
      <c r="AC486" s="345"/>
      <c r="AD486" s="345"/>
      <c r="AE486" s="345"/>
      <c r="AF486" s="345"/>
      <c r="AG486" s="345"/>
      <c r="AH486" s="345"/>
      <c r="AI486" s="345"/>
      <c r="AJ486" s="345"/>
      <c r="AK486" s="345"/>
      <c r="AL486" s="345"/>
      <c r="AM486" s="345"/>
      <c r="AN486" s="345"/>
      <c r="AO486" s="345"/>
      <c r="AP486" s="345"/>
      <c r="AQ486" s="345"/>
      <c r="AR486" s="345"/>
      <c r="AS486" s="345"/>
    </row>
    <row r="487" ht="13.5" customHeight="1">
      <c r="A487" s="436" t="str">
        <f>'Membership Application List'!A716</f>
        <v/>
      </c>
      <c r="B487" s="437" t="str">
        <f t="shared" si="6"/>
        <v/>
      </c>
      <c r="C487" s="437" t="str">
        <f t="shared" si="7"/>
        <v/>
      </c>
      <c r="D487" s="438" t="str">
        <f>'Membership Application List'!E716</f>
        <v/>
      </c>
      <c r="E487" s="438" t="b">
        <f>IF('Membership Application List'!J716 = "Food/Litter Donation", 0, IF('Membership Application List'!J716 = "$15 Donation, Discord Verification", IF('Membership Application List'!N716 = TRUE, 15, 0)))</f>
        <v>0</v>
      </c>
      <c r="F487" s="438">
        <f>if('Membership Application List'!K716=TRUE, 5,0)</f>
        <v>0</v>
      </c>
      <c r="G487" s="438">
        <f t="shared" si="8"/>
        <v>0</v>
      </c>
      <c r="H487" s="439" t="str">
        <f>'Membership Application List'!L716</f>
        <v/>
      </c>
      <c r="I487" s="345"/>
      <c r="J487" s="441"/>
      <c r="K487" s="345"/>
      <c r="L487" s="478"/>
      <c r="M487" s="345"/>
      <c r="N487" s="345"/>
      <c r="O487" s="345"/>
      <c r="P487" s="414"/>
      <c r="Q487" s="414"/>
      <c r="R487" s="414"/>
      <c r="S487" s="445"/>
      <c r="T487" s="445"/>
      <c r="U487" s="445"/>
      <c r="V487" s="345"/>
      <c r="W487" s="441"/>
      <c r="X487" s="345"/>
      <c r="Y487" s="345"/>
      <c r="Z487" s="345"/>
      <c r="AA487" s="345"/>
      <c r="AB487" s="345"/>
      <c r="AC487" s="345"/>
      <c r="AD487" s="345"/>
      <c r="AE487" s="345"/>
      <c r="AF487" s="345"/>
      <c r="AG487" s="345"/>
      <c r="AH487" s="345"/>
      <c r="AI487" s="345"/>
      <c r="AJ487" s="345"/>
      <c r="AK487" s="345"/>
      <c r="AL487" s="345"/>
      <c r="AM487" s="345"/>
      <c r="AN487" s="345"/>
      <c r="AO487" s="345"/>
      <c r="AP487" s="345"/>
      <c r="AQ487" s="345"/>
      <c r="AR487" s="345"/>
      <c r="AS487" s="345"/>
    </row>
    <row r="488" ht="13.5" customHeight="1">
      <c r="A488" s="424" t="str">
        <f>'Membership Application List'!A717</f>
        <v/>
      </c>
      <c r="B488" s="443" t="str">
        <f t="shared" si="6"/>
        <v/>
      </c>
      <c r="C488" s="443" t="str">
        <f t="shared" si="7"/>
        <v/>
      </c>
      <c r="D488" s="426" t="str">
        <f>'Membership Application List'!E717</f>
        <v/>
      </c>
      <c r="E488" s="426" t="b">
        <f>IF('Membership Application List'!J717 = "Food/Litter Donation", 0, IF('Membership Application List'!J717 = "$15 Donation, Discord Verification", IF('Membership Application List'!N717 = TRUE, 15, 0)))</f>
        <v>0</v>
      </c>
      <c r="F488" s="426">
        <f>if('Membership Application List'!K717=TRUE, 5,0)</f>
        <v>0</v>
      </c>
      <c r="G488" s="426">
        <f t="shared" si="8"/>
        <v>0</v>
      </c>
      <c r="H488" s="427" t="str">
        <f>'Membership Application List'!L717</f>
        <v/>
      </c>
      <c r="I488" s="345"/>
      <c r="J488" s="441"/>
      <c r="K488" s="345"/>
      <c r="L488" s="478"/>
      <c r="M488" s="345"/>
      <c r="N488" s="345"/>
      <c r="O488" s="345"/>
      <c r="P488" s="414"/>
      <c r="Q488" s="414"/>
      <c r="R488" s="414"/>
      <c r="S488" s="445"/>
      <c r="T488" s="445"/>
      <c r="U488" s="445"/>
      <c r="V488" s="345"/>
      <c r="W488" s="441"/>
      <c r="X488" s="345"/>
      <c r="Y488" s="345"/>
      <c r="Z488" s="345"/>
      <c r="AA488" s="345"/>
      <c r="AB488" s="345"/>
      <c r="AC488" s="345"/>
      <c r="AD488" s="345"/>
      <c r="AE488" s="345"/>
      <c r="AF488" s="345"/>
      <c r="AG488" s="345"/>
      <c r="AH488" s="345"/>
      <c r="AI488" s="345"/>
      <c r="AJ488" s="345"/>
      <c r="AK488" s="345"/>
      <c r="AL488" s="345"/>
      <c r="AM488" s="345"/>
      <c r="AN488" s="345"/>
      <c r="AO488" s="345"/>
      <c r="AP488" s="345"/>
      <c r="AQ488" s="345"/>
      <c r="AR488" s="345"/>
      <c r="AS488" s="345"/>
    </row>
    <row r="489" ht="13.5" customHeight="1">
      <c r="A489" s="436" t="str">
        <f>'Membership Application List'!A718</f>
        <v/>
      </c>
      <c r="B489" s="437" t="str">
        <f t="shared" si="6"/>
        <v/>
      </c>
      <c r="C489" s="437" t="str">
        <f t="shared" si="7"/>
        <v/>
      </c>
      <c r="D489" s="438" t="str">
        <f>'Membership Application List'!E718</f>
        <v/>
      </c>
      <c r="E489" s="438" t="b">
        <f>IF('Membership Application List'!J718 = "Food/Litter Donation", 0, IF('Membership Application List'!J718 = "$15 Donation, Discord Verification", IF('Membership Application List'!N718 = TRUE, 15, 0)))</f>
        <v>0</v>
      </c>
      <c r="F489" s="438">
        <f>if('Membership Application List'!K718=TRUE, 5,0)</f>
        <v>0</v>
      </c>
      <c r="G489" s="438">
        <f t="shared" si="8"/>
        <v>0</v>
      </c>
      <c r="H489" s="439" t="str">
        <f>'Membership Application List'!L718</f>
        <v/>
      </c>
      <c r="I489" s="345"/>
      <c r="J489" s="441"/>
      <c r="K489" s="345"/>
      <c r="L489" s="478"/>
      <c r="M489" s="345"/>
      <c r="N489" s="345"/>
      <c r="O489" s="345"/>
      <c r="P489" s="414"/>
      <c r="Q489" s="414"/>
      <c r="R489" s="414"/>
      <c r="S489" s="445"/>
      <c r="T489" s="445"/>
      <c r="U489" s="445"/>
      <c r="V489" s="345"/>
      <c r="W489" s="441"/>
      <c r="X489" s="345"/>
      <c r="Y489" s="345"/>
      <c r="Z489" s="345"/>
      <c r="AA489" s="345"/>
      <c r="AB489" s="345"/>
      <c r="AC489" s="345"/>
      <c r="AD489" s="345"/>
      <c r="AE489" s="345"/>
      <c r="AF489" s="345"/>
      <c r="AG489" s="345"/>
      <c r="AH489" s="345"/>
      <c r="AI489" s="345"/>
      <c r="AJ489" s="345"/>
      <c r="AK489" s="345"/>
      <c r="AL489" s="345"/>
      <c r="AM489" s="345"/>
      <c r="AN489" s="345"/>
      <c r="AO489" s="345"/>
      <c r="AP489" s="345"/>
      <c r="AQ489" s="345"/>
      <c r="AR489" s="345"/>
      <c r="AS489" s="345"/>
    </row>
    <row r="490" ht="13.5" customHeight="1">
      <c r="A490" s="424" t="str">
        <f>'Membership Application List'!A719</f>
        <v/>
      </c>
      <c r="B490" s="443" t="str">
        <f t="shared" si="6"/>
        <v/>
      </c>
      <c r="C490" s="443" t="str">
        <f t="shared" si="7"/>
        <v/>
      </c>
      <c r="D490" s="426" t="str">
        <f>'Membership Application List'!E719</f>
        <v/>
      </c>
      <c r="E490" s="426" t="b">
        <f>IF('Membership Application List'!J719 = "Food/Litter Donation", 0, IF('Membership Application List'!J719 = "$15 Donation, Discord Verification", IF('Membership Application List'!N719 = TRUE, 15, 0)))</f>
        <v>0</v>
      </c>
      <c r="F490" s="426">
        <f>if('Membership Application List'!K719=TRUE, 5,0)</f>
        <v>0</v>
      </c>
      <c r="G490" s="426">
        <f t="shared" si="8"/>
        <v>0</v>
      </c>
      <c r="H490" s="427" t="str">
        <f>'Membership Application List'!L719</f>
        <v/>
      </c>
      <c r="I490" s="345"/>
      <c r="J490" s="441"/>
      <c r="K490" s="345"/>
      <c r="L490" s="478"/>
      <c r="M490" s="345"/>
      <c r="N490" s="345"/>
      <c r="O490" s="345"/>
      <c r="P490" s="414"/>
      <c r="Q490" s="414"/>
      <c r="R490" s="414"/>
      <c r="S490" s="445"/>
      <c r="T490" s="445"/>
      <c r="U490" s="445"/>
      <c r="V490" s="345"/>
      <c r="W490" s="441"/>
      <c r="X490" s="345"/>
      <c r="Y490" s="345"/>
      <c r="Z490" s="345"/>
      <c r="AA490" s="345"/>
      <c r="AB490" s="345"/>
      <c r="AC490" s="345"/>
      <c r="AD490" s="345"/>
      <c r="AE490" s="345"/>
      <c r="AF490" s="345"/>
      <c r="AG490" s="345"/>
      <c r="AH490" s="345"/>
      <c r="AI490" s="345"/>
      <c r="AJ490" s="345"/>
      <c r="AK490" s="345"/>
      <c r="AL490" s="345"/>
      <c r="AM490" s="345"/>
      <c r="AN490" s="345"/>
      <c r="AO490" s="345"/>
      <c r="AP490" s="345"/>
      <c r="AQ490" s="345"/>
      <c r="AR490" s="345"/>
      <c r="AS490" s="345"/>
    </row>
    <row r="491" ht="13.5" customHeight="1">
      <c r="A491" s="436" t="str">
        <f>'Membership Application List'!A720</f>
        <v/>
      </c>
      <c r="B491" s="437" t="str">
        <f t="shared" si="6"/>
        <v/>
      </c>
      <c r="C491" s="437" t="str">
        <f t="shared" si="7"/>
        <v/>
      </c>
      <c r="D491" s="438" t="str">
        <f>'Membership Application List'!E720</f>
        <v/>
      </c>
      <c r="E491" s="438" t="b">
        <f>IF('Membership Application List'!J720 = "Food/Litter Donation", 0, IF('Membership Application List'!J720 = "$15 Donation, Discord Verification", IF('Membership Application List'!N720 = TRUE, 15, 0)))</f>
        <v>0</v>
      </c>
      <c r="F491" s="438">
        <f>if('Membership Application List'!K720=TRUE, 5,0)</f>
        <v>0</v>
      </c>
      <c r="G491" s="438">
        <f t="shared" si="8"/>
        <v>0</v>
      </c>
      <c r="H491" s="439" t="str">
        <f>'Membership Application List'!L720</f>
        <v/>
      </c>
      <c r="I491" s="345"/>
      <c r="J491" s="441"/>
      <c r="K491" s="345"/>
      <c r="L491" s="478"/>
      <c r="M491" s="345"/>
      <c r="N491" s="345"/>
      <c r="O491" s="345"/>
      <c r="P491" s="414"/>
      <c r="Q491" s="414"/>
      <c r="R491" s="414"/>
      <c r="S491" s="445"/>
      <c r="T491" s="445"/>
      <c r="U491" s="445"/>
      <c r="V491" s="345"/>
      <c r="W491" s="441"/>
      <c r="X491" s="345"/>
      <c r="Y491" s="345"/>
      <c r="Z491" s="345"/>
      <c r="AA491" s="345"/>
      <c r="AB491" s="345"/>
      <c r="AC491" s="345"/>
      <c r="AD491" s="345"/>
      <c r="AE491" s="345"/>
      <c r="AF491" s="345"/>
      <c r="AG491" s="345"/>
      <c r="AH491" s="345"/>
      <c r="AI491" s="345"/>
      <c r="AJ491" s="345"/>
      <c r="AK491" s="345"/>
      <c r="AL491" s="345"/>
      <c r="AM491" s="345"/>
      <c r="AN491" s="345"/>
      <c r="AO491" s="345"/>
      <c r="AP491" s="345"/>
      <c r="AQ491" s="345"/>
      <c r="AR491" s="345"/>
      <c r="AS491" s="345"/>
    </row>
    <row r="492" ht="13.5" customHeight="1">
      <c r="A492" s="424" t="str">
        <f>'Membership Application List'!A721</f>
        <v/>
      </c>
      <c r="B492" s="443" t="str">
        <f t="shared" si="6"/>
        <v/>
      </c>
      <c r="C492" s="443" t="str">
        <f t="shared" si="7"/>
        <v/>
      </c>
      <c r="D492" s="426" t="str">
        <f>'Membership Application List'!E721</f>
        <v/>
      </c>
      <c r="E492" s="426" t="b">
        <f>IF('Membership Application List'!J721 = "Food/Litter Donation", 0, IF('Membership Application List'!J721 = "$15 Donation, Discord Verification", IF('Membership Application List'!N721 = TRUE, 15, 0)))</f>
        <v>0</v>
      </c>
      <c r="F492" s="426">
        <f>if('Membership Application List'!K721=TRUE, 5,0)</f>
        <v>0</v>
      </c>
      <c r="G492" s="426">
        <f t="shared" si="8"/>
        <v>0</v>
      </c>
      <c r="H492" s="427" t="str">
        <f>'Membership Application List'!L721</f>
        <v/>
      </c>
      <c r="I492" s="345"/>
      <c r="J492" s="441"/>
      <c r="K492" s="345"/>
      <c r="L492" s="478"/>
      <c r="M492" s="345"/>
      <c r="N492" s="345"/>
      <c r="O492" s="345"/>
      <c r="P492" s="414"/>
      <c r="Q492" s="414"/>
      <c r="R492" s="414"/>
      <c r="S492" s="445"/>
      <c r="T492" s="445"/>
      <c r="U492" s="445"/>
      <c r="V492" s="345"/>
      <c r="W492" s="441"/>
      <c r="X492" s="345"/>
      <c r="Y492" s="345"/>
      <c r="Z492" s="345"/>
      <c r="AA492" s="345"/>
      <c r="AB492" s="345"/>
      <c r="AC492" s="345"/>
      <c r="AD492" s="345"/>
      <c r="AE492" s="345"/>
      <c r="AF492" s="345"/>
      <c r="AG492" s="345"/>
      <c r="AH492" s="345"/>
      <c r="AI492" s="345"/>
      <c r="AJ492" s="345"/>
      <c r="AK492" s="345"/>
      <c r="AL492" s="345"/>
      <c r="AM492" s="345"/>
      <c r="AN492" s="345"/>
      <c r="AO492" s="345"/>
      <c r="AP492" s="345"/>
      <c r="AQ492" s="345"/>
      <c r="AR492" s="345"/>
      <c r="AS492" s="345"/>
    </row>
    <row r="493" ht="13.5" customHeight="1">
      <c r="A493" s="436" t="str">
        <f>'Membership Application List'!A722</f>
        <v/>
      </c>
      <c r="B493" s="437" t="str">
        <f t="shared" si="6"/>
        <v/>
      </c>
      <c r="C493" s="437" t="str">
        <f t="shared" si="7"/>
        <v/>
      </c>
      <c r="D493" s="438" t="str">
        <f>'Membership Application List'!E722</f>
        <v/>
      </c>
      <c r="E493" s="438" t="b">
        <f>IF('Membership Application List'!J722 = "Food/Litter Donation", 0, IF('Membership Application List'!J722 = "$15 Donation, Discord Verification", IF('Membership Application List'!N722 = TRUE, 15, 0)))</f>
        <v>0</v>
      </c>
      <c r="F493" s="438">
        <f>if('Membership Application List'!K722=TRUE, 5,0)</f>
        <v>0</v>
      </c>
      <c r="G493" s="438">
        <f t="shared" si="8"/>
        <v>0</v>
      </c>
      <c r="H493" s="439" t="str">
        <f>'Membership Application List'!L722</f>
        <v/>
      </c>
      <c r="I493" s="345"/>
      <c r="J493" s="441"/>
      <c r="K493" s="345"/>
      <c r="L493" s="478"/>
      <c r="M493" s="345"/>
      <c r="N493" s="345"/>
      <c r="O493" s="345"/>
      <c r="P493" s="414"/>
      <c r="Q493" s="414"/>
      <c r="R493" s="414"/>
      <c r="S493" s="445"/>
      <c r="T493" s="445"/>
      <c r="U493" s="445"/>
      <c r="V493" s="345"/>
      <c r="W493" s="441"/>
      <c r="X493" s="345"/>
      <c r="Y493" s="345"/>
      <c r="Z493" s="345"/>
      <c r="AA493" s="345"/>
      <c r="AB493" s="345"/>
      <c r="AC493" s="345"/>
      <c r="AD493" s="345"/>
      <c r="AE493" s="345"/>
      <c r="AF493" s="345"/>
      <c r="AG493" s="345"/>
      <c r="AH493" s="345"/>
      <c r="AI493" s="345"/>
      <c r="AJ493" s="345"/>
      <c r="AK493" s="345"/>
      <c r="AL493" s="345"/>
      <c r="AM493" s="345"/>
      <c r="AN493" s="345"/>
      <c r="AO493" s="345"/>
      <c r="AP493" s="345"/>
      <c r="AQ493" s="345"/>
      <c r="AR493" s="345"/>
      <c r="AS493" s="345"/>
    </row>
    <row r="494" ht="13.5" customHeight="1">
      <c r="A494" s="424" t="str">
        <f>'Membership Application List'!A723</f>
        <v/>
      </c>
      <c r="B494" s="443" t="str">
        <f t="shared" si="6"/>
        <v/>
      </c>
      <c r="C494" s="443" t="str">
        <f t="shared" si="7"/>
        <v/>
      </c>
      <c r="D494" s="426" t="str">
        <f>'Membership Application List'!E723</f>
        <v/>
      </c>
      <c r="E494" s="426" t="b">
        <f>IF('Membership Application List'!J723 = "Food/Litter Donation", 0, IF('Membership Application List'!J723 = "$15 Donation, Discord Verification", IF('Membership Application List'!N723 = TRUE, 15, 0)))</f>
        <v>0</v>
      </c>
      <c r="F494" s="426">
        <f>if('Membership Application List'!K723=TRUE, 5,0)</f>
        <v>0</v>
      </c>
      <c r="G494" s="426">
        <f t="shared" si="8"/>
        <v>0</v>
      </c>
      <c r="H494" s="427" t="str">
        <f>'Membership Application List'!L723</f>
        <v/>
      </c>
      <c r="I494" s="345"/>
      <c r="J494" s="441"/>
      <c r="K494" s="345"/>
      <c r="L494" s="478"/>
      <c r="M494" s="345"/>
      <c r="N494" s="345"/>
      <c r="O494" s="345"/>
      <c r="P494" s="414"/>
      <c r="Q494" s="414"/>
      <c r="R494" s="414"/>
      <c r="S494" s="445"/>
      <c r="T494" s="445"/>
      <c r="U494" s="445"/>
      <c r="V494" s="345"/>
      <c r="W494" s="441"/>
      <c r="X494" s="345"/>
      <c r="Y494" s="345"/>
      <c r="Z494" s="345"/>
      <c r="AA494" s="345"/>
      <c r="AB494" s="345"/>
      <c r="AC494" s="345"/>
      <c r="AD494" s="345"/>
      <c r="AE494" s="345"/>
      <c r="AF494" s="345"/>
      <c r="AG494" s="345"/>
      <c r="AH494" s="345"/>
      <c r="AI494" s="345"/>
      <c r="AJ494" s="345"/>
      <c r="AK494" s="345"/>
      <c r="AL494" s="345"/>
      <c r="AM494" s="345"/>
      <c r="AN494" s="345"/>
      <c r="AO494" s="345"/>
      <c r="AP494" s="345"/>
      <c r="AQ494" s="345"/>
      <c r="AR494" s="345"/>
      <c r="AS494" s="345"/>
    </row>
    <row r="495" ht="13.5" customHeight="1">
      <c r="A495" s="436" t="str">
        <f>'Membership Application List'!A724</f>
        <v/>
      </c>
      <c r="B495" s="437" t="str">
        <f t="shared" si="6"/>
        <v/>
      </c>
      <c r="C495" s="437" t="str">
        <f t="shared" si="7"/>
        <v/>
      </c>
      <c r="D495" s="438" t="str">
        <f>'Membership Application List'!E724</f>
        <v/>
      </c>
      <c r="E495" s="438" t="b">
        <f>IF('Membership Application List'!J724 = "Food/Litter Donation", 0, IF('Membership Application List'!J724 = "$15 Donation, Discord Verification", IF('Membership Application List'!N724 = TRUE, 15, 0)))</f>
        <v>0</v>
      </c>
      <c r="F495" s="438">
        <f>if('Membership Application List'!K724=TRUE, 5,0)</f>
        <v>0</v>
      </c>
      <c r="G495" s="438">
        <f t="shared" si="8"/>
        <v>0</v>
      </c>
      <c r="H495" s="439" t="str">
        <f>'Membership Application List'!L724</f>
        <v/>
      </c>
      <c r="I495" s="345"/>
      <c r="J495" s="441"/>
      <c r="K495" s="345"/>
      <c r="L495" s="478"/>
      <c r="M495" s="345"/>
      <c r="N495" s="345"/>
      <c r="O495" s="345"/>
      <c r="P495" s="414"/>
      <c r="Q495" s="414"/>
      <c r="R495" s="414"/>
      <c r="S495" s="445"/>
      <c r="T495" s="445"/>
      <c r="U495" s="445"/>
      <c r="V495" s="345"/>
      <c r="W495" s="441"/>
      <c r="X495" s="345"/>
      <c r="Y495" s="345"/>
      <c r="Z495" s="345"/>
      <c r="AA495" s="345"/>
      <c r="AB495" s="345"/>
      <c r="AC495" s="345"/>
      <c r="AD495" s="345"/>
      <c r="AE495" s="345"/>
      <c r="AF495" s="345"/>
      <c r="AG495" s="345"/>
      <c r="AH495" s="345"/>
      <c r="AI495" s="345"/>
      <c r="AJ495" s="345"/>
      <c r="AK495" s="345"/>
      <c r="AL495" s="345"/>
      <c r="AM495" s="345"/>
      <c r="AN495" s="345"/>
      <c r="AO495" s="345"/>
      <c r="AP495" s="345"/>
      <c r="AQ495" s="345"/>
      <c r="AR495" s="345"/>
      <c r="AS495" s="345"/>
    </row>
    <row r="496" ht="13.5" customHeight="1">
      <c r="A496" s="424" t="str">
        <f>'Membership Application List'!A725</f>
        <v/>
      </c>
      <c r="B496" s="443" t="str">
        <f t="shared" si="6"/>
        <v/>
      </c>
      <c r="C496" s="443" t="str">
        <f t="shared" si="7"/>
        <v/>
      </c>
      <c r="D496" s="426" t="str">
        <f>'Membership Application List'!E725</f>
        <v/>
      </c>
      <c r="E496" s="426" t="b">
        <f>IF('Membership Application List'!J725 = "Food/Litter Donation", 0, IF('Membership Application List'!J725 = "$15 Donation, Discord Verification", IF('Membership Application List'!N725 = TRUE, 15, 0)))</f>
        <v>0</v>
      </c>
      <c r="F496" s="426">
        <f>if('Membership Application List'!K725=TRUE, 5,0)</f>
        <v>0</v>
      </c>
      <c r="G496" s="426">
        <f t="shared" si="8"/>
        <v>0</v>
      </c>
      <c r="H496" s="427" t="str">
        <f>'Membership Application List'!L725</f>
        <v/>
      </c>
      <c r="I496" s="345"/>
      <c r="J496" s="441"/>
      <c r="K496" s="345"/>
      <c r="L496" s="478"/>
      <c r="M496" s="345"/>
      <c r="N496" s="345"/>
      <c r="O496" s="345"/>
      <c r="P496" s="414"/>
      <c r="Q496" s="414"/>
      <c r="R496" s="414"/>
      <c r="S496" s="445"/>
      <c r="T496" s="445"/>
      <c r="U496" s="445"/>
      <c r="V496" s="345"/>
      <c r="W496" s="441"/>
      <c r="X496" s="345"/>
      <c r="Y496" s="345"/>
      <c r="Z496" s="345"/>
      <c r="AA496" s="345"/>
      <c r="AB496" s="345"/>
      <c r="AC496" s="345"/>
      <c r="AD496" s="345"/>
      <c r="AE496" s="345"/>
      <c r="AF496" s="345"/>
      <c r="AG496" s="345"/>
      <c r="AH496" s="345"/>
      <c r="AI496" s="345"/>
      <c r="AJ496" s="345"/>
      <c r="AK496" s="345"/>
      <c r="AL496" s="345"/>
      <c r="AM496" s="345"/>
      <c r="AN496" s="345"/>
      <c r="AO496" s="345"/>
      <c r="AP496" s="345"/>
      <c r="AQ496" s="345"/>
      <c r="AR496" s="345"/>
      <c r="AS496" s="345"/>
    </row>
    <row r="497" ht="13.5" customHeight="1">
      <c r="A497" s="436" t="str">
        <f>'Membership Application List'!A726</f>
        <v/>
      </c>
      <c r="B497" s="437" t="str">
        <f t="shared" si="6"/>
        <v/>
      </c>
      <c r="C497" s="437" t="str">
        <f t="shared" si="7"/>
        <v/>
      </c>
      <c r="D497" s="438" t="str">
        <f>'Membership Application List'!E726</f>
        <v/>
      </c>
      <c r="E497" s="438" t="b">
        <f>IF('Membership Application List'!J726 = "Food/Litter Donation", 0, IF('Membership Application List'!J726 = "$15 Donation, Discord Verification", IF('Membership Application List'!N726 = TRUE, 15, 0)))</f>
        <v>0</v>
      </c>
      <c r="F497" s="438">
        <f>if('Membership Application List'!K726=TRUE, 5,0)</f>
        <v>0</v>
      </c>
      <c r="G497" s="438">
        <f t="shared" si="8"/>
        <v>0</v>
      </c>
      <c r="H497" s="439" t="str">
        <f>'Membership Application List'!L726</f>
        <v/>
      </c>
      <c r="I497" s="345"/>
      <c r="J497" s="441"/>
      <c r="K497" s="345"/>
      <c r="L497" s="478"/>
      <c r="M497" s="345"/>
      <c r="N497" s="345"/>
      <c r="O497" s="345"/>
      <c r="P497" s="414"/>
      <c r="Q497" s="414"/>
      <c r="R497" s="414"/>
      <c r="S497" s="445"/>
      <c r="T497" s="445"/>
      <c r="U497" s="445"/>
      <c r="V497" s="345"/>
      <c r="W497" s="441"/>
      <c r="X497" s="345"/>
      <c r="Y497" s="345"/>
      <c r="Z497" s="345"/>
      <c r="AA497" s="345"/>
      <c r="AB497" s="345"/>
      <c r="AC497" s="345"/>
      <c r="AD497" s="345"/>
      <c r="AE497" s="345"/>
      <c r="AF497" s="345"/>
      <c r="AG497" s="345"/>
      <c r="AH497" s="345"/>
      <c r="AI497" s="345"/>
      <c r="AJ497" s="345"/>
      <c r="AK497" s="345"/>
      <c r="AL497" s="345"/>
      <c r="AM497" s="345"/>
      <c r="AN497" s="345"/>
      <c r="AO497" s="345"/>
      <c r="AP497" s="345"/>
      <c r="AQ497" s="345"/>
      <c r="AR497" s="345"/>
      <c r="AS497" s="345"/>
    </row>
    <row r="498" ht="13.5" customHeight="1">
      <c r="A498" s="424" t="str">
        <f>'Membership Application List'!A727</f>
        <v/>
      </c>
      <c r="B498" s="443" t="str">
        <f t="shared" si="6"/>
        <v/>
      </c>
      <c r="C498" s="443" t="str">
        <f t="shared" si="7"/>
        <v/>
      </c>
      <c r="D498" s="426" t="str">
        <f>'Membership Application List'!E727</f>
        <v/>
      </c>
      <c r="E498" s="426" t="b">
        <f>IF('Membership Application List'!J727 = "Food/Litter Donation", 0, IF('Membership Application List'!J727 = "$15 Donation, Discord Verification", IF('Membership Application List'!N727 = TRUE, 15, 0)))</f>
        <v>0</v>
      </c>
      <c r="F498" s="426">
        <f>if('Membership Application List'!K727=TRUE, 5,0)</f>
        <v>0</v>
      </c>
      <c r="G498" s="426">
        <f t="shared" si="8"/>
        <v>0</v>
      </c>
      <c r="H498" s="427" t="str">
        <f>'Membership Application List'!L727</f>
        <v/>
      </c>
      <c r="I498" s="345"/>
      <c r="J498" s="441"/>
      <c r="K498" s="345"/>
      <c r="L498" s="478"/>
      <c r="M498" s="345"/>
      <c r="N498" s="345"/>
      <c r="O498" s="345"/>
      <c r="P498" s="414"/>
      <c r="Q498" s="414"/>
      <c r="R498" s="414"/>
      <c r="S498" s="445"/>
      <c r="T498" s="445"/>
      <c r="U498" s="445"/>
      <c r="V498" s="345"/>
      <c r="W498" s="441"/>
      <c r="X498" s="345"/>
      <c r="Y498" s="345"/>
      <c r="Z498" s="345"/>
      <c r="AA498" s="345"/>
      <c r="AB498" s="345"/>
      <c r="AC498" s="345"/>
      <c r="AD498" s="345"/>
      <c r="AE498" s="345"/>
      <c r="AF498" s="345"/>
      <c r="AG498" s="345"/>
      <c r="AH498" s="345"/>
      <c r="AI498" s="345"/>
      <c r="AJ498" s="345"/>
      <c r="AK498" s="345"/>
      <c r="AL498" s="345"/>
      <c r="AM498" s="345"/>
      <c r="AN498" s="345"/>
      <c r="AO498" s="345"/>
      <c r="AP498" s="345"/>
      <c r="AQ498" s="345"/>
      <c r="AR498" s="345"/>
      <c r="AS498" s="345"/>
    </row>
    <row r="499" ht="13.5" customHeight="1">
      <c r="A499" s="436" t="str">
        <f>'Membership Application List'!A728</f>
        <v/>
      </c>
      <c r="B499" s="437" t="str">
        <f t="shared" si="6"/>
        <v/>
      </c>
      <c r="C499" s="437" t="str">
        <f t="shared" si="7"/>
        <v/>
      </c>
      <c r="D499" s="438" t="str">
        <f>'Membership Application List'!E728</f>
        <v/>
      </c>
      <c r="E499" s="438" t="b">
        <f>IF('Membership Application List'!J728 = "Food/Litter Donation", 0, IF('Membership Application List'!J728 = "$15 Donation, Discord Verification", IF('Membership Application List'!N728 = TRUE, 15, 0)))</f>
        <v>0</v>
      </c>
      <c r="F499" s="438">
        <f>if('Membership Application List'!K728=TRUE, 5,0)</f>
        <v>0</v>
      </c>
      <c r="G499" s="438">
        <f t="shared" si="8"/>
        <v>0</v>
      </c>
      <c r="H499" s="439" t="str">
        <f>'Membership Application List'!L728</f>
        <v/>
      </c>
      <c r="I499" s="345"/>
      <c r="J499" s="441"/>
      <c r="K499" s="345"/>
      <c r="L499" s="478"/>
      <c r="M499" s="345"/>
      <c r="N499" s="345"/>
      <c r="O499" s="345"/>
      <c r="P499" s="414"/>
      <c r="Q499" s="414"/>
      <c r="R499" s="414"/>
      <c r="S499" s="445"/>
      <c r="T499" s="445"/>
      <c r="U499" s="445"/>
      <c r="V499" s="345"/>
      <c r="W499" s="441"/>
      <c r="X499" s="345"/>
      <c r="Y499" s="345"/>
      <c r="Z499" s="345"/>
      <c r="AA499" s="345"/>
      <c r="AB499" s="345"/>
      <c r="AC499" s="345"/>
      <c r="AD499" s="345"/>
      <c r="AE499" s="345"/>
      <c r="AF499" s="345"/>
      <c r="AG499" s="345"/>
      <c r="AH499" s="345"/>
      <c r="AI499" s="345"/>
      <c r="AJ499" s="345"/>
      <c r="AK499" s="345"/>
      <c r="AL499" s="345"/>
      <c r="AM499" s="345"/>
      <c r="AN499" s="345"/>
      <c r="AO499" s="345"/>
      <c r="AP499" s="345"/>
      <c r="AQ499" s="345"/>
      <c r="AR499" s="345"/>
      <c r="AS499" s="345"/>
    </row>
    <row r="500" ht="13.5" customHeight="1">
      <c r="A500" s="424" t="str">
        <f>'Membership Application List'!A729</f>
        <v/>
      </c>
      <c r="B500" s="443" t="str">
        <f t="shared" si="6"/>
        <v/>
      </c>
      <c r="C500" s="443" t="str">
        <f t="shared" si="7"/>
        <v/>
      </c>
      <c r="D500" s="426" t="str">
        <f>'Membership Application List'!E729</f>
        <v/>
      </c>
      <c r="E500" s="426" t="b">
        <f>IF('Membership Application List'!J729 = "Food/Litter Donation", 0, IF('Membership Application List'!J729 = "$15 Donation, Discord Verification", IF('Membership Application List'!N729 = TRUE, 15, 0)))</f>
        <v>0</v>
      </c>
      <c r="F500" s="426">
        <f>if('Membership Application List'!K729=TRUE, 5,0)</f>
        <v>0</v>
      </c>
      <c r="G500" s="426">
        <f t="shared" si="8"/>
        <v>0</v>
      </c>
      <c r="H500" s="427" t="str">
        <f>'Membership Application List'!L729</f>
        <v/>
      </c>
      <c r="I500" s="345"/>
      <c r="J500" s="441"/>
      <c r="K500" s="345"/>
      <c r="L500" s="478"/>
      <c r="M500" s="345"/>
      <c r="N500" s="345"/>
      <c r="O500" s="345"/>
      <c r="P500" s="414"/>
      <c r="Q500" s="414"/>
      <c r="R500" s="414"/>
      <c r="S500" s="445"/>
      <c r="T500" s="445"/>
      <c r="U500" s="445"/>
      <c r="V500" s="345"/>
      <c r="W500" s="441"/>
      <c r="X500" s="345"/>
      <c r="Y500" s="345"/>
      <c r="Z500" s="345"/>
      <c r="AA500" s="345"/>
      <c r="AB500" s="345"/>
      <c r="AC500" s="345"/>
      <c r="AD500" s="345"/>
      <c r="AE500" s="345"/>
      <c r="AF500" s="345"/>
      <c r="AG500" s="345"/>
      <c r="AH500" s="345"/>
      <c r="AI500" s="345"/>
      <c r="AJ500" s="345"/>
      <c r="AK500" s="345"/>
      <c r="AL500" s="345"/>
      <c r="AM500" s="345"/>
      <c r="AN500" s="345"/>
      <c r="AO500" s="345"/>
      <c r="AP500" s="345"/>
      <c r="AQ500" s="345"/>
      <c r="AR500" s="345"/>
      <c r="AS500" s="345"/>
    </row>
    <row r="501" ht="13.5" customHeight="1">
      <c r="A501" s="436" t="str">
        <f>'Membership Application List'!A730</f>
        <v/>
      </c>
      <c r="B501" s="437" t="str">
        <f t="shared" si="6"/>
        <v/>
      </c>
      <c r="C501" s="437" t="str">
        <f t="shared" si="7"/>
        <v/>
      </c>
      <c r="D501" s="438" t="str">
        <f>'Membership Application List'!E730</f>
        <v/>
      </c>
      <c r="E501" s="438" t="b">
        <f>IF('Membership Application List'!J730 = "Food/Litter Donation", 0, IF('Membership Application List'!J730 = "$15 Donation, Discord Verification", IF('Membership Application List'!N730 = TRUE, 15, 0)))</f>
        <v>0</v>
      </c>
      <c r="F501" s="438">
        <f>if('Membership Application List'!K730=TRUE, 5,0)</f>
        <v>0</v>
      </c>
      <c r="G501" s="438">
        <f t="shared" si="8"/>
        <v>0</v>
      </c>
      <c r="H501" s="439" t="str">
        <f>'Membership Application List'!L730</f>
        <v/>
      </c>
      <c r="I501" s="345"/>
      <c r="J501" s="441"/>
      <c r="K501" s="345"/>
      <c r="L501" s="478"/>
      <c r="M501" s="345"/>
      <c r="N501" s="345"/>
      <c r="O501" s="345"/>
      <c r="P501" s="414"/>
      <c r="Q501" s="414"/>
      <c r="R501" s="414"/>
      <c r="S501" s="445"/>
      <c r="T501" s="445"/>
      <c r="U501" s="445"/>
      <c r="V501" s="345"/>
      <c r="W501" s="441"/>
      <c r="X501" s="345"/>
      <c r="Y501" s="345"/>
      <c r="Z501" s="345"/>
      <c r="AA501" s="345"/>
      <c r="AB501" s="345"/>
      <c r="AC501" s="345"/>
      <c r="AD501" s="345"/>
      <c r="AE501" s="345"/>
      <c r="AF501" s="345"/>
      <c r="AG501" s="345"/>
      <c r="AH501" s="345"/>
      <c r="AI501" s="345"/>
      <c r="AJ501" s="345"/>
      <c r="AK501" s="345"/>
      <c r="AL501" s="345"/>
      <c r="AM501" s="345"/>
      <c r="AN501" s="345"/>
      <c r="AO501" s="345"/>
      <c r="AP501" s="345"/>
      <c r="AQ501" s="345"/>
      <c r="AR501" s="345"/>
      <c r="AS501" s="345"/>
    </row>
    <row r="502" ht="13.5" customHeight="1">
      <c r="A502" s="424" t="str">
        <f>'Membership Application List'!A731</f>
        <v/>
      </c>
      <c r="B502" s="443" t="str">
        <f t="shared" si="6"/>
        <v/>
      </c>
      <c r="C502" s="443" t="str">
        <f t="shared" si="7"/>
        <v/>
      </c>
      <c r="D502" s="426" t="str">
        <f>'Membership Application List'!E731</f>
        <v/>
      </c>
      <c r="E502" s="426" t="b">
        <f>IF('Membership Application List'!J731 = "Food/Litter Donation", 0, IF('Membership Application List'!J731 = "$15 Donation, Discord Verification", IF('Membership Application List'!N731 = TRUE, 15, 0)))</f>
        <v>0</v>
      </c>
      <c r="F502" s="426">
        <f>if('Membership Application List'!K731=TRUE, 5,0)</f>
        <v>0</v>
      </c>
      <c r="G502" s="426">
        <f t="shared" si="8"/>
        <v>0</v>
      </c>
      <c r="H502" s="427" t="str">
        <f>'Membership Application List'!L731</f>
        <v/>
      </c>
      <c r="I502" s="345"/>
      <c r="J502" s="441"/>
      <c r="K502" s="345"/>
      <c r="L502" s="478"/>
      <c r="M502" s="345"/>
      <c r="N502" s="345"/>
      <c r="O502" s="345"/>
      <c r="P502" s="414"/>
      <c r="Q502" s="414"/>
      <c r="R502" s="414"/>
      <c r="S502" s="445"/>
      <c r="T502" s="445"/>
      <c r="U502" s="445"/>
      <c r="V502" s="345"/>
      <c r="W502" s="441"/>
      <c r="X502" s="345"/>
      <c r="Y502" s="345"/>
      <c r="Z502" s="345"/>
      <c r="AA502" s="345"/>
      <c r="AB502" s="345"/>
      <c r="AC502" s="345"/>
      <c r="AD502" s="345"/>
      <c r="AE502" s="345"/>
      <c r="AF502" s="345"/>
      <c r="AG502" s="345"/>
      <c r="AH502" s="345"/>
      <c r="AI502" s="345"/>
      <c r="AJ502" s="345"/>
      <c r="AK502" s="345"/>
      <c r="AL502" s="345"/>
      <c r="AM502" s="345"/>
      <c r="AN502" s="345"/>
      <c r="AO502" s="345"/>
      <c r="AP502" s="345"/>
      <c r="AQ502" s="345"/>
      <c r="AR502" s="345"/>
      <c r="AS502" s="345"/>
    </row>
    <row r="503" ht="13.5" customHeight="1">
      <c r="A503" s="436" t="str">
        <f>'Membership Application List'!A732</f>
        <v/>
      </c>
      <c r="B503" s="437" t="str">
        <f t="shared" si="6"/>
        <v/>
      </c>
      <c r="C503" s="437" t="str">
        <f t="shared" si="7"/>
        <v/>
      </c>
      <c r="D503" s="438" t="str">
        <f>'Membership Application List'!E732</f>
        <v/>
      </c>
      <c r="E503" s="438" t="str">
        <f>IF('Membership Application List'!J732 = "Food/Litter Donation", 0, IF('Membership Application List'!J732 = "$15 Donation, Discord Verification", IF('Membership Application List'!N732 = TRUE, 15, 0)))</f>
        <v>#N/A</v>
      </c>
      <c r="F503" s="438">
        <f>if('Membership Application List'!K732=TRUE, 5,0)</f>
        <v>0</v>
      </c>
      <c r="G503" s="438" t="str">
        <f t="shared" si="8"/>
        <v>#N/A</v>
      </c>
      <c r="H503" s="439" t="str">
        <f>'Membership Application List'!L732</f>
        <v/>
      </c>
      <c r="I503" s="345"/>
      <c r="J503" s="441"/>
      <c r="K503" s="345"/>
      <c r="L503" s="478"/>
      <c r="M503" s="345"/>
      <c r="N503" s="345"/>
      <c r="O503" s="345"/>
      <c r="P503" s="414"/>
      <c r="Q503" s="414"/>
      <c r="R503" s="414"/>
      <c r="S503" s="445"/>
      <c r="T503" s="445"/>
      <c r="U503" s="445"/>
      <c r="V503" s="345"/>
      <c r="W503" s="441"/>
      <c r="X503" s="345"/>
      <c r="Y503" s="345"/>
      <c r="Z503" s="345"/>
      <c r="AA503" s="345"/>
      <c r="AB503" s="345"/>
      <c r="AC503" s="345"/>
      <c r="AD503" s="345"/>
      <c r="AE503" s="345"/>
      <c r="AF503" s="345"/>
      <c r="AG503" s="345"/>
      <c r="AH503" s="345"/>
      <c r="AI503" s="345"/>
      <c r="AJ503" s="345"/>
      <c r="AK503" s="345"/>
      <c r="AL503" s="345"/>
      <c r="AM503" s="345"/>
      <c r="AN503" s="345"/>
      <c r="AO503" s="345"/>
      <c r="AP503" s="345"/>
      <c r="AQ503" s="345"/>
      <c r="AR503" s="345"/>
      <c r="AS503" s="345"/>
    </row>
    <row r="504" ht="13.5" customHeight="1">
      <c r="A504" s="424" t="str">
        <f>'Membership Application List'!A733</f>
        <v/>
      </c>
      <c r="B504" s="443" t="str">
        <f t="shared" si="6"/>
        <v/>
      </c>
      <c r="C504" s="443" t="str">
        <f t="shared" si="7"/>
        <v/>
      </c>
      <c r="D504" s="426" t="str">
        <f>'Membership Application List'!E733</f>
        <v/>
      </c>
      <c r="E504" s="426" t="str">
        <f>IF('Membership Application List'!J733 = "Food/Litter Donation", 0, IF('Membership Application List'!J733 = "$15 Donation, Discord Verification", IF('Membership Application List'!N733 = TRUE, 15, 0)))</f>
        <v>#N/A</v>
      </c>
      <c r="F504" s="426">
        <f>if('Membership Application List'!K733=TRUE, 5,0)</f>
        <v>0</v>
      </c>
      <c r="G504" s="426" t="str">
        <f t="shared" si="8"/>
        <v>#N/A</v>
      </c>
      <c r="H504" s="427" t="str">
        <f>'Membership Application List'!L733</f>
        <v/>
      </c>
      <c r="I504" s="345"/>
      <c r="J504" s="441"/>
      <c r="K504" s="345"/>
      <c r="L504" s="478"/>
      <c r="M504" s="345"/>
      <c r="N504" s="345"/>
      <c r="O504" s="345"/>
      <c r="P504" s="414"/>
      <c r="Q504" s="414"/>
      <c r="R504" s="414"/>
      <c r="S504" s="445"/>
      <c r="T504" s="445"/>
      <c r="U504" s="445"/>
      <c r="V504" s="345"/>
      <c r="W504" s="441"/>
      <c r="X504" s="345"/>
      <c r="Y504" s="345"/>
      <c r="Z504" s="345"/>
      <c r="AA504" s="345"/>
      <c r="AB504" s="345"/>
      <c r="AC504" s="345"/>
      <c r="AD504" s="345"/>
      <c r="AE504" s="345"/>
      <c r="AF504" s="345"/>
      <c r="AG504" s="345"/>
      <c r="AH504" s="345"/>
      <c r="AI504" s="345"/>
      <c r="AJ504" s="345"/>
      <c r="AK504" s="345"/>
      <c r="AL504" s="345"/>
      <c r="AM504" s="345"/>
      <c r="AN504" s="345"/>
      <c r="AO504" s="345"/>
      <c r="AP504" s="345"/>
      <c r="AQ504" s="345"/>
      <c r="AR504" s="345"/>
      <c r="AS504" s="345"/>
    </row>
    <row r="505" ht="13.5" customHeight="1">
      <c r="A505" s="436" t="str">
        <f>'Membership Application List'!A734</f>
        <v/>
      </c>
      <c r="B505" s="437" t="str">
        <f t="shared" si="6"/>
        <v/>
      </c>
      <c r="C505" s="437" t="str">
        <f t="shared" si="7"/>
        <v/>
      </c>
      <c r="D505" s="438" t="str">
        <f>'Membership Application List'!E734</f>
        <v/>
      </c>
      <c r="E505" s="438" t="str">
        <f>IF('Membership Application List'!J734 = "Food/Litter Donation", 0, IF('Membership Application List'!J734 = "$15 Donation, Discord Verification", IF('Membership Application List'!N734 = TRUE, 15, 0)))</f>
        <v>#N/A</v>
      </c>
      <c r="F505" s="438">
        <f>if('Membership Application List'!K734=TRUE, 5,0)</f>
        <v>0</v>
      </c>
      <c r="G505" s="438" t="str">
        <f t="shared" si="8"/>
        <v>#N/A</v>
      </c>
      <c r="H505" s="439" t="str">
        <f>'Membership Application List'!L734</f>
        <v/>
      </c>
      <c r="I505" s="345"/>
      <c r="J505" s="441"/>
      <c r="K505" s="345"/>
      <c r="L505" s="478"/>
      <c r="M505" s="345"/>
      <c r="N505" s="345"/>
      <c r="O505" s="345"/>
      <c r="P505" s="414"/>
      <c r="Q505" s="414"/>
      <c r="R505" s="414"/>
      <c r="S505" s="445"/>
      <c r="T505" s="445"/>
      <c r="U505" s="445"/>
      <c r="V505" s="345"/>
      <c r="W505" s="441"/>
      <c r="X505" s="345"/>
      <c r="Y505" s="345"/>
      <c r="Z505" s="345"/>
      <c r="AA505" s="345"/>
      <c r="AB505" s="345"/>
      <c r="AC505" s="345"/>
      <c r="AD505" s="345"/>
      <c r="AE505" s="345"/>
      <c r="AF505" s="345"/>
      <c r="AG505" s="345"/>
      <c r="AH505" s="345"/>
      <c r="AI505" s="345"/>
      <c r="AJ505" s="345"/>
      <c r="AK505" s="345"/>
      <c r="AL505" s="345"/>
      <c r="AM505" s="345"/>
      <c r="AN505" s="345"/>
      <c r="AO505" s="345"/>
      <c r="AP505" s="345"/>
      <c r="AQ505" s="345"/>
      <c r="AR505" s="345"/>
      <c r="AS505" s="345"/>
    </row>
    <row r="506" ht="13.5" customHeight="1">
      <c r="A506" s="424" t="str">
        <f>'Membership Application List'!A735</f>
        <v/>
      </c>
      <c r="B506" s="443" t="str">
        <f t="shared" si="6"/>
        <v/>
      </c>
      <c r="C506" s="443" t="str">
        <f t="shared" si="7"/>
        <v/>
      </c>
      <c r="D506" s="426" t="str">
        <f>'Membership Application List'!E735</f>
        <v/>
      </c>
      <c r="E506" s="426" t="str">
        <f>IF('Membership Application List'!J735 = "Food/Litter Donation", 0, IF('Membership Application List'!J735 = "$15 Donation, Discord Verification", IF('Membership Application List'!N735 = TRUE, 15, 0)))</f>
        <v>#N/A</v>
      </c>
      <c r="F506" s="426">
        <f>if('Membership Application List'!K735=TRUE, 5,0)</f>
        <v>0</v>
      </c>
      <c r="G506" s="426" t="str">
        <f t="shared" si="8"/>
        <v>#N/A</v>
      </c>
      <c r="H506" s="427" t="str">
        <f>'Membership Application List'!L735</f>
        <v/>
      </c>
      <c r="I506" s="345"/>
      <c r="J506" s="441"/>
      <c r="K506" s="345"/>
      <c r="L506" s="478"/>
      <c r="M506" s="345"/>
      <c r="N506" s="345"/>
      <c r="O506" s="345"/>
      <c r="P506" s="414"/>
      <c r="Q506" s="414"/>
      <c r="R506" s="414"/>
      <c r="S506" s="445"/>
      <c r="T506" s="445"/>
      <c r="U506" s="445"/>
      <c r="V506" s="345"/>
      <c r="W506" s="441"/>
      <c r="X506" s="345"/>
      <c r="Y506" s="345"/>
      <c r="Z506" s="345"/>
      <c r="AA506" s="345"/>
      <c r="AB506" s="345"/>
      <c r="AC506" s="345"/>
      <c r="AD506" s="345"/>
      <c r="AE506" s="345"/>
      <c r="AF506" s="345"/>
      <c r="AG506" s="345"/>
      <c r="AH506" s="345"/>
      <c r="AI506" s="345"/>
      <c r="AJ506" s="345"/>
      <c r="AK506" s="345"/>
      <c r="AL506" s="345"/>
      <c r="AM506" s="345"/>
      <c r="AN506" s="345"/>
      <c r="AO506" s="345"/>
      <c r="AP506" s="345"/>
      <c r="AQ506" s="345"/>
      <c r="AR506" s="345"/>
      <c r="AS506" s="345"/>
    </row>
    <row r="507" ht="13.5" customHeight="1">
      <c r="A507" s="436" t="str">
        <f>'Membership Application List'!A736</f>
        <v/>
      </c>
      <c r="B507" s="437" t="str">
        <f t="shared" si="6"/>
        <v/>
      </c>
      <c r="C507" s="437" t="str">
        <f t="shared" si="7"/>
        <v/>
      </c>
      <c r="D507" s="438" t="str">
        <f>'Membership Application List'!E736</f>
        <v/>
      </c>
      <c r="E507" s="438" t="str">
        <f>IF('Membership Application List'!J736 = "Food/Litter Donation", 0, IF('Membership Application List'!J736 = "$15 Donation, Discord Verification", IF('Membership Application List'!N736 = TRUE, 15, 0)))</f>
        <v>#N/A</v>
      </c>
      <c r="F507" s="438">
        <f>if('Membership Application List'!K736=TRUE, 5,0)</f>
        <v>0</v>
      </c>
      <c r="G507" s="438" t="str">
        <f t="shared" si="8"/>
        <v>#N/A</v>
      </c>
      <c r="H507" s="439" t="str">
        <f>'Membership Application List'!L736</f>
        <v/>
      </c>
      <c r="I507" s="345"/>
      <c r="J507" s="441"/>
      <c r="K507" s="345"/>
      <c r="L507" s="478"/>
      <c r="M507" s="345"/>
      <c r="N507" s="345"/>
      <c r="O507" s="345"/>
      <c r="P507" s="414"/>
      <c r="Q507" s="414"/>
      <c r="R507" s="414"/>
      <c r="S507" s="445"/>
      <c r="T507" s="445"/>
      <c r="U507" s="445"/>
      <c r="V507" s="345"/>
      <c r="W507" s="441"/>
      <c r="X507" s="345"/>
      <c r="Y507" s="345"/>
      <c r="Z507" s="345"/>
      <c r="AA507" s="345"/>
      <c r="AB507" s="345"/>
      <c r="AC507" s="345"/>
      <c r="AD507" s="345"/>
      <c r="AE507" s="345"/>
      <c r="AF507" s="345"/>
      <c r="AG507" s="345"/>
      <c r="AH507" s="345"/>
      <c r="AI507" s="345"/>
      <c r="AJ507" s="345"/>
      <c r="AK507" s="345"/>
      <c r="AL507" s="345"/>
      <c r="AM507" s="345"/>
      <c r="AN507" s="345"/>
      <c r="AO507" s="345"/>
      <c r="AP507" s="345"/>
      <c r="AQ507" s="345"/>
      <c r="AR507" s="345"/>
      <c r="AS507" s="345"/>
    </row>
    <row r="508" ht="13.5" customHeight="1">
      <c r="A508" s="424" t="str">
        <f>'Membership Application List'!A737</f>
        <v/>
      </c>
      <c r="B508" s="443" t="str">
        <f t="shared" si="6"/>
        <v/>
      </c>
      <c r="C508" s="443" t="str">
        <f t="shared" si="7"/>
        <v/>
      </c>
      <c r="D508" s="426" t="str">
        <f>'Membership Application List'!E737</f>
        <v/>
      </c>
      <c r="E508" s="426" t="str">
        <f>IF('Membership Application List'!J737 = "Food/Litter Donation", 0, IF('Membership Application List'!J737 = "$15 Donation, Discord Verification", IF('Membership Application List'!N737 = TRUE, 15, 0)))</f>
        <v>#N/A</v>
      </c>
      <c r="F508" s="426">
        <f>if('Membership Application List'!K737=TRUE, 5,0)</f>
        <v>0</v>
      </c>
      <c r="G508" s="426" t="str">
        <f t="shared" si="8"/>
        <v>#N/A</v>
      </c>
      <c r="H508" s="427" t="str">
        <f>'Membership Application List'!L737</f>
        <v/>
      </c>
      <c r="I508" s="345"/>
      <c r="J508" s="441"/>
      <c r="K508" s="345"/>
      <c r="L508" s="478"/>
      <c r="M508" s="345"/>
      <c r="N508" s="345"/>
      <c r="O508" s="345"/>
      <c r="P508" s="414"/>
      <c r="Q508" s="414"/>
      <c r="R508" s="414"/>
      <c r="S508" s="445"/>
      <c r="T508" s="445"/>
      <c r="U508" s="445"/>
      <c r="V508" s="345"/>
      <c r="W508" s="441"/>
      <c r="X508" s="345"/>
      <c r="Y508" s="345"/>
      <c r="Z508" s="345"/>
      <c r="AA508" s="345"/>
      <c r="AB508" s="345"/>
      <c r="AC508" s="345"/>
      <c r="AD508" s="345"/>
      <c r="AE508" s="345"/>
      <c r="AF508" s="345"/>
      <c r="AG508" s="345"/>
      <c r="AH508" s="345"/>
      <c r="AI508" s="345"/>
      <c r="AJ508" s="345"/>
      <c r="AK508" s="345"/>
      <c r="AL508" s="345"/>
      <c r="AM508" s="345"/>
      <c r="AN508" s="345"/>
      <c r="AO508" s="345"/>
      <c r="AP508" s="345"/>
      <c r="AQ508" s="345"/>
      <c r="AR508" s="345"/>
      <c r="AS508" s="345"/>
    </row>
    <row r="509" ht="13.5" customHeight="1">
      <c r="A509" s="436" t="str">
        <f>'Membership Application List'!A738</f>
        <v/>
      </c>
      <c r="B509" s="437" t="str">
        <f t="shared" si="6"/>
        <v/>
      </c>
      <c r="C509" s="437" t="str">
        <f t="shared" si="7"/>
        <v/>
      </c>
      <c r="D509" s="438" t="str">
        <f>'Membership Application List'!E738</f>
        <v/>
      </c>
      <c r="E509" s="438" t="str">
        <f>IF('Membership Application List'!J738 = "Food/Litter Donation", 0, IF('Membership Application List'!J738 = "$15 Donation, Discord Verification", IF('Membership Application List'!N738 = TRUE, 15, 0)))</f>
        <v>#N/A</v>
      </c>
      <c r="F509" s="438">
        <f>if('Membership Application List'!K738=TRUE, 5,0)</f>
        <v>0</v>
      </c>
      <c r="G509" s="438" t="str">
        <f t="shared" si="8"/>
        <v>#N/A</v>
      </c>
      <c r="H509" s="439" t="str">
        <f>'Membership Application List'!L738</f>
        <v/>
      </c>
      <c r="I509" s="345"/>
      <c r="J509" s="441"/>
      <c r="K509" s="345"/>
      <c r="L509" s="478"/>
      <c r="M509" s="345"/>
      <c r="N509" s="345"/>
      <c r="O509" s="345"/>
      <c r="P509" s="414"/>
      <c r="Q509" s="414"/>
      <c r="R509" s="414"/>
      <c r="S509" s="445"/>
      <c r="T509" s="445"/>
      <c r="U509" s="445"/>
      <c r="V509" s="345"/>
      <c r="W509" s="441"/>
      <c r="X509" s="345"/>
      <c r="Y509" s="345"/>
      <c r="Z509" s="345"/>
      <c r="AA509" s="345"/>
      <c r="AB509" s="345"/>
      <c r="AC509" s="345"/>
      <c r="AD509" s="345"/>
      <c r="AE509" s="345"/>
      <c r="AF509" s="345"/>
      <c r="AG509" s="345"/>
      <c r="AH509" s="345"/>
      <c r="AI509" s="345"/>
      <c r="AJ509" s="345"/>
      <c r="AK509" s="345"/>
      <c r="AL509" s="345"/>
      <c r="AM509" s="345"/>
      <c r="AN509" s="345"/>
      <c r="AO509" s="345"/>
      <c r="AP509" s="345"/>
      <c r="AQ509" s="345"/>
      <c r="AR509" s="345"/>
      <c r="AS509" s="345"/>
    </row>
    <row r="510" ht="13.5" customHeight="1">
      <c r="A510" s="424" t="str">
        <f>'Membership Application List'!A739</f>
        <v/>
      </c>
      <c r="B510" s="443" t="str">
        <f t="shared" si="6"/>
        <v/>
      </c>
      <c r="C510" s="443" t="str">
        <f t="shared" si="7"/>
        <v/>
      </c>
      <c r="D510" s="426" t="str">
        <f>'Membership Application List'!E739</f>
        <v/>
      </c>
      <c r="E510" s="426" t="str">
        <f>IF('Membership Application List'!J739 = "Food/Litter Donation", 0, IF('Membership Application List'!J739 = "$15 Donation, Discord Verification", IF('Membership Application List'!N739 = TRUE, 15, 0)))</f>
        <v>#N/A</v>
      </c>
      <c r="F510" s="426">
        <f>if('Membership Application List'!K739=TRUE, 5,0)</f>
        <v>0</v>
      </c>
      <c r="G510" s="426" t="str">
        <f t="shared" si="8"/>
        <v>#N/A</v>
      </c>
      <c r="H510" s="427" t="str">
        <f>'Membership Application List'!L739</f>
        <v/>
      </c>
      <c r="I510" s="345"/>
      <c r="J510" s="441"/>
      <c r="K510" s="345"/>
      <c r="L510" s="478"/>
      <c r="M510" s="345"/>
      <c r="N510" s="345"/>
      <c r="O510" s="345"/>
      <c r="P510" s="414"/>
      <c r="Q510" s="414"/>
      <c r="R510" s="414"/>
      <c r="S510" s="445"/>
      <c r="T510" s="445"/>
      <c r="U510" s="445"/>
      <c r="V510" s="345"/>
      <c r="W510" s="441"/>
      <c r="X510" s="345"/>
      <c r="Y510" s="345"/>
      <c r="Z510" s="345"/>
      <c r="AA510" s="345"/>
      <c r="AB510" s="345"/>
      <c r="AC510" s="345"/>
      <c r="AD510" s="345"/>
      <c r="AE510" s="345"/>
      <c r="AF510" s="345"/>
      <c r="AG510" s="345"/>
      <c r="AH510" s="345"/>
      <c r="AI510" s="345"/>
      <c r="AJ510" s="345"/>
      <c r="AK510" s="345"/>
      <c r="AL510" s="345"/>
      <c r="AM510" s="345"/>
      <c r="AN510" s="345"/>
      <c r="AO510" s="345"/>
      <c r="AP510" s="345"/>
      <c r="AQ510" s="345"/>
      <c r="AR510" s="345"/>
      <c r="AS510" s="345"/>
    </row>
    <row r="511" ht="13.5" customHeight="1">
      <c r="A511" s="436" t="str">
        <f>'Membership Application List'!A740</f>
        <v/>
      </c>
      <c r="B511" s="437" t="str">
        <f t="shared" si="6"/>
        <v/>
      </c>
      <c r="C511" s="437" t="str">
        <f t="shared" si="7"/>
        <v/>
      </c>
      <c r="D511" s="438" t="str">
        <f>'Membership Application List'!E740</f>
        <v/>
      </c>
      <c r="E511" s="438" t="str">
        <f>IF('Membership Application List'!J740 = "Food/Litter Donation", 0, IF('Membership Application List'!J740 = "$15 Donation, Discord Verification", IF('Membership Application List'!N740 = TRUE, 15, 0)))</f>
        <v>#N/A</v>
      </c>
      <c r="F511" s="438">
        <f>if('Membership Application List'!K740=TRUE, 5,0)</f>
        <v>0</v>
      </c>
      <c r="G511" s="438" t="str">
        <f t="shared" si="8"/>
        <v>#N/A</v>
      </c>
      <c r="H511" s="439" t="str">
        <f>'Membership Application List'!L740</f>
        <v/>
      </c>
      <c r="I511" s="345"/>
      <c r="J511" s="441"/>
      <c r="K511" s="345"/>
      <c r="L511" s="478"/>
      <c r="M511" s="345"/>
      <c r="N511" s="345"/>
      <c r="O511" s="345"/>
      <c r="P511" s="414"/>
      <c r="Q511" s="414"/>
      <c r="R511" s="414"/>
      <c r="S511" s="445"/>
      <c r="T511" s="445"/>
      <c r="U511" s="445"/>
      <c r="V511" s="345"/>
      <c r="W511" s="441"/>
      <c r="X511" s="345"/>
      <c r="Y511" s="345"/>
      <c r="Z511" s="345"/>
      <c r="AA511" s="345"/>
      <c r="AB511" s="345"/>
      <c r="AC511" s="345"/>
      <c r="AD511" s="345"/>
      <c r="AE511" s="345"/>
      <c r="AF511" s="345"/>
      <c r="AG511" s="345"/>
      <c r="AH511" s="345"/>
      <c r="AI511" s="345"/>
      <c r="AJ511" s="345"/>
      <c r="AK511" s="345"/>
      <c r="AL511" s="345"/>
      <c r="AM511" s="345"/>
      <c r="AN511" s="345"/>
      <c r="AO511" s="345"/>
      <c r="AP511" s="345"/>
      <c r="AQ511" s="345"/>
      <c r="AR511" s="345"/>
      <c r="AS511" s="345"/>
    </row>
    <row r="512" ht="13.5" customHeight="1">
      <c r="A512" s="424" t="str">
        <f>'Membership Application List'!A741</f>
        <v/>
      </c>
      <c r="B512" s="443" t="str">
        <f t="shared" si="6"/>
        <v/>
      </c>
      <c r="C512" s="443" t="str">
        <f t="shared" si="7"/>
        <v/>
      </c>
      <c r="D512" s="426" t="str">
        <f>'Membership Application List'!E741</f>
        <v/>
      </c>
      <c r="E512" s="426" t="str">
        <f>IF('Membership Application List'!J741 = "Food/Litter Donation", 0, IF('Membership Application List'!J741 = "$15 Donation, Discord Verification", IF('Membership Application List'!N741 = TRUE, 15, 0)))</f>
        <v>#N/A</v>
      </c>
      <c r="F512" s="426">
        <f>if('Membership Application List'!K741=TRUE, 5,0)</f>
        <v>0</v>
      </c>
      <c r="G512" s="426" t="str">
        <f t="shared" si="8"/>
        <v>#N/A</v>
      </c>
      <c r="H512" s="427" t="str">
        <f>'Membership Application List'!L741</f>
        <v/>
      </c>
      <c r="I512" s="345"/>
      <c r="J512" s="441"/>
      <c r="K512" s="345"/>
      <c r="L512" s="478"/>
      <c r="M512" s="345"/>
      <c r="N512" s="345"/>
      <c r="O512" s="345"/>
      <c r="P512" s="414"/>
      <c r="Q512" s="414"/>
      <c r="R512" s="414"/>
      <c r="S512" s="445"/>
      <c r="T512" s="445"/>
      <c r="U512" s="445"/>
      <c r="V512" s="345"/>
      <c r="W512" s="441"/>
      <c r="X512" s="345"/>
      <c r="Y512" s="345"/>
      <c r="Z512" s="345"/>
      <c r="AA512" s="345"/>
      <c r="AB512" s="345"/>
      <c r="AC512" s="345"/>
      <c r="AD512" s="345"/>
      <c r="AE512" s="345"/>
      <c r="AF512" s="345"/>
      <c r="AG512" s="345"/>
      <c r="AH512" s="345"/>
      <c r="AI512" s="345"/>
      <c r="AJ512" s="345"/>
      <c r="AK512" s="345"/>
      <c r="AL512" s="345"/>
      <c r="AM512" s="345"/>
      <c r="AN512" s="345"/>
      <c r="AO512" s="345"/>
      <c r="AP512" s="345"/>
      <c r="AQ512" s="345"/>
      <c r="AR512" s="345"/>
      <c r="AS512" s="345"/>
    </row>
    <row r="513" ht="13.5" customHeight="1">
      <c r="A513" s="436" t="str">
        <f>'Membership Application List'!A742</f>
        <v/>
      </c>
      <c r="B513" s="437" t="str">
        <f t="shared" si="6"/>
        <v/>
      </c>
      <c r="C513" s="437" t="str">
        <f t="shared" si="7"/>
        <v/>
      </c>
      <c r="D513" s="438" t="str">
        <f>'Membership Application List'!E742</f>
        <v/>
      </c>
      <c r="E513" s="438" t="str">
        <f>IF('Membership Application List'!J742 = "Food/Litter Donation", 0, IF('Membership Application List'!J742 = "$15 Donation, Discord Verification", IF('Membership Application List'!N742 = TRUE, 15, 0)))</f>
        <v>#N/A</v>
      </c>
      <c r="F513" s="438">
        <f>if('Membership Application List'!K742=TRUE, 5,0)</f>
        <v>0</v>
      </c>
      <c r="G513" s="438" t="str">
        <f t="shared" si="8"/>
        <v>#N/A</v>
      </c>
      <c r="H513" s="439" t="str">
        <f>'Membership Application List'!L742</f>
        <v/>
      </c>
      <c r="I513" s="345"/>
      <c r="J513" s="441"/>
      <c r="K513" s="345"/>
      <c r="L513" s="478"/>
      <c r="M513" s="345"/>
      <c r="N513" s="345"/>
      <c r="O513" s="345"/>
      <c r="P513" s="414"/>
      <c r="Q513" s="414"/>
      <c r="R513" s="414"/>
      <c r="S513" s="445"/>
      <c r="T513" s="445"/>
      <c r="U513" s="445"/>
      <c r="V513" s="345"/>
      <c r="W513" s="441"/>
      <c r="X513" s="345"/>
      <c r="Y513" s="345"/>
      <c r="Z513" s="345"/>
      <c r="AA513" s="345"/>
      <c r="AB513" s="345"/>
      <c r="AC513" s="345"/>
      <c r="AD513" s="345"/>
      <c r="AE513" s="345"/>
      <c r="AF513" s="345"/>
      <c r="AG513" s="345"/>
      <c r="AH513" s="345"/>
      <c r="AI513" s="345"/>
      <c r="AJ513" s="345"/>
      <c r="AK513" s="345"/>
      <c r="AL513" s="345"/>
      <c r="AM513" s="345"/>
      <c r="AN513" s="345"/>
      <c r="AO513" s="345"/>
      <c r="AP513" s="345"/>
      <c r="AQ513" s="345"/>
      <c r="AR513" s="345"/>
      <c r="AS513" s="345"/>
    </row>
    <row r="514" ht="13.5" customHeight="1">
      <c r="A514" s="424" t="str">
        <f>'Membership Application List'!A743</f>
        <v/>
      </c>
      <c r="B514" s="443" t="str">
        <f t="shared" si="6"/>
        <v/>
      </c>
      <c r="C514" s="443" t="str">
        <f t="shared" si="7"/>
        <v/>
      </c>
      <c r="D514" s="426" t="str">
        <f>'Membership Application List'!E743</f>
        <v/>
      </c>
      <c r="E514" s="426" t="str">
        <f>IF('Membership Application List'!J743 = "Food/Litter Donation", 0, IF('Membership Application List'!J743 = "$15 Donation, Discord Verification", IF('Membership Application List'!N743 = TRUE, 15, 0)))</f>
        <v>#N/A</v>
      </c>
      <c r="F514" s="426">
        <f>if('Membership Application List'!K743=TRUE, 5,0)</f>
        <v>0</v>
      </c>
      <c r="G514" s="426" t="str">
        <f t="shared" si="8"/>
        <v>#N/A</v>
      </c>
      <c r="H514" s="427" t="str">
        <f>'Membership Application List'!L743</f>
        <v/>
      </c>
      <c r="I514" s="345"/>
      <c r="J514" s="441"/>
      <c r="K514" s="345"/>
      <c r="L514" s="478"/>
      <c r="M514" s="345"/>
      <c r="N514" s="345"/>
      <c r="O514" s="345"/>
      <c r="P514" s="414"/>
      <c r="Q514" s="414"/>
      <c r="R514" s="414"/>
      <c r="S514" s="445"/>
      <c r="T514" s="445"/>
      <c r="U514" s="445"/>
      <c r="V514" s="345"/>
      <c r="W514" s="441"/>
      <c r="X514" s="345"/>
      <c r="Y514" s="345"/>
      <c r="Z514" s="345"/>
      <c r="AA514" s="345"/>
      <c r="AB514" s="345"/>
      <c r="AC514" s="345"/>
      <c r="AD514" s="345"/>
      <c r="AE514" s="345"/>
      <c r="AF514" s="345"/>
      <c r="AG514" s="345"/>
      <c r="AH514" s="345"/>
      <c r="AI514" s="345"/>
      <c r="AJ514" s="345"/>
      <c r="AK514" s="345"/>
      <c r="AL514" s="345"/>
      <c r="AM514" s="345"/>
      <c r="AN514" s="345"/>
      <c r="AO514" s="345"/>
      <c r="AP514" s="345"/>
      <c r="AQ514" s="345"/>
      <c r="AR514" s="345"/>
      <c r="AS514" s="345"/>
    </row>
    <row r="515" ht="13.5" customHeight="1">
      <c r="A515" s="436" t="str">
        <f>'Membership Application List'!A744</f>
        <v/>
      </c>
      <c r="B515" s="437" t="str">
        <f t="shared" si="6"/>
        <v/>
      </c>
      <c r="C515" s="437" t="str">
        <f t="shared" si="7"/>
        <v/>
      </c>
      <c r="D515" s="438" t="str">
        <f>'Membership Application List'!E744</f>
        <v/>
      </c>
      <c r="E515" s="438" t="str">
        <f>IF('Membership Application List'!J744 = "Food/Litter Donation", 0, IF('Membership Application List'!J744 = "$15 Donation, Discord Verification", IF('Membership Application List'!N744 = TRUE, 15, 0)))</f>
        <v>#N/A</v>
      </c>
      <c r="F515" s="438">
        <f>if('Membership Application List'!K744=TRUE, 5,0)</f>
        <v>0</v>
      </c>
      <c r="G515" s="438" t="str">
        <f t="shared" si="8"/>
        <v>#N/A</v>
      </c>
      <c r="H515" s="439" t="str">
        <f>'Membership Application List'!L744</f>
        <v/>
      </c>
      <c r="I515" s="345"/>
      <c r="J515" s="441"/>
      <c r="K515" s="345"/>
      <c r="L515" s="478"/>
      <c r="M515" s="345"/>
      <c r="N515" s="345"/>
      <c r="O515" s="345"/>
      <c r="P515" s="414"/>
      <c r="Q515" s="414"/>
      <c r="R515" s="414"/>
      <c r="S515" s="445"/>
      <c r="T515" s="445"/>
      <c r="U515" s="445"/>
      <c r="V515" s="345"/>
      <c r="W515" s="441"/>
      <c r="X515" s="345"/>
      <c r="Y515" s="345"/>
      <c r="Z515" s="345"/>
      <c r="AA515" s="345"/>
      <c r="AB515" s="345"/>
      <c r="AC515" s="345"/>
      <c r="AD515" s="345"/>
      <c r="AE515" s="345"/>
      <c r="AF515" s="345"/>
      <c r="AG515" s="345"/>
      <c r="AH515" s="345"/>
      <c r="AI515" s="345"/>
      <c r="AJ515" s="345"/>
      <c r="AK515" s="345"/>
      <c r="AL515" s="345"/>
      <c r="AM515" s="345"/>
      <c r="AN515" s="345"/>
      <c r="AO515" s="345"/>
      <c r="AP515" s="345"/>
      <c r="AQ515" s="345"/>
      <c r="AR515" s="345"/>
      <c r="AS515" s="345"/>
    </row>
    <row r="516" ht="13.5" customHeight="1">
      <c r="A516" s="424" t="str">
        <f>'Membership Application List'!A745</f>
        <v/>
      </c>
      <c r="B516" s="443" t="str">
        <f t="shared" si="6"/>
        <v/>
      </c>
      <c r="C516" s="443" t="str">
        <f t="shared" si="7"/>
        <v/>
      </c>
      <c r="D516" s="426" t="str">
        <f>'Membership Application List'!E745</f>
        <v/>
      </c>
      <c r="E516" s="426" t="str">
        <f>IF('Membership Application List'!J745 = "Food/Litter Donation", 0, IF('Membership Application List'!J745 = "$15 Donation, Discord Verification", IF('Membership Application List'!N745 = TRUE, 15, 0)))</f>
        <v>#N/A</v>
      </c>
      <c r="F516" s="426">
        <f>if('Membership Application List'!K745=TRUE, 5,0)</f>
        <v>0</v>
      </c>
      <c r="G516" s="426" t="str">
        <f t="shared" si="8"/>
        <v>#N/A</v>
      </c>
      <c r="H516" s="427" t="str">
        <f>'Membership Application List'!L745</f>
        <v/>
      </c>
      <c r="I516" s="345"/>
      <c r="J516" s="441"/>
      <c r="K516" s="345"/>
      <c r="L516" s="478"/>
      <c r="M516" s="345"/>
      <c r="N516" s="345"/>
      <c r="O516" s="345"/>
      <c r="P516" s="414"/>
      <c r="Q516" s="414"/>
      <c r="R516" s="414"/>
      <c r="S516" s="445"/>
      <c r="T516" s="445"/>
      <c r="U516" s="445"/>
      <c r="V516" s="345"/>
      <c r="W516" s="441"/>
      <c r="X516" s="345"/>
      <c r="Y516" s="345"/>
      <c r="Z516" s="345"/>
      <c r="AA516" s="345"/>
      <c r="AB516" s="345"/>
      <c r="AC516" s="345"/>
      <c r="AD516" s="345"/>
      <c r="AE516" s="345"/>
      <c r="AF516" s="345"/>
      <c r="AG516" s="345"/>
      <c r="AH516" s="345"/>
      <c r="AI516" s="345"/>
      <c r="AJ516" s="345"/>
      <c r="AK516" s="345"/>
      <c r="AL516" s="345"/>
      <c r="AM516" s="345"/>
      <c r="AN516" s="345"/>
      <c r="AO516" s="345"/>
      <c r="AP516" s="345"/>
      <c r="AQ516" s="345"/>
      <c r="AR516" s="345"/>
      <c r="AS516" s="345"/>
    </row>
    <row r="517" ht="13.5" customHeight="1">
      <c r="A517" s="436" t="str">
        <f>'Membership Application List'!A746</f>
        <v/>
      </c>
      <c r="B517" s="437" t="str">
        <f t="shared" si="6"/>
        <v/>
      </c>
      <c r="C517" s="437" t="str">
        <f t="shared" si="7"/>
        <v/>
      </c>
      <c r="D517" s="438" t="str">
        <f>'Membership Application List'!E746</f>
        <v/>
      </c>
      <c r="E517" s="438" t="str">
        <f>IF('Membership Application List'!J746 = "Food/Litter Donation", 0, IF('Membership Application List'!J746 = "$15 Donation, Discord Verification", IF('Membership Application List'!N746 = TRUE, 15, 0)))</f>
        <v>#N/A</v>
      </c>
      <c r="F517" s="438">
        <f>if('Membership Application List'!K746=TRUE, 5,0)</f>
        <v>0</v>
      </c>
      <c r="G517" s="438" t="str">
        <f t="shared" si="8"/>
        <v>#N/A</v>
      </c>
      <c r="H517" s="439" t="str">
        <f>'Membership Application List'!L746</f>
        <v/>
      </c>
      <c r="I517" s="345"/>
      <c r="J517" s="441"/>
      <c r="K517" s="345"/>
      <c r="L517" s="478"/>
      <c r="M517" s="345"/>
      <c r="N517" s="345"/>
      <c r="O517" s="345"/>
      <c r="P517" s="414"/>
      <c r="Q517" s="414"/>
      <c r="R517" s="414"/>
      <c r="S517" s="445"/>
      <c r="T517" s="445"/>
      <c r="U517" s="445"/>
      <c r="V517" s="345"/>
      <c r="W517" s="441"/>
      <c r="X517" s="345"/>
      <c r="Y517" s="345"/>
      <c r="Z517" s="345"/>
      <c r="AA517" s="345"/>
      <c r="AB517" s="345"/>
      <c r="AC517" s="345"/>
      <c r="AD517" s="345"/>
      <c r="AE517" s="345"/>
      <c r="AF517" s="345"/>
      <c r="AG517" s="345"/>
      <c r="AH517" s="345"/>
      <c r="AI517" s="345"/>
      <c r="AJ517" s="345"/>
      <c r="AK517" s="345"/>
      <c r="AL517" s="345"/>
      <c r="AM517" s="345"/>
      <c r="AN517" s="345"/>
      <c r="AO517" s="345"/>
      <c r="AP517" s="345"/>
      <c r="AQ517" s="345"/>
      <c r="AR517" s="345"/>
      <c r="AS517" s="345"/>
    </row>
    <row r="518" ht="13.5" customHeight="1">
      <c r="A518" s="424" t="str">
        <f>'Membership Application List'!A747</f>
        <v/>
      </c>
      <c r="B518" s="443" t="str">
        <f t="shared" si="6"/>
        <v/>
      </c>
      <c r="C518" s="443" t="str">
        <f t="shared" si="7"/>
        <v/>
      </c>
      <c r="D518" s="426" t="str">
        <f>'Membership Application List'!E747</f>
        <v/>
      </c>
      <c r="E518" s="426" t="str">
        <f>IF('Membership Application List'!J747 = "Food/Litter Donation", 0, IF('Membership Application List'!J747 = "$15 Donation, Discord Verification", IF('Membership Application List'!N747 = TRUE, 15, 0)))</f>
        <v>#N/A</v>
      </c>
      <c r="F518" s="426">
        <f>if('Membership Application List'!K747=TRUE, 5,0)</f>
        <v>0</v>
      </c>
      <c r="G518" s="426" t="str">
        <f t="shared" si="8"/>
        <v>#N/A</v>
      </c>
      <c r="H518" s="427" t="str">
        <f>'Membership Application List'!L747</f>
        <v/>
      </c>
      <c r="I518" s="345"/>
      <c r="J518" s="441"/>
      <c r="K518" s="345"/>
      <c r="L518" s="478"/>
      <c r="M518" s="345"/>
      <c r="N518" s="345"/>
      <c r="O518" s="345"/>
      <c r="P518" s="414"/>
      <c r="Q518" s="414"/>
      <c r="R518" s="414"/>
      <c r="S518" s="445"/>
      <c r="T518" s="445"/>
      <c r="U518" s="445"/>
      <c r="V518" s="345"/>
      <c r="W518" s="441"/>
      <c r="X518" s="345"/>
      <c r="Y518" s="345"/>
      <c r="Z518" s="345"/>
      <c r="AA518" s="345"/>
      <c r="AB518" s="345"/>
      <c r="AC518" s="345"/>
      <c r="AD518" s="345"/>
      <c r="AE518" s="345"/>
      <c r="AF518" s="345"/>
      <c r="AG518" s="345"/>
      <c r="AH518" s="345"/>
      <c r="AI518" s="345"/>
      <c r="AJ518" s="345"/>
      <c r="AK518" s="345"/>
      <c r="AL518" s="345"/>
      <c r="AM518" s="345"/>
      <c r="AN518" s="345"/>
      <c r="AO518" s="345"/>
      <c r="AP518" s="345"/>
      <c r="AQ518" s="345"/>
      <c r="AR518" s="345"/>
      <c r="AS518" s="345"/>
    </row>
    <row r="519" ht="13.5" customHeight="1">
      <c r="A519" s="436" t="str">
        <f>'Membership Application List'!A748</f>
        <v/>
      </c>
      <c r="B519" s="437" t="str">
        <f t="shared" si="6"/>
        <v/>
      </c>
      <c r="C519" s="437" t="str">
        <f t="shared" si="7"/>
        <v/>
      </c>
      <c r="D519" s="438" t="str">
        <f>'Membership Application List'!E748</f>
        <v/>
      </c>
      <c r="E519" s="438" t="str">
        <f>IF('Membership Application List'!J748 = "Food/Litter Donation", 0, IF('Membership Application List'!J748 = "$15 Donation, Discord Verification", IF('Membership Application List'!N748 = TRUE, 15, 0)))</f>
        <v>#N/A</v>
      </c>
      <c r="F519" s="438">
        <f>if('Membership Application List'!K748=TRUE, 5,0)</f>
        <v>0</v>
      </c>
      <c r="G519" s="438" t="str">
        <f t="shared" si="8"/>
        <v>#N/A</v>
      </c>
      <c r="H519" s="439" t="str">
        <f>'Membership Application List'!L748</f>
        <v/>
      </c>
      <c r="I519" s="345"/>
      <c r="J519" s="441"/>
      <c r="K519" s="345"/>
      <c r="L519" s="478"/>
      <c r="M519" s="345"/>
      <c r="N519" s="345"/>
      <c r="O519" s="345"/>
      <c r="P519" s="414"/>
      <c r="Q519" s="414"/>
      <c r="R519" s="414"/>
      <c r="S519" s="445"/>
      <c r="T519" s="445"/>
      <c r="U519" s="445"/>
      <c r="V519" s="345"/>
      <c r="W519" s="441"/>
      <c r="X519" s="345"/>
      <c r="Y519" s="345"/>
      <c r="Z519" s="345"/>
      <c r="AA519" s="345"/>
      <c r="AB519" s="345"/>
      <c r="AC519" s="345"/>
      <c r="AD519" s="345"/>
      <c r="AE519" s="345"/>
      <c r="AF519" s="345"/>
      <c r="AG519" s="345"/>
      <c r="AH519" s="345"/>
      <c r="AI519" s="345"/>
      <c r="AJ519" s="345"/>
      <c r="AK519" s="345"/>
      <c r="AL519" s="345"/>
      <c r="AM519" s="345"/>
      <c r="AN519" s="345"/>
      <c r="AO519" s="345"/>
      <c r="AP519" s="345"/>
      <c r="AQ519" s="345"/>
      <c r="AR519" s="345"/>
      <c r="AS519" s="345"/>
    </row>
    <row r="520" ht="13.5" customHeight="1">
      <c r="A520" s="424" t="str">
        <f>'Membership Application List'!A749</f>
        <v/>
      </c>
      <c r="B520" s="443" t="str">
        <f t="shared" si="6"/>
        <v/>
      </c>
      <c r="C520" s="443" t="str">
        <f t="shared" si="7"/>
        <v/>
      </c>
      <c r="D520" s="426" t="str">
        <f>'Membership Application List'!E749</f>
        <v/>
      </c>
      <c r="E520" s="426" t="str">
        <f>IF('Membership Application List'!J749 = "Food/Litter Donation", 0, IF('Membership Application List'!J749 = "$15 Donation, Discord Verification", IF('Membership Application List'!N749 = TRUE, 15, 0)))</f>
        <v>#N/A</v>
      </c>
      <c r="F520" s="426">
        <f>if('Membership Application List'!K749=TRUE, 5,0)</f>
        <v>0</v>
      </c>
      <c r="G520" s="426" t="str">
        <f t="shared" si="8"/>
        <v>#N/A</v>
      </c>
      <c r="H520" s="427" t="str">
        <f>'Membership Application List'!L749</f>
        <v/>
      </c>
      <c r="I520" s="345"/>
      <c r="J520" s="441"/>
      <c r="K520" s="345"/>
      <c r="L520" s="478"/>
      <c r="M520" s="345"/>
      <c r="N520" s="345"/>
      <c r="O520" s="345"/>
      <c r="P520" s="414"/>
      <c r="Q520" s="414"/>
      <c r="R520" s="414"/>
      <c r="S520" s="445"/>
      <c r="T520" s="445"/>
      <c r="U520" s="445"/>
      <c r="V520" s="345"/>
      <c r="W520" s="441"/>
      <c r="X520" s="345"/>
      <c r="Y520" s="345"/>
      <c r="Z520" s="345"/>
      <c r="AA520" s="345"/>
      <c r="AB520" s="345"/>
      <c r="AC520" s="345"/>
      <c r="AD520" s="345"/>
      <c r="AE520" s="345"/>
      <c r="AF520" s="345"/>
      <c r="AG520" s="345"/>
      <c r="AH520" s="345"/>
      <c r="AI520" s="345"/>
      <c r="AJ520" s="345"/>
      <c r="AK520" s="345"/>
      <c r="AL520" s="345"/>
      <c r="AM520" s="345"/>
      <c r="AN520" s="345"/>
      <c r="AO520" s="345"/>
      <c r="AP520" s="345"/>
      <c r="AQ520" s="345"/>
      <c r="AR520" s="345"/>
      <c r="AS520" s="345"/>
    </row>
    <row r="521" ht="13.5" customHeight="1">
      <c r="A521" s="436" t="str">
        <f>'Membership Application List'!A750</f>
        <v/>
      </c>
      <c r="B521" s="437" t="str">
        <f t="shared" si="6"/>
        <v/>
      </c>
      <c r="C521" s="437" t="str">
        <f t="shared" si="7"/>
        <v/>
      </c>
      <c r="D521" s="438" t="str">
        <f>'Membership Application List'!E750</f>
        <v/>
      </c>
      <c r="E521" s="438" t="str">
        <f>IF('Membership Application List'!J750 = "Food/Litter Donation", 0, IF('Membership Application List'!J750 = "$15 Donation, Discord Verification", IF('Membership Application List'!N750 = TRUE, 15, 0)))</f>
        <v>#N/A</v>
      </c>
      <c r="F521" s="438">
        <f>if('Membership Application List'!K750=TRUE, 5,0)</f>
        <v>0</v>
      </c>
      <c r="G521" s="438" t="str">
        <f t="shared" si="8"/>
        <v>#N/A</v>
      </c>
      <c r="H521" s="439" t="str">
        <f>'Membership Application List'!L750</f>
        <v/>
      </c>
      <c r="I521" s="345"/>
      <c r="J521" s="441"/>
      <c r="K521" s="345"/>
      <c r="L521" s="478"/>
      <c r="M521" s="345"/>
      <c r="N521" s="345"/>
      <c r="O521" s="345"/>
      <c r="P521" s="414"/>
      <c r="Q521" s="414"/>
      <c r="R521" s="414"/>
      <c r="S521" s="445"/>
      <c r="T521" s="445"/>
      <c r="U521" s="445"/>
      <c r="V521" s="345"/>
      <c r="W521" s="441"/>
      <c r="X521" s="345"/>
      <c r="Y521" s="345"/>
      <c r="Z521" s="345"/>
      <c r="AA521" s="345"/>
      <c r="AB521" s="345"/>
      <c r="AC521" s="345"/>
      <c r="AD521" s="345"/>
      <c r="AE521" s="345"/>
      <c r="AF521" s="345"/>
      <c r="AG521" s="345"/>
      <c r="AH521" s="345"/>
      <c r="AI521" s="345"/>
      <c r="AJ521" s="345"/>
      <c r="AK521" s="345"/>
      <c r="AL521" s="345"/>
      <c r="AM521" s="345"/>
      <c r="AN521" s="345"/>
      <c r="AO521" s="345"/>
      <c r="AP521" s="345"/>
      <c r="AQ521" s="345"/>
      <c r="AR521" s="345"/>
      <c r="AS521" s="345"/>
    </row>
    <row r="522" ht="13.5" customHeight="1">
      <c r="A522" s="424" t="str">
        <f>'Membership Application List'!A751</f>
        <v/>
      </c>
      <c r="B522" s="443" t="str">
        <f t="shared" si="6"/>
        <v/>
      </c>
      <c r="C522" s="443" t="str">
        <f t="shared" si="7"/>
        <v/>
      </c>
      <c r="D522" s="426" t="str">
        <f>'Membership Application List'!E751</f>
        <v/>
      </c>
      <c r="E522" s="426" t="str">
        <f>IF('Membership Application List'!J751 = "Food/Litter Donation", 0, IF('Membership Application List'!J751 = "$15 Donation, Discord Verification", IF('Membership Application List'!N751 = TRUE, 15, 0)))</f>
        <v>#N/A</v>
      </c>
      <c r="F522" s="426">
        <f>if('Membership Application List'!K751=TRUE, 5,0)</f>
        <v>0</v>
      </c>
      <c r="G522" s="426" t="str">
        <f t="shared" si="8"/>
        <v>#N/A</v>
      </c>
      <c r="H522" s="427" t="str">
        <f>'Membership Application List'!L751</f>
        <v/>
      </c>
      <c r="I522" s="345"/>
      <c r="J522" s="441"/>
      <c r="K522" s="345"/>
      <c r="L522" s="478"/>
      <c r="M522" s="345"/>
      <c r="N522" s="345"/>
      <c r="O522" s="345"/>
      <c r="P522" s="414"/>
      <c r="Q522" s="414"/>
      <c r="R522" s="414"/>
      <c r="S522" s="445"/>
      <c r="T522" s="445"/>
      <c r="U522" s="445"/>
      <c r="V522" s="345"/>
      <c r="W522" s="441"/>
      <c r="X522" s="345"/>
      <c r="Y522" s="345"/>
      <c r="Z522" s="345"/>
      <c r="AA522" s="345"/>
      <c r="AB522" s="345"/>
      <c r="AC522" s="345"/>
      <c r="AD522" s="345"/>
      <c r="AE522" s="345"/>
      <c r="AF522" s="345"/>
      <c r="AG522" s="345"/>
      <c r="AH522" s="345"/>
      <c r="AI522" s="345"/>
      <c r="AJ522" s="345"/>
      <c r="AK522" s="345"/>
      <c r="AL522" s="345"/>
      <c r="AM522" s="345"/>
      <c r="AN522" s="345"/>
      <c r="AO522" s="345"/>
      <c r="AP522" s="345"/>
      <c r="AQ522" s="345"/>
      <c r="AR522" s="345"/>
      <c r="AS522" s="345"/>
    </row>
    <row r="523" ht="13.5" customHeight="1">
      <c r="A523" s="436" t="str">
        <f>'Membership Application List'!A752</f>
        <v/>
      </c>
      <c r="B523" s="437" t="str">
        <f t="shared" si="6"/>
        <v/>
      </c>
      <c r="C523" s="437" t="str">
        <f t="shared" si="7"/>
        <v/>
      </c>
      <c r="D523" s="438" t="str">
        <f>'Membership Application List'!E752</f>
        <v/>
      </c>
      <c r="E523" s="438" t="str">
        <f>IF('Membership Application List'!J752 = "Food/Litter Donation", 0, IF('Membership Application List'!J752 = "$15 Donation, Discord Verification", IF('Membership Application List'!N752 = TRUE, 15, 0)))</f>
        <v>#N/A</v>
      </c>
      <c r="F523" s="438">
        <f>if('Membership Application List'!K752=TRUE, 5,0)</f>
        <v>0</v>
      </c>
      <c r="G523" s="438" t="str">
        <f t="shared" si="8"/>
        <v>#N/A</v>
      </c>
      <c r="H523" s="439" t="str">
        <f>'Membership Application List'!L752</f>
        <v/>
      </c>
      <c r="I523" s="345"/>
      <c r="J523" s="441"/>
      <c r="K523" s="345"/>
      <c r="L523" s="478"/>
      <c r="M523" s="345"/>
      <c r="N523" s="345"/>
      <c r="O523" s="345"/>
      <c r="P523" s="414"/>
      <c r="Q523" s="414"/>
      <c r="R523" s="414"/>
      <c r="S523" s="445"/>
      <c r="T523" s="445"/>
      <c r="U523" s="445"/>
      <c r="V523" s="345"/>
      <c r="W523" s="441"/>
      <c r="X523" s="345"/>
      <c r="Y523" s="345"/>
      <c r="Z523" s="345"/>
      <c r="AA523" s="345"/>
      <c r="AB523" s="345"/>
      <c r="AC523" s="345"/>
      <c r="AD523" s="345"/>
      <c r="AE523" s="345"/>
      <c r="AF523" s="345"/>
      <c r="AG523" s="345"/>
      <c r="AH523" s="345"/>
      <c r="AI523" s="345"/>
      <c r="AJ523" s="345"/>
      <c r="AK523" s="345"/>
      <c r="AL523" s="345"/>
      <c r="AM523" s="345"/>
      <c r="AN523" s="345"/>
      <c r="AO523" s="345"/>
      <c r="AP523" s="345"/>
      <c r="AQ523" s="345"/>
      <c r="AR523" s="345"/>
      <c r="AS523" s="345"/>
    </row>
    <row r="524" ht="13.5" customHeight="1">
      <c r="A524" s="424" t="str">
        <f>'Membership Application List'!A753</f>
        <v/>
      </c>
      <c r="B524" s="443" t="str">
        <f t="shared" si="6"/>
        <v/>
      </c>
      <c r="C524" s="443" t="str">
        <f t="shared" si="7"/>
        <v/>
      </c>
      <c r="D524" s="426" t="str">
        <f>'Membership Application List'!E753</f>
        <v/>
      </c>
      <c r="E524" s="426" t="str">
        <f>IF('Membership Application List'!J753 = "Food/Litter Donation", 0, IF('Membership Application List'!J753 = "$15 Donation, Discord Verification", IF('Membership Application List'!N753 = TRUE, 15, 0)))</f>
        <v>#N/A</v>
      </c>
      <c r="F524" s="426">
        <f>if('Membership Application List'!K753=TRUE, 5,0)</f>
        <v>0</v>
      </c>
      <c r="G524" s="426" t="str">
        <f t="shared" si="8"/>
        <v>#N/A</v>
      </c>
      <c r="H524" s="427" t="str">
        <f>'Membership Application List'!L753</f>
        <v/>
      </c>
      <c r="I524" s="345"/>
      <c r="J524" s="441"/>
      <c r="K524" s="345"/>
      <c r="L524" s="478"/>
      <c r="M524" s="345"/>
      <c r="N524" s="345"/>
      <c r="O524" s="345"/>
      <c r="P524" s="414"/>
      <c r="Q524" s="414"/>
      <c r="R524" s="414"/>
      <c r="S524" s="445"/>
      <c r="T524" s="445"/>
      <c r="U524" s="445"/>
      <c r="V524" s="345"/>
      <c r="W524" s="441"/>
      <c r="X524" s="345"/>
      <c r="Y524" s="345"/>
      <c r="Z524" s="345"/>
      <c r="AA524" s="345"/>
      <c r="AB524" s="345"/>
      <c r="AC524" s="345"/>
      <c r="AD524" s="345"/>
      <c r="AE524" s="345"/>
      <c r="AF524" s="345"/>
      <c r="AG524" s="345"/>
      <c r="AH524" s="345"/>
      <c r="AI524" s="345"/>
      <c r="AJ524" s="345"/>
      <c r="AK524" s="345"/>
      <c r="AL524" s="345"/>
      <c r="AM524" s="345"/>
      <c r="AN524" s="345"/>
      <c r="AO524" s="345"/>
      <c r="AP524" s="345"/>
      <c r="AQ524" s="345"/>
      <c r="AR524" s="345"/>
      <c r="AS524" s="345"/>
    </row>
    <row r="525" ht="13.5" customHeight="1">
      <c r="A525" s="436" t="str">
        <f>'Membership Application List'!A754</f>
        <v/>
      </c>
      <c r="B525" s="437" t="str">
        <f t="shared" si="6"/>
        <v/>
      </c>
      <c r="C525" s="437" t="str">
        <f t="shared" si="7"/>
        <v/>
      </c>
      <c r="D525" s="438" t="str">
        <f>'Membership Application List'!E754</f>
        <v/>
      </c>
      <c r="E525" s="438" t="str">
        <f>IF('Membership Application List'!J754 = "Food/Litter Donation", 0, IF('Membership Application List'!J754 = "$15 Donation, Discord Verification", IF('Membership Application List'!N754 = TRUE, 15, 0)))</f>
        <v>#N/A</v>
      </c>
      <c r="F525" s="438">
        <f>if('Membership Application List'!K754=TRUE, 5,0)</f>
        <v>0</v>
      </c>
      <c r="G525" s="438" t="str">
        <f t="shared" si="8"/>
        <v>#N/A</v>
      </c>
      <c r="H525" s="439" t="str">
        <f>'Membership Application List'!L754</f>
        <v/>
      </c>
      <c r="I525" s="345"/>
      <c r="J525" s="441"/>
      <c r="K525" s="345"/>
      <c r="L525" s="478"/>
      <c r="M525" s="345"/>
      <c r="N525" s="345"/>
      <c r="O525" s="345"/>
      <c r="P525" s="414"/>
      <c r="Q525" s="414"/>
      <c r="R525" s="414"/>
      <c r="S525" s="445"/>
      <c r="T525" s="445"/>
      <c r="U525" s="445"/>
      <c r="V525" s="345"/>
      <c r="W525" s="441"/>
      <c r="X525" s="345"/>
      <c r="Y525" s="345"/>
      <c r="Z525" s="345"/>
      <c r="AA525" s="345"/>
      <c r="AB525" s="345"/>
      <c r="AC525" s="345"/>
      <c r="AD525" s="345"/>
      <c r="AE525" s="345"/>
      <c r="AF525" s="345"/>
      <c r="AG525" s="345"/>
      <c r="AH525" s="345"/>
      <c r="AI525" s="345"/>
      <c r="AJ525" s="345"/>
      <c r="AK525" s="345"/>
      <c r="AL525" s="345"/>
      <c r="AM525" s="345"/>
      <c r="AN525" s="345"/>
      <c r="AO525" s="345"/>
      <c r="AP525" s="345"/>
      <c r="AQ525" s="345"/>
      <c r="AR525" s="345"/>
      <c r="AS525" s="345"/>
    </row>
    <row r="526" ht="13.5" customHeight="1">
      <c r="A526" s="424" t="str">
        <f>'Membership Application List'!A755</f>
        <v/>
      </c>
      <c r="B526" s="443" t="str">
        <f t="shared" si="6"/>
        <v/>
      </c>
      <c r="C526" s="443" t="str">
        <f t="shared" si="7"/>
        <v/>
      </c>
      <c r="D526" s="426" t="str">
        <f>'Membership Application List'!E755</f>
        <v/>
      </c>
      <c r="E526" s="426" t="str">
        <f>IF('Membership Application List'!J755 = "Food/Litter Donation", 0, IF('Membership Application List'!J755 = "$15 Donation, Discord Verification", IF('Membership Application List'!N755 = TRUE, 15, 0)))</f>
        <v>#N/A</v>
      </c>
      <c r="F526" s="426">
        <f>if('Membership Application List'!K755=TRUE, 5,0)</f>
        <v>0</v>
      </c>
      <c r="G526" s="426" t="str">
        <f t="shared" si="8"/>
        <v>#N/A</v>
      </c>
      <c r="H526" s="427" t="str">
        <f>'Membership Application List'!L755</f>
        <v/>
      </c>
      <c r="I526" s="345"/>
      <c r="J526" s="441"/>
      <c r="K526" s="345"/>
      <c r="L526" s="478"/>
      <c r="M526" s="345"/>
      <c r="N526" s="345"/>
      <c r="O526" s="345"/>
      <c r="P526" s="414"/>
      <c r="Q526" s="414"/>
      <c r="R526" s="414"/>
      <c r="S526" s="445"/>
      <c r="T526" s="445"/>
      <c r="U526" s="445"/>
      <c r="V526" s="345"/>
      <c r="W526" s="441"/>
      <c r="X526" s="345"/>
      <c r="Y526" s="345"/>
      <c r="Z526" s="345"/>
      <c r="AA526" s="345"/>
      <c r="AB526" s="345"/>
      <c r="AC526" s="345"/>
      <c r="AD526" s="345"/>
      <c r="AE526" s="345"/>
      <c r="AF526" s="345"/>
      <c r="AG526" s="345"/>
      <c r="AH526" s="345"/>
      <c r="AI526" s="345"/>
      <c r="AJ526" s="345"/>
      <c r="AK526" s="345"/>
      <c r="AL526" s="345"/>
      <c r="AM526" s="345"/>
      <c r="AN526" s="345"/>
      <c r="AO526" s="345"/>
      <c r="AP526" s="345"/>
      <c r="AQ526" s="345"/>
      <c r="AR526" s="345"/>
      <c r="AS526" s="345"/>
    </row>
    <row r="527" ht="13.5" customHeight="1">
      <c r="A527" s="436" t="str">
        <f>'Membership Application List'!A756</f>
        <v/>
      </c>
      <c r="B527" s="437" t="str">
        <f t="shared" si="6"/>
        <v/>
      </c>
      <c r="C527" s="437" t="str">
        <f t="shared" si="7"/>
        <v/>
      </c>
      <c r="D527" s="438" t="str">
        <f>'Membership Application List'!E756</f>
        <v/>
      </c>
      <c r="E527" s="438" t="str">
        <f>IF('Membership Application List'!J756 = "Food/Litter Donation", 0, IF('Membership Application List'!J756 = "$15 Donation, Discord Verification", IF('Membership Application List'!N756 = TRUE, 15, 0)))</f>
        <v>#N/A</v>
      </c>
      <c r="F527" s="438">
        <f>if('Membership Application List'!K756=TRUE, 5,0)</f>
        <v>0</v>
      </c>
      <c r="G527" s="438" t="str">
        <f t="shared" si="8"/>
        <v>#N/A</v>
      </c>
      <c r="H527" s="439" t="str">
        <f>'Membership Application List'!L756</f>
        <v/>
      </c>
      <c r="I527" s="345"/>
      <c r="J527" s="441"/>
      <c r="K527" s="345"/>
      <c r="L527" s="478"/>
      <c r="M527" s="345"/>
      <c r="N527" s="345"/>
      <c r="O527" s="345"/>
      <c r="P527" s="414"/>
      <c r="Q527" s="414"/>
      <c r="R527" s="414"/>
      <c r="S527" s="445"/>
      <c r="T527" s="445"/>
      <c r="U527" s="445"/>
      <c r="V527" s="345"/>
      <c r="W527" s="441"/>
      <c r="X527" s="345"/>
      <c r="Y527" s="345"/>
      <c r="Z527" s="345"/>
      <c r="AA527" s="345"/>
      <c r="AB527" s="345"/>
      <c r="AC527" s="345"/>
      <c r="AD527" s="345"/>
      <c r="AE527" s="345"/>
      <c r="AF527" s="345"/>
      <c r="AG527" s="345"/>
      <c r="AH527" s="345"/>
      <c r="AI527" s="345"/>
      <c r="AJ527" s="345"/>
      <c r="AK527" s="345"/>
      <c r="AL527" s="345"/>
      <c r="AM527" s="345"/>
      <c r="AN527" s="345"/>
      <c r="AO527" s="345"/>
      <c r="AP527" s="345"/>
      <c r="AQ527" s="345"/>
      <c r="AR527" s="345"/>
      <c r="AS527" s="345"/>
    </row>
    <row r="528" ht="13.5" customHeight="1">
      <c r="A528" s="424" t="str">
        <f>'Membership Application List'!A757</f>
        <v/>
      </c>
      <c r="B528" s="443" t="str">
        <f t="shared" si="6"/>
        <v/>
      </c>
      <c r="C528" s="443" t="str">
        <f t="shared" si="7"/>
        <v/>
      </c>
      <c r="D528" s="426" t="str">
        <f>'Membership Application List'!E757</f>
        <v/>
      </c>
      <c r="E528" s="426" t="str">
        <f>IF('Membership Application List'!J757 = "Food/Litter Donation", 0, IF('Membership Application List'!J757 = "$15 Donation, Discord Verification", IF('Membership Application List'!N757 = TRUE, 15, 0)))</f>
        <v>#N/A</v>
      </c>
      <c r="F528" s="426">
        <f>if('Membership Application List'!K757=TRUE, 5,0)</f>
        <v>0</v>
      </c>
      <c r="G528" s="426" t="str">
        <f t="shared" si="8"/>
        <v>#N/A</v>
      </c>
      <c r="H528" s="427" t="str">
        <f>'Membership Application List'!L757</f>
        <v/>
      </c>
      <c r="I528" s="345"/>
      <c r="J528" s="441"/>
      <c r="K528" s="345"/>
      <c r="L528" s="478"/>
      <c r="M528" s="345"/>
      <c r="N528" s="345"/>
      <c r="O528" s="345"/>
      <c r="P528" s="414"/>
      <c r="Q528" s="414"/>
      <c r="R528" s="414"/>
      <c r="S528" s="445"/>
      <c r="T528" s="445"/>
      <c r="U528" s="445"/>
      <c r="V528" s="345"/>
      <c r="W528" s="441"/>
      <c r="X528" s="345"/>
      <c r="Y528" s="345"/>
      <c r="Z528" s="345"/>
      <c r="AA528" s="345"/>
      <c r="AB528" s="345"/>
      <c r="AC528" s="345"/>
      <c r="AD528" s="345"/>
      <c r="AE528" s="345"/>
      <c r="AF528" s="345"/>
      <c r="AG528" s="345"/>
      <c r="AH528" s="345"/>
      <c r="AI528" s="345"/>
      <c r="AJ528" s="345"/>
      <c r="AK528" s="345"/>
      <c r="AL528" s="345"/>
      <c r="AM528" s="345"/>
      <c r="AN528" s="345"/>
      <c r="AO528" s="345"/>
      <c r="AP528" s="345"/>
      <c r="AQ528" s="345"/>
      <c r="AR528" s="345"/>
      <c r="AS528" s="345"/>
    </row>
    <row r="529" ht="13.5" customHeight="1">
      <c r="A529" s="436" t="str">
        <f>'Membership Application List'!A758</f>
        <v/>
      </c>
      <c r="B529" s="437" t="str">
        <f t="shared" si="6"/>
        <v/>
      </c>
      <c r="C529" s="437" t="str">
        <f t="shared" si="7"/>
        <v/>
      </c>
      <c r="D529" s="438" t="str">
        <f>'Membership Application List'!E758</f>
        <v/>
      </c>
      <c r="E529" s="438" t="str">
        <f>IF('Membership Application List'!J758 = "Food/Litter Donation", 0, IF('Membership Application List'!J758 = "$15 Donation, Discord Verification", IF('Membership Application List'!N758 = TRUE, 15, 0)))</f>
        <v>#N/A</v>
      </c>
      <c r="F529" s="438">
        <f>if('Membership Application List'!K758=TRUE, 5,0)</f>
        <v>0</v>
      </c>
      <c r="G529" s="438" t="str">
        <f t="shared" si="8"/>
        <v>#N/A</v>
      </c>
      <c r="H529" s="439" t="str">
        <f>'Membership Application List'!L758</f>
        <v/>
      </c>
      <c r="I529" s="345"/>
      <c r="J529" s="441"/>
      <c r="K529" s="345"/>
      <c r="L529" s="478"/>
      <c r="M529" s="345"/>
      <c r="N529" s="345"/>
      <c r="O529" s="345"/>
      <c r="P529" s="414"/>
      <c r="Q529" s="414"/>
      <c r="R529" s="414"/>
      <c r="S529" s="445"/>
      <c r="T529" s="445"/>
      <c r="U529" s="445"/>
      <c r="V529" s="345"/>
      <c r="W529" s="441"/>
      <c r="X529" s="345"/>
      <c r="Y529" s="345"/>
      <c r="Z529" s="345"/>
      <c r="AA529" s="345"/>
      <c r="AB529" s="345"/>
      <c r="AC529" s="345"/>
      <c r="AD529" s="345"/>
      <c r="AE529" s="345"/>
      <c r="AF529" s="345"/>
      <c r="AG529" s="345"/>
      <c r="AH529" s="345"/>
      <c r="AI529" s="345"/>
      <c r="AJ529" s="345"/>
      <c r="AK529" s="345"/>
      <c r="AL529" s="345"/>
      <c r="AM529" s="345"/>
      <c r="AN529" s="345"/>
      <c r="AO529" s="345"/>
      <c r="AP529" s="345"/>
      <c r="AQ529" s="345"/>
      <c r="AR529" s="345"/>
      <c r="AS529" s="345"/>
    </row>
    <row r="530" ht="13.5" customHeight="1">
      <c r="A530" s="424" t="str">
        <f>'Membership Application List'!A759</f>
        <v/>
      </c>
      <c r="B530" s="443" t="str">
        <f t="shared" si="6"/>
        <v/>
      </c>
      <c r="C530" s="443" t="str">
        <f t="shared" si="7"/>
        <v/>
      </c>
      <c r="D530" s="426" t="str">
        <f>'Membership Application List'!E759</f>
        <v/>
      </c>
      <c r="E530" s="426" t="str">
        <f>IF('Membership Application List'!J759 = "Food/Litter Donation", 0, IF('Membership Application List'!J759 = "$15 Donation, Discord Verification", IF('Membership Application List'!N759 = TRUE, 15, 0)))</f>
        <v>#N/A</v>
      </c>
      <c r="F530" s="426">
        <f>if('Membership Application List'!K759=TRUE, 5,0)</f>
        <v>0</v>
      </c>
      <c r="G530" s="426" t="str">
        <f t="shared" si="8"/>
        <v>#N/A</v>
      </c>
      <c r="H530" s="427" t="str">
        <f>'Membership Application List'!L759</f>
        <v/>
      </c>
      <c r="I530" s="345"/>
      <c r="J530" s="441"/>
      <c r="K530" s="345"/>
      <c r="L530" s="478"/>
      <c r="M530" s="345"/>
      <c r="N530" s="345"/>
      <c r="O530" s="345"/>
      <c r="P530" s="414"/>
      <c r="Q530" s="414"/>
      <c r="R530" s="414"/>
      <c r="S530" s="445"/>
      <c r="T530" s="445"/>
      <c r="U530" s="445"/>
      <c r="V530" s="345"/>
      <c r="W530" s="441"/>
      <c r="X530" s="345"/>
      <c r="Y530" s="345"/>
      <c r="Z530" s="345"/>
      <c r="AA530" s="345"/>
      <c r="AB530" s="345"/>
      <c r="AC530" s="345"/>
      <c r="AD530" s="345"/>
      <c r="AE530" s="345"/>
      <c r="AF530" s="345"/>
      <c r="AG530" s="345"/>
      <c r="AH530" s="345"/>
      <c r="AI530" s="345"/>
      <c r="AJ530" s="345"/>
      <c r="AK530" s="345"/>
      <c r="AL530" s="345"/>
      <c r="AM530" s="345"/>
      <c r="AN530" s="345"/>
      <c r="AO530" s="345"/>
      <c r="AP530" s="345"/>
      <c r="AQ530" s="345"/>
      <c r="AR530" s="345"/>
      <c r="AS530" s="345"/>
    </row>
    <row r="531" ht="13.5" customHeight="1">
      <c r="A531" s="436" t="str">
        <f>'Membership Application List'!A760</f>
        <v/>
      </c>
      <c r="B531" s="437" t="str">
        <f t="shared" si="6"/>
        <v/>
      </c>
      <c r="C531" s="437" t="str">
        <f t="shared" si="7"/>
        <v/>
      </c>
      <c r="D531" s="438" t="str">
        <f>'Membership Application List'!E760</f>
        <v/>
      </c>
      <c r="E531" s="438" t="str">
        <f>IF('Membership Application List'!J760 = "Food/Litter Donation", 0, IF('Membership Application List'!J760 = "$15 Donation, Discord Verification", IF('Membership Application List'!N760 = TRUE, 15, 0)))</f>
        <v>#N/A</v>
      </c>
      <c r="F531" s="438">
        <f>if('Membership Application List'!K760=TRUE, 5,0)</f>
        <v>0</v>
      </c>
      <c r="G531" s="438" t="str">
        <f t="shared" si="8"/>
        <v>#N/A</v>
      </c>
      <c r="H531" s="439" t="str">
        <f>'Membership Application List'!L760</f>
        <v/>
      </c>
      <c r="I531" s="345"/>
      <c r="J531" s="441"/>
      <c r="K531" s="345"/>
      <c r="L531" s="478"/>
      <c r="M531" s="345"/>
      <c r="N531" s="345"/>
      <c r="O531" s="345"/>
      <c r="P531" s="414"/>
      <c r="Q531" s="414"/>
      <c r="R531" s="414"/>
      <c r="S531" s="445"/>
      <c r="T531" s="445"/>
      <c r="U531" s="445"/>
      <c r="V531" s="345"/>
      <c r="W531" s="441"/>
      <c r="X531" s="345"/>
      <c r="Y531" s="345"/>
      <c r="Z531" s="345"/>
      <c r="AA531" s="345"/>
      <c r="AB531" s="345"/>
      <c r="AC531" s="345"/>
      <c r="AD531" s="345"/>
      <c r="AE531" s="345"/>
      <c r="AF531" s="345"/>
      <c r="AG531" s="345"/>
      <c r="AH531" s="345"/>
      <c r="AI531" s="345"/>
      <c r="AJ531" s="345"/>
      <c r="AK531" s="345"/>
      <c r="AL531" s="345"/>
      <c r="AM531" s="345"/>
      <c r="AN531" s="345"/>
      <c r="AO531" s="345"/>
      <c r="AP531" s="345"/>
      <c r="AQ531" s="345"/>
      <c r="AR531" s="345"/>
      <c r="AS531" s="345"/>
    </row>
    <row r="532" ht="13.5" customHeight="1">
      <c r="A532" s="424" t="str">
        <f>'Membership Application List'!A761</f>
        <v/>
      </c>
      <c r="B532" s="443" t="str">
        <f t="shared" si="6"/>
        <v/>
      </c>
      <c r="C532" s="443" t="str">
        <f t="shared" si="7"/>
        <v/>
      </c>
      <c r="D532" s="426" t="str">
        <f>'Membership Application List'!E761</f>
        <v/>
      </c>
      <c r="E532" s="426" t="str">
        <f>IF('Membership Application List'!J761 = "Food/Litter Donation", 0, IF('Membership Application List'!J761 = "$15 Donation, Discord Verification", IF('Membership Application List'!N761 = TRUE, 15, 0)))</f>
        <v>#N/A</v>
      </c>
      <c r="F532" s="426">
        <f>if('Membership Application List'!K761=TRUE, 5,0)</f>
        <v>0</v>
      </c>
      <c r="G532" s="426" t="str">
        <f t="shared" si="8"/>
        <v>#N/A</v>
      </c>
      <c r="H532" s="427" t="str">
        <f>'Membership Application List'!L761</f>
        <v/>
      </c>
      <c r="I532" s="345"/>
      <c r="J532" s="441"/>
      <c r="K532" s="345"/>
      <c r="L532" s="478"/>
      <c r="M532" s="345"/>
      <c r="N532" s="345"/>
      <c r="O532" s="345"/>
      <c r="P532" s="414"/>
      <c r="Q532" s="414"/>
      <c r="R532" s="414"/>
      <c r="S532" s="445"/>
      <c r="T532" s="445"/>
      <c r="U532" s="445"/>
      <c r="V532" s="345"/>
      <c r="W532" s="441"/>
      <c r="X532" s="345"/>
      <c r="Y532" s="345"/>
      <c r="Z532" s="345"/>
      <c r="AA532" s="345"/>
      <c r="AB532" s="345"/>
      <c r="AC532" s="345"/>
      <c r="AD532" s="345"/>
      <c r="AE532" s="345"/>
      <c r="AF532" s="345"/>
      <c r="AG532" s="345"/>
      <c r="AH532" s="345"/>
      <c r="AI532" s="345"/>
      <c r="AJ532" s="345"/>
      <c r="AK532" s="345"/>
      <c r="AL532" s="345"/>
      <c r="AM532" s="345"/>
      <c r="AN532" s="345"/>
      <c r="AO532" s="345"/>
      <c r="AP532" s="345"/>
      <c r="AQ532" s="345"/>
      <c r="AR532" s="345"/>
      <c r="AS532" s="345"/>
    </row>
    <row r="533" ht="13.5" customHeight="1">
      <c r="A533" s="436" t="str">
        <f>'Membership Application List'!A762</f>
        <v/>
      </c>
      <c r="B533" s="437" t="str">
        <f t="shared" si="6"/>
        <v/>
      </c>
      <c r="C533" s="437" t="str">
        <f t="shared" si="7"/>
        <v/>
      </c>
      <c r="D533" s="438" t="str">
        <f>'Membership Application List'!E762</f>
        <v/>
      </c>
      <c r="E533" s="438" t="str">
        <f>IF('Membership Application List'!J762 = "Food/Litter Donation", 0, IF('Membership Application List'!J762 = "$15 Donation, Discord Verification", IF('Membership Application List'!N762 = TRUE, 15, 0)))</f>
        <v>#N/A</v>
      </c>
      <c r="F533" s="438">
        <f>if('Membership Application List'!K762=TRUE, 5,0)</f>
        <v>0</v>
      </c>
      <c r="G533" s="438" t="str">
        <f t="shared" si="8"/>
        <v>#N/A</v>
      </c>
      <c r="H533" s="439" t="str">
        <f>'Membership Application List'!L762</f>
        <v/>
      </c>
      <c r="I533" s="345"/>
      <c r="J533" s="441"/>
      <c r="K533" s="345"/>
      <c r="L533" s="478"/>
      <c r="M533" s="345"/>
      <c r="N533" s="345"/>
      <c r="O533" s="345"/>
      <c r="P533" s="414"/>
      <c r="Q533" s="414"/>
      <c r="R533" s="414"/>
      <c r="S533" s="445"/>
      <c r="T533" s="445"/>
      <c r="U533" s="445"/>
      <c r="V533" s="345"/>
      <c r="W533" s="441"/>
      <c r="X533" s="345"/>
      <c r="Y533" s="345"/>
      <c r="Z533" s="345"/>
      <c r="AA533" s="345"/>
      <c r="AB533" s="345"/>
      <c r="AC533" s="345"/>
      <c r="AD533" s="345"/>
      <c r="AE533" s="345"/>
      <c r="AF533" s="345"/>
      <c r="AG533" s="345"/>
      <c r="AH533" s="345"/>
      <c r="AI533" s="345"/>
      <c r="AJ533" s="345"/>
      <c r="AK533" s="345"/>
      <c r="AL533" s="345"/>
      <c r="AM533" s="345"/>
      <c r="AN533" s="345"/>
      <c r="AO533" s="345"/>
      <c r="AP533" s="345"/>
      <c r="AQ533" s="345"/>
      <c r="AR533" s="345"/>
      <c r="AS533" s="345"/>
    </row>
    <row r="534" ht="13.5" customHeight="1">
      <c r="A534" s="424" t="str">
        <f>'Membership Application List'!A763</f>
        <v/>
      </c>
      <c r="B534" s="443" t="str">
        <f t="shared" si="6"/>
        <v/>
      </c>
      <c r="C534" s="443" t="str">
        <f t="shared" si="7"/>
        <v/>
      </c>
      <c r="D534" s="426" t="str">
        <f>'Membership Application List'!E763</f>
        <v/>
      </c>
      <c r="E534" s="426" t="str">
        <f>IF('Membership Application List'!J763 = "Food/Litter Donation", 0, IF('Membership Application List'!J763 = "$15 Donation, Discord Verification", IF('Membership Application List'!N763 = TRUE, 15, 0)))</f>
        <v>#N/A</v>
      </c>
      <c r="F534" s="426">
        <f>if('Membership Application List'!K763=TRUE, 5,0)</f>
        <v>0</v>
      </c>
      <c r="G534" s="426" t="str">
        <f t="shared" si="8"/>
        <v>#N/A</v>
      </c>
      <c r="H534" s="427" t="str">
        <f>'Membership Application List'!L763</f>
        <v/>
      </c>
      <c r="I534" s="345"/>
      <c r="J534" s="441"/>
      <c r="K534" s="345"/>
      <c r="L534" s="478"/>
      <c r="M534" s="345"/>
      <c r="N534" s="345"/>
      <c r="O534" s="345"/>
      <c r="P534" s="414"/>
      <c r="Q534" s="414"/>
      <c r="R534" s="414"/>
      <c r="S534" s="445"/>
      <c r="T534" s="445"/>
      <c r="U534" s="445"/>
      <c r="V534" s="345"/>
      <c r="W534" s="441"/>
      <c r="X534" s="345"/>
      <c r="Y534" s="345"/>
      <c r="Z534" s="345"/>
      <c r="AA534" s="345"/>
      <c r="AB534" s="345"/>
      <c r="AC534" s="345"/>
      <c r="AD534" s="345"/>
      <c r="AE534" s="345"/>
      <c r="AF534" s="345"/>
      <c r="AG534" s="345"/>
      <c r="AH534" s="345"/>
      <c r="AI534" s="345"/>
      <c r="AJ534" s="345"/>
      <c r="AK534" s="345"/>
      <c r="AL534" s="345"/>
      <c r="AM534" s="345"/>
      <c r="AN534" s="345"/>
      <c r="AO534" s="345"/>
      <c r="AP534" s="345"/>
      <c r="AQ534" s="345"/>
      <c r="AR534" s="345"/>
      <c r="AS534" s="345"/>
    </row>
    <row r="535" ht="13.5" customHeight="1">
      <c r="A535" s="436" t="str">
        <f>'Membership Application List'!A764</f>
        <v/>
      </c>
      <c r="B535" s="437" t="str">
        <f t="shared" si="6"/>
        <v/>
      </c>
      <c r="C535" s="437" t="str">
        <f t="shared" si="7"/>
        <v/>
      </c>
      <c r="D535" s="438" t="str">
        <f>'Membership Application List'!E764</f>
        <v/>
      </c>
      <c r="E535" s="438" t="str">
        <f>IF('Membership Application List'!J764 = "Food/Litter Donation", 0, IF('Membership Application List'!J764 = "$15 Donation, Discord Verification", IF('Membership Application List'!N764 = TRUE, 15, 0)))</f>
        <v>#N/A</v>
      </c>
      <c r="F535" s="438">
        <f>if('Membership Application List'!K764=TRUE, 5,0)</f>
        <v>0</v>
      </c>
      <c r="G535" s="438" t="str">
        <f t="shared" si="8"/>
        <v>#N/A</v>
      </c>
      <c r="H535" s="439" t="str">
        <f>'Membership Application List'!L764</f>
        <v/>
      </c>
      <c r="I535" s="345"/>
      <c r="J535" s="441"/>
      <c r="K535" s="345"/>
      <c r="L535" s="478"/>
      <c r="M535" s="345"/>
      <c r="N535" s="345"/>
      <c r="O535" s="345"/>
      <c r="P535" s="414"/>
      <c r="Q535" s="414"/>
      <c r="R535" s="414"/>
      <c r="S535" s="445"/>
      <c r="T535" s="445"/>
      <c r="U535" s="445"/>
      <c r="V535" s="345"/>
      <c r="W535" s="441"/>
      <c r="X535" s="345"/>
      <c r="Y535" s="345"/>
      <c r="Z535" s="345"/>
      <c r="AA535" s="345"/>
      <c r="AB535" s="345"/>
      <c r="AC535" s="345"/>
      <c r="AD535" s="345"/>
      <c r="AE535" s="345"/>
      <c r="AF535" s="345"/>
      <c r="AG535" s="345"/>
      <c r="AH535" s="345"/>
      <c r="AI535" s="345"/>
      <c r="AJ535" s="345"/>
      <c r="AK535" s="345"/>
      <c r="AL535" s="345"/>
      <c r="AM535" s="345"/>
      <c r="AN535" s="345"/>
      <c r="AO535" s="345"/>
      <c r="AP535" s="345"/>
      <c r="AQ535" s="345"/>
      <c r="AR535" s="345"/>
      <c r="AS535" s="345"/>
    </row>
    <row r="536" ht="13.5" customHeight="1">
      <c r="A536" s="424" t="str">
        <f>'Membership Application List'!A765</f>
        <v/>
      </c>
      <c r="B536" s="443" t="str">
        <f t="shared" si="6"/>
        <v/>
      </c>
      <c r="C536" s="443" t="str">
        <f t="shared" si="7"/>
        <v/>
      </c>
      <c r="D536" s="426" t="str">
        <f>'Membership Application List'!E765</f>
        <v/>
      </c>
      <c r="E536" s="426" t="str">
        <f>IF('Membership Application List'!J765 = "Food/Litter Donation", 0, IF('Membership Application List'!J765 = "$15 Donation, Discord Verification", IF('Membership Application List'!N765 = TRUE, 15, 0)))</f>
        <v>#N/A</v>
      </c>
      <c r="F536" s="426">
        <f>if('Membership Application List'!K765=TRUE, 5,0)</f>
        <v>0</v>
      </c>
      <c r="G536" s="426" t="str">
        <f t="shared" si="8"/>
        <v>#N/A</v>
      </c>
      <c r="H536" s="427" t="str">
        <f>'Membership Application List'!L765</f>
        <v/>
      </c>
      <c r="I536" s="345"/>
      <c r="J536" s="441"/>
      <c r="K536" s="345"/>
      <c r="L536" s="478"/>
      <c r="M536" s="345"/>
      <c r="N536" s="345"/>
      <c r="O536" s="345"/>
      <c r="P536" s="414"/>
      <c r="Q536" s="414"/>
      <c r="R536" s="414"/>
      <c r="S536" s="445"/>
      <c r="T536" s="445"/>
      <c r="U536" s="445"/>
      <c r="V536" s="345"/>
      <c r="W536" s="441"/>
      <c r="X536" s="345"/>
      <c r="Y536" s="345"/>
      <c r="Z536" s="345"/>
      <c r="AA536" s="345"/>
      <c r="AB536" s="345"/>
      <c r="AC536" s="345"/>
      <c r="AD536" s="345"/>
      <c r="AE536" s="345"/>
      <c r="AF536" s="345"/>
      <c r="AG536" s="345"/>
      <c r="AH536" s="345"/>
      <c r="AI536" s="345"/>
      <c r="AJ536" s="345"/>
      <c r="AK536" s="345"/>
      <c r="AL536" s="345"/>
      <c r="AM536" s="345"/>
      <c r="AN536" s="345"/>
      <c r="AO536" s="345"/>
      <c r="AP536" s="345"/>
      <c r="AQ536" s="345"/>
      <c r="AR536" s="345"/>
      <c r="AS536" s="345"/>
    </row>
    <row r="537" ht="13.5" customHeight="1">
      <c r="A537" s="436" t="str">
        <f>'Membership Application List'!A766</f>
        <v/>
      </c>
      <c r="B537" s="437" t="str">
        <f t="shared" si="6"/>
        <v/>
      </c>
      <c r="C537" s="437" t="str">
        <f t="shared" si="7"/>
        <v/>
      </c>
      <c r="D537" s="438" t="str">
        <f>'Membership Application List'!E766</f>
        <v/>
      </c>
      <c r="E537" s="438" t="str">
        <f>IF('Membership Application List'!J766 = "Food/Litter Donation", 0, IF('Membership Application List'!J766 = "$15 Donation, Discord Verification", IF('Membership Application List'!N766 = TRUE, 15, 0)))</f>
        <v>#N/A</v>
      </c>
      <c r="F537" s="438">
        <f>if('Membership Application List'!K766=TRUE, 5,0)</f>
        <v>0</v>
      </c>
      <c r="G537" s="438" t="str">
        <f t="shared" si="8"/>
        <v>#N/A</v>
      </c>
      <c r="H537" s="439" t="str">
        <f>'Membership Application List'!L766</f>
        <v/>
      </c>
      <c r="I537" s="345"/>
      <c r="J537" s="441"/>
      <c r="K537" s="345"/>
      <c r="L537" s="478"/>
      <c r="M537" s="345"/>
      <c r="N537" s="345"/>
      <c r="O537" s="345"/>
      <c r="P537" s="414"/>
      <c r="Q537" s="414"/>
      <c r="R537" s="414"/>
      <c r="S537" s="445"/>
      <c r="T537" s="445"/>
      <c r="U537" s="445"/>
      <c r="V537" s="345"/>
      <c r="W537" s="441"/>
      <c r="X537" s="345"/>
      <c r="Y537" s="345"/>
      <c r="Z537" s="345"/>
      <c r="AA537" s="345"/>
      <c r="AB537" s="345"/>
      <c r="AC537" s="345"/>
      <c r="AD537" s="345"/>
      <c r="AE537" s="345"/>
      <c r="AF537" s="345"/>
      <c r="AG537" s="345"/>
      <c r="AH537" s="345"/>
      <c r="AI537" s="345"/>
      <c r="AJ537" s="345"/>
      <c r="AK537" s="345"/>
      <c r="AL537" s="345"/>
      <c r="AM537" s="345"/>
      <c r="AN537" s="345"/>
      <c r="AO537" s="345"/>
      <c r="AP537" s="345"/>
      <c r="AQ537" s="345"/>
      <c r="AR537" s="345"/>
      <c r="AS537" s="345"/>
    </row>
    <row r="538" ht="13.5" customHeight="1">
      <c r="A538" s="424" t="str">
        <f>'Membership Application List'!A767</f>
        <v/>
      </c>
      <c r="B538" s="443" t="str">
        <f t="shared" si="6"/>
        <v/>
      </c>
      <c r="C538" s="443" t="str">
        <f t="shared" si="7"/>
        <v/>
      </c>
      <c r="D538" s="426" t="str">
        <f>'Membership Application List'!E767</f>
        <v/>
      </c>
      <c r="E538" s="426" t="str">
        <f>IF('Membership Application List'!J767 = "Food/Litter Donation", 0, IF('Membership Application List'!J767 = "$15 Donation, Discord Verification", IF('Membership Application List'!N767 = TRUE, 15, 0)))</f>
        <v>#N/A</v>
      </c>
      <c r="F538" s="426">
        <f>if('Membership Application List'!K767=TRUE, 5,0)</f>
        <v>0</v>
      </c>
      <c r="G538" s="426" t="str">
        <f t="shared" si="8"/>
        <v>#N/A</v>
      </c>
      <c r="H538" s="427" t="str">
        <f>'Membership Application List'!L767</f>
        <v/>
      </c>
      <c r="I538" s="345"/>
      <c r="J538" s="441"/>
      <c r="K538" s="345"/>
      <c r="L538" s="478"/>
      <c r="M538" s="345"/>
      <c r="N538" s="345"/>
      <c r="O538" s="345"/>
      <c r="P538" s="414"/>
      <c r="Q538" s="414"/>
      <c r="R538" s="414"/>
      <c r="S538" s="445"/>
      <c r="T538" s="445"/>
      <c r="U538" s="445"/>
      <c r="V538" s="345"/>
      <c r="W538" s="441"/>
      <c r="X538" s="345"/>
      <c r="Y538" s="345"/>
      <c r="Z538" s="345"/>
      <c r="AA538" s="345"/>
      <c r="AB538" s="345"/>
      <c r="AC538" s="345"/>
      <c r="AD538" s="345"/>
      <c r="AE538" s="345"/>
      <c r="AF538" s="345"/>
      <c r="AG538" s="345"/>
      <c r="AH538" s="345"/>
      <c r="AI538" s="345"/>
      <c r="AJ538" s="345"/>
      <c r="AK538" s="345"/>
      <c r="AL538" s="345"/>
      <c r="AM538" s="345"/>
      <c r="AN538" s="345"/>
      <c r="AO538" s="345"/>
      <c r="AP538" s="345"/>
      <c r="AQ538" s="345"/>
      <c r="AR538" s="345"/>
      <c r="AS538" s="345"/>
    </row>
    <row r="539" ht="13.5" customHeight="1">
      <c r="A539" s="436" t="str">
        <f>'Membership Application List'!A768</f>
        <v/>
      </c>
      <c r="B539" s="437" t="str">
        <f t="shared" si="6"/>
        <v/>
      </c>
      <c r="C539" s="437" t="str">
        <f t="shared" si="7"/>
        <v/>
      </c>
      <c r="D539" s="438" t="str">
        <f>'Membership Application List'!E768</f>
        <v/>
      </c>
      <c r="E539" s="438" t="str">
        <f>IF('Membership Application List'!J768 = "Food/Litter Donation", 0, IF('Membership Application List'!J768 = "$15 Donation, Discord Verification", IF('Membership Application List'!N768 = TRUE, 15, 0)))</f>
        <v>#N/A</v>
      </c>
      <c r="F539" s="438">
        <f>if('Membership Application List'!K768=TRUE, 5,0)</f>
        <v>0</v>
      </c>
      <c r="G539" s="438" t="str">
        <f t="shared" si="8"/>
        <v>#N/A</v>
      </c>
      <c r="H539" s="439" t="str">
        <f>'Membership Application List'!L768</f>
        <v/>
      </c>
      <c r="I539" s="345"/>
      <c r="J539" s="441"/>
      <c r="K539" s="345"/>
      <c r="L539" s="478"/>
      <c r="M539" s="345"/>
      <c r="N539" s="345"/>
      <c r="O539" s="345"/>
      <c r="P539" s="414"/>
      <c r="Q539" s="414"/>
      <c r="R539" s="414"/>
      <c r="S539" s="445"/>
      <c r="T539" s="445"/>
      <c r="U539" s="445"/>
      <c r="V539" s="345"/>
      <c r="W539" s="441"/>
      <c r="X539" s="345"/>
      <c r="Y539" s="345"/>
      <c r="Z539" s="345"/>
      <c r="AA539" s="345"/>
      <c r="AB539" s="345"/>
      <c r="AC539" s="345"/>
      <c r="AD539" s="345"/>
      <c r="AE539" s="345"/>
      <c r="AF539" s="345"/>
      <c r="AG539" s="345"/>
      <c r="AH539" s="345"/>
      <c r="AI539" s="345"/>
      <c r="AJ539" s="345"/>
      <c r="AK539" s="345"/>
      <c r="AL539" s="345"/>
      <c r="AM539" s="345"/>
      <c r="AN539" s="345"/>
      <c r="AO539" s="345"/>
      <c r="AP539" s="345"/>
      <c r="AQ539" s="345"/>
      <c r="AR539" s="345"/>
      <c r="AS539" s="345"/>
    </row>
    <row r="540" ht="13.5" customHeight="1">
      <c r="A540" s="424" t="str">
        <f>'Membership Application List'!A769</f>
        <v/>
      </c>
      <c r="B540" s="443" t="str">
        <f t="shared" si="6"/>
        <v/>
      </c>
      <c r="C540" s="443" t="str">
        <f t="shared" si="7"/>
        <v/>
      </c>
      <c r="D540" s="426" t="str">
        <f>'Membership Application List'!E769</f>
        <v/>
      </c>
      <c r="E540" s="426" t="str">
        <f>IF('Membership Application List'!J769 = "Food/Litter Donation", 0, IF('Membership Application List'!J769 = "$15 Donation, Discord Verification", IF('Membership Application List'!N769 = TRUE, 15, 0)))</f>
        <v>#N/A</v>
      </c>
      <c r="F540" s="426">
        <f>if('Membership Application List'!K769=TRUE, 5,0)</f>
        <v>0</v>
      </c>
      <c r="G540" s="426" t="str">
        <f t="shared" si="8"/>
        <v>#N/A</v>
      </c>
      <c r="H540" s="427" t="str">
        <f>'Membership Application List'!L769</f>
        <v/>
      </c>
      <c r="I540" s="345"/>
      <c r="J540" s="441"/>
      <c r="K540" s="345"/>
      <c r="L540" s="478"/>
      <c r="M540" s="345"/>
      <c r="N540" s="345"/>
      <c r="O540" s="345"/>
      <c r="P540" s="414"/>
      <c r="Q540" s="414"/>
      <c r="R540" s="414"/>
      <c r="S540" s="445"/>
      <c r="T540" s="445"/>
      <c r="U540" s="445"/>
      <c r="V540" s="345"/>
      <c r="W540" s="441"/>
      <c r="X540" s="345"/>
      <c r="Y540" s="345"/>
      <c r="Z540" s="345"/>
      <c r="AA540" s="345"/>
      <c r="AB540" s="345"/>
      <c r="AC540" s="345"/>
      <c r="AD540" s="345"/>
      <c r="AE540" s="345"/>
      <c r="AF540" s="345"/>
      <c r="AG540" s="345"/>
      <c r="AH540" s="345"/>
      <c r="AI540" s="345"/>
      <c r="AJ540" s="345"/>
      <c r="AK540" s="345"/>
      <c r="AL540" s="345"/>
      <c r="AM540" s="345"/>
      <c r="AN540" s="345"/>
      <c r="AO540" s="345"/>
      <c r="AP540" s="345"/>
      <c r="AQ540" s="345"/>
      <c r="AR540" s="345"/>
      <c r="AS540" s="345"/>
    </row>
    <row r="541" ht="13.5" customHeight="1">
      <c r="A541" s="436" t="str">
        <f>'Membership Application List'!A770</f>
        <v/>
      </c>
      <c r="B541" s="437" t="str">
        <f t="shared" si="6"/>
        <v/>
      </c>
      <c r="C541" s="437" t="str">
        <f t="shared" si="7"/>
        <v/>
      </c>
      <c r="D541" s="438" t="str">
        <f>'Membership Application List'!E770</f>
        <v/>
      </c>
      <c r="E541" s="438" t="str">
        <f>IF('Membership Application List'!J770 = "Food/Litter Donation", 0, IF('Membership Application List'!J770 = "$15 Donation, Discord Verification", IF('Membership Application List'!N770 = TRUE, 15, 0)))</f>
        <v>#N/A</v>
      </c>
      <c r="F541" s="438">
        <f>if('Membership Application List'!K770=TRUE, 5,0)</f>
        <v>0</v>
      </c>
      <c r="G541" s="438" t="str">
        <f t="shared" si="8"/>
        <v>#N/A</v>
      </c>
      <c r="H541" s="439" t="str">
        <f>'Membership Application List'!L770</f>
        <v/>
      </c>
      <c r="I541" s="345"/>
      <c r="J541" s="441"/>
      <c r="K541" s="345"/>
      <c r="L541" s="478"/>
      <c r="M541" s="345"/>
      <c r="N541" s="345"/>
      <c r="O541" s="345"/>
      <c r="P541" s="414"/>
      <c r="Q541" s="414"/>
      <c r="R541" s="414"/>
      <c r="S541" s="445"/>
      <c r="T541" s="445"/>
      <c r="U541" s="445"/>
      <c r="V541" s="345"/>
      <c r="W541" s="441"/>
      <c r="X541" s="345"/>
      <c r="Y541" s="345"/>
      <c r="Z541" s="345"/>
      <c r="AA541" s="345"/>
      <c r="AB541" s="345"/>
      <c r="AC541" s="345"/>
      <c r="AD541" s="345"/>
      <c r="AE541" s="345"/>
      <c r="AF541" s="345"/>
      <c r="AG541" s="345"/>
      <c r="AH541" s="345"/>
      <c r="AI541" s="345"/>
      <c r="AJ541" s="345"/>
      <c r="AK541" s="345"/>
      <c r="AL541" s="345"/>
      <c r="AM541" s="345"/>
      <c r="AN541" s="345"/>
      <c r="AO541" s="345"/>
      <c r="AP541" s="345"/>
      <c r="AQ541" s="345"/>
      <c r="AR541" s="345"/>
      <c r="AS541" s="345"/>
    </row>
    <row r="542" ht="13.5" customHeight="1">
      <c r="A542" s="424" t="str">
        <f>'Membership Application List'!A771</f>
        <v/>
      </c>
      <c r="B542" s="443" t="str">
        <f t="shared" si="6"/>
        <v/>
      </c>
      <c r="C542" s="443" t="str">
        <f t="shared" si="7"/>
        <v/>
      </c>
      <c r="D542" s="426" t="str">
        <f>'Membership Application List'!E771</f>
        <v/>
      </c>
      <c r="E542" s="426" t="str">
        <f>IF('Membership Application List'!J771 = "Food/Litter Donation", 0, IF('Membership Application List'!J771 = "$15 Donation, Discord Verification", IF('Membership Application List'!N771 = TRUE, 15, 0)))</f>
        <v>#N/A</v>
      </c>
      <c r="F542" s="426">
        <f>if('Membership Application List'!K771=TRUE, 5,0)</f>
        <v>0</v>
      </c>
      <c r="G542" s="426" t="str">
        <f t="shared" si="8"/>
        <v>#N/A</v>
      </c>
      <c r="H542" s="427" t="str">
        <f>'Membership Application List'!L771</f>
        <v/>
      </c>
      <c r="I542" s="345"/>
      <c r="J542" s="441"/>
      <c r="K542" s="345"/>
      <c r="L542" s="478"/>
      <c r="M542" s="345"/>
      <c r="N542" s="345"/>
      <c r="O542" s="345"/>
      <c r="P542" s="414"/>
      <c r="Q542" s="414"/>
      <c r="R542" s="414"/>
      <c r="S542" s="445"/>
      <c r="T542" s="445"/>
      <c r="U542" s="445"/>
      <c r="V542" s="345"/>
      <c r="W542" s="441"/>
      <c r="X542" s="345"/>
      <c r="Y542" s="345"/>
      <c r="Z542" s="345"/>
      <c r="AA542" s="345"/>
      <c r="AB542" s="345"/>
      <c r="AC542" s="345"/>
      <c r="AD542" s="345"/>
      <c r="AE542" s="345"/>
      <c r="AF542" s="345"/>
      <c r="AG542" s="345"/>
      <c r="AH542" s="345"/>
      <c r="AI542" s="345"/>
      <c r="AJ542" s="345"/>
      <c r="AK542" s="345"/>
      <c r="AL542" s="345"/>
      <c r="AM542" s="345"/>
      <c r="AN542" s="345"/>
      <c r="AO542" s="345"/>
      <c r="AP542" s="345"/>
      <c r="AQ542" s="345"/>
      <c r="AR542" s="345"/>
      <c r="AS542" s="345"/>
    </row>
    <row r="543" ht="13.5" customHeight="1">
      <c r="A543" s="436" t="str">
        <f>'Membership Application List'!A772</f>
        <v/>
      </c>
      <c r="B543" s="437" t="str">
        <f t="shared" si="6"/>
        <v/>
      </c>
      <c r="C543" s="437" t="str">
        <f t="shared" si="7"/>
        <v/>
      </c>
      <c r="D543" s="438" t="str">
        <f>'Membership Application List'!E772</f>
        <v/>
      </c>
      <c r="E543" s="438" t="str">
        <f>IF('Membership Application List'!J772 = "Food/Litter Donation", 0, IF('Membership Application List'!J772 = "$15 Donation, Discord Verification", IF('Membership Application List'!N772 = TRUE, 15, 0)))</f>
        <v>#N/A</v>
      </c>
      <c r="F543" s="438">
        <f>if('Membership Application List'!K772=TRUE, 5,0)</f>
        <v>0</v>
      </c>
      <c r="G543" s="438" t="str">
        <f t="shared" si="8"/>
        <v>#N/A</v>
      </c>
      <c r="H543" s="439" t="str">
        <f>'Membership Application List'!L772</f>
        <v/>
      </c>
      <c r="I543" s="345"/>
      <c r="J543" s="441"/>
      <c r="K543" s="345"/>
      <c r="L543" s="478"/>
      <c r="M543" s="345"/>
      <c r="N543" s="345"/>
      <c r="O543" s="345"/>
      <c r="P543" s="414"/>
      <c r="Q543" s="414"/>
      <c r="R543" s="414"/>
      <c r="S543" s="445"/>
      <c r="T543" s="445"/>
      <c r="U543" s="445"/>
      <c r="V543" s="345"/>
      <c r="W543" s="441"/>
      <c r="X543" s="345"/>
      <c r="Y543" s="345"/>
      <c r="Z543" s="345"/>
      <c r="AA543" s="345"/>
      <c r="AB543" s="345"/>
      <c r="AC543" s="345"/>
      <c r="AD543" s="345"/>
      <c r="AE543" s="345"/>
      <c r="AF543" s="345"/>
      <c r="AG543" s="345"/>
      <c r="AH543" s="345"/>
      <c r="AI543" s="345"/>
      <c r="AJ543" s="345"/>
      <c r="AK543" s="345"/>
      <c r="AL543" s="345"/>
      <c r="AM543" s="345"/>
      <c r="AN543" s="345"/>
      <c r="AO543" s="345"/>
      <c r="AP543" s="345"/>
      <c r="AQ543" s="345"/>
      <c r="AR543" s="345"/>
      <c r="AS543" s="345"/>
    </row>
    <row r="544" ht="13.5" customHeight="1">
      <c r="A544" s="424" t="str">
        <f>'Membership Application List'!A773</f>
        <v/>
      </c>
      <c r="B544" s="443" t="str">
        <f t="shared" si="6"/>
        <v/>
      </c>
      <c r="C544" s="443" t="str">
        <f t="shared" si="7"/>
        <v/>
      </c>
      <c r="D544" s="426" t="str">
        <f>'Membership Application List'!E773</f>
        <v/>
      </c>
      <c r="E544" s="426" t="str">
        <f>IF('Membership Application List'!J773 = "Food/Litter Donation", 0, IF('Membership Application List'!J773 = "$15 Donation, Discord Verification", IF('Membership Application List'!N773 = TRUE, 15, 0)))</f>
        <v>#N/A</v>
      </c>
      <c r="F544" s="426">
        <f>if('Membership Application List'!K773=TRUE, 5,0)</f>
        <v>0</v>
      </c>
      <c r="G544" s="426" t="str">
        <f t="shared" si="8"/>
        <v>#N/A</v>
      </c>
      <c r="H544" s="427" t="str">
        <f>'Membership Application List'!L773</f>
        <v/>
      </c>
      <c r="I544" s="345"/>
      <c r="J544" s="441"/>
      <c r="K544" s="345"/>
      <c r="L544" s="478"/>
      <c r="M544" s="345"/>
      <c r="N544" s="345"/>
      <c r="O544" s="345"/>
      <c r="P544" s="414"/>
      <c r="Q544" s="414"/>
      <c r="R544" s="414"/>
      <c r="S544" s="445"/>
      <c r="T544" s="445"/>
      <c r="U544" s="445"/>
      <c r="V544" s="345"/>
      <c r="W544" s="441"/>
      <c r="X544" s="345"/>
      <c r="Y544" s="345"/>
      <c r="Z544" s="345"/>
      <c r="AA544" s="345"/>
      <c r="AB544" s="345"/>
      <c r="AC544" s="345"/>
      <c r="AD544" s="345"/>
      <c r="AE544" s="345"/>
      <c r="AF544" s="345"/>
      <c r="AG544" s="345"/>
      <c r="AH544" s="345"/>
      <c r="AI544" s="345"/>
      <c r="AJ544" s="345"/>
      <c r="AK544" s="345"/>
      <c r="AL544" s="345"/>
      <c r="AM544" s="345"/>
      <c r="AN544" s="345"/>
      <c r="AO544" s="345"/>
      <c r="AP544" s="345"/>
      <c r="AQ544" s="345"/>
      <c r="AR544" s="345"/>
      <c r="AS544" s="345"/>
    </row>
    <row r="545" ht="13.5" customHeight="1">
      <c r="A545" s="436" t="str">
        <f>'Membership Application List'!A774</f>
        <v/>
      </c>
      <c r="B545" s="437" t="str">
        <f t="shared" si="6"/>
        <v/>
      </c>
      <c r="C545" s="437" t="str">
        <f t="shared" si="7"/>
        <v/>
      </c>
      <c r="D545" s="438" t="str">
        <f>'Membership Application List'!E774</f>
        <v/>
      </c>
      <c r="E545" s="438" t="str">
        <f>IF('Membership Application List'!J774 = "Food/Litter Donation", 0, IF('Membership Application List'!J774 = "$15 Donation, Discord Verification", IF('Membership Application List'!N774 = TRUE, 15, 0)))</f>
        <v>#N/A</v>
      </c>
      <c r="F545" s="438">
        <f>if('Membership Application List'!K774=TRUE, 5,0)</f>
        <v>0</v>
      </c>
      <c r="G545" s="438" t="str">
        <f t="shared" si="8"/>
        <v>#N/A</v>
      </c>
      <c r="H545" s="439" t="str">
        <f>'Membership Application List'!L774</f>
        <v/>
      </c>
      <c r="I545" s="345"/>
      <c r="J545" s="441"/>
      <c r="K545" s="345"/>
      <c r="L545" s="478"/>
      <c r="M545" s="345"/>
      <c r="N545" s="345"/>
      <c r="O545" s="345"/>
      <c r="P545" s="414"/>
      <c r="Q545" s="414"/>
      <c r="R545" s="414"/>
      <c r="S545" s="445"/>
      <c r="T545" s="445"/>
      <c r="U545" s="445"/>
      <c r="V545" s="345"/>
      <c r="W545" s="441"/>
      <c r="X545" s="345"/>
      <c r="Y545" s="345"/>
      <c r="Z545" s="345"/>
      <c r="AA545" s="345"/>
      <c r="AB545" s="345"/>
      <c r="AC545" s="345"/>
      <c r="AD545" s="345"/>
      <c r="AE545" s="345"/>
      <c r="AF545" s="345"/>
      <c r="AG545" s="345"/>
      <c r="AH545" s="345"/>
      <c r="AI545" s="345"/>
      <c r="AJ545" s="345"/>
      <c r="AK545" s="345"/>
      <c r="AL545" s="345"/>
      <c r="AM545" s="345"/>
      <c r="AN545" s="345"/>
      <c r="AO545" s="345"/>
      <c r="AP545" s="345"/>
      <c r="AQ545" s="345"/>
      <c r="AR545" s="345"/>
      <c r="AS545" s="345"/>
    </row>
    <row r="546" ht="13.5" customHeight="1">
      <c r="A546" s="424" t="str">
        <f>'Membership Application List'!A775</f>
        <v/>
      </c>
      <c r="B546" s="443" t="str">
        <f t="shared" si="6"/>
        <v/>
      </c>
      <c r="C546" s="443" t="str">
        <f t="shared" si="7"/>
        <v/>
      </c>
      <c r="D546" s="426" t="str">
        <f>'Membership Application List'!E775</f>
        <v/>
      </c>
      <c r="E546" s="426" t="str">
        <f>IF('Membership Application List'!J775 = "Food/Litter Donation", 0, IF('Membership Application List'!J775 = "$15 Donation, Discord Verification", IF('Membership Application List'!N775 = TRUE, 15, 0)))</f>
        <v>#N/A</v>
      </c>
      <c r="F546" s="426">
        <f>if('Membership Application List'!K775=TRUE, 5,0)</f>
        <v>0</v>
      </c>
      <c r="G546" s="426" t="str">
        <f t="shared" si="8"/>
        <v>#N/A</v>
      </c>
      <c r="H546" s="427" t="str">
        <f>'Membership Application List'!L775</f>
        <v/>
      </c>
      <c r="I546" s="345"/>
      <c r="J546" s="441"/>
      <c r="K546" s="345"/>
      <c r="L546" s="478"/>
      <c r="M546" s="345"/>
      <c r="N546" s="345"/>
      <c r="O546" s="345"/>
      <c r="P546" s="414"/>
      <c r="Q546" s="414"/>
      <c r="R546" s="414"/>
      <c r="S546" s="445"/>
      <c r="T546" s="445"/>
      <c r="U546" s="445"/>
      <c r="V546" s="345"/>
      <c r="W546" s="441"/>
      <c r="X546" s="345"/>
      <c r="Y546" s="345"/>
      <c r="Z546" s="345"/>
      <c r="AA546" s="345"/>
      <c r="AB546" s="345"/>
      <c r="AC546" s="345"/>
      <c r="AD546" s="345"/>
      <c r="AE546" s="345"/>
      <c r="AF546" s="345"/>
      <c r="AG546" s="345"/>
      <c r="AH546" s="345"/>
      <c r="AI546" s="345"/>
      <c r="AJ546" s="345"/>
      <c r="AK546" s="345"/>
      <c r="AL546" s="345"/>
      <c r="AM546" s="345"/>
      <c r="AN546" s="345"/>
      <c r="AO546" s="345"/>
      <c r="AP546" s="345"/>
      <c r="AQ546" s="345"/>
      <c r="AR546" s="345"/>
      <c r="AS546" s="345"/>
    </row>
    <row r="547" ht="13.5" customHeight="1">
      <c r="A547" s="436" t="str">
        <f>'Membership Application List'!A776</f>
        <v/>
      </c>
      <c r="B547" s="437" t="str">
        <f t="shared" si="6"/>
        <v/>
      </c>
      <c r="C547" s="437" t="str">
        <f t="shared" si="7"/>
        <v/>
      </c>
      <c r="D547" s="438" t="str">
        <f>'Membership Application List'!E776</f>
        <v/>
      </c>
      <c r="E547" s="438" t="str">
        <f>IF('Membership Application List'!J776 = "Food/Litter Donation", 0, IF('Membership Application List'!J776 = "$15 Donation, Discord Verification", IF('Membership Application List'!N776 = TRUE, 15, 0)))</f>
        <v>#N/A</v>
      </c>
      <c r="F547" s="438">
        <f>if('Membership Application List'!K776=TRUE, 5,0)</f>
        <v>0</v>
      </c>
      <c r="G547" s="438" t="str">
        <f t="shared" si="8"/>
        <v>#N/A</v>
      </c>
      <c r="H547" s="439" t="str">
        <f>'Membership Application List'!L776</f>
        <v/>
      </c>
      <c r="I547" s="345"/>
      <c r="J547" s="441"/>
      <c r="K547" s="345"/>
      <c r="L547" s="478"/>
      <c r="M547" s="345"/>
      <c r="N547" s="345"/>
      <c r="O547" s="345"/>
      <c r="P547" s="414"/>
      <c r="Q547" s="414"/>
      <c r="R547" s="414"/>
      <c r="S547" s="445"/>
      <c r="T547" s="445"/>
      <c r="U547" s="445"/>
      <c r="V547" s="345"/>
      <c r="W547" s="441"/>
      <c r="X547" s="345"/>
      <c r="Y547" s="345"/>
      <c r="Z547" s="345"/>
      <c r="AA547" s="345"/>
      <c r="AB547" s="345"/>
      <c r="AC547" s="345"/>
      <c r="AD547" s="345"/>
      <c r="AE547" s="345"/>
      <c r="AF547" s="345"/>
      <c r="AG547" s="345"/>
      <c r="AH547" s="345"/>
      <c r="AI547" s="345"/>
      <c r="AJ547" s="345"/>
      <c r="AK547" s="345"/>
      <c r="AL547" s="345"/>
      <c r="AM547" s="345"/>
      <c r="AN547" s="345"/>
      <c r="AO547" s="345"/>
      <c r="AP547" s="345"/>
      <c r="AQ547" s="345"/>
      <c r="AR547" s="345"/>
      <c r="AS547" s="345"/>
    </row>
    <row r="548" ht="13.5" customHeight="1">
      <c r="A548" s="424" t="str">
        <f>'Membership Application List'!A777</f>
        <v/>
      </c>
      <c r="B548" s="443" t="str">
        <f t="shared" si="6"/>
        <v/>
      </c>
      <c r="C548" s="443" t="str">
        <f t="shared" si="7"/>
        <v/>
      </c>
      <c r="D548" s="426" t="str">
        <f>'Membership Application List'!E777</f>
        <v/>
      </c>
      <c r="E548" s="426" t="str">
        <f>IF('Membership Application List'!J777 = "Food/Litter Donation", 0, IF('Membership Application List'!J777 = "$15 Donation, Discord Verification", IF('Membership Application List'!N777 = TRUE, 15, 0)))</f>
        <v>#N/A</v>
      </c>
      <c r="F548" s="426">
        <f>if('Membership Application List'!K777=TRUE, 5,0)</f>
        <v>0</v>
      </c>
      <c r="G548" s="426" t="str">
        <f t="shared" si="8"/>
        <v>#N/A</v>
      </c>
      <c r="H548" s="427" t="str">
        <f>'Membership Application List'!L777</f>
        <v/>
      </c>
      <c r="I548" s="345"/>
      <c r="J548" s="441"/>
      <c r="K548" s="345"/>
      <c r="L548" s="478"/>
      <c r="M548" s="345"/>
      <c r="N548" s="345"/>
      <c r="O548" s="345"/>
      <c r="P548" s="414"/>
      <c r="Q548" s="414"/>
      <c r="R548" s="414"/>
      <c r="S548" s="445"/>
      <c r="T548" s="445"/>
      <c r="U548" s="445"/>
      <c r="V548" s="345"/>
      <c r="W548" s="441"/>
      <c r="X548" s="345"/>
      <c r="Y548" s="345"/>
      <c r="Z548" s="345"/>
      <c r="AA548" s="345"/>
      <c r="AB548" s="345"/>
      <c r="AC548" s="345"/>
      <c r="AD548" s="345"/>
      <c r="AE548" s="345"/>
      <c r="AF548" s="345"/>
      <c r="AG548" s="345"/>
      <c r="AH548" s="345"/>
      <c r="AI548" s="345"/>
      <c r="AJ548" s="345"/>
      <c r="AK548" s="345"/>
      <c r="AL548" s="345"/>
      <c r="AM548" s="345"/>
      <c r="AN548" s="345"/>
      <c r="AO548" s="345"/>
      <c r="AP548" s="345"/>
      <c r="AQ548" s="345"/>
      <c r="AR548" s="345"/>
      <c r="AS548" s="345"/>
    </row>
    <row r="549" ht="13.5" customHeight="1">
      <c r="A549" s="436" t="str">
        <f>'Membership Application List'!A778</f>
        <v/>
      </c>
      <c r="B549" s="437" t="str">
        <f t="shared" si="6"/>
        <v/>
      </c>
      <c r="C549" s="437" t="str">
        <f t="shared" si="7"/>
        <v/>
      </c>
      <c r="D549" s="438" t="str">
        <f>'Membership Application List'!E778</f>
        <v/>
      </c>
      <c r="E549" s="438" t="str">
        <f>IF('Membership Application List'!J778 = "Food/Litter Donation", 0, IF('Membership Application List'!J778 = "$15 Donation, Discord Verification", IF('Membership Application List'!N778 = TRUE, 15, 0)))</f>
        <v>#N/A</v>
      </c>
      <c r="F549" s="438">
        <f>if('Membership Application List'!K778=TRUE, 5,0)</f>
        <v>0</v>
      </c>
      <c r="G549" s="438" t="str">
        <f t="shared" si="8"/>
        <v>#N/A</v>
      </c>
      <c r="H549" s="439" t="str">
        <f>'Membership Application List'!L778</f>
        <v/>
      </c>
      <c r="I549" s="345"/>
      <c r="J549" s="441"/>
      <c r="K549" s="345"/>
      <c r="L549" s="478"/>
      <c r="M549" s="345"/>
      <c r="N549" s="345"/>
      <c r="O549" s="345"/>
      <c r="P549" s="414"/>
      <c r="Q549" s="414"/>
      <c r="R549" s="414"/>
      <c r="S549" s="445"/>
      <c r="T549" s="445"/>
      <c r="U549" s="445"/>
      <c r="V549" s="345"/>
      <c r="W549" s="441"/>
      <c r="X549" s="345"/>
      <c r="Y549" s="345"/>
      <c r="Z549" s="345"/>
      <c r="AA549" s="345"/>
      <c r="AB549" s="345"/>
      <c r="AC549" s="345"/>
      <c r="AD549" s="345"/>
      <c r="AE549" s="345"/>
      <c r="AF549" s="345"/>
      <c r="AG549" s="345"/>
      <c r="AH549" s="345"/>
      <c r="AI549" s="345"/>
      <c r="AJ549" s="345"/>
      <c r="AK549" s="345"/>
      <c r="AL549" s="345"/>
      <c r="AM549" s="345"/>
      <c r="AN549" s="345"/>
      <c r="AO549" s="345"/>
      <c r="AP549" s="345"/>
      <c r="AQ549" s="345"/>
      <c r="AR549" s="345"/>
      <c r="AS549" s="345"/>
    </row>
    <row r="550" ht="13.5" customHeight="1">
      <c r="A550" s="424" t="str">
        <f>'Membership Application List'!A779</f>
        <v/>
      </c>
      <c r="B550" s="443" t="str">
        <f t="shared" si="6"/>
        <v/>
      </c>
      <c r="C550" s="443" t="str">
        <f t="shared" si="7"/>
        <v/>
      </c>
      <c r="D550" s="426" t="str">
        <f>'Membership Application List'!E779</f>
        <v/>
      </c>
      <c r="E550" s="426" t="str">
        <f>IF('Membership Application List'!J779 = "Food/Litter Donation", 0, IF('Membership Application List'!J779 = "$15 Donation, Discord Verification", IF('Membership Application List'!N779 = TRUE, 15, 0)))</f>
        <v>#N/A</v>
      </c>
      <c r="F550" s="426">
        <f>if('Membership Application List'!K779=TRUE, 5,0)</f>
        <v>0</v>
      </c>
      <c r="G550" s="426" t="str">
        <f t="shared" si="8"/>
        <v>#N/A</v>
      </c>
      <c r="H550" s="427" t="str">
        <f>'Membership Application List'!L779</f>
        <v/>
      </c>
      <c r="I550" s="345"/>
      <c r="J550" s="441"/>
      <c r="K550" s="345"/>
      <c r="L550" s="478"/>
      <c r="M550" s="345"/>
      <c r="N550" s="345"/>
      <c r="O550" s="345"/>
      <c r="P550" s="414"/>
      <c r="Q550" s="414"/>
      <c r="R550" s="414"/>
      <c r="S550" s="445"/>
      <c r="T550" s="445"/>
      <c r="U550" s="445"/>
      <c r="V550" s="345"/>
      <c r="W550" s="441"/>
      <c r="X550" s="345"/>
      <c r="Y550" s="345"/>
      <c r="Z550" s="345"/>
      <c r="AA550" s="345"/>
      <c r="AB550" s="345"/>
      <c r="AC550" s="345"/>
      <c r="AD550" s="345"/>
      <c r="AE550" s="345"/>
      <c r="AF550" s="345"/>
      <c r="AG550" s="345"/>
      <c r="AH550" s="345"/>
      <c r="AI550" s="345"/>
      <c r="AJ550" s="345"/>
      <c r="AK550" s="345"/>
      <c r="AL550" s="345"/>
      <c r="AM550" s="345"/>
      <c r="AN550" s="345"/>
      <c r="AO550" s="345"/>
      <c r="AP550" s="345"/>
      <c r="AQ550" s="345"/>
      <c r="AR550" s="345"/>
      <c r="AS550" s="345"/>
    </row>
    <row r="551" ht="13.5" customHeight="1">
      <c r="A551" s="436" t="str">
        <f>'Membership Application List'!A780</f>
        <v/>
      </c>
      <c r="B551" s="437" t="str">
        <f t="shared" si="6"/>
        <v/>
      </c>
      <c r="C551" s="437" t="str">
        <f t="shared" si="7"/>
        <v/>
      </c>
      <c r="D551" s="438" t="str">
        <f>'Membership Application List'!E780</f>
        <v/>
      </c>
      <c r="E551" s="438" t="str">
        <f>IF('Membership Application List'!J780 = "Food/Litter Donation", 0, IF('Membership Application List'!J780 = "$15 Donation, Discord Verification", IF('Membership Application List'!N780 = TRUE, 15, 0)))</f>
        <v>#N/A</v>
      </c>
      <c r="F551" s="438">
        <f>if('Membership Application List'!K780=TRUE, 5,0)</f>
        <v>0</v>
      </c>
      <c r="G551" s="438" t="str">
        <f t="shared" si="8"/>
        <v>#N/A</v>
      </c>
      <c r="H551" s="439" t="str">
        <f>'Membership Application List'!L780</f>
        <v/>
      </c>
      <c r="I551" s="345"/>
      <c r="J551" s="441"/>
      <c r="K551" s="345"/>
      <c r="L551" s="478"/>
      <c r="M551" s="345"/>
      <c r="N551" s="345"/>
      <c r="O551" s="345"/>
      <c r="P551" s="414"/>
      <c r="Q551" s="414"/>
      <c r="R551" s="414"/>
      <c r="S551" s="445"/>
      <c r="T551" s="445"/>
      <c r="U551" s="445"/>
      <c r="V551" s="345"/>
      <c r="W551" s="441"/>
      <c r="X551" s="345"/>
      <c r="Y551" s="345"/>
      <c r="Z551" s="345"/>
      <c r="AA551" s="345"/>
      <c r="AB551" s="345"/>
      <c r="AC551" s="345"/>
      <c r="AD551" s="345"/>
      <c r="AE551" s="345"/>
      <c r="AF551" s="345"/>
      <c r="AG551" s="345"/>
      <c r="AH551" s="345"/>
      <c r="AI551" s="345"/>
      <c r="AJ551" s="345"/>
      <c r="AK551" s="345"/>
      <c r="AL551" s="345"/>
      <c r="AM551" s="345"/>
      <c r="AN551" s="345"/>
      <c r="AO551" s="345"/>
      <c r="AP551" s="345"/>
      <c r="AQ551" s="345"/>
      <c r="AR551" s="345"/>
      <c r="AS551" s="345"/>
    </row>
    <row r="552" ht="13.5" customHeight="1">
      <c r="A552" s="424" t="str">
        <f>'Membership Application List'!A781</f>
        <v/>
      </c>
      <c r="B552" s="443" t="str">
        <f t="shared" si="6"/>
        <v/>
      </c>
      <c r="C552" s="443" t="str">
        <f t="shared" si="7"/>
        <v/>
      </c>
      <c r="D552" s="426" t="str">
        <f>'Membership Application List'!E781</f>
        <v/>
      </c>
      <c r="E552" s="426" t="str">
        <f>IF('Membership Application List'!J781 = "Food/Litter Donation", 0, IF('Membership Application List'!J781 = "$15 Donation, Discord Verification", IF('Membership Application List'!N781 = TRUE, 15, 0)))</f>
        <v>#N/A</v>
      </c>
      <c r="F552" s="426">
        <f>if('Membership Application List'!K781=TRUE, 5,0)</f>
        <v>0</v>
      </c>
      <c r="G552" s="426" t="str">
        <f t="shared" si="8"/>
        <v>#N/A</v>
      </c>
      <c r="H552" s="427" t="str">
        <f>'Membership Application List'!L781</f>
        <v/>
      </c>
      <c r="I552" s="345"/>
      <c r="J552" s="441"/>
      <c r="K552" s="345"/>
      <c r="L552" s="478"/>
      <c r="M552" s="345"/>
      <c r="N552" s="345"/>
      <c r="O552" s="345"/>
      <c r="P552" s="414"/>
      <c r="Q552" s="414"/>
      <c r="R552" s="414"/>
      <c r="S552" s="445"/>
      <c r="T552" s="445"/>
      <c r="U552" s="445"/>
      <c r="V552" s="345"/>
      <c r="W552" s="441"/>
      <c r="X552" s="345"/>
      <c r="Y552" s="345"/>
      <c r="Z552" s="345"/>
      <c r="AA552" s="345"/>
      <c r="AB552" s="345"/>
      <c r="AC552" s="345"/>
      <c r="AD552" s="345"/>
      <c r="AE552" s="345"/>
      <c r="AF552" s="345"/>
      <c r="AG552" s="345"/>
      <c r="AH552" s="345"/>
      <c r="AI552" s="345"/>
      <c r="AJ552" s="345"/>
      <c r="AK552" s="345"/>
      <c r="AL552" s="345"/>
      <c r="AM552" s="345"/>
      <c r="AN552" s="345"/>
      <c r="AO552" s="345"/>
      <c r="AP552" s="345"/>
      <c r="AQ552" s="345"/>
      <c r="AR552" s="345"/>
      <c r="AS552" s="345"/>
    </row>
    <row r="553" ht="13.5" customHeight="1">
      <c r="A553" s="436" t="str">
        <f>'Membership Application List'!A782</f>
        <v/>
      </c>
      <c r="B553" s="437" t="str">
        <f t="shared" si="6"/>
        <v/>
      </c>
      <c r="C553" s="437" t="str">
        <f t="shared" si="7"/>
        <v/>
      </c>
      <c r="D553" s="438" t="str">
        <f>'Membership Application List'!E782</f>
        <v/>
      </c>
      <c r="E553" s="438" t="str">
        <f>IF('Membership Application List'!J782 = "Food/Litter Donation", 0, IF('Membership Application List'!J782 = "$15 Donation, Discord Verification", IF('Membership Application List'!N782 = TRUE, 15, 0)))</f>
        <v>#N/A</v>
      </c>
      <c r="F553" s="438">
        <f>if('Membership Application List'!K782=TRUE, 5,0)</f>
        <v>0</v>
      </c>
      <c r="G553" s="438" t="str">
        <f t="shared" si="8"/>
        <v>#N/A</v>
      </c>
      <c r="H553" s="439" t="str">
        <f>'Membership Application List'!L782</f>
        <v/>
      </c>
      <c r="I553" s="345"/>
      <c r="J553" s="441"/>
      <c r="K553" s="345"/>
      <c r="L553" s="478"/>
      <c r="M553" s="345"/>
      <c r="N553" s="345"/>
      <c r="O553" s="345"/>
      <c r="P553" s="414"/>
      <c r="Q553" s="414"/>
      <c r="R553" s="414"/>
      <c r="S553" s="445"/>
      <c r="T553" s="445"/>
      <c r="U553" s="445"/>
      <c r="V553" s="345"/>
      <c r="W553" s="441"/>
      <c r="X553" s="345"/>
      <c r="Y553" s="345"/>
      <c r="Z553" s="345"/>
      <c r="AA553" s="345"/>
      <c r="AB553" s="345"/>
      <c r="AC553" s="345"/>
      <c r="AD553" s="345"/>
      <c r="AE553" s="345"/>
      <c r="AF553" s="345"/>
      <c r="AG553" s="345"/>
      <c r="AH553" s="345"/>
      <c r="AI553" s="345"/>
      <c r="AJ553" s="345"/>
      <c r="AK553" s="345"/>
      <c r="AL553" s="345"/>
      <c r="AM553" s="345"/>
      <c r="AN553" s="345"/>
      <c r="AO553" s="345"/>
      <c r="AP553" s="345"/>
      <c r="AQ553" s="345"/>
      <c r="AR553" s="345"/>
      <c r="AS553" s="345"/>
    </row>
    <row r="554" ht="13.5" customHeight="1">
      <c r="A554" s="424" t="str">
        <f>'Membership Application List'!A783</f>
        <v/>
      </c>
      <c r="B554" s="443" t="str">
        <f t="shared" si="6"/>
        <v/>
      </c>
      <c r="C554" s="443" t="str">
        <f t="shared" si="7"/>
        <v/>
      </c>
      <c r="D554" s="426" t="str">
        <f>'Membership Application List'!E783</f>
        <v/>
      </c>
      <c r="E554" s="426" t="str">
        <f>IF('Membership Application List'!J783 = "Food/Litter Donation", 0, IF('Membership Application List'!J783 = "$15 Donation, Discord Verification", IF('Membership Application List'!N783 = TRUE, 15, 0)))</f>
        <v>#N/A</v>
      </c>
      <c r="F554" s="426">
        <f>if('Membership Application List'!K783=TRUE, 5,0)</f>
        <v>0</v>
      </c>
      <c r="G554" s="426" t="str">
        <f t="shared" si="8"/>
        <v>#N/A</v>
      </c>
      <c r="H554" s="427" t="str">
        <f>'Membership Application List'!L783</f>
        <v/>
      </c>
      <c r="I554" s="345"/>
      <c r="J554" s="441"/>
      <c r="K554" s="345"/>
      <c r="L554" s="478"/>
      <c r="M554" s="345"/>
      <c r="N554" s="345"/>
      <c r="O554" s="345"/>
      <c r="P554" s="414"/>
      <c r="Q554" s="414"/>
      <c r="R554" s="414"/>
      <c r="S554" s="445"/>
      <c r="T554" s="445"/>
      <c r="U554" s="445"/>
      <c r="V554" s="345"/>
      <c r="W554" s="441"/>
      <c r="X554" s="345"/>
      <c r="Y554" s="345"/>
      <c r="Z554" s="345"/>
      <c r="AA554" s="345"/>
      <c r="AB554" s="345"/>
      <c r="AC554" s="345"/>
      <c r="AD554" s="345"/>
      <c r="AE554" s="345"/>
      <c r="AF554" s="345"/>
      <c r="AG554" s="345"/>
      <c r="AH554" s="345"/>
      <c r="AI554" s="345"/>
      <c r="AJ554" s="345"/>
      <c r="AK554" s="345"/>
      <c r="AL554" s="345"/>
      <c r="AM554" s="345"/>
      <c r="AN554" s="345"/>
      <c r="AO554" s="345"/>
      <c r="AP554" s="345"/>
      <c r="AQ554" s="345"/>
      <c r="AR554" s="345"/>
      <c r="AS554" s="345"/>
    </row>
    <row r="555" ht="13.5" customHeight="1">
      <c r="A555" s="436" t="str">
        <f>'Membership Application List'!A784</f>
        <v/>
      </c>
      <c r="B555" s="437" t="str">
        <f t="shared" si="6"/>
        <v/>
      </c>
      <c r="C555" s="437" t="str">
        <f t="shared" si="7"/>
        <v/>
      </c>
      <c r="D555" s="438" t="str">
        <f>'Membership Application List'!E784</f>
        <v/>
      </c>
      <c r="E555" s="438" t="str">
        <f>IF('Membership Application List'!J784 = "Food/Litter Donation", 0, IF('Membership Application List'!J784 = "$15 Donation, Discord Verification", IF('Membership Application List'!N784 = TRUE, 15, 0)))</f>
        <v>#N/A</v>
      </c>
      <c r="F555" s="438">
        <f>if('Membership Application List'!K784=TRUE, 5,0)</f>
        <v>0</v>
      </c>
      <c r="G555" s="438" t="str">
        <f t="shared" si="8"/>
        <v>#N/A</v>
      </c>
      <c r="H555" s="439" t="str">
        <f>'Membership Application List'!L784</f>
        <v/>
      </c>
      <c r="I555" s="345"/>
      <c r="J555" s="441"/>
      <c r="K555" s="345"/>
      <c r="L555" s="478"/>
      <c r="M555" s="345"/>
      <c r="N555" s="345"/>
      <c r="O555" s="345"/>
      <c r="P555" s="414"/>
      <c r="Q555" s="414"/>
      <c r="R555" s="414"/>
      <c r="S555" s="445"/>
      <c r="T555" s="445"/>
      <c r="U555" s="445"/>
      <c r="V555" s="345"/>
      <c r="W555" s="441"/>
      <c r="X555" s="345"/>
      <c r="Y555" s="345"/>
      <c r="Z555" s="345"/>
      <c r="AA555" s="345"/>
      <c r="AB555" s="345"/>
      <c r="AC555" s="345"/>
      <c r="AD555" s="345"/>
      <c r="AE555" s="345"/>
      <c r="AF555" s="345"/>
      <c r="AG555" s="345"/>
      <c r="AH555" s="345"/>
      <c r="AI555" s="345"/>
      <c r="AJ555" s="345"/>
      <c r="AK555" s="345"/>
      <c r="AL555" s="345"/>
      <c r="AM555" s="345"/>
      <c r="AN555" s="345"/>
      <c r="AO555" s="345"/>
      <c r="AP555" s="345"/>
      <c r="AQ555" s="345"/>
      <c r="AR555" s="345"/>
      <c r="AS555" s="345"/>
    </row>
    <row r="556" ht="13.5" customHeight="1">
      <c r="A556" s="424" t="str">
        <f>'Membership Application List'!A785</f>
        <v/>
      </c>
      <c r="B556" s="443" t="str">
        <f t="shared" si="6"/>
        <v/>
      </c>
      <c r="C556" s="443" t="str">
        <f t="shared" si="7"/>
        <v/>
      </c>
      <c r="D556" s="426" t="str">
        <f>'Membership Application List'!E785</f>
        <v/>
      </c>
      <c r="E556" s="426" t="str">
        <f>IF('Membership Application List'!J785 = "Food/Litter Donation", 0, IF('Membership Application List'!J785 = "$15 Donation, Discord Verification", IF('Membership Application List'!N785 = TRUE, 15, 0)))</f>
        <v>#N/A</v>
      </c>
      <c r="F556" s="426">
        <f>if('Membership Application List'!K785=TRUE, 5,0)</f>
        <v>0</v>
      </c>
      <c r="G556" s="426" t="str">
        <f t="shared" si="8"/>
        <v>#N/A</v>
      </c>
      <c r="H556" s="427" t="str">
        <f>'Membership Application List'!L785</f>
        <v/>
      </c>
      <c r="I556" s="345"/>
      <c r="J556" s="441"/>
      <c r="K556" s="345"/>
      <c r="L556" s="478"/>
      <c r="M556" s="345"/>
      <c r="N556" s="345"/>
      <c r="O556" s="345"/>
      <c r="P556" s="414"/>
      <c r="Q556" s="414"/>
      <c r="R556" s="414"/>
      <c r="S556" s="445"/>
      <c r="T556" s="445"/>
      <c r="U556" s="445"/>
      <c r="V556" s="345"/>
      <c r="W556" s="441"/>
      <c r="X556" s="345"/>
      <c r="Y556" s="345"/>
      <c r="Z556" s="345"/>
      <c r="AA556" s="345"/>
      <c r="AB556" s="345"/>
      <c r="AC556" s="345"/>
      <c r="AD556" s="345"/>
      <c r="AE556" s="345"/>
      <c r="AF556" s="345"/>
      <c r="AG556" s="345"/>
      <c r="AH556" s="345"/>
      <c r="AI556" s="345"/>
      <c r="AJ556" s="345"/>
      <c r="AK556" s="345"/>
      <c r="AL556" s="345"/>
      <c r="AM556" s="345"/>
      <c r="AN556" s="345"/>
      <c r="AO556" s="345"/>
      <c r="AP556" s="345"/>
      <c r="AQ556" s="345"/>
      <c r="AR556" s="345"/>
      <c r="AS556" s="345"/>
    </row>
    <row r="557" ht="13.5" customHeight="1">
      <c r="A557" s="436" t="str">
        <f>'Membership Application List'!A786</f>
        <v/>
      </c>
      <c r="B557" s="437" t="str">
        <f t="shared" si="6"/>
        <v/>
      </c>
      <c r="C557" s="437" t="str">
        <f t="shared" si="7"/>
        <v/>
      </c>
      <c r="D557" s="438" t="str">
        <f>'Membership Application List'!E786</f>
        <v/>
      </c>
      <c r="E557" s="438" t="str">
        <f>IF('Membership Application List'!J786 = "Food/Litter Donation", 0, IF('Membership Application List'!J786 = "$15 Donation, Discord Verification", IF('Membership Application List'!N786 = TRUE, 15, 0)))</f>
        <v>#N/A</v>
      </c>
      <c r="F557" s="438">
        <f>if('Membership Application List'!K786=TRUE, 5,0)</f>
        <v>0</v>
      </c>
      <c r="G557" s="438" t="str">
        <f t="shared" si="8"/>
        <v>#N/A</v>
      </c>
      <c r="H557" s="439" t="str">
        <f>'Membership Application List'!L786</f>
        <v/>
      </c>
      <c r="I557" s="345"/>
      <c r="J557" s="441"/>
      <c r="K557" s="345"/>
      <c r="L557" s="478"/>
      <c r="M557" s="345"/>
      <c r="N557" s="345"/>
      <c r="O557" s="345"/>
      <c r="P557" s="414"/>
      <c r="Q557" s="414"/>
      <c r="R557" s="414"/>
      <c r="S557" s="445"/>
      <c r="T557" s="445"/>
      <c r="U557" s="445"/>
      <c r="V557" s="345"/>
      <c r="W557" s="441"/>
      <c r="X557" s="345"/>
      <c r="Y557" s="345"/>
      <c r="Z557" s="345"/>
      <c r="AA557" s="345"/>
      <c r="AB557" s="345"/>
      <c r="AC557" s="345"/>
      <c r="AD557" s="345"/>
      <c r="AE557" s="345"/>
      <c r="AF557" s="345"/>
      <c r="AG557" s="345"/>
      <c r="AH557" s="345"/>
      <c r="AI557" s="345"/>
      <c r="AJ557" s="345"/>
      <c r="AK557" s="345"/>
      <c r="AL557" s="345"/>
      <c r="AM557" s="345"/>
      <c r="AN557" s="345"/>
      <c r="AO557" s="345"/>
      <c r="AP557" s="345"/>
      <c r="AQ557" s="345"/>
      <c r="AR557" s="345"/>
      <c r="AS557" s="345"/>
    </row>
    <row r="558" ht="13.5" customHeight="1">
      <c r="A558" s="424" t="str">
        <f>'Membership Application List'!A787</f>
        <v/>
      </c>
      <c r="B558" s="443" t="str">
        <f t="shared" si="6"/>
        <v/>
      </c>
      <c r="C558" s="443" t="str">
        <f t="shared" si="7"/>
        <v/>
      </c>
      <c r="D558" s="426" t="str">
        <f>'Membership Application List'!E787</f>
        <v/>
      </c>
      <c r="E558" s="426" t="str">
        <f>IF('Membership Application List'!J787 = "Food/Litter Donation", 0, IF('Membership Application List'!J787 = "$15 Donation, Discord Verification", IF('Membership Application List'!N787 = TRUE, 15, 0)))</f>
        <v>#N/A</v>
      </c>
      <c r="F558" s="426">
        <f>if('Membership Application List'!K787=TRUE, 5,0)</f>
        <v>0</v>
      </c>
      <c r="G558" s="426" t="str">
        <f t="shared" si="8"/>
        <v>#N/A</v>
      </c>
      <c r="H558" s="427" t="str">
        <f>'Membership Application List'!L787</f>
        <v/>
      </c>
      <c r="I558" s="345"/>
      <c r="J558" s="441"/>
      <c r="K558" s="345"/>
      <c r="L558" s="478"/>
      <c r="M558" s="345"/>
      <c r="N558" s="345"/>
      <c r="O558" s="345"/>
      <c r="P558" s="414"/>
      <c r="Q558" s="414"/>
      <c r="R558" s="414"/>
      <c r="S558" s="445"/>
      <c r="T558" s="445"/>
      <c r="U558" s="445"/>
      <c r="V558" s="345"/>
      <c r="W558" s="441"/>
      <c r="X558" s="345"/>
      <c r="Y558" s="345"/>
      <c r="Z558" s="345"/>
      <c r="AA558" s="345"/>
      <c r="AB558" s="345"/>
      <c r="AC558" s="345"/>
      <c r="AD558" s="345"/>
      <c r="AE558" s="345"/>
      <c r="AF558" s="345"/>
      <c r="AG558" s="345"/>
      <c r="AH558" s="345"/>
      <c r="AI558" s="345"/>
      <c r="AJ558" s="345"/>
      <c r="AK558" s="345"/>
      <c r="AL558" s="345"/>
      <c r="AM558" s="345"/>
      <c r="AN558" s="345"/>
      <c r="AO558" s="345"/>
      <c r="AP558" s="345"/>
      <c r="AQ558" s="345"/>
      <c r="AR558" s="345"/>
      <c r="AS558" s="345"/>
    </row>
    <row r="559" ht="13.5" customHeight="1">
      <c r="A559" s="436" t="str">
        <f>'Membership Application List'!A788</f>
        <v/>
      </c>
      <c r="B559" s="437" t="str">
        <f t="shared" si="6"/>
        <v/>
      </c>
      <c r="C559" s="437" t="str">
        <f t="shared" si="7"/>
        <v/>
      </c>
      <c r="D559" s="438" t="str">
        <f>'Membership Application List'!E788</f>
        <v/>
      </c>
      <c r="E559" s="438" t="str">
        <f>IF('Membership Application List'!J788 = "Food/Litter Donation", 0, IF('Membership Application List'!J788 = "$15 Donation, Discord Verification", IF('Membership Application List'!N788 = TRUE, 15, 0)))</f>
        <v>#N/A</v>
      </c>
      <c r="F559" s="438">
        <f>if('Membership Application List'!K788=TRUE, 5,0)</f>
        <v>0</v>
      </c>
      <c r="G559" s="438" t="str">
        <f t="shared" si="8"/>
        <v>#N/A</v>
      </c>
      <c r="H559" s="439" t="str">
        <f>'Membership Application List'!L788</f>
        <v/>
      </c>
      <c r="I559" s="345"/>
      <c r="J559" s="441"/>
      <c r="K559" s="345"/>
      <c r="L559" s="478"/>
      <c r="M559" s="345"/>
      <c r="N559" s="345"/>
      <c r="O559" s="345"/>
      <c r="P559" s="414"/>
      <c r="Q559" s="414"/>
      <c r="R559" s="414"/>
      <c r="S559" s="445"/>
      <c r="T559" s="445"/>
      <c r="U559" s="445"/>
      <c r="V559" s="345"/>
      <c r="W559" s="441"/>
      <c r="X559" s="345"/>
      <c r="Y559" s="345"/>
      <c r="Z559" s="345"/>
      <c r="AA559" s="345"/>
      <c r="AB559" s="345"/>
      <c r="AC559" s="345"/>
      <c r="AD559" s="345"/>
      <c r="AE559" s="345"/>
      <c r="AF559" s="345"/>
      <c r="AG559" s="345"/>
      <c r="AH559" s="345"/>
      <c r="AI559" s="345"/>
      <c r="AJ559" s="345"/>
      <c r="AK559" s="345"/>
      <c r="AL559" s="345"/>
      <c r="AM559" s="345"/>
      <c r="AN559" s="345"/>
      <c r="AO559" s="345"/>
      <c r="AP559" s="345"/>
      <c r="AQ559" s="345"/>
      <c r="AR559" s="345"/>
      <c r="AS559" s="345"/>
    </row>
    <row r="560" ht="13.5" customHeight="1">
      <c r="A560" s="424" t="str">
        <f>'Membership Application List'!A789</f>
        <v/>
      </c>
      <c r="B560" s="443" t="str">
        <f t="shared" si="6"/>
        <v/>
      </c>
      <c r="C560" s="443" t="str">
        <f t="shared" si="7"/>
        <v/>
      </c>
      <c r="D560" s="426" t="str">
        <f>'Membership Application List'!E789</f>
        <v/>
      </c>
      <c r="E560" s="426" t="str">
        <f>IF('Membership Application List'!J789 = "Food/Litter Donation", 0, IF('Membership Application List'!J789 = "$15 Donation, Discord Verification", IF('Membership Application List'!N789 = TRUE, 15, 0)))</f>
        <v>#N/A</v>
      </c>
      <c r="F560" s="426">
        <f>if('Membership Application List'!K789=TRUE, 5,0)</f>
        <v>0</v>
      </c>
      <c r="G560" s="426" t="str">
        <f t="shared" si="8"/>
        <v>#N/A</v>
      </c>
      <c r="H560" s="427" t="str">
        <f>'Membership Application List'!L789</f>
        <v/>
      </c>
      <c r="I560" s="345"/>
      <c r="J560" s="441"/>
      <c r="K560" s="345"/>
      <c r="L560" s="478"/>
      <c r="M560" s="345"/>
      <c r="N560" s="345"/>
      <c r="O560" s="345"/>
      <c r="P560" s="414"/>
      <c r="Q560" s="414"/>
      <c r="R560" s="414"/>
      <c r="S560" s="445"/>
      <c r="T560" s="445"/>
      <c r="U560" s="445"/>
      <c r="V560" s="345"/>
      <c r="W560" s="441"/>
      <c r="X560" s="345"/>
      <c r="Y560" s="345"/>
      <c r="Z560" s="345"/>
      <c r="AA560" s="345"/>
      <c r="AB560" s="345"/>
      <c r="AC560" s="345"/>
      <c r="AD560" s="345"/>
      <c r="AE560" s="345"/>
      <c r="AF560" s="345"/>
      <c r="AG560" s="345"/>
      <c r="AH560" s="345"/>
      <c r="AI560" s="345"/>
      <c r="AJ560" s="345"/>
      <c r="AK560" s="345"/>
      <c r="AL560" s="345"/>
      <c r="AM560" s="345"/>
      <c r="AN560" s="345"/>
      <c r="AO560" s="345"/>
      <c r="AP560" s="345"/>
      <c r="AQ560" s="345"/>
      <c r="AR560" s="345"/>
      <c r="AS560" s="345"/>
    </row>
    <row r="561" ht="13.5" customHeight="1">
      <c r="A561" s="436" t="str">
        <f>'Membership Application List'!A790</f>
        <v/>
      </c>
      <c r="B561" s="437" t="str">
        <f t="shared" si="6"/>
        <v/>
      </c>
      <c r="C561" s="437" t="str">
        <f t="shared" si="7"/>
        <v/>
      </c>
      <c r="D561" s="438" t="str">
        <f>'Membership Application List'!E790</f>
        <v/>
      </c>
      <c r="E561" s="438" t="str">
        <f>IF('Membership Application List'!J790 = "Food/Litter Donation", 0, IF('Membership Application List'!J790 = "$15 Donation, Discord Verification", IF('Membership Application List'!N790 = TRUE, 15, 0)))</f>
        <v>#N/A</v>
      </c>
      <c r="F561" s="438">
        <f>if('Membership Application List'!K790=TRUE, 5,0)</f>
        <v>0</v>
      </c>
      <c r="G561" s="438" t="str">
        <f t="shared" si="8"/>
        <v>#N/A</v>
      </c>
      <c r="H561" s="439" t="str">
        <f>'Membership Application List'!L790</f>
        <v/>
      </c>
      <c r="I561" s="345"/>
      <c r="J561" s="441"/>
      <c r="K561" s="345"/>
      <c r="L561" s="478"/>
      <c r="M561" s="345"/>
      <c r="N561" s="345"/>
      <c r="O561" s="345"/>
      <c r="P561" s="414"/>
      <c r="Q561" s="414"/>
      <c r="R561" s="414"/>
      <c r="S561" s="445"/>
      <c r="T561" s="445"/>
      <c r="U561" s="445"/>
      <c r="V561" s="345"/>
      <c r="W561" s="441"/>
      <c r="X561" s="345"/>
      <c r="Y561" s="345"/>
      <c r="Z561" s="345"/>
      <c r="AA561" s="345"/>
      <c r="AB561" s="345"/>
      <c r="AC561" s="345"/>
      <c r="AD561" s="345"/>
      <c r="AE561" s="345"/>
      <c r="AF561" s="345"/>
      <c r="AG561" s="345"/>
      <c r="AH561" s="345"/>
      <c r="AI561" s="345"/>
      <c r="AJ561" s="345"/>
      <c r="AK561" s="345"/>
      <c r="AL561" s="345"/>
      <c r="AM561" s="345"/>
      <c r="AN561" s="345"/>
      <c r="AO561" s="345"/>
      <c r="AP561" s="345"/>
      <c r="AQ561" s="345"/>
      <c r="AR561" s="345"/>
      <c r="AS561" s="345"/>
    </row>
    <row r="562" ht="13.5" customHeight="1">
      <c r="A562" s="424" t="str">
        <f>'Membership Application List'!A791</f>
        <v/>
      </c>
      <c r="B562" s="443" t="str">
        <f t="shared" si="6"/>
        <v/>
      </c>
      <c r="C562" s="443" t="str">
        <f t="shared" si="7"/>
        <v/>
      </c>
      <c r="D562" s="426" t="str">
        <f>'Membership Application List'!E791</f>
        <v/>
      </c>
      <c r="E562" s="426" t="str">
        <f>IF('Membership Application List'!J791 = "Food/Litter Donation", 0, IF('Membership Application List'!J791 = "$15 Donation, Discord Verification", IF('Membership Application List'!N791 = TRUE, 15, 0)))</f>
        <v>#N/A</v>
      </c>
      <c r="F562" s="426">
        <f>if('Membership Application List'!K791=TRUE, 5,0)</f>
        <v>0</v>
      </c>
      <c r="G562" s="426" t="str">
        <f t="shared" si="8"/>
        <v>#N/A</v>
      </c>
      <c r="H562" s="427" t="str">
        <f>'Membership Application List'!L791</f>
        <v/>
      </c>
      <c r="I562" s="345"/>
      <c r="J562" s="441"/>
      <c r="K562" s="345"/>
      <c r="L562" s="478"/>
      <c r="M562" s="345"/>
      <c r="N562" s="345"/>
      <c r="O562" s="345"/>
      <c r="P562" s="414"/>
      <c r="Q562" s="414"/>
      <c r="R562" s="414"/>
      <c r="S562" s="445"/>
      <c r="T562" s="445"/>
      <c r="U562" s="445"/>
      <c r="V562" s="345"/>
      <c r="W562" s="441"/>
      <c r="X562" s="345"/>
      <c r="Y562" s="345"/>
      <c r="Z562" s="345"/>
      <c r="AA562" s="345"/>
      <c r="AB562" s="345"/>
      <c r="AC562" s="345"/>
      <c r="AD562" s="345"/>
      <c r="AE562" s="345"/>
      <c r="AF562" s="345"/>
      <c r="AG562" s="345"/>
      <c r="AH562" s="345"/>
      <c r="AI562" s="345"/>
      <c r="AJ562" s="345"/>
      <c r="AK562" s="345"/>
      <c r="AL562" s="345"/>
      <c r="AM562" s="345"/>
      <c r="AN562" s="345"/>
      <c r="AO562" s="345"/>
      <c r="AP562" s="345"/>
      <c r="AQ562" s="345"/>
      <c r="AR562" s="345"/>
      <c r="AS562" s="345"/>
    </row>
    <row r="563" ht="13.5" customHeight="1">
      <c r="A563" s="436" t="str">
        <f>'Membership Application List'!A792</f>
        <v/>
      </c>
      <c r="B563" s="437" t="str">
        <f t="shared" si="6"/>
        <v/>
      </c>
      <c r="C563" s="437" t="str">
        <f t="shared" si="7"/>
        <v/>
      </c>
      <c r="D563" s="438" t="str">
        <f>'Membership Application List'!E792</f>
        <v/>
      </c>
      <c r="E563" s="438" t="str">
        <f>IF('Membership Application List'!J792 = "Food/Litter Donation", 0, IF('Membership Application List'!J792 = "$15 Donation, Discord Verification", IF('Membership Application List'!N792 = TRUE, 15, 0)))</f>
        <v>#N/A</v>
      </c>
      <c r="F563" s="438">
        <f>if('Membership Application List'!K792=TRUE, 5,0)</f>
        <v>0</v>
      </c>
      <c r="G563" s="438" t="str">
        <f t="shared" si="8"/>
        <v>#N/A</v>
      </c>
      <c r="H563" s="439" t="str">
        <f>'Membership Application List'!L792</f>
        <v/>
      </c>
      <c r="I563" s="345"/>
      <c r="J563" s="441"/>
      <c r="K563" s="345"/>
      <c r="L563" s="478"/>
      <c r="M563" s="345"/>
      <c r="N563" s="345"/>
      <c r="O563" s="345"/>
      <c r="P563" s="414"/>
      <c r="Q563" s="414"/>
      <c r="R563" s="414"/>
      <c r="S563" s="445"/>
      <c r="T563" s="445"/>
      <c r="U563" s="445"/>
      <c r="V563" s="345"/>
      <c r="W563" s="441"/>
      <c r="X563" s="345"/>
      <c r="Y563" s="345"/>
      <c r="Z563" s="345"/>
      <c r="AA563" s="345"/>
      <c r="AB563" s="345"/>
      <c r="AC563" s="345"/>
      <c r="AD563" s="345"/>
      <c r="AE563" s="345"/>
      <c r="AF563" s="345"/>
      <c r="AG563" s="345"/>
      <c r="AH563" s="345"/>
      <c r="AI563" s="345"/>
      <c r="AJ563" s="345"/>
      <c r="AK563" s="345"/>
      <c r="AL563" s="345"/>
      <c r="AM563" s="345"/>
      <c r="AN563" s="345"/>
      <c r="AO563" s="345"/>
      <c r="AP563" s="345"/>
      <c r="AQ563" s="345"/>
      <c r="AR563" s="345"/>
      <c r="AS563" s="345"/>
    </row>
    <row r="564" ht="13.5" customHeight="1">
      <c r="A564" s="424" t="str">
        <f>'Membership Application List'!A793</f>
        <v/>
      </c>
      <c r="B564" s="443" t="str">
        <f t="shared" si="6"/>
        <v/>
      </c>
      <c r="C564" s="443" t="str">
        <f t="shared" si="7"/>
        <v/>
      </c>
      <c r="D564" s="426" t="str">
        <f>'Membership Application List'!E793</f>
        <v/>
      </c>
      <c r="E564" s="426" t="str">
        <f>IF('Membership Application List'!J793 = "Food/Litter Donation", 0, IF('Membership Application List'!J793 = "$15 Donation, Discord Verification", IF('Membership Application List'!N793 = TRUE, 15, 0)))</f>
        <v>#N/A</v>
      </c>
      <c r="F564" s="426">
        <f>if('Membership Application List'!K793=TRUE, 5,0)</f>
        <v>0</v>
      </c>
      <c r="G564" s="426" t="str">
        <f t="shared" si="8"/>
        <v>#N/A</v>
      </c>
      <c r="H564" s="427" t="str">
        <f>'Membership Application List'!L793</f>
        <v/>
      </c>
      <c r="I564" s="345"/>
      <c r="J564" s="441"/>
      <c r="K564" s="345"/>
      <c r="L564" s="478"/>
      <c r="M564" s="345"/>
      <c r="N564" s="345"/>
      <c r="O564" s="345"/>
      <c r="P564" s="414"/>
      <c r="Q564" s="414"/>
      <c r="R564" s="414"/>
      <c r="S564" s="445"/>
      <c r="T564" s="445"/>
      <c r="U564" s="445"/>
      <c r="V564" s="345"/>
      <c r="W564" s="441"/>
      <c r="X564" s="345"/>
      <c r="Y564" s="345"/>
      <c r="Z564" s="345"/>
      <c r="AA564" s="345"/>
      <c r="AB564" s="345"/>
      <c r="AC564" s="345"/>
      <c r="AD564" s="345"/>
      <c r="AE564" s="345"/>
      <c r="AF564" s="345"/>
      <c r="AG564" s="345"/>
      <c r="AH564" s="345"/>
      <c r="AI564" s="345"/>
      <c r="AJ564" s="345"/>
      <c r="AK564" s="345"/>
      <c r="AL564" s="345"/>
      <c r="AM564" s="345"/>
      <c r="AN564" s="345"/>
      <c r="AO564" s="345"/>
      <c r="AP564" s="345"/>
      <c r="AQ564" s="345"/>
      <c r="AR564" s="345"/>
      <c r="AS564" s="345"/>
    </row>
    <row r="565" ht="13.5" customHeight="1">
      <c r="A565" s="436" t="str">
        <f>'Membership Application List'!A794</f>
        <v/>
      </c>
      <c r="B565" s="437" t="str">
        <f t="shared" si="6"/>
        <v/>
      </c>
      <c r="C565" s="437" t="str">
        <f t="shared" si="7"/>
        <v/>
      </c>
      <c r="D565" s="438" t="str">
        <f>'Membership Application List'!E794</f>
        <v/>
      </c>
      <c r="E565" s="438" t="str">
        <f>IF('Membership Application List'!J794 = "Food/Litter Donation", 0, IF('Membership Application List'!J794 = "$15 Donation, Discord Verification", IF('Membership Application List'!N794 = TRUE, 15, 0)))</f>
        <v>#N/A</v>
      </c>
      <c r="F565" s="438">
        <f>if('Membership Application List'!K794=TRUE, 5,0)</f>
        <v>0</v>
      </c>
      <c r="G565" s="438" t="str">
        <f t="shared" si="8"/>
        <v>#N/A</v>
      </c>
      <c r="H565" s="439" t="str">
        <f>'Membership Application List'!L794</f>
        <v/>
      </c>
      <c r="I565" s="345"/>
      <c r="J565" s="441"/>
      <c r="K565" s="345"/>
      <c r="L565" s="478"/>
      <c r="M565" s="345"/>
      <c r="N565" s="345"/>
      <c r="O565" s="345"/>
      <c r="P565" s="414"/>
      <c r="Q565" s="414"/>
      <c r="R565" s="414"/>
      <c r="S565" s="445"/>
      <c r="T565" s="445"/>
      <c r="U565" s="445"/>
      <c r="V565" s="345"/>
      <c r="W565" s="441"/>
      <c r="X565" s="345"/>
      <c r="Y565" s="345"/>
      <c r="Z565" s="345"/>
      <c r="AA565" s="345"/>
      <c r="AB565" s="345"/>
      <c r="AC565" s="345"/>
      <c r="AD565" s="345"/>
      <c r="AE565" s="345"/>
      <c r="AF565" s="345"/>
      <c r="AG565" s="345"/>
      <c r="AH565" s="345"/>
      <c r="AI565" s="345"/>
      <c r="AJ565" s="345"/>
      <c r="AK565" s="345"/>
      <c r="AL565" s="345"/>
      <c r="AM565" s="345"/>
      <c r="AN565" s="345"/>
      <c r="AO565" s="345"/>
      <c r="AP565" s="345"/>
      <c r="AQ565" s="345"/>
      <c r="AR565" s="345"/>
      <c r="AS565" s="345"/>
    </row>
    <row r="566" ht="13.5" customHeight="1">
      <c r="A566" s="424" t="str">
        <f>'Membership Application List'!A795</f>
        <v/>
      </c>
      <c r="B566" s="443" t="str">
        <f t="shared" si="6"/>
        <v/>
      </c>
      <c r="C566" s="443" t="str">
        <f t="shared" si="7"/>
        <v/>
      </c>
      <c r="D566" s="426" t="str">
        <f>'Membership Application List'!E795</f>
        <v/>
      </c>
      <c r="E566" s="426" t="str">
        <f>IF('Membership Application List'!J795 = "Food/Litter Donation", 0, IF('Membership Application List'!J795 = "$15 Donation, Discord Verification", IF('Membership Application List'!N795 = TRUE, 15, 0)))</f>
        <v>#N/A</v>
      </c>
      <c r="F566" s="426">
        <f>if('Membership Application List'!K795=TRUE, 5,0)</f>
        <v>0</v>
      </c>
      <c r="G566" s="426" t="str">
        <f t="shared" si="8"/>
        <v>#N/A</v>
      </c>
      <c r="H566" s="427" t="str">
        <f>'Membership Application List'!L795</f>
        <v/>
      </c>
      <c r="I566" s="345"/>
      <c r="J566" s="441"/>
      <c r="K566" s="345"/>
      <c r="L566" s="478"/>
      <c r="M566" s="345"/>
      <c r="N566" s="345"/>
      <c r="O566" s="345"/>
      <c r="P566" s="414"/>
      <c r="Q566" s="414"/>
      <c r="R566" s="414"/>
      <c r="S566" s="445"/>
      <c r="T566" s="445"/>
      <c r="U566" s="445"/>
      <c r="V566" s="345"/>
      <c r="W566" s="441"/>
      <c r="X566" s="345"/>
      <c r="Y566" s="345"/>
      <c r="Z566" s="345"/>
      <c r="AA566" s="345"/>
      <c r="AB566" s="345"/>
      <c r="AC566" s="345"/>
      <c r="AD566" s="345"/>
      <c r="AE566" s="345"/>
      <c r="AF566" s="345"/>
      <c r="AG566" s="345"/>
      <c r="AH566" s="345"/>
      <c r="AI566" s="345"/>
      <c r="AJ566" s="345"/>
      <c r="AK566" s="345"/>
      <c r="AL566" s="345"/>
      <c r="AM566" s="345"/>
      <c r="AN566" s="345"/>
      <c r="AO566" s="345"/>
      <c r="AP566" s="345"/>
      <c r="AQ566" s="345"/>
      <c r="AR566" s="345"/>
      <c r="AS566" s="345"/>
    </row>
    <row r="567" ht="13.5" customHeight="1">
      <c r="A567" s="436" t="str">
        <f>'Membership Application List'!A796</f>
        <v/>
      </c>
      <c r="B567" s="437" t="str">
        <f t="shared" si="6"/>
        <v/>
      </c>
      <c r="C567" s="437" t="str">
        <f t="shared" si="7"/>
        <v/>
      </c>
      <c r="D567" s="438" t="str">
        <f>'Membership Application List'!E796</f>
        <v/>
      </c>
      <c r="E567" s="438" t="str">
        <f>IF('Membership Application List'!J796 = "Food/Litter Donation", 0, IF('Membership Application List'!J796 = "$15 Donation, Discord Verification", IF('Membership Application List'!N796 = TRUE, 15, 0)))</f>
        <v>#N/A</v>
      </c>
      <c r="F567" s="438">
        <f>if('Membership Application List'!K796=TRUE, 5,0)</f>
        <v>0</v>
      </c>
      <c r="G567" s="438" t="str">
        <f t="shared" si="8"/>
        <v>#N/A</v>
      </c>
      <c r="H567" s="439" t="str">
        <f>'Membership Application List'!L796</f>
        <v/>
      </c>
      <c r="I567" s="345"/>
      <c r="J567" s="441"/>
      <c r="K567" s="345"/>
      <c r="L567" s="478"/>
      <c r="M567" s="345"/>
      <c r="N567" s="345"/>
      <c r="O567" s="345"/>
      <c r="P567" s="414"/>
      <c r="Q567" s="414"/>
      <c r="R567" s="414"/>
      <c r="S567" s="445"/>
      <c r="T567" s="445"/>
      <c r="U567" s="445"/>
      <c r="V567" s="345"/>
      <c r="W567" s="441"/>
      <c r="X567" s="345"/>
      <c r="Y567" s="345"/>
      <c r="Z567" s="345"/>
      <c r="AA567" s="345"/>
      <c r="AB567" s="345"/>
      <c r="AC567" s="345"/>
      <c r="AD567" s="345"/>
      <c r="AE567" s="345"/>
      <c r="AF567" s="345"/>
      <c r="AG567" s="345"/>
      <c r="AH567" s="345"/>
      <c r="AI567" s="345"/>
      <c r="AJ567" s="345"/>
      <c r="AK567" s="345"/>
      <c r="AL567" s="345"/>
      <c r="AM567" s="345"/>
      <c r="AN567" s="345"/>
      <c r="AO567" s="345"/>
      <c r="AP567" s="345"/>
      <c r="AQ567" s="345"/>
      <c r="AR567" s="345"/>
      <c r="AS567" s="345"/>
    </row>
    <row r="568" ht="13.5" customHeight="1">
      <c r="A568" s="424" t="str">
        <f>'Membership Application List'!A797</f>
        <v/>
      </c>
      <c r="B568" s="443" t="str">
        <f t="shared" si="6"/>
        <v/>
      </c>
      <c r="C568" s="443" t="str">
        <f t="shared" si="7"/>
        <v/>
      </c>
      <c r="D568" s="426" t="str">
        <f>'Membership Application List'!E797</f>
        <v/>
      </c>
      <c r="E568" s="426" t="str">
        <f>IF('Membership Application List'!J797 = "Food/Litter Donation", 0, IF('Membership Application List'!J797 = "$15 Donation, Discord Verification", IF('Membership Application List'!N797 = TRUE, 15, 0)))</f>
        <v>#N/A</v>
      </c>
      <c r="F568" s="426">
        <f>if('Membership Application List'!K797=TRUE, 5,0)</f>
        <v>0</v>
      </c>
      <c r="G568" s="426" t="str">
        <f t="shared" si="8"/>
        <v>#N/A</v>
      </c>
      <c r="H568" s="427" t="str">
        <f>'Membership Application List'!L797</f>
        <v/>
      </c>
      <c r="I568" s="345"/>
      <c r="J568" s="441"/>
      <c r="K568" s="345"/>
      <c r="L568" s="478"/>
      <c r="M568" s="345"/>
      <c r="N568" s="345"/>
      <c r="O568" s="345"/>
      <c r="P568" s="414"/>
      <c r="Q568" s="414"/>
      <c r="R568" s="414"/>
      <c r="S568" s="445"/>
      <c r="T568" s="445"/>
      <c r="U568" s="445"/>
      <c r="V568" s="345"/>
      <c r="W568" s="441"/>
      <c r="X568" s="345"/>
      <c r="Y568" s="345"/>
      <c r="Z568" s="345"/>
      <c r="AA568" s="345"/>
      <c r="AB568" s="345"/>
      <c r="AC568" s="345"/>
      <c r="AD568" s="345"/>
      <c r="AE568" s="345"/>
      <c r="AF568" s="345"/>
      <c r="AG568" s="345"/>
      <c r="AH568" s="345"/>
      <c r="AI568" s="345"/>
      <c r="AJ568" s="345"/>
      <c r="AK568" s="345"/>
      <c r="AL568" s="345"/>
      <c r="AM568" s="345"/>
      <c r="AN568" s="345"/>
      <c r="AO568" s="345"/>
      <c r="AP568" s="345"/>
      <c r="AQ568" s="345"/>
      <c r="AR568" s="345"/>
      <c r="AS568" s="345"/>
    </row>
    <row r="569" ht="13.5" customHeight="1">
      <c r="A569" s="436" t="str">
        <f>'Membership Application List'!A798</f>
        <v/>
      </c>
      <c r="B569" s="437" t="str">
        <f t="shared" si="6"/>
        <v/>
      </c>
      <c r="C569" s="437" t="str">
        <f t="shared" si="7"/>
        <v/>
      </c>
      <c r="D569" s="438" t="str">
        <f>'Membership Application List'!E798</f>
        <v/>
      </c>
      <c r="E569" s="438" t="str">
        <f>IF('Membership Application List'!J798 = "Food/Litter Donation", 0, IF('Membership Application List'!J798 = "$15 Donation, Discord Verification", IF('Membership Application List'!N798 = TRUE, 15, 0)))</f>
        <v>#N/A</v>
      </c>
      <c r="F569" s="438">
        <f>if('Membership Application List'!K798=TRUE, 5,0)</f>
        <v>0</v>
      </c>
      <c r="G569" s="438" t="str">
        <f t="shared" si="8"/>
        <v>#N/A</v>
      </c>
      <c r="H569" s="439" t="str">
        <f>'Membership Application List'!L798</f>
        <v/>
      </c>
      <c r="I569" s="345"/>
      <c r="J569" s="441"/>
      <c r="K569" s="345"/>
      <c r="L569" s="478"/>
      <c r="M569" s="345"/>
      <c r="N569" s="345"/>
      <c r="O569" s="345"/>
      <c r="P569" s="414"/>
      <c r="Q569" s="414"/>
      <c r="R569" s="414"/>
      <c r="S569" s="445"/>
      <c r="T569" s="445"/>
      <c r="U569" s="445"/>
      <c r="V569" s="345"/>
      <c r="W569" s="441"/>
      <c r="X569" s="345"/>
      <c r="Y569" s="345"/>
      <c r="Z569" s="345"/>
      <c r="AA569" s="345"/>
      <c r="AB569" s="345"/>
      <c r="AC569" s="345"/>
      <c r="AD569" s="345"/>
      <c r="AE569" s="345"/>
      <c r="AF569" s="345"/>
      <c r="AG569" s="345"/>
      <c r="AH569" s="345"/>
      <c r="AI569" s="345"/>
      <c r="AJ569" s="345"/>
      <c r="AK569" s="345"/>
      <c r="AL569" s="345"/>
      <c r="AM569" s="345"/>
      <c r="AN569" s="345"/>
      <c r="AO569" s="345"/>
      <c r="AP569" s="345"/>
      <c r="AQ569" s="345"/>
      <c r="AR569" s="345"/>
      <c r="AS569" s="345"/>
    </row>
    <row r="570" ht="13.5" customHeight="1">
      <c r="A570" s="424" t="str">
        <f>'Membership Application List'!A799</f>
        <v/>
      </c>
      <c r="B570" s="443" t="str">
        <f t="shared" si="6"/>
        <v/>
      </c>
      <c r="C570" s="443" t="str">
        <f t="shared" si="7"/>
        <v/>
      </c>
      <c r="D570" s="426" t="str">
        <f>'Membership Application List'!E799</f>
        <v/>
      </c>
      <c r="E570" s="426" t="str">
        <f>IF('Membership Application List'!J799 = "Food/Litter Donation", 0, IF('Membership Application List'!J799 = "$15 Donation, Discord Verification", IF('Membership Application List'!N799 = TRUE, 15, 0)))</f>
        <v>#N/A</v>
      </c>
      <c r="F570" s="426">
        <f>if('Membership Application List'!K799=TRUE, 5,0)</f>
        <v>0</v>
      </c>
      <c r="G570" s="426" t="str">
        <f t="shared" si="8"/>
        <v>#N/A</v>
      </c>
      <c r="H570" s="427" t="str">
        <f>'Membership Application List'!L799</f>
        <v/>
      </c>
      <c r="I570" s="345"/>
      <c r="J570" s="441"/>
      <c r="K570" s="345"/>
      <c r="L570" s="478"/>
      <c r="M570" s="345"/>
      <c r="N570" s="345"/>
      <c r="O570" s="345"/>
      <c r="P570" s="414"/>
      <c r="Q570" s="414"/>
      <c r="R570" s="414"/>
      <c r="S570" s="445"/>
      <c r="T570" s="445"/>
      <c r="U570" s="445"/>
      <c r="V570" s="345"/>
      <c r="W570" s="441"/>
      <c r="X570" s="345"/>
      <c r="Y570" s="345"/>
      <c r="Z570" s="345"/>
      <c r="AA570" s="345"/>
      <c r="AB570" s="345"/>
      <c r="AC570" s="345"/>
      <c r="AD570" s="345"/>
      <c r="AE570" s="345"/>
      <c r="AF570" s="345"/>
      <c r="AG570" s="345"/>
      <c r="AH570" s="345"/>
      <c r="AI570" s="345"/>
      <c r="AJ570" s="345"/>
      <c r="AK570" s="345"/>
      <c r="AL570" s="345"/>
      <c r="AM570" s="345"/>
      <c r="AN570" s="345"/>
      <c r="AO570" s="345"/>
      <c r="AP570" s="345"/>
      <c r="AQ570" s="345"/>
      <c r="AR570" s="345"/>
      <c r="AS570" s="345"/>
    </row>
    <row r="571" ht="13.5" customHeight="1">
      <c r="A571" s="436" t="str">
        <f>'Membership Application List'!A800</f>
        <v/>
      </c>
      <c r="B571" s="437" t="str">
        <f t="shared" si="6"/>
        <v/>
      </c>
      <c r="C571" s="437" t="str">
        <f t="shared" si="7"/>
        <v/>
      </c>
      <c r="D571" s="438" t="str">
        <f>'Membership Application List'!E800</f>
        <v/>
      </c>
      <c r="E571" s="438" t="str">
        <f>IF('Membership Application List'!J800 = "Food/Litter Donation", 0, IF('Membership Application List'!J800 = "$15 Donation, Discord Verification", IF('Membership Application List'!N800 = TRUE, 15, 0)))</f>
        <v>#N/A</v>
      </c>
      <c r="F571" s="438">
        <f>if('Membership Application List'!K800=TRUE, 5,0)</f>
        <v>0</v>
      </c>
      <c r="G571" s="438" t="str">
        <f t="shared" si="8"/>
        <v>#N/A</v>
      </c>
      <c r="H571" s="439" t="str">
        <f>'Membership Application List'!L800</f>
        <v/>
      </c>
      <c r="I571" s="345"/>
      <c r="J571" s="441"/>
      <c r="K571" s="345"/>
      <c r="L571" s="478"/>
      <c r="M571" s="345"/>
      <c r="N571" s="345"/>
      <c r="O571" s="345"/>
      <c r="P571" s="414"/>
      <c r="Q571" s="414"/>
      <c r="R571" s="414"/>
      <c r="S571" s="445"/>
      <c r="T571" s="445"/>
      <c r="U571" s="445"/>
      <c r="V571" s="345"/>
      <c r="W571" s="441"/>
      <c r="X571" s="345"/>
      <c r="Y571" s="345"/>
      <c r="Z571" s="345"/>
      <c r="AA571" s="345"/>
      <c r="AB571" s="345"/>
      <c r="AC571" s="345"/>
      <c r="AD571" s="345"/>
      <c r="AE571" s="345"/>
      <c r="AF571" s="345"/>
      <c r="AG571" s="345"/>
      <c r="AH571" s="345"/>
      <c r="AI571" s="345"/>
      <c r="AJ571" s="345"/>
      <c r="AK571" s="345"/>
      <c r="AL571" s="345"/>
      <c r="AM571" s="345"/>
      <c r="AN571" s="345"/>
      <c r="AO571" s="345"/>
      <c r="AP571" s="345"/>
      <c r="AQ571" s="345"/>
      <c r="AR571" s="345"/>
      <c r="AS571" s="345"/>
    </row>
    <row r="572" ht="13.5" customHeight="1">
      <c r="A572" s="424" t="str">
        <f>'Membership Application List'!A801</f>
        <v/>
      </c>
      <c r="B572" s="443" t="str">
        <f t="shared" si="6"/>
        <v/>
      </c>
      <c r="C572" s="443" t="str">
        <f t="shared" si="7"/>
        <v/>
      </c>
      <c r="D572" s="426" t="str">
        <f>'Membership Application List'!E801</f>
        <v/>
      </c>
      <c r="E572" s="426" t="str">
        <f>IF('Membership Application List'!J801 = "Food/Litter Donation", 0, IF('Membership Application List'!J801 = "$15 Donation, Discord Verification", IF('Membership Application List'!N801 = TRUE, 15, 0)))</f>
        <v>#N/A</v>
      </c>
      <c r="F572" s="426">
        <f>if('Membership Application List'!K801=TRUE, 5,0)</f>
        <v>0</v>
      </c>
      <c r="G572" s="426" t="str">
        <f t="shared" si="8"/>
        <v>#N/A</v>
      </c>
      <c r="H572" s="427" t="str">
        <f>'Membership Application List'!L801</f>
        <v/>
      </c>
      <c r="I572" s="345"/>
      <c r="J572" s="441"/>
      <c r="K572" s="345"/>
      <c r="L572" s="478"/>
      <c r="M572" s="345"/>
      <c r="N572" s="345"/>
      <c r="O572" s="345"/>
      <c r="P572" s="414"/>
      <c r="Q572" s="414"/>
      <c r="R572" s="414"/>
      <c r="S572" s="445"/>
      <c r="T572" s="445"/>
      <c r="U572" s="445"/>
      <c r="V572" s="345"/>
      <c r="W572" s="441"/>
      <c r="X572" s="345"/>
      <c r="Y572" s="345"/>
      <c r="Z572" s="345"/>
      <c r="AA572" s="345"/>
      <c r="AB572" s="345"/>
      <c r="AC572" s="345"/>
      <c r="AD572" s="345"/>
      <c r="AE572" s="345"/>
      <c r="AF572" s="345"/>
      <c r="AG572" s="345"/>
      <c r="AH572" s="345"/>
      <c r="AI572" s="345"/>
      <c r="AJ572" s="345"/>
      <c r="AK572" s="345"/>
      <c r="AL572" s="345"/>
      <c r="AM572" s="345"/>
      <c r="AN572" s="345"/>
      <c r="AO572" s="345"/>
      <c r="AP572" s="345"/>
      <c r="AQ572" s="345"/>
      <c r="AR572" s="345"/>
      <c r="AS572" s="345"/>
    </row>
    <row r="573" ht="13.5" customHeight="1">
      <c r="A573" s="436" t="str">
        <f>'Membership Application List'!A802</f>
        <v/>
      </c>
      <c r="B573" s="437" t="str">
        <f t="shared" si="6"/>
        <v/>
      </c>
      <c r="C573" s="437" t="str">
        <f t="shared" si="7"/>
        <v/>
      </c>
      <c r="D573" s="438" t="str">
        <f>'Membership Application List'!E802</f>
        <v/>
      </c>
      <c r="E573" s="438" t="str">
        <f>IF('Membership Application List'!J802 = "Food/Litter Donation", 0, IF('Membership Application List'!J802 = "$15 Donation, Discord Verification", IF('Membership Application List'!N802 = TRUE, 15, 0)))</f>
        <v>#N/A</v>
      </c>
      <c r="F573" s="438">
        <f>if('Membership Application List'!K802=TRUE, 5,0)</f>
        <v>0</v>
      </c>
      <c r="G573" s="438" t="str">
        <f t="shared" si="8"/>
        <v>#N/A</v>
      </c>
      <c r="H573" s="439" t="str">
        <f>'Membership Application List'!L802</f>
        <v/>
      </c>
      <c r="I573" s="345"/>
      <c r="J573" s="441"/>
      <c r="K573" s="345"/>
      <c r="L573" s="478"/>
      <c r="M573" s="345"/>
      <c r="N573" s="345"/>
      <c r="O573" s="345"/>
      <c r="P573" s="414"/>
      <c r="Q573" s="414"/>
      <c r="R573" s="414"/>
      <c r="S573" s="445"/>
      <c r="T573" s="445"/>
      <c r="U573" s="445"/>
      <c r="V573" s="345"/>
      <c r="W573" s="441"/>
      <c r="X573" s="345"/>
      <c r="Y573" s="345"/>
      <c r="Z573" s="345"/>
      <c r="AA573" s="345"/>
      <c r="AB573" s="345"/>
      <c r="AC573" s="345"/>
      <c r="AD573" s="345"/>
      <c r="AE573" s="345"/>
      <c r="AF573" s="345"/>
      <c r="AG573" s="345"/>
      <c r="AH573" s="345"/>
      <c r="AI573" s="345"/>
      <c r="AJ573" s="345"/>
      <c r="AK573" s="345"/>
      <c r="AL573" s="345"/>
      <c r="AM573" s="345"/>
      <c r="AN573" s="345"/>
      <c r="AO573" s="345"/>
      <c r="AP573" s="345"/>
      <c r="AQ573" s="345"/>
      <c r="AR573" s="345"/>
      <c r="AS573" s="345"/>
    </row>
    <row r="574" ht="13.5" customHeight="1">
      <c r="A574" s="424" t="str">
        <f>'Membership Application List'!A803</f>
        <v/>
      </c>
      <c r="B574" s="443" t="str">
        <f t="shared" si="6"/>
        <v/>
      </c>
      <c r="C574" s="443" t="str">
        <f t="shared" si="7"/>
        <v/>
      </c>
      <c r="D574" s="426" t="str">
        <f>'Membership Application List'!E803</f>
        <v/>
      </c>
      <c r="E574" s="426" t="str">
        <f>IF('Membership Application List'!J803 = "Food/Litter Donation", 0, IF('Membership Application List'!J803 = "$15 Donation, Discord Verification", IF('Membership Application List'!N803 = TRUE, 15, 0)))</f>
        <v>#N/A</v>
      </c>
      <c r="F574" s="426">
        <f>if('Membership Application List'!K803=TRUE, 5,0)</f>
        <v>0</v>
      </c>
      <c r="G574" s="426" t="str">
        <f t="shared" si="8"/>
        <v>#N/A</v>
      </c>
      <c r="H574" s="427" t="str">
        <f>'Membership Application List'!L803</f>
        <v/>
      </c>
      <c r="I574" s="345"/>
      <c r="J574" s="441"/>
      <c r="K574" s="345"/>
      <c r="L574" s="478"/>
      <c r="M574" s="345"/>
      <c r="N574" s="345"/>
      <c r="O574" s="345"/>
      <c r="P574" s="414"/>
      <c r="Q574" s="414"/>
      <c r="R574" s="414"/>
      <c r="S574" s="445"/>
      <c r="T574" s="445"/>
      <c r="U574" s="445"/>
      <c r="V574" s="345"/>
      <c r="W574" s="441"/>
      <c r="X574" s="345"/>
      <c r="Y574" s="345"/>
      <c r="Z574" s="345"/>
      <c r="AA574" s="345"/>
      <c r="AB574" s="345"/>
      <c r="AC574" s="345"/>
      <c r="AD574" s="345"/>
      <c r="AE574" s="345"/>
      <c r="AF574" s="345"/>
      <c r="AG574" s="345"/>
      <c r="AH574" s="345"/>
      <c r="AI574" s="345"/>
      <c r="AJ574" s="345"/>
      <c r="AK574" s="345"/>
      <c r="AL574" s="345"/>
      <c r="AM574" s="345"/>
      <c r="AN574" s="345"/>
      <c r="AO574" s="345"/>
      <c r="AP574" s="345"/>
      <c r="AQ574" s="345"/>
      <c r="AR574" s="345"/>
      <c r="AS574" s="345"/>
    </row>
    <row r="575" ht="13.5" customHeight="1">
      <c r="A575" s="436" t="str">
        <f>'Membership Application List'!A804</f>
        <v/>
      </c>
      <c r="B575" s="437" t="str">
        <f t="shared" si="6"/>
        <v/>
      </c>
      <c r="C575" s="437" t="str">
        <f t="shared" si="7"/>
        <v/>
      </c>
      <c r="D575" s="438" t="str">
        <f>'Membership Application List'!E804</f>
        <v/>
      </c>
      <c r="E575" s="438" t="str">
        <f>IF('Membership Application List'!J804 = "Food/Litter Donation", 0, IF('Membership Application List'!J804 = "$15 Donation, Discord Verification", IF('Membership Application List'!N804 = TRUE, 15, 0)))</f>
        <v>#N/A</v>
      </c>
      <c r="F575" s="438">
        <f>if('Membership Application List'!K804=TRUE, 5,0)</f>
        <v>0</v>
      </c>
      <c r="G575" s="438" t="str">
        <f t="shared" si="8"/>
        <v>#N/A</v>
      </c>
      <c r="H575" s="439" t="str">
        <f>'Membership Application List'!L804</f>
        <v/>
      </c>
      <c r="I575" s="345"/>
      <c r="J575" s="441"/>
      <c r="K575" s="345"/>
      <c r="L575" s="478"/>
      <c r="M575" s="345"/>
      <c r="N575" s="345"/>
      <c r="O575" s="345"/>
      <c r="P575" s="414"/>
      <c r="Q575" s="414"/>
      <c r="R575" s="414"/>
      <c r="S575" s="445"/>
      <c r="T575" s="445"/>
      <c r="U575" s="445"/>
      <c r="V575" s="345"/>
      <c r="W575" s="441"/>
      <c r="X575" s="345"/>
      <c r="Y575" s="345"/>
      <c r="Z575" s="345"/>
      <c r="AA575" s="345"/>
      <c r="AB575" s="345"/>
      <c r="AC575" s="345"/>
      <c r="AD575" s="345"/>
      <c r="AE575" s="345"/>
      <c r="AF575" s="345"/>
      <c r="AG575" s="345"/>
      <c r="AH575" s="345"/>
      <c r="AI575" s="345"/>
      <c r="AJ575" s="345"/>
      <c r="AK575" s="345"/>
      <c r="AL575" s="345"/>
      <c r="AM575" s="345"/>
      <c r="AN575" s="345"/>
      <c r="AO575" s="345"/>
      <c r="AP575" s="345"/>
      <c r="AQ575" s="345"/>
      <c r="AR575" s="345"/>
      <c r="AS575" s="345"/>
    </row>
    <row r="576" ht="13.5" customHeight="1">
      <c r="A576" s="424" t="str">
        <f>'Membership Application List'!A805</f>
        <v/>
      </c>
      <c r="B576" s="443" t="str">
        <f t="shared" si="6"/>
        <v/>
      </c>
      <c r="C576" s="443" t="str">
        <f t="shared" si="7"/>
        <v/>
      </c>
      <c r="D576" s="426" t="str">
        <f>'Membership Application List'!E805</f>
        <v/>
      </c>
      <c r="E576" s="426" t="str">
        <f>IF('Membership Application List'!J805 = "Food/Litter Donation", 0, IF('Membership Application List'!J805 = "$15 Donation, Discord Verification", IF('Membership Application List'!N805 = TRUE, 15, 0)))</f>
        <v>#N/A</v>
      </c>
      <c r="F576" s="426">
        <f>if('Membership Application List'!K805=TRUE, 5,0)</f>
        <v>0</v>
      </c>
      <c r="G576" s="426" t="str">
        <f t="shared" si="8"/>
        <v>#N/A</v>
      </c>
      <c r="H576" s="427" t="str">
        <f>'Membership Application List'!L805</f>
        <v/>
      </c>
      <c r="I576" s="345"/>
      <c r="J576" s="441"/>
      <c r="K576" s="345"/>
      <c r="L576" s="478"/>
      <c r="M576" s="345"/>
      <c r="N576" s="345"/>
      <c r="O576" s="345"/>
      <c r="P576" s="414"/>
      <c r="Q576" s="414"/>
      <c r="R576" s="414"/>
      <c r="S576" s="445"/>
      <c r="T576" s="445"/>
      <c r="U576" s="445"/>
      <c r="V576" s="345"/>
      <c r="W576" s="441"/>
      <c r="X576" s="345"/>
      <c r="Y576" s="345"/>
      <c r="Z576" s="345"/>
      <c r="AA576" s="345"/>
      <c r="AB576" s="345"/>
      <c r="AC576" s="345"/>
      <c r="AD576" s="345"/>
      <c r="AE576" s="345"/>
      <c r="AF576" s="345"/>
      <c r="AG576" s="345"/>
      <c r="AH576" s="345"/>
      <c r="AI576" s="345"/>
      <c r="AJ576" s="345"/>
      <c r="AK576" s="345"/>
      <c r="AL576" s="345"/>
      <c r="AM576" s="345"/>
      <c r="AN576" s="345"/>
      <c r="AO576" s="345"/>
      <c r="AP576" s="345"/>
      <c r="AQ576" s="345"/>
      <c r="AR576" s="345"/>
      <c r="AS576" s="345"/>
    </row>
    <row r="577" ht="13.5" customHeight="1">
      <c r="A577" s="436" t="str">
        <f>'Membership Application List'!A806</f>
        <v/>
      </c>
      <c r="B577" s="437" t="str">
        <f t="shared" si="6"/>
        <v/>
      </c>
      <c r="C577" s="437" t="str">
        <f t="shared" si="7"/>
        <v/>
      </c>
      <c r="D577" s="438" t="str">
        <f>'Membership Application List'!E806</f>
        <v/>
      </c>
      <c r="E577" s="438" t="str">
        <f>IF('Membership Application List'!J806 = "Food/Litter Donation", 0, IF('Membership Application List'!J806 = "$15 Donation, Discord Verification", IF('Membership Application List'!N806 = TRUE, 15, 0)))</f>
        <v>#N/A</v>
      </c>
      <c r="F577" s="438">
        <f>if('Membership Application List'!K806=TRUE, 5,0)</f>
        <v>0</v>
      </c>
      <c r="G577" s="438" t="str">
        <f t="shared" si="8"/>
        <v>#N/A</v>
      </c>
      <c r="H577" s="439" t="str">
        <f>'Membership Application List'!L806</f>
        <v/>
      </c>
      <c r="I577" s="345"/>
      <c r="J577" s="441"/>
      <c r="K577" s="345"/>
      <c r="L577" s="478"/>
      <c r="M577" s="345"/>
      <c r="N577" s="345"/>
      <c r="O577" s="345"/>
      <c r="P577" s="414"/>
      <c r="Q577" s="414"/>
      <c r="R577" s="414"/>
      <c r="S577" s="445"/>
      <c r="T577" s="445"/>
      <c r="U577" s="445"/>
      <c r="V577" s="345"/>
      <c r="W577" s="441"/>
      <c r="X577" s="345"/>
      <c r="Y577" s="345"/>
      <c r="Z577" s="345"/>
      <c r="AA577" s="345"/>
      <c r="AB577" s="345"/>
      <c r="AC577" s="345"/>
      <c r="AD577" s="345"/>
      <c r="AE577" s="345"/>
      <c r="AF577" s="345"/>
      <c r="AG577" s="345"/>
      <c r="AH577" s="345"/>
      <c r="AI577" s="345"/>
      <c r="AJ577" s="345"/>
      <c r="AK577" s="345"/>
      <c r="AL577" s="345"/>
      <c r="AM577" s="345"/>
      <c r="AN577" s="345"/>
      <c r="AO577" s="345"/>
      <c r="AP577" s="345"/>
      <c r="AQ577" s="345"/>
      <c r="AR577" s="345"/>
      <c r="AS577" s="345"/>
    </row>
    <row r="578" ht="13.5" customHeight="1">
      <c r="A578" s="424" t="str">
        <f>'Membership Application List'!A807</f>
        <v/>
      </c>
      <c r="B578" s="443" t="str">
        <f t="shared" si="6"/>
        <v/>
      </c>
      <c r="C578" s="443" t="str">
        <f t="shared" si="7"/>
        <v/>
      </c>
      <c r="D578" s="426" t="str">
        <f>'Membership Application List'!E807</f>
        <v/>
      </c>
      <c r="E578" s="426" t="str">
        <f>IF('Membership Application List'!J807 = "Food/Litter Donation", 0, IF('Membership Application List'!J807 = "$15 Donation, Discord Verification", IF('Membership Application List'!N807 = TRUE, 15, 0)))</f>
        <v>#N/A</v>
      </c>
      <c r="F578" s="426">
        <f>if('Membership Application List'!K807=TRUE, 5,0)</f>
        <v>0</v>
      </c>
      <c r="G578" s="426" t="str">
        <f t="shared" si="8"/>
        <v>#N/A</v>
      </c>
      <c r="H578" s="427" t="str">
        <f>'Membership Application List'!L807</f>
        <v/>
      </c>
      <c r="I578" s="345"/>
      <c r="J578" s="441"/>
      <c r="K578" s="345"/>
      <c r="L578" s="478"/>
      <c r="M578" s="345"/>
      <c r="N578" s="345"/>
      <c r="O578" s="345"/>
      <c r="P578" s="414"/>
      <c r="Q578" s="414"/>
      <c r="R578" s="414"/>
      <c r="S578" s="445"/>
      <c r="T578" s="445"/>
      <c r="U578" s="445"/>
      <c r="V578" s="345"/>
      <c r="W578" s="441"/>
      <c r="X578" s="345"/>
      <c r="Y578" s="345"/>
      <c r="Z578" s="345"/>
      <c r="AA578" s="345"/>
      <c r="AB578" s="345"/>
      <c r="AC578" s="345"/>
      <c r="AD578" s="345"/>
      <c r="AE578" s="345"/>
      <c r="AF578" s="345"/>
      <c r="AG578" s="345"/>
      <c r="AH578" s="345"/>
      <c r="AI578" s="345"/>
      <c r="AJ578" s="345"/>
      <c r="AK578" s="345"/>
      <c r="AL578" s="345"/>
      <c r="AM578" s="345"/>
      <c r="AN578" s="345"/>
      <c r="AO578" s="345"/>
      <c r="AP578" s="345"/>
      <c r="AQ578" s="345"/>
      <c r="AR578" s="345"/>
      <c r="AS578" s="345"/>
    </row>
    <row r="579" ht="13.5" customHeight="1">
      <c r="A579" s="436" t="str">
        <f>'Membership Application List'!A808</f>
        <v/>
      </c>
      <c r="B579" s="437" t="str">
        <f t="shared" si="6"/>
        <v/>
      </c>
      <c r="C579" s="437" t="str">
        <f t="shared" si="7"/>
        <v/>
      </c>
      <c r="D579" s="438" t="str">
        <f>'Membership Application List'!E808</f>
        <v/>
      </c>
      <c r="E579" s="438" t="str">
        <f>IF('Membership Application List'!J808 = "Food/Litter Donation", 0, IF('Membership Application List'!J808 = "$15 Donation, Discord Verification", IF('Membership Application List'!N808 = TRUE, 15, 0)))</f>
        <v>#N/A</v>
      </c>
      <c r="F579" s="438">
        <f>if('Membership Application List'!K808=TRUE, 5,0)</f>
        <v>0</v>
      </c>
      <c r="G579" s="438" t="str">
        <f t="shared" si="8"/>
        <v>#N/A</v>
      </c>
      <c r="H579" s="439" t="str">
        <f>'Membership Application List'!L808</f>
        <v/>
      </c>
      <c r="I579" s="345"/>
      <c r="J579" s="441"/>
      <c r="K579" s="345"/>
      <c r="L579" s="478"/>
      <c r="M579" s="345"/>
      <c r="N579" s="345"/>
      <c r="O579" s="345"/>
      <c r="P579" s="414"/>
      <c r="Q579" s="414"/>
      <c r="R579" s="414"/>
      <c r="S579" s="445"/>
      <c r="T579" s="445"/>
      <c r="U579" s="445"/>
      <c r="V579" s="345"/>
      <c r="W579" s="441"/>
      <c r="X579" s="345"/>
      <c r="Y579" s="345"/>
      <c r="Z579" s="345"/>
      <c r="AA579" s="345"/>
      <c r="AB579" s="345"/>
      <c r="AC579" s="345"/>
      <c r="AD579" s="345"/>
      <c r="AE579" s="345"/>
      <c r="AF579" s="345"/>
      <c r="AG579" s="345"/>
      <c r="AH579" s="345"/>
      <c r="AI579" s="345"/>
      <c r="AJ579" s="345"/>
      <c r="AK579" s="345"/>
      <c r="AL579" s="345"/>
      <c r="AM579" s="345"/>
      <c r="AN579" s="345"/>
      <c r="AO579" s="345"/>
      <c r="AP579" s="345"/>
      <c r="AQ579" s="345"/>
      <c r="AR579" s="345"/>
      <c r="AS579" s="345"/>
    </row>
    <row r="580" ht="13.5" customHeight="1">
      <c r="A580" s="424" t="str">
        <f>'Membership Application List'!A809</f>
        <v/>
      </c>
      <c r="B580" s="443" t="str">
        <f t="shared" si="6"/>
        <v/>
      </c>
      <c r="C580" s="443" t="str">
        <f t="shared" si="7"/>
        <v/>
      </c>
      <c r="D580" s="426" t="str">
        <f>'Membership Application List'!E809</f>
        <v/>
      </c>
      <c r="E580" s="426" t="str">
        <f>IF('Membership Application List'!J809 = "Food/Litter Donation", 0, IF('Membership Application List'!J809 = "$15 Donation, Discord Verification", IF('Membership Application List'!N809 = TRUE, 15, 0)))</f>
        <v>#N/A</v>
      </c>
      <c r="F580" s="426">
        <f>if('Membership Application List'!K809=TRUE, 5,0)</f>
        <v>0</v>
      </c>
      <c r="G580" s="426" t="str">
        <f t="shared" si="8"/>
        <v>#N/A</v>
      </c>
      <c r="H580" s="427" t="str">
        <f>'Membership Application List'!L809</f>
        <v/>
      </c>
      <c r="I580" s="345"/>
      <c r="J580" s="441"/>
      <c r="K580" s="345"/>
      <c r="L580" s="478"/>
      <c r="M580" s="345"/>
      <c r="N580" s="345"/>
      <c r="O580" s="345"/>
      <c r="P580" s="414"/>
      <c r="Q580" s="414"/>
      <c r="R580" s="414"/>
      <c r="S580" s="445"/>
      <c r="T580" s="445"/>
      <c r="U580" s="445"/>
      <c r="V580" s="345"/>
      <c r="W580" s="441"/>
      <c r="X580" s="345"/>
      <c r="Y580" s="345"/>
      <c r="Z580" s="345"/>
      <c r="AA580" s="345"/>
      <c r="AB580" s="345"/>
      <c r="AC580" s="345"/>
      <c r="AD580" s="345"/>
      <c r="AE580" s="345"/>
      <c r="AF580" s="345"/>
      <c r="AG580" s="345"/>
      <c r="AH580" s="345"/>
      <c r="AI580" s="345"/>
      <c r="AJ580" s="345"/>
      <c r="AK580" s="345"/>
      <c r="AL580" s="345"/>
      <c r="AM580" s="345"/>
      <c r="AN580" s="345"/>
      <c r="AO580" s="345"/>
      <c r="AP580" s="345"/>
      <c r="AQ580" s="345"/>
      <c r="AR580" s="345"/>
      <c r="AS580" s="345"/>
    </row>
    <row r="581" ht="13.5" customHeight="1">
      <c r="A581" s="436" t="str">
        <f>'Membership Application List'!A810</f>
        <v/>
      </c>
      <c r="B581" s="437" t="str">
        <f t="shared" si="6"/>
        <v/>
      </c>
      <c r="C581" s="437" t="str">
        <f t="shared" si="7"/>
        <v/>
      </c>
      <c r="D581" s="438" t="str">
        <f>'Membership Application List'!E810</f>
        <v/>
      </c>
      <c r="E581" s="438" t="str">
        <f>IF('Membership Application List'!J810 = "Food/Litter Donation", 0, IF('Membership Application List'!J810 = "$15 Donation, Discord Verification", IF('Membership Application List'!N810 = TRUE, 15, 0)))</f>
        <v>#N/A</v>
      </c>
      <c r="F581" s="438">
        <f>if('Membership Application List'!K810=TRUE, 5,0)</f>
        <v>0</v>
      </c>
      <c r="G581" s="438" t="str">
        <f t="shared" si="8"/>
        <v>#N/A</v>
      </c>
      <c r="H581" s="439" t="str">
        <f>'Membership Application List'!L810</f>
        <v/>
      </c>
      <c r="I581" s="345"/>
      <c r="J581" s="441"/>
      <c r="K581" s="345"/>
      <c r="L581" s="478"/>
      <c r="M581" s="345"/>
      <c r="N581" s="345"/>
      <c r="O581" s="345"/>
      <c r="P581" s="414"/>
      <c r="Q581" s="414"/>
      <c r="R581" s="414"/>
      <c r="S581" s="445"/>
      <c r="T581" s="445"/>
      <c r="U581" s="445"/>
      <c r="V581" s="345"/>
      <c r="W581" s="441"/>
      <c r="X581" s="345"/>
      <c r="Y581" s="345"/>
      <c r="Z581" s="345"/>
      <c r="AA581" s="345"/>
      <c r="AB581" s="345"/>
      <c r="AC581" s="345"/>
      <c r="AD581" s="345"/>
      <c r="AE581" s="345"/>
      <c r="AF581" s="345"/>
      <c r="AG581" s="345"/>
      <c r="AH581" s="345"/>
      <c r="AI581" s="345"/>
      <c r="AJ581" s="345"/>
      <c r="AK581" s="345"/>
      <c r="AL581" s="345"/>
      <c r="AM581" s="345"/>
      <c r="AN581" s="345"/>
      <c r="AO581" s="345"/>
      <c r="AP581" s="345"/>
      <c r="AQ581" s="345"/>
      <c r="AR581" s="345"/>
      <c r="AS581" s="345"/>
    </row>
    <row r="582" ht="13.5" customHeight="1">
      <c r="A582" s="424" t="str">
        <f>'Membership Application List'!A811</f>
        <v/>
      </c>
      <c r="B582" s="443" t="str">
        <f t="shared" si="6"/>
        <v/>
      </c>
      <c r="C582" s="443" t="str">
        <f t="shared" si="7"/>
        <v/>
      </c>
      <c r="D582" s="426" t="str">
        <f>'Membership Application List'!E811</f>
        <v/>
      </c>
      <c r="E582" s="426" t="str">
        <f>IF('Membership Application List'!J811 = "Food/Litter Donation", 0, IF('Membership Application List'!J811 = "$15 Donation, Discord Verification", IF('Membership Application List'!N811 = TRUE, 15, 0)))</f>
        <v>#N/A</v>
      </c>
      <c r="F582" s="426">
        <f>if('Membership Application List'!K811=TRUE, 5,0)</f>
        <v>0</v>
      </c>
      <c r="G582" s="426" t="str">
        <f t="shared" si="8"/>
        <v>#N/A</v>
      </c>
      <c r="H582" s="427" t="str">
        <f>'Membership Application List'!L811</f>
        <v/>
      </c>
      <c r="I582" s="345"/>
      <c r="J582" s="441"/>
      <c r="K582" s="345"/>
      <c r="L582" s="478"/>
      <c r="M582" s="345"/>
      <c r="N582" s="345"/>
      <c r="O582" s="345"/>
      <c r="P582" s="414"/>
      <c r="Q582" s="414"/>
      <c r="R582" s="414"/>
      <c r="S582" s="445"/>
      <c r="T582" s="445"/>
      <c r="U582" s="445"/>
      <c r="V582" s="345"/>
      <c r="W582" s="441"/>
      <c r="X582" s="345"/>
      <c r="Y582" s="345"/>
      <c r="Z582" s="345"/>
      <c r="AA582" s="345"/>
      <c r="AB582" s="345"/>
      <c r="AC582" s="345"/>
      <c r="AD582" s="345"/>
      <c r="AE582" s="345"/>
      <c r="AF582" s="345"/>
      <c r="AG582" s="345"/>
      <c r="AH582" s="345"/>
      <c r="AI582" s="345"/>
      <c r="AJ582" s="345"/>
      <c r="AK582" s="345"/>
      <c r="AL582" s="345"/>
      <c r="AM582" s="345"/>
      <c r="AN582" s="345"/>
      <c r="AO582" s="345"/>
      <c r="AP582" s="345"/>
      <c r="AQ582" s="345"/>
      <c r="AR582" s="345"/>
      <c r="AS582" s="345"/>
    </row>
    <row r="583" ht="13.5" customHeight="1">
      <c r="A583" s="436" t="str">
        <f>'Membership Application List'!A812</f>
        <v/>
      </c>
      <c r="B583" s="437" t="str">
        <f t="shared" si="6"/>
        <v/>
      </c>
      <c r="C583" s="437" t="str">
        <f t="shared" si="7"/>
        <v/>
      </c>
      <c r="D583" s="438" t="str">
        <f>'Membership Application List'!E812</f>
        <v/>
      </c>
      <c r="E583" s="438" t="str">
        <f>IF('Membership Application List'!J812 = "Food/Litter Donation", 0, IF('Membership Application List'!J812 = "$15 Donation, Discord Verification", IF('Membership Application List'!N812 = TRUE, 15, 0)))</f>
        <v>#N/A</v>
      </c>
      <c r="F583" s="438">
        <f>if('Membership Application List'!K812=TRUE, 5,0)</f>
        <v>0</v>
      </c>
      <c r="G583" s="438" t="str">
        <f t="shared" si="8"/>
        <v>#N/A</v>
      </c>
      <c r="H583" s="439" t="str">
        <f>'Membership Application List'!L812</f>
        <v/>
      </c>
      <c r="I583" s="345"/>
      <c r="J583" s="441"/>
      <c r="K583" s="345"/>
      <c r="L583" s="478"/>
      <c r="M583" s="345"/>
      <c r="N583" s="345"/>
      <c r="O583" s="345"/>
      <c r="P583" s="414"/>
      <c r="Q583" s="414"/>
      <c r="R583" s="414"/>
      <c r="S583" s="445"/>
      <c r="T583" s="445"/>
      <c r="U583" s="445"/>
      <c r="V583" s="345"/>
      <c r="W583" s="441"/>
      <c r="X583" s="345"/>
      <c r="Y583" s="345"/>
      <c r="Z583" s="345"/>
      <c r="AA583" s="345"/>
      <c r="AB583" s="345"/>
      <c r="AC583" s="345"/>
      <c r="AD583" s="345"/>
      <c r="AE583" s="345"/>
      <c r="AF583" s="345"/>
      <c r="AG583" s="345"/>
      <c r="AH583" s="345"/>
      <c r="AI583" s="345"/>
      <c r="AJ583" s="345"/>
      <c r="AK583" s="345"/>
      <c r="AL583" s="345"/>
      <c r="AM583" s="345"/>
      <c r="AN583" s="345"/>
      <c r="AO583" s="345"/>
      <c r="AP583" s="345"/>
      <c r="AQ583" s="345"/>
      <c r="AR583" s="345"/>
      <c r="AS583" s="345"/>
    </row>
    <row r="584" ht="13.5" customHeight="1">
      <c r="A584" s="424" t="str">
        <f>'Membership Application List'!A813</f>
        <v/>
      </c>
      <c r="B584" s="443" t="str">
        <f t="shared" si="6"/>
        <v/>
      </c>
      <c r="C584" s="443" t="str">
        <f t="shared" si="7"/>
        <v/>
      </c>
      <c r="D584" s="426" t="str">
        <f>'Membership Application List'!E813</f>
        <v/>
      </c>
      <c r="E584" s="426" t="str">
        <f>IF('Membership Application List'!J813 = "Food/Litter Donation", 0, IF('Membership Application List'!J813 = "$15 Donation, Discord Verification", IF('Membership Application List'!N813 = TRUE, 15, 0)))</f>
        <v>#N/A</v>
      </c>
      <c r="F584" s="426">
        <f>if('Membership Application List'!K813=TRUE, 5,0)</f>
        <v>0</v>
      </c>
      <c r="G584" s="426" t="str">
        <f t="shared" si="8"/>
        <v>#N/A</v>
      </c>
      <c r="H584" s="427" t="str">
        <f>'Membership Application List'!L813</f>
        <v/>
      </c>
      <c r="I584" s="345"/>
      <c r="J584" s="441"/>
      <c r="K584" s="345"/>
      <c r="L584" s="478"/>
      <c r="M584" s="345"/>
      <c r="N584" s="345"/>
      <c r="O584" s="345"/>
      <c r="P584" s="414"/>
      <c r="Q584" s="414"/>
      <c r="R584" s="414"/>
      <c r="S584" s="445"/>
      <c r="T584" s="445"/>
      <c r="U584" s="445"/>
      <c r="V584" s="345"/>
      <c r="W584" s="441"/>
      <c r="X584" s="345"/>
      <c r="Y584" s="345"/>
      <c r="Z584" s="345"/>
      <c r="AA584" s="345"/>
      <c r="AB584" s="345"/>
      <c r="AC584" s="345"/>
      <c r="AD584" s="345"/>
      <c r="AE584" s="345"/>
      <c r="AF584" s="345"/>
      <c r="AG584" s="345"/>
      <c r="AH584" s="345"/>
      <c r="AI584" s="345"/>
      <c r="AJ584" s="345"/>
      <c r="AK584" s="345"/>
      <c r="AL584" s="345"/>
      <c r="AM584" s="345"/>
      <c r="AN584" s="345"/>
      <c r="AO584" s="345"/>
      <c r="AP584" s="345"/>
      <c r="AQ584" s="345"/>
      <c r="AR584" s="345"/>
      <c r="AS584" s="345"/>
    </row>
    <row r="585" ht="13.5" customHeight="1">
      <c r="A585" s="436" t="str">
        <f>'Membership Application List'!A814</f>
        <v/>
      </c>
      <c r="B585" s="437" t="str">
        <f t="shared" si="6"/>
        <v/>
      </c>
      <c r="C585" s="437" t="str">
        <f t="shared" si="7"/>
        <v/>
      </c>
      <c r="D585" s="438" t="str">
        <f>'Membership Application List'!E814</f>
        <v/>
      </c>
      <c r="E585" s="438" t="str">
        <f>IF('Membership Application List'!J814 = "Food/Litter Donation", 0, IF('Membership Application List'!J814 = "$15 Donation, Discord Verification", IF('Membership Application List'!N814 = TRUE, 15, 0)))</f>
        <v>#N/A</v>
      </c>
      <c r="F585" s="438">
        <f>if('Membership Application List'!K814=TRUE, 5,0)</f>
        <v>0</v>
      </c>
      <c r="G585" s="438" t="str">
        <f t="shared" si="8"/>
        <v>#N/A</v>
      </c>
      <c r="H585" s="439" t="str">
        <f>'Membership Application List'!L814</f>
        <v/>
      </c>
      <c r="I585" s="345"/>
      <c r="J585" s="441"/>
      <c r="K585" s="345"/>
      <c r="L585" s="478"/>
      <c r="M585" s="345"/>
      <c r="N585" s="345"/>
      <c r="O585" s="345"/>
      <c r="P585" s="414"/>
      <c r="Q585" s="414"/>
      <c r="R585" s="414"/>
      <c r="S585" s="445"/>
      <c r="T585" s="445"/>
      <c r="U585" s="445"/>
      <c r="V585" s="345"/>
      <c r="W585" s="441"/>
      <c r="X585" s="345"/>
      <c r="Y585" s="345"/>
      <c r="Z585" s="345"/>
      <c r="AA585" s="345"/>
      <c r="AB585" s="345"/>
      <c r="AC585" s="345"/>
      <c r="AD585" s="345"/>
      <c r="AE585" s="345"/>
      <c r="AF585" s="345"/>
      <c r="AG585" s="345"/>
      <c r="AH585" s="345"/>
      <c r="AI585" s="345"/>
      <c r="AJ585" s="345"/>
      <c r="AK585" s="345"/>
      <c r="AL585" s="345"/>
      <c r="AM585" s="345"/>
      <c r="AN585" s="345"/>
      <c r="AO585" s="345"/>
      <c r="AP585" s="345"/>
      <c r="AQ585" s="345"/>
      <c r="AR585" s="345"/>
      <c r="AS585" s="345"/>
    </row>
    <row r="586" ht="13.5" customHeight="1">
      <c r="A586" s="424" t="str">
        <f>'Membership Application List'!A815</f>
        <v/>
      </c>
      <c r="B586" s="443" t="str">
        <f t="shared" si="6"/>
        <v/>
      </c>
      <c r="C586" s="443" t="str">
        <f t="shared" si="7"/>
        <v/>
      </c>
      <c r="D586" s="426" t="str">
        <f>'Membership Application List'!E815</f>
        <v/>
      </c>
      <c r="E586" s="426" t="str">
        <f>IF('Membership Application List'!J815 = "Food/Litter Donation", 0, IF('Membership Application List'!J815 = "$15 Donation, Discord Verification", IF('Membership Application List'!N815 = TRUE, 15, 0)))</f>
        <v>#N/A</v>
      </c>
      <c r="F586" s="426">
        <f>if('Membership Application List'!K815=TRUE, 5,0)</f>
        <v>0</v>
      </c>
      <c r="G586" s="426" t="str">
        <f t="shared" si="8"/>
        <v>#N/A</v>
      </c>
      <c r="H586" s="427" t="str">
        <f>'Membership Application List'!L815</f>
        <v/>
      </c>
      <c r="I586" s="345"/>
      <c r="J586" s="441"/>
      <c r="K586" s="345"/>
      <c r="L586" s="478"/>
      <c r="M586" s="345"/>
      <c r="N586" s="345"/>
      <c r="O586" s="345"/>
      <c r="P586" s="414"/>
      <c r="Q586" s="414"/>
      <c r="R586" s="414"/>
      <c r="S586" s="445"/>
      <c r="T586" s="445"/>
      <c r="U586" s="445"/>
      <c r="V586" s="345"/>
      <c r="W586" s="441"/>
      <c r="X586" s="345"/>
      <c r="Y586" s="345"/>
      <c r="Z586" s="345"/>
      <c r="AA586" s="345"/>
      <c r="AB586" s="345"/>
      <c r="AC586" s="345"/>
      <c r="AD586" s="345"/>
      <c r="AE586" s="345"/>
      <c r="AF586" s="345"/>
      <c r="AG586" s="345"/>
      <c r="AH586" s="345"/>
      <c r="AI586" s="345"/>
      <c r="AJ586" s="345"/>
      <c r="AK586" s="345"/>
      <c r="AL586" s="345"/>
      <c r="AM586" s="345"/>
      <c r="AN586" s="345"/>
      <c r="AO586" s="345"/>
      <c r="AP586" s="345"/>
      <c r="AQ586" s="345"/>
      <c r="AR586" s="345"/>
      <c r="AS586" s="345"/>
    </row>
    <row r="587" ht="13.5" customHeight="1">
      <c r="A587" s="436" t="str">
        <f>'Membership Application List'!A816</f>
        <v/>
      </c>
      <c r="B587" s="437" t="str">
        <f t="shared" si="6"/>
        <v/>
      </c>
      <c r="C587" s="437" t="str">
        <f t="shared" si="7"/>
        <v/>
      </c>
      <c r="D587" s="438" t="str">
        <f>'Membership Application List'!E816</f>
        <v/>
      </c>
      <c r="E587" s="438" t="str">
        <f>IF('Membership Application List'!J816 = "Food/Litter Donation", 0, IF('Membership Application List'!J816 = "$15 Donation, Discord Verification", IF('Membership Application List'!N816 = TRUE, 15, 0)))</f>
        <v>#N/A</v>
      </c>
      <c r="F587" s="438">
        <f>if('Membership Application List'!K816=TRUE, 5,0)</f>
        <v>0</v>
      </c>
      <c r="G587" s="438" t="str">
        <f t="shared" si="8"/>
        <v>#N/A</v>
      </c>
      <c r="H587" s="439" t="str">
        <f>'Membership Application List'!L816</f>
        <v/>
      </c>
      <c r="I587" s="345"/>
      <c r="J587" s="441"/>
      <c r="K587" s="345"/>
      <c r="L587" s="478"/>
      <c r="M587" s="345"/>
      <c r="N587" s="345"/>
      <c r="O587" s="345"/>
      <c r="P587" s="414"/>
      <c r="Q587" s="414"/>
      <c r="R587" s="414"/>
      <c r="S587" s="445"/>
      <c r="T587" s="445"/>
      <c r="U587" s="445"/>
      <c r="V587" s="345"/>
      <c r="W587" s="441"/>
      <c r="X587" s="345"/>
      <c r="Y587" s="345"/>
      <c r="Z587" s="345"/>
      <c r="AA587" s="345"/>
      <c r="AB587" s="345"/>
      <c r="AC587" s="345"/>
      <c r="AD587" s="345"/>
      <c r="AE587" s="345"/>
      <c r="AF587" s="345"/>
      <c r="AG587" s="345"/>
      <c r="AH587" s="345"/>
      <c r="AI587" s="345"/>
      <c r="AJ587" s="345"/>
      <c r="AK587" s="345"/>
      <c r="AL587" s="345"/>
      <c r="AM587" s="345"/>
      <c r="AN587" s="345"/>
      <c r="AO587" s="345"/>
      <c r="AP587" s="345"/>
      <c r="AQ587" s="345"/>
      <c r="AR587" s="345"/>
      <c r="AS587" s="345"/>
    </row>
    <row r="588" ht="13.5" customHeight="1">
      <c r="A588" s="424" t="str">
        <f>'Membership Application List'!A817</f>
        <v/>
      </c>
      <c r="B588" s="443" t="str">
        <f t="shared" si="6"/>
        <v/>
      </c>
      <c r="C588" s="443" t="str">
        <f t="shared" si="7"/>
        <v/>
      </c>
      <c r="D588" s="426" t="str">
        <f>'Membership Application List'!E817</f>
        <v/>
      </c>
      <c r="E588" s="426" t="str">
        <f>IF('Membership Application List'!J817 = "Food/Litter Donation", 0, IF('Membership Application List'!J817 = "$15 Donation, Discord Verification", IF('Membership Application List'!N817 = TRUE, 15, 0)))</f>
        <v>#N/A</v>
      </c>
      <c r="F588" s="426">
        <f>if('Membership Application List'!K817=TRUE, 5,0)</f>
        <v>0</v>
      </c>
      <c r="G588" s="426" t="str">
        <f t="shared" si="8"/>
        <v>#N/A</v>
      </c>
      <c r="H588" s="427" t="str">
        <f>'Membership Application List'!L817</f>
        <v/>
      </c>
      <c r="I588" s="345"/>
      <c r="J588" s="441"/>
      <c r="K588" s="345"/>
      <c r="L588" s="478"/>
      <c r="M588" s="345"/>
      <c r="N588" s="345"/>
      <c r="O588" s="345"/>
      <c r="P588" s="414"/>
      <c r="Q588" s="414"/>
      <c r="R588" s="414"/>
      <c r="S588" s="445"/>
      <c r="T588" s="445"/>
      <c r="U588" s="445"/>
      <c r="V588" s="345"/>
      <c r="W588" s="441"/>
      <c r="X588" s="345"/>
      <c r="Y588" s="345"/>
      <c r="Z588" s="345"/>
      <c r="AA588" s="345"/>
      <c r="AB588" s="345"/>
      <c r="AC588" s="345"/>
      <c r="AD588" s="345"/>
      <c r="AE588" s="345"/>
      <c r="AF588" s="345"/>
      <c r="AG588" s="345"/>
      <c r="AH588" s="345"/>
      <c r="AI588" s="345"/>
      <c r="AJ588" s="345"/>
      <c r="AK588" s="345"/>
      <c r="AL588" s="345"/>
      <c r="AM588" s="345"/>
      <c r="AN588" s="345"/>
      <c r="AO588" s="345"/>
      <c r="AP588" s="345"/>
      <c r="AQ588" s="345"/>
      <c r="AR588" s="345"/>
      <c r="AS588" s="345"/>
    </row>
    <row r="589" ht="13.5" customHeight="1">
      <c r="A589" s="436" t="str">
        <f>'Membership Application List'!A818</f>
        <v/>
      </c>
      <c r="B589" s="437" t="str">
        <f t="shared" si="6"/>
        <v/>
      </c>
      <c r="C589" s="437" t="str">
        <f t="shared" si="7"/>
        <v/>
      </c>
      <c r="D589" s="438" t="str">
        <f>'Membership Application List'!E818</f>
        <v/>
      </c>
      <c r="E589" s="438" t="str">
        <f>IF('Membership Application List'!J818 = "Food/Litter Donation", 0, IF('Membership Application List'!J818 = "$15 Donation, Discord Verification", IF('Membership Application List'!N818 = TRUE, 15, 0)))</f>
        <v>#N/A</v>
      </c>
      <c r="F589" s="438">
        <f>if('Membership Application List'!K818=TRUE, 5,0)</f>
        <v>0</v>
      </c>
      <c r="G589" s="438" t="str">
        <f t="shared" si="8"/>
        <v>#N/A</v>
      </c>
      <c r="H589" s="439" t="str">
        <f>'Membership Application List'!L818</f>
        <v/>
      </c>
      <c r="I589" s="345"/>
      <c r="J589" s="441"/>
      <c r="K589" s="345"/>
      <c r="L589" s="478"/>
      <c r="M589" s="345"/>
      <c r="N589" s="345"/>
      <c r="O589" s="345"/>
      <c r="P589" s="414"/>
      <c r="Q589" s="414"/>
      <c r="R589" s="414"/>
      <c r="S589" s="445"/>
      <c r="T589" s="445"/>
      <c r="U589" s="445"/>
      <c r="V589" s="345"/>
      <c r="W589" s="441"/>
      <c r="X589" s="345"/>
      <c r="Y589" s="345"/>
      <c r="Z589" s="345"/>
      <c r="AA589" s="345"/>
      <c r="AB589" s="345"/>
      <c r="AC589" s="345"/>
      <c r="AD589" s="345"/>
      <c r="AE589" s="345"/>
      <c r="AF589" s="345"/>
      <c r="AG589" s="345"/>
      <c r="AH589" s="345"/>
      <c r="AI589" s="345"/>
      <c r="AJ589" s="345"/>
      <c r="AK589" s="345"/>
      <c r="AL589" s="345"/>
      <c r="AM589" s="345"/>
      <c r="AN589" s="345"/>
      <c r="AO589" s="345"/>
      <c r="AP589" s="345"/>
      <c r="AQ589" s="345"/>
      <c r="AR589" s="345"/>
      <c r="AS589" s="345"/>
    </row>
    <row r="590" ht="13.5" customHeight="1">
      <c r="A590" s="424" t="str">
        <f>'Membership Application List'!A819</f>
        <v/>
      </c>
      <c r="B590" s="443" t="str">
        <f t="shared" si="6"/>
        <v/>
      </c>
      <c r="C590" s="443" t="str">
        <f t="shared" si="7"/>
        <v/>
      </c>
      <c r="D590" s="426" t="str">
        <f>'Membership Application List'!E819</f>
        <v/>
      </c>
      <c r="E590" s="426" t="str">
        <f>IF('Membership Application List'!J819 = "Food/Litter Donation", 0, IF('Membership Application List'!J819 = "$15 Donation, Discord Verification", IF('Membership Application List'!N819 = TRUE, 15, 0)))</f>
        <v>#N/A</v>
      </c>
      <c r="F590" s="426">
        <f>if('Membership Application List'!K819=TRUE, 5,0)</f>
        <v>0</v>
      </c>
      <c r="G590" s="426" t="str">
        <f t="shared" si="8"/>
        <v>#N/A</v>
      </c>
      <c r="H590" s="427" t="str">
        <f>'Membership Application List'!L819</f>
        <v/>
      </c>
      <c r="I590" s="345"/>
      <c r="J590" s="441"/>
      <c r="K590" s="345"/>
      <c r="L590" s="478"/>
      <c r="M590" s="345"/>
      <c r="N590" s="345"/>
      <c r="O590" s="345"/>
      <c r="P590" s="414"/>
      <c r="Q590" s="414"/>
      <c r="R590" s="414"/>
      <c r="S590" s="445"/>
      <c r="T590" s="445"/>
      <c r="U590" s="445"/>
      <c r="V590" s="345"/>
      <c r="W590" s="441"/>
      <c r="X590" s="345"/>
      <c r="Y590" s="345"/>
      <c r="Z590" s="345"/>
      <c r="AA590" s="345"/>
      <c r="AB590" s="345"/>
      <c r="AC590" s="345"/>
      <c r="AD590" s="345"/>
      <c r="AE590" s="345"/>
      <c r="AF590" s="345"/>
      <c r="AG590" s="345"/>
      <c r="AH590" s="345"/>
      <c r="AI590" s="345"/>
      <c r="AJ590" s="345"/>
      <c r="AK590" s="345"/>
      <c r="AL590" s="345"/>
      <c r="AM590" s="345"/>
      <c r="AN590" s="345"/>
      <c r="AO590" s="345"/>
      <c r="AP590" s="345"/>
      <c r="AQ590" s="345"/>
      <c r="AR590" s="345"/>
      <c r="AS590" s="345"/>
    </row>
    <row r="591" ht="13.5" customHeight="1">
      <c r="A591" s="436" t="str">
        <f>'Membership Application List'!A820</f>
        <v/>
      </c>
      <c r="B591" s="437" t="str">
        <f t="shared" si="6"/>
        <v/>
      </c>
      <c r="C591" s="437" t="str">
        <f t="shared" si="7"/>
        <v/>
      </c>
      <c r="D591" s="438" t="str">
        <f>'Membership Application List'!E820</f>
        <v/>
      </c>
      <c r="E591" s="438" t="str">
        <f>IF('Membership Application List'!J820 = "Food/Litter Donation", 0, IF('Membership Application List'!J820 = "$15 Donation, Discord Verification", IF('Membership Application List'!N820 = TRUE, 15, 0)))</f>
        <v>#N/A</v>
      </c>
      <c r="F591" s="438">
        <f>if('Membership Application List'!K820=TRUE, 5,0)</f>
        <v>0</v>
      </c>
      <c r="G591" s="438" t="str">
        <f t="shared" si="8"/>
        <v>#N/A</v>
      </c>
      <c r="H591" s="439" t="str">
        <f>'Membership Application List'!L820</f>
        <v/>
      </c>
      <c r="I591" s="345"/>
      <c r="J591" s="441"/>
      <c r="K591" s="345"/>
      <c r="L591" s="478"/>
      <c r="M591" s="345"/>
      <c r="N591" s="345"/>
      <c r="O591" s="345"/>
      <c r="P591" s="414"/>
      <c r="Q591" s="414"/>
      <c r="R591" s="414"/>
      <c r="S591" s="445"/>
      <c r="T591" s="445"/>
      <c r="U591" s="445"/>
      <c r="V591" s="345"/>
      <c r="W591" s="441"/>
      <c r="X591" s="345"/>
      <c r="Y591" s="345"/>
      <c r="Z591" s="345"/>
      <c r="AA591" s="345"/>
      <c r="AB591" s="345"/>
      <c r="AC591" s="345"/>
      <c r="AD591" s="345"/>
      <c r="AE591" s="345"/>
      <c r="AF591" s="345"/>
      <c r="AG591" s="345"/>
      <c r="AH591" s="345"/>
      <c r="AI591" s="345"/>
      <c r="AJ591" s="345"/>
      <c r="AK591" s="345"/>
      <c r="AL591" s="345"/>
      <c r="AM591" s="345"/>
      <c r="AN591" s="345"/>
      <c r="AO591" s="345"/>
      <c r="AP591" s="345"/>
      <c r="AQ591" s="345"/>
      <c r="AR591" s="345"/>
      <c r="AS591" s="345"/>
    </row>
    <row r="592" ht="13.5" customHeight="1">
      <c r="A592" s="424" t="str">
        <f>'Membership Application List'!A821</f>
        <v/>
      </c>
      <c r="B592" s="443" t="str">
        <f t="shared" si="6"/>
        <v/>
      </c>
      <c r="C592" s="443" t="str">
        <f t="shared" si="7"/>
        <v/>
      </c>
      <c r="D592" s="426" t="str">
        <f>'Membership Application List'!E821</f>
        <v/>
      </c>
      <c r="E592" s="426" t="str">
        <f>IF('Membership Application List'!J821 = "Food/Litter Donation", 0, IF('Membership Application List'!J821 = "$15 Donation, Discord Verification", IF('Membership Application List'!N821 = TRUE, 15, 0)))</f>
        <v>#N/A</v>
      </c>
      <c r="F592" s="426">
        <f>if('Membership Application List'!K821=TRUE, 5,0)</f>
        <v>0</v>
      </c>
      <c r="G592" s="426" t="str">
        <f t="shared" si="8"/>
        <v>#N/A</v>
      </c>
      <c r="H592" s="427" t="str">
        <f>'Membership Application List'!L821</f>
        <v/>
      </c>
      <c r="I592" s="345"/>
      <c r="J592" s="441"/>
      <c r="K592" s="345"/>
      <c r="L592" s="478"/>
      <c r="M592" s="345"/>
      <c r="N592" s="345"/>
      <c r="O592" s="345"/>
      <c r="P592" s="414"/>
      <c r="Q592" s="414"/>
      <c r="R592" s="414"/>
      <c r="S592" s="445"/>
      <c r="T592" s="445"/>
      <c r="U592" s="445"/>
      <c r="V592" s="345"/>
      <c r="W592" s="441"/>
      <c r="X592" s="345"/>
      <c r="Y592" s="345"/>
      <c r="Z592" s="345"/>
      <c r="AA592" s="345"/>
      <c r="AB592" s="345"/>
      <c r="AC592" s="345"/>
      <c r="AD592" s="345"/>
      <c r="AE592" s="345"/>
      <c r="AF592" s="345"/>
      <c r="AG592" s="345"/>
      <c r="AH592" s="345"/>
      <c r="AI592" s="345"/>
      <c r="AJ592" s="345"/>
      <c r="AK592" s="345"/>
      <c r="AL592" s="345"/>
      <c r="AM592" s="345"/>
      <c r="AN592" s="345"/>
      <c r="AO592" s="345"/>
      <c r="AP592" s="345"/>
      <c r="AQ592" s="345"/>
      <c r="AR592" s="345"/>
      <c r="AS592" s="345"/>
    </row>
    <row r="593" ht="13.5" customHeight="1">
      <c r="A593" s="436" t="str">
        <f>'Membership Application List'!A822</f>
        <v/>
      </c>
      <c r="B593" s="437" t="str">
        <f t="shared" si="6"/>
        <v/>
      </c>
      <c r="C593" s="437" t="str">
        <f t="shared" si="7"/>
        <v/>
      </c>
      <c r="D593" s="438" t="str">
        <f>'Membership Application List'!E822</f>
        <v/>
      </c>
      <c r="E593" s="438" t="str">
        <f>IF('Membership Application List'!J822 = "Food/Litter Donation", 0, IF('Membership Application List'!J822 = "$15 Donation, Discord Verification", IF('Membership Application List'!N822 = TRUE, 15, 0)))</f>
        <v>#N/A</v>
      </c>
      <c r="F593" s="438">
        <f>if('Membership Application List'!K822=TRUE, 5,0)</f>
        <v>0</v>
      </c>
      <c r="G593" s="438" t="str">
        <f t="shared" si="8"/>
        <v>#N/A</v>
      </c>
      <c r="H593" s="439" t="str">
        <f>'Membership Application List'!L822</f>
        <v/>
      </c>
      <c r="I593" s="345"/>
      <c r="J593" s="441"/>
      <c r="K593" s="345"/>
      <c r="L593" s="478"/>
      <c r="M593" s="345"/>
      <c r="N593" s="345"/>
      <c r="O593" s="345"/>
      <c r="P593" s="414"/>
      <c r="Q593" s="414"/>
      <c r="R593" s="414"/>
      <c r="S593" s="445"/>
      <c r="T593" s="445"/>
      <c r="U593" s="445"/>
      <c r="V593" s="345"/>
      <c r="W593" s="441"/>
      <c r="X593" s="345"/>
      <c r="Y593" s="345"/>
      <c r="Z593" s="345"/>
      <c r="AA593" s="345"/>
      <c r="AB593" s="345"/>
      <c r="AC593" s="345"/>
      <c r="AD593" s="345"/>
      <c r="AE593" s="345"/>
      <c r="AF593" s="345"/>
      <c r="AG593" s="345"/>
      <c r="AH593" s="345"/>
      <c r="AI593" s="345"/>
      <c r="AJ593" s="345"/>
      <c r="AK593" s="345"/>
      <c r="AL593" s="345"/>
      <c r="AM593" s="345"/>
      <c r="AN593" s="345"/>
      <c r="AO593" s="345"/>
      <c r="AP593" s="345"/>
      <c r="AQ593" s="345"/>
      <c r="AR593" s="345"/>
      <c r="AS593" s="345"/>
    </row>
    <row r="594" ht="13.5" customHeight="1">
      <c r="A594" s="424" t="str">
        <f>'Membership Application List'!A823</f>
        <v/>
      </c>
      <c r="B594" s="443" t="str">
        <f t="shared" si="6"/>
        <v/>
      </c>
      <c r="C594" s="443" t="str">
        <f t="shared" si="7"/>
        <v/>
      </c>
      <c r="D594" s="426" t="str">
        <f>'Membership Application List'!E823</f>
        <v/>
      </c>
      <c r="E594" s="426" t="str">
        <f>IF('Membership Application List'!J823 = "Food/Litter Donation", 0, IF('Membership Application List'!J823 = "$15 Donation, Discord Verification", IF('Membership Application List'!N823 = TRUE, 15, 0)))</f>
        <v>#N/A</v>
      </c>
      <c r="F594" s="426">
        <f>if('Membership Application List'!K823=TRUE, 5,0)</f>
        <v>0</v>
      </c>
      <c r="G594" s="426" t="str">
        <f t="shared" si="8"/>
        <v>#N/A</v>
      </c>
      <c r="H594" s="427" t="str">
        <f>'Membership Application List'!L823</f>
        <v/>
      </c>
      <c r="I594" s="345"/>
      <c r="J594" s="441"/>
      <c r="K594" s="345"/>
      <c r="L594" s="478"/>
      <c r="M594" s="345"/>
      <c r="N594" s="345"/>
      <c r="O594" s="345"/>
      <c r="P594" s="414"/>
      <c r="Q594" s="414"/>
      <c r="R594" s="414"/>
      <c r="S594" s="445"/>
      <c r="T594" s="445"/>
      <c r="U594" s="445"/>
      <c r="V594" s="345"/>
      <c r="W594" s="441"/>
      <c r="X594" s="345"/>
      <c r="Y594" s="345"/>
      <c r="Z594" s="345"/>
      <c r="AA594" s="345"/>
      <c r="AB594" s="345"/>
      <c r="AC594" s="345"/>
      <c r="AD594" s="345"/>
      <c r="AE594" s="345"/>
      <c r="AF594" s="345"/>
      <c r="AG594" s="345"/>
      <c r="AH594" s="345"/>
      <c r="AI594" s="345"/>
      <c r="AJ594" s="345"/>
      <c r="AK594" s="345"/>
      <c r="AL594" s="345"/>
      <c r="AM594" s="345"/>
      <c r="AN594" s="345"/>
      <c r="AO594" s="345"/>
      <c r="AP594" s="345"/>
      <c r="AQ594" s="345"/>
      <c r="AR594" s="345"/>
      <c r="AS594" s="345"/>
    </row>
    <row r="595" ht="13.5" customHeight="1">
      <c r="A595" s="436" t="str">
        <f>'Membership Application List'!A824</f>
        <v/>
      </c>
      <c r="B595" s="437" t="str">
        <f t="shared" si="6"/>
        <v/>
      </c>
      <c r="C595" s="437" t="str">
        <f t="shared" si="7"/>
        <v/>
      </c>
      <c r="D595" s="438" t="str">
        <f>'Membership Application List'!E824</f>
        <v/>
      </c>
      <c r="E595" s="438" t="str">
        <f>IF('Membership Application List'!J824 = "Food/Litter Donation", 0, IF('Membership Application List'!J824 = "$15 Donation, Discord Verification", IF('Membership Application List'!N824 = TRUE, 15, 0)))</f>
        <v>#N/A</v>
      </c>
      <c r="F595" s="438">
        <f>if('Membership Application List'!K824=TRUE, 5,0)</f>
        <v>0</v>
      </c>
      <c r="G595" s="438" t="str">
        <f t="shared" si="8"/>
        <v>#N/A</v>
      </c>
      <c r="H595" s="439" t="str">
        <f>'Membership Application List'!L824</f>
        <v/>
      </c>
      <c r="I595" s="345"/>
      <c r="J595" s="441"/>
      <c r="K595" s="345"/>
      <c r="L595" s="478"/>
      <c r="M595" s="345"/>
      <c r="N595" s="345"/>
      <c r="O595" s="345"/>
      <c r="P595" s="414"/>
      <c r="Q595" s="414"/>
      <c r="R595" s="414"/>
      <c r="S595" s="445"/>
      <c r="T595" s="445"/>
      <c r="U595" s="445"/>
      <c r="V595" s="345"/>
      <c r="W595" s="441"/>
      <c r="X595" s="345"/>
      <c r="Y595" s="345"/>
      <c r="Z595" s="345"/>
      <c r="AA595" s="345"/>
      <c r="AB595" s="345"/>
      <c r="AC595" s="345"/>
      <c r="AD595" s="345"/>
      <c r="AE595" s="345"/>
      <c r="AF595" s="345"/>
      <c r="AG595" s="345"/>
      <c r="AH595" s="345"/>
      <c r="AI595" s="345"/>
      <c r="AJ595" s="345"/>
      <c r="AK595" s="345"/>
      <c r="AL595" s="345"/>
      <c r="AM595" s="345"/>
      <c r="AN595" s="345"/>
      <c r="AO595" s="345"/>
      <c r="AP595" s="345"/>
      <c r="AQ595" s="345"/>
      <c r="AR595" s="345"/>
      <c r="AS595" s="345"/>
    </row>
    <row r="596" ht="13.5" customHeight="1">
      <c r="A596" s="424" t="str">
        <f>'Membership Application List'!A825</f>
        <v/>
      </c>
      <c r="B596" s="443" t="str">
        <f t="shared" si="6"/>
        <v/>
      </c>
      <c r="C596" s="443" t="str">
        <f t="shared" si="7"/>
        <v/>
      </c>
      <c r="D596" s="426" t="str">
        <f>'Membership Application List'!E825</f>
        <v/>
      </c>
      <c r="E596" s="426" t="str">
        <f>IF('Membership Application List'!J825 = "Food/Litter Donation", 0, IF('Membership Application List'!J825 = "$15 Donation, Discord Verification", IF('Membership Application List'!N825 = TRUE, 15, 0)))</f>
        <v>#N/A</v>
      </c>
      <c r="F596" s="426">
        <f>if('Membership Application List'!K825=TRUE, 5,0)</f>
        <v>0</v>
      </c>
      <c r="G596" s="426" t="str">
        <f t="shared" si="8"/>
        <v>#N/A</v>
      </c>
      <c r="H596" s="427" t="str">
        <f>'Membership Application List'!L825</f>
        <v/>
      </c>
      <c r="I596" s="345"/>
      <c r="J596" s="441"/>
      <c r="K596" s="345"/>
      <c r="L596" s="478"/>
      <c r="M596" s="345"/>
      <c r="N596" s="345"/>
      <c r="O596" s="345"/>
      <c r="P596" s="414"/>
      <c r="Q596" s="414"/>
      <c r="R596" s="414"/>
      <c r="S596" s="445"/>
      <c r="T596" s="445"/>
      <c r="U596" s="445"/>
      <c r="V596" s="345"/>
      <c r="W596" s="441"/>
      <c r="X596" s="345"/>
      <c r="Y596" s="345"/>
      <c r="Z596" s="345"/>
      <c r="AA596" s="345"/>
      <c r="AB596" s="345"/>
      <c r="AC596" s="345"/>
      <c r="AD596" s="345"/>
      <c r="AE596" s="345"/>
      <c r="AF596" s="345"/>
      <c r="AG596" s="345"/>
      <c r="AH596" s="345"/>
      <c r="AI596" s="345"/>
      <c r="AJ596" s="345"/>
      <c r="AK596" s="345"/>
      <c r="AL596" s="345"/>
      <c r="AM596" s="345"/>
      <c r="AN596" s="345"/>
      <c r="AO596" s="345"/>
      <c r="AP596" s="345"/>
      <c r="AQ596" s="345"/>
      <c r="AR596" s="345"/>
      <c r="AS596" s="345"/>
    </row>
    <row r="597" ht="13.5" customHeight="1">
      <c r="A597" s="436" t="str">
        <f>'Membership Application List'!A826</f>
        <v/>
      </c>
      <c r="B597" s="437" t="str">
        <f t="shared" si="6"/>
        <v/>
      </c>
      <c r="C597" s="437" t="str">
        <f t="shared" si="7"/>
        <v/>
      </c>
      <c r="D597" s="438" t="str">
        <f>'Membership Application List'!E826</f>
        <v/>
      </c>
      <c r="E597" s="438" t="str">
        <f>IF('Membership Application List'!J826 = "Food/Litter Donation", 0, IF('Membership Application List'!J826 = "$15 Donation, Discord Verification", IF('Membership Application List'!N826 = TRUE, 15, 0)))</f>
        <v>#N/A</v>
      </c>
      <c r="F597" s="438">
        <f>if('Membership Application List'!K826=TRUE, 5,0)</f>
        <v>0</v>
      </c>
      <c r="G597" s="438" t="str">
        <f t="shared" si="8"/>
        <v>#N/A</v>
      </c>
      <c r="H597" s="439" t="str">
        <f>'Membership Application List'!L826</f>
        <v/>
      </c>
      <c r="I597" s="345"/>
      <c r="J597" s="441"/>
      <c r="K597" s="345"/>
      <c r="L597" s="478"/>
      <c r="M597" s="345"/>
      <c r="N597" s="345"/>
      <c r="O597" s="345"/>
      <c r="P597" s="414"/>
      <c r="Q597" s="414"/>
      <c r="R597" s="414"/>
      <c r="S597" s="445"/>
      <c r="T597" s="445"/>
      <c r="U597" s="445"/>
      <c r="V597" s="345"/>
      <c r="W597" s="441"/>
      <c r="X597" s="345"/>
      <c r="Y597" s="345"/>
      <c r="Z597" s="345"/>
      <c r="AA597" s="345"/>
      <c r="AB597" s="345"/>
      <c r="AC597" s="345"/>
      <c r="AD597" s="345"/>
      <c r="AE597" s="345"/>
      <c r="AF597" s="345"/>
      <c r="AG597" s="345"/>
      <c r="AH597" s="345"/>
      <c r="AI597" s="345"/>
      <c r="AJ597" s="345"/>
      <c r="AK597" s="345"/>
      <c r="AL597" s="345"/>
      <c r="AM597" s="345"/>
      <c r="AN597" s="345"/>
      <c r="AO597" s="345"/>
      <c r="AP597" s="345"/>
      <c r="AQ597" s="345"/>
      <c r="AR597" s="345"/>
      <c r="AS597" s="345"/>
    </row>
    <row r="598" ht="13.5" customHeight="1">
      <c r="A598" s="424" t="str">
        <f>'Membership Application List'!A827</f>
        <v/>
      </c>
      <c r="B598" s="443" t="str">
        <f t="shared" si="6"/>
        <v/>
      </c>
      <c r="C598" s="443" t="str">
        <f t="shared" si="7"/>
        <v/>
      </c>
      <c r="D598" s="426" t="str">
        <f>'Membership Application List'!E827</f>
        <v/>
      </c>
      <c r="E598" s="426" t="str">
        <f>IF('Membership Application List'!J827 = "Food/Litter Donation", 0, IF('Membership Application List'!J827 = "$15 Donation, Discord Verification", IF('Membership Application List'!N827 = TRUE, 15, 0)))</f>
        <v>#N/A</v>
      </c>
      <c r="F598" s="426">
        <f>if('Membership Application List'!K827=TRUE, 5,0)</f>
        <v>0</v>
      </c>
      <c r="G598" s="426" t="str">
        <f t="shared" si="8"/>
        <v>#N/A</v>
      </c>
      <c r="H598" s="427" t="str">
        <f>'Membership Application List'!L827</f>
        <v/>
      </c>
      <c r="I598" s="345"/>
      <c r="J598" s="441"/>
      <c r="K598" s="345"/>
      <c r="L598" s="478"/>
      <c r="M598" s="345"/>
      <c r="N598" s="345"/>
      <c r="O598" s="345"/>
      <c r="P598" s="414"/>
      <c r="Q598" s="414"/>
      <c r="R598" s="414"/>
      <c r="S598" s="445"/>
      <c r="T598" s="445"/>
      <c r="U598" s="445"/>
      <c r="V598" s="345"/>
      <c r="W598" s="441"/>
      <c r="X598" s="345"/>
      <c r="Y598" s="345"/>
      <c r="Z598" s="345"/>
      <c r="AA598" s="345"/>
      <c r="AB598" s="345"/>
      <c r="AC598" s="345"/>
      <c r="AD598" s="345"/>
      <c r="AE598" s="345"/>
      <c r="AF598" s="345"/>
      <c r="AG598" s="345"/>
      <c r="AH598" s="345"/>
      <c r="AI598" s="345"/>
      <c r="AJ598" s="345"/>
      <c r="AK598" s="345"/>
      <c r="AL598" s="345"/>
      <c r="AM598" s="345"/>
      <c r="AN598" s="345"/>
      <c r="AO598" s="345"/>
      <c r="AP598" s="345"/>
      <c r="AQ598" s="345"/>
      <c r="AR598" s="345"/>
      <c r="AS598" s="345"/>
    </row>
    <row r="599" ht="13.5" customHeight="1">
      <c r="A599" s="436" t="str">
        <f>'Membership Application List'!A828</f>
        <v/>
      </c>
      <c r="B599" s="437" t="str">
        <f t="shared" si="6"/>
        <v/>
      </c>
      <c r="C599" s="437" t="str">
        <f t="shared" si="7"/>
        <v/>
      </c>
      <c r="D599" s="438" t="str">
        <f>'Membership Application List'!E828</f>
        <v/>
      </c>
      <c r="E599" s="438" t="str">
        <f>IF('Membership Application List'!J828 = "Food/Litter Donation", 0, IF('Membership Application List'!J828 = "$15 Donation, Discord Verification", IF('Membership Application List'!N828 = TRUE, 15, 0)))</f>
        <v>#N/A</v>
      </c>
      <c r="F599" s="438">
        <f>if('Membership Application List'!K828=TRUE, 5,0)</f>
        <v>0</v>
      </c>
      <c r="G599" s="438" t="str">
        <f t="shared" si="8"/>
        <v>#N/A</v>
      </c>
      <c r="H599" s="439" t="str">
        <f>'Membership Application List'!L828</f>
        <v/>
      </c>
      <c r="I599" s="345"/>
      <c r="J599" s="441"/>
      <c r="K599" s="345"/>
      <c r="L599" s="478"/>
      <c r="M599" s="345"/>
      <c r="N599" s="345"/>
      <c r="O599" s="345"/>
      <c r="P599" s="414"/>
      <c r="Q599" s="414"/>
      <c r="R599" s="414"/>
      <c r="S599" s="445"/>
      <c r="T599" s="445"/>
      <c r="U599" s="445"/>
      <c r="V599" s="345"/>
      <c r="W599" s="441"/>
      <c r="X599" s="345"/>
      <c r="Y599" s="345"/>
      <c r="Z599" s="345"/>
      <c r="AA599" s="345"/>
      <c r="AB599" s="345"/>
      <c r="AC599" s="345"/>
      <c r="AD599" s="345"/>
      <c r="AE599" s="345"/>
      <c r="AF599" s="345"/>
      <c r="AG599" s="345"/>
      <c r="AH599" s="345"/>
      <c r="AI599" s="345"/>
      <c r="AJ599" s="345"/>
      <c r="AK599" s="345"/>
      <c r="AL599" s="345"/>
      <c r="AM599" s="345"/>
      <c r="AN599" s="345"/>
      <c r="AO599" s="345"/>
      <c r="AP599" s="345"/>
      <c r="AQ599" s="345"/>
      <c r="AR599" s="345"/>
      <c r="AS599" s="345"/>
    </row>
    <row r="600" ht="13.5" customHeight="1">
      <c r="A600" s="424" t="str">
        <f>'Membership Application List'!A829</f>
        <v/>
      </c>
      <c r="B600" s="443" t="str">
        <f t="shared" si="6"/>
        <v/>
      </c>
      <c r="C600" s="443" t="str">
        <f t="shared" si="7"/>
        <v/>
      </c>
      <c r="D600" s="426" t="str">
        <f>'Membership Application List'!E829</f>
        <v/>
      </c>
      <c r="E600" s="426" t="str">
        <f>IF('Membership Application List'!J829 = "Food/Litter Donation", 0, IF('Membership Application List'!J829 = "$15 Donation, Discord Verification", IF('Membership Application List'!N829 = TRUE, 15, 0)))</f>
        <v>#N/A</v>
      </c>
      <c r="F600" s="426">
        <f>if('Membership Application List'!K829=TRUE, 5,0)</f>
        <v>0</v>
      </c>
      <c r="G600" s="426" t="str">
        <f t="shared" si="8"/>
        <v>#N/A</v>
      </c>
      <c r="H600" s="427" t="str">
        <f>'Membership Application List'!L829</f>
        <v/>
      </c>
      <c r="I600" s="345"/>
      <c r="J600" s="441"/>
      <c r="K600" s="345"/>
      <c r="L600" s="478"/>
      <c r="M600" s="345"/>
      <c r="N600" s="345"/>
      <c r="O600" s="345"/>
      <c r="P600" s="414"/>
      <c r="Q600" s="414"/>
      <c r="R600" s="414"/>
      <c r="S600" s="445"/>
      <c r="T600" s="445"/>
      <c r="U600" s="445"/>
      <c r="V600" s="345"/>
      <c r="W600" s="441"/>
      <c r="X600" s="345"/>
      <c r="Y600" s="345"/>
      <c r="Z600" s="345"/>
      <c r="AA600" s="345"/>
      <c r="AB600" s="345"/>
      <c r="AC600" s="345"/>
      <c r="AD600" s="345"/>
      <c r="AE600" s="345"/>
      <c r="AF600" s="345"/>
      <c r="AG600" s="345"/>
      <c r="AH600" s="345"/>
      <c r="AI600" s="345"/>
      <c r="AJ600" s="345"/>
      <c r="AK600" s="345"/>
      <c r="AL600" s="345"/>
      <c r="AM600" s="345"/>
      <c r="AN600" s="345"/>
      <c r="AO600" s="345"/>
      <c r="AP600" s="345"/>
      <c r="AQ600" s="345"/>
      <c r="AR600" s="345"/>
      <c r="AS600" s="345"/>
    </row>
    <row r="601" ht="13.5" customHeight="1">
      <c r="A601" s="436" t="str">
        <f>'Membership Application List'!A830</f>
        <v/>
      </c>
      <c r="B601" s="437" t="str">
        <f t="shared" si="6"/>
        <v/>
      </c>
      <c r="C601" s="437" t="str">
        <f t="shared" si="7"/>
        <v/>
      </c>
      <c r="D601" s="438" t="str">
        <f>'Membership Application List'!E830</f>
        <v/>
      </c>
      <c r="E601" s="438" t="str">
        <f>IF('Membership Application List'!J830 = "Food/Litter Donation", 0, IF('Membership Application List'!J830 = "$15 Donation, Discord Verification", IF('Membership Application List'!N830 = TRUE, 15, 0)))</f>
        <v>#N/A</v>
      </c>
      <c r="F601" s="438">
        <f>if('Membership Application List'!K830=TRUE, 5,0)</f>
        <v>0</v>
      </c>
      <c r="G601" s="438" t="str">
        <f t="shared" si="8"/>
        <v>#N/A</v>
      </c>
      <c r="H601" s="439" t="str">
        <f>'Membership Application List'!L830</f>
        <v/>
      </c>
      <c r="I601" s="345"/>
      <c r="J601" s="441"/>
      <c r="K601" s="345"/>
      <c r="L601" s="478"/>
      <c r="M601" s="345"/>
      <c r="N601" s="345"/>
      <c r="O601" s="345"/>
      <c r="P601" s="414"/>
      <c r="Q601" s="414"/>
      <c r="R601" s="414"/>
      <c r="S601" s="445"/>
      <c r="T601" s="445"/>
      <c r="U601" s="445"/>
      <c r="V601" s="345"/>
      <c r="W601" s="441"/>
      <c r="X601" s="345"/>
      <c r="Y601" s="345"/>
      <c r="Z601" s="345"/>
      <c r="AA601" s="345"/>
      <c r="AB601" s="345"/>
      <c r="AC601" s="345"/>
      <c r="AD601" s="345"/>
      <c r="AE601" s="345"/>
      <c r="AF601" s="345"/>
      <c r="AG601" s="345"/>
      <c r="AH601" s="345"/>
      <c r="AI601" s="345"/>
      <c r="AJ601" s="345"/>
      <c r="AK601" s="345"/>
      <c r="AL601" s="345"/>
      <c r="AM601" s="345"/>
      <c r="AN601" s="345"/>
      <c r="AO601" s="345"/>
      <c r="AP601" s="345"/>
      <c r="AQ601" s="345"/>
      <c r="AR601" s="345"/>
      <c r="AS601" s="345"/>
    </row>
    <row r="602" ht="13.5" customHeight="1">
      <c r="A602" s="424" t="str">
        <f>'Membership Application List'!A831</f>
        <v/>
      </c>
      <c r="B602" s="443" t="str">
        <f t="shared" si="6"/>
        <v/>
      </c>
      <c r="C602" s="443" t="str">
        <f t="shared" si="7"/>
        <v/>
      </c>
      <c r="D602" s="426" t="str">
        <f>'Membership Application List'!E831</f>
        <v/>
      </c>
      <c r="E602" s="426" t="str">
        <f>IF('Membership Application List'!J831 = "Food/Litter Donation", 0, IF('Membership Application List'!J831 = "$15 Donation, Discord Verification", IF('Membership Application List'!N831 = TRUE, 15, 0)))</f>
        <v>#N/A</v>
      </c>
      <c r="F602" s="426">
        <f>if('Membership Application List'!K831=TRUE, 5,0)</f>
        <v>0</v>
      </c>
      <c r="G602" s="426" t="str">
        <f t="shared" si="8"/>
        <v>#N/A</v>
      </c>
      <c r="H602" s="427" t="str">
        <f>'Membership Application List'!L831</f>
        <v/>
      </c>
      <c r="I602" s="345"/>
      <c r="J602" s="441"/>
      <c r="K602" s="345"/>
      <c r="L602" s="478"/>
      <c r="M602" s="345"/>
      <c r="N602" s="345"/>
      <c r="O602" s="345"/>
      <c r="P602" s="414"/>
      <c r="Q602" s="414"/>
      <c r="R602" s="414"/>
      <c r="S602" s="445"/>
      <c r="T602" s="445"/>
      <c r="U602" s="445"/>
      <c r="V602" s="345"/>
      <c r="W602" s="441"/>
      <c r="X602" s="345"/>
      <c r="Y602" s="345"/>
      <c r="Z602" s="345"/>
      <c r="AA602" s="345"/>
      <c r="AB602" s="345"/>
      <c r="AC602" s="345"/>
      <c r="AD602" s="345"/>
      <c r="AE602" s="345"/>
      <c r="AF602" s="345"/>
      <c r="AG602" s="345"/>
      <c r="AH602" s="345"/>
      <c r="AI602" s="345"/>
      <c r="AJ602" s="345"/>
      <c r="AK602" s="345"/>
      <c r="AL602" s="345"/>
      <c r="AM602" s="345"/>
      <c r="AN602" s="345"/>
      <c r="AO602" s="345"/>
      <c r="AP602" s="345"/>
      <c r="AQ602" s="345"/>
      <c r="AR602" s="345"/>
      <c r="AS602" s="345"/>
    </row>
    <row r="603" ht="13.5" customHeight="1">
      <c r="A603" s="436" t="str">
        <f>'Membership Application List'!A832</f>
        <v/>
      </c>
      <c r="B603" s="437" t="str">
        <f t="shared" si="6"/>
        <v/>
      </c>
      <c r="C603" s="437" t="str">
        <f t="shared" si="7"/>
        <v/>
      </c>
      <c r="D603" s="438" t="str">
        <f>'Membership Application List'!E832</f>
        <v/>
      </c>
      <c r="E603" s="438" t="str">
        <f>IF('Membership Application List'!J832 = "Food/Litter Donation", 0, IF('Membership Application List'!J832 = "$15 Donation, Discord Verification", IF('Membership Application List'!N832 = TRUE, 15, 0)))</f>
        <v>#N/A</v>
      </c>
      <c r="F603" s="438">
        <f>if('Membership Application List'!K832=TRUE, 5,0)</f>
        <v>0</v>
      </c>
      <c r="G603" s="438" t="str">
        <f t="shared" si="8"/>
        <v>#N/A</v>
      </c>
      <c r="H603" s="439" t="str">
        <f>'Membership Application List'!L832</f>
        <v/>
      </c>
      <c r="I603" s="345"/>
      <c r="J603" s="441"/>
      <c r="K603" s="345"/>
      <c r="L603" s="478"/>
      <c r="M603" s="345"/>
      <c r="N603" s="345"/>
      <c r="O603" s="345"/>
      <c r="P603" s="414"/>
      <c r="Q603" s="414"/>
      <c r="R603" s="414"/>
      <c r="S603" s="445"/>
      <c r="T603" s="445"/>
      <c r="U603" s="445"/>
      <c r="V603" s="345"/>
      <c r="W603" s="441"/>
      <c r="X603" s="345"/>
      <c r="Y603" s="345"/>
      <c r="Z603" s="345"/>
      <c r="AA603" s="345"/>
      <c r="AB603" s="345"/>
      <c r="AC603" s="345"/>
      <c r="AD603" s="345"/>
      <c r="AE603" s="345"/>
      <c r="AF603" s="345"/>
      <c r="AG603" s="345"/>
      <c r="AH603" s="345"/>
      <c r="AI603" s="345"/>
      <c r="AJ603" s="345"/>
      <c r="AK603" s="345"/>
      <c r="AL603" s="345"/>
      <c r="AM603" s="345"/>
      <c r="AN603" s="345"/>
      <c r="AO603" s="345"/>
      <c r="AP603" s="345"/>
      <c r="AQ603" s="345"/>
      <c r="AR603" s="345"/>
      <c r="AS603" s="345"/>
    </row>
    <row r="604" ht="13.5" customHeight="1">
      <c r="A604" s="424" t="str">
        <f>'Membership Application List'!A833</f>
        <v/>
      </c>
      <c r="B604" s="443" t="str">
        <f t="shared" si="6"/>
        <v/>
      </c>
      <c r="C604" s="443" t="str">
        <f t="shared" si="7"/>
        <v/>
      </c>
      <c r="D604" s="426" t="str">
        <f>'Membership Application List'!E833</f>
        <v/>
      </c>
      <c r="E604" s="426" t="str">
        <f>IF('Membership Application List'!J833 = "Food/Litter Donation", 0, IF('Membership Application List'!J833 = "$15 Donation, Discord Verification", IF('Membership Application List'!N833 = TRUE, 15, 0)))</f>
        <v>#N/A</v>
      </c>
      <c r="F604" s="426">
        <f>if('Membership Application List'!K833=TRUE, 5,0)</f>
        <v>0</v>
      </c>
      <c r="G604" s="426" t="str">
        <f t="shared" si="8"/>
        <v>#N/A</v>
      </c>
      <c r="H604" s="427" t="str">
        <f>'Membership Application List'!L833</f>
        <v/>
      </c>
      <c r="I604" s="345"/>
      <c r="J604" s="441"/>
      <c r="K604" s="345"/>
      <c r="L604" s="478"/>
      <c r="M604" s="345"/>
      <c r="N604" s="345"/>
      <c r="O604" s="345"/>
      <c r="P604" s="414"/>
      <c r="Q604" s="414"/>
      <c r="R604" s="414"/>
      <c r="S604" s="445"/>
      <c r="T604" s="445"/>
      <c r="U604" s="445"/>
      <c r="V604" s="345"/>
      <c r="W604" s="441"/>
      <c r="X604" s="345"/>
      <c r="Y604" s="345"/>
      <c r="Z604" s="345"/>
      <c r="AA604" s="345"/>
      <c r="AB604" s="345"/>
      <c r="AC604" s="345"/>
      <c r="AD604" s="345"/>
      <c r="AE604" s="345"/>
      <c r="AF604" s="345"/>
      <c r="AG604" s="345"/>
      <c r="AH604" s="345"/>
      <c r="AI604" s="345"/>
      <c r="AJ604" s="345"/>
      <c r="AK604" s="345"/>
      <c r="AL604" s="345"/>
      <c r="AM604" s="345"/>
      <c r="AN604" s="345"/>
      <c r="AO604" s="345"/>
      <c r="AP604" s="345"/>
      <c r="AQ604" s="345"/>
      <c r="AR604" s="345"/>
      <c r="AS604" s="345"/>
    </row>
    <row r="605" ht="13.5" customHeight="1">
      <c r="A605" s="436" t="str">
        <f>'Membership Application List'!A834</f>
        <v/>
      </c>
      <c r="B605" s="437" t="str">
        <f t="shared" si="6"/>
        <v/>
      </c>
      <c r="C605" s="437" t="str">
        <f t="shared" si="7"/>
        <v/>
      </c>
      <c r="D605" s="438" t="str">
        <f>'Membership Application List'!E834</f>
        <v/>
      </c>
      <c r="E605" s="438" t="str">
        <f>IF('Membership Application List'!J834 = "Food/Litter Donation", 0, IF('Membership Application List'!J834 = "$15 Donation, Discord Verification", IF('Membership Application List'!N834 = TRUE, 15, 0)))</f>
        <v>#N/A</v>
      </c>
      <c r="F605" s="438">
        <f>if('Membership Application List'!K834=TRUE, 5,0)</f>
        <v>0</v>
      </c>
      <c r="G605" s="438" t="str">
        <f t="shared" si="8"/>
        <v>#N/A</v>
      </c>
      <c r="H605" s="439" t="str">
        <f>'Membership Application List'!L834</f>
        <v/>
      </c>
      <c r="I605" s="345"/>
      <c r="J605" s="441"/>
      <c r="K605" s="345"/>
      <c r="L605" s="478"/>
      <c r="M605" s="345"/>
      <c r="N605" s="345"/>
      <c r="O605" s="345"/>
      <c r="P605" s="414"/>
      <c r="Q605" s="414"/>
      <c r="R605" s="414"/>
      <c r="S605" s="445"/>
      <c r="T605" s="445"/>
      <c r="U605" s="445"/>
      <c r="V605" s="345"/>
      <c r="W605" s="441"/>
      <c r="X605" s="345"/>
      <c r="Y605" s="345"/>
      <c r="Z605" s="345"/>
      <c r="AA605" s="345"/>
      <c r="AB605" s="345"/>
      <c r="AC605" s="345"/>
      <c r="AD605" s="345"/>
      <c r="AE605" s="345"/>
      <c r="AF605" s="345"/>
      <c r="AG605" s="345"/>
      <c r="AH605" s="345"/>
      <c r="AI605" s="345"/>
      <c r="AJ605" s="345"/>
      <c r="AK605" s="345"/>
      <c r="AL605" s="345"/>
      <c r="AM605" s="345"/>
      <c r="AN605" s="345"/>
      <c r="AO605" s="345"/>
      <c r="AP605" s="345"/>
      <c r="AQ605" s="345"/>
      <c r="AR605" s="345"/>
      <c r="AS605" s="345"/>
    </row>
    <row r="606" ht="13.5" customHeight="1">
      <c r="A606" s="424" t="str">
        <f>'Membership Application List'!A835</f>
        <v/>
      </c>
      <c r="B606" s="443" t="str">
        <f t="shared" si="6"/>
        <v/>
      </c>
      <c r="C606" s="443" t="str">
        <f t="shared" si="7"/>
        <v/>
      </c>
      <c r="D606" s="426" t="str">
        <f>'Membership Application List'!E835</f>
        <v/>
      </c>
      <c r="E606" s="426" t="str">
        <f>IF('Membership Application List'!J835 = "Food/Litter Donation", 0, IF('Membership Application List'!J835 = "$15 Donation, Discord Verification", IF('Membership Application List'!N835 = TRUE, 15, 0)))</f>
        <v>#N/A</v>
      </c>
      <c r="F606" s="426">
        <f>if('Membership Application List'!K835=TRUE, 5,0)</f>
        <v>0</v>
      </c>
      <c r="G606" s="426" t="str">
        <f t="shared" si="8"/>
        <v>#N/A</v>
      </c>
      <c r="H606" s="427" t="str">
        <f>'Membership Application List'!L835</f>
        <v/>
      </c>
      <c r="I606" s="345"/>
      <c r="J606" s="441"/>
      <c r="K606" s="345"/>
      <c r="L606" s="478"/>
      <c r="M606" s="345"/>
      <c r="N606" s="345"/>
      <c r="O606" s="345"/>
      <c r="P606" s="414"/>
      <c r="Q606" s="414"/>
      <c r="R606" s="414"/>
      <c r="S606" s="445"/>
      <c r="T606" s="445"/>
      <c r="U606" s="445"/>
      <c r="V606" s="345"/>
      <c r="W606" s="441"/>
      <c r="X606" s="345"/>
      <c r="Y606" s="345"/>
      <c r="Z606" s="345"/>
      <c r="AA606" s="345"/>
      <c r="AB606" s="345"/>
      <c r="AC606" s="345"/>
      <c r="AD606" s="345"/>
      <c r="AE606" s="345"/>
      <c r="AF606" s="345"/>
      <c r="AG606" s="345"/>
      <c r="AH606" s="345"/>
      <c r="AI606" s="345"/>
      <c r="AJ606" s="345"/>
      <c r="AK606" s="345"/>
      <c r="AL606" s="345"/>
      <c r="AM606" s="345"/>
      <c r="AN606" s="345"/>
      <c r="AO606" s="345"/>
      <c r="AP606" s="345"/>
      <c r="AQ606" s="345"/>
      <c r="AR606" s="345"/>
      <c r="AS606" s="345"/>
    </row>
    <row r="607" ht="13.5" customHeight="1">
      <c r="A607" s="436" t="str">
        <f>'Membership Application List'!A836</f>
        <v/>
      </c>
      <c r="B607" s="437" t="str">
        <f t="shared" si="6"/>
        <v/>
      </c>
      <c r="C607" s="437" t="str">
        <f t="shared" si="7"/>
        <v/>
      </c>
      <c r="D607" s="438" t="str">
        <f>'Membership Application List'!E836</f>
        <v/>
      </c>
      <c r="E607" s="438" t="str">
        <f>IF('Membership Application List'!J836 = "Food/Litter Donation", 0, IF('Membership Application List'!J836 = "$15 Donation, Discord Verification", IF('Membership Application List'!N836 = TRUE, 15, 0)))</f>
        <v>#N/A</v>
      </c>
      <c r="F607" s="438">
        <f>if('Membership Application List'!K836=TRUE, 5,0)</f>
        <v>0</v>
      </c>
      <c r="G607" s="438" t="str">
        <f t="shared" si="8"/>
        <v>#N/A</v>
      </c>
      <c r="H607" s="439" t="str">
        <f>'Membership Application List'!L836</f>
        <v/>
      </c>
      <c r="I607" s="345"/>
      <c r="J607" s="441"/>
      <c r="K607" s="345"/>
      <c r="L607" s="478"/>
      <c r="M607" s="345"/>
      <c r="N607" s="345"/>
      <c r="O607" s="345"/>
      <c r="P607" s="414"/>
      <c r="Q607" s="414"/>
      <c r="R607" s="414"/>
      <c r="S607" s="445"/>
      <c r="T607" s="445"/>
      <c r="U607" s="445"/>
      <c r="V607" s="345"/>
      <c r="W607" s="441"/>
      <c r="X607" s="345"/>
      <c r="Y607" s="345"/>
      <c r="Z607" s="345"/>
      <c r="AA607" s="345"/>
      <c r="AB607" s="345"/>
      <c r="AC607" s="345"/>
      <c r="AD607" s="345"/>
      <c r="AE607" s="345"/>
      <c r="AF607" s="345"/>
      <c r="AG607" s="345"/>
      <c r="AH607" s="345"/>
      <c r="AI607" s="345"/>
      <c r="AJ607" s="345"/>
      <c r="AK607" s="345"/>
      <c r="AL607" s="345"/>
      <c r="AM607" s="345"/>
      <c r="AN607" s="345"/>
      <c r="AO607" s="345"/>
      <c r="AP607" s="345"/>
      <c r="AQ607" s="345"/>
      <c r="AR607" s="345"/>
      <c r="AS607" s="345"/>
    </row>
    <row r="608" ht="13.5" customHeight="1">
      <c r="A608" s="424" t="str">
        <f>'Membership Application List'!A837</f>
        <v/>
      </c>
      <c r="B608" s="443" t="str">
        <f t="shared" si="6"/>
        <v/>
      </c>
      <c r="C608" s="443" t="str">
        <f t="shared" si="7"/>
        <v/>
      </c>
      <c r="D608" s="426" t="str">
        <f>'Membership Application List'!E837</f>
        <v/>
      </c>
      <c r="E608" s="426" t="str">
        <f>IF('Membership Application List'!J837 = "Food/Litter Donation", 0, IF('Membership Application List'!J837 = "$15 Donation, Discord Verification", IF('Membership Application List'!N837 = TRUE, 15, 0)))</f>
        <v>#N/A</v>
      </c>
      <c r="F608" s="426">
        <f>if('Membership Application List'!K837=TRUE, 5,0)</f>
        <v>0</v>
      </c>
      <c r="G608" s="426" t="str">
        <f t="shared" si="8"/>
        <v>#N/A</v>
      </c>
      <c r="H608" s="427" t="str">
        <f>'Membership Application List'!L837</f>
        <v/>
      </c>
      <c r="I608" s="345"/>
      <c r="J608" s="441"/>
      <c r="K608" s="345"/>
      <c r="L608" s="478"/>
      <c r="M608" s="345"/>
      <c r="N608" s="345"/>
      <c r="O608" s="345"/>
      <c r="P608" s="414"/>
      <c r="Q608" s="414"/>
      <c r="R608" s="414"/>
      <c r="S608" s="445"/>
      <c r="T608" s="445"/>
      <c r="U608" s="445"/>
      <c r="V608" s="345"/>
      <c r="W608" s="441"/>
      <c r="X608" s="345"/>
      <c r="Y608" s="345"/>
      <c r="Z608" s="345"/>
      <c r="AA608" s="345"/>
      <c r="AB608" s="345"/>
      <c r="AC608" s="345"/>
      <c r="AD608" s="345"/>
      <c r="AE608" s="345"/>
      <c r="AF608" s="345"/>
      <c r="AG608" s="345"/>
      <c r="AH608" s="345"/>
      <c r="AI608" s="345"/>
      <c r="AJ608" s="345"/>
      <c r="AK608" s="345"/>
      <c r="AL608" s="345"/>
      <c r="AM608" s="345"/>
      <c r="AN608" s="345"/>
      <c r="AO608" s="345"/>
      <c r="AP608" s="345"/>
      <c r="AQ608" s="345"/>
      <c r="AR608" s="345"/>
      <c r="AS608" s="345"/>
    </row>
    <row r="609" ht="13.5" customHeight="1">
      <c r="A609" s="436" t="str">
        <f>'Membership Application List'!A838</f>
        <v/>
      </c>
      <c r="B609" s="437" t="str">
        <f t="shared" si="6"/>
        <v/>
      </c>
      <c r="C609" s="437" t="str">
        <f t="shared" si="7"/>
        <v/>
      </c>
      <c r="D609" s="438" t="str">
        <f>'Membership Application List'!E838</f>
        <v/>
      </c>
      <c r="E609" s="438" t="str">
        <f>IF('Membership Application List'!J838 = "Food/Litter Donation", 0, IF('Membership Application List'!J838 = "$15 Donation, Discord Verification", IF('Membership Application List'!N838 = TRUE, 15, 0)))</f>
        <v>#N/A</v>
      </c>
      <c r="F609" s="438">
        <f>if('Membership Application List'!K838=TRUE, 5,0)</f>
        <v>0</v>
      </c>
      <c r="G609" s="438" t="str">
        <f t="shared" si="8"/>
        <v>#N/A</v>
      </c>
      <c r="H609" s="439" t="str">
        <f>'Membership Application List'!L838</f>
        <v/>
      </c>
      <c r="I609" s="345"/>
      <c r="J609" s="441"/>
      <c r="K609" s="345"/>
      <c r="L609" s="478"/>
      <c r="M609" s="345"/>
      <c r="N609" s="345"/>
      <c r="O609" s="345"/>
      <c r="P609" s="414"/>
      <c r="Q609" s="414"/>
      <c r="R609" s="414"/>
      <c r="S609" s="445"/>
      <c r="T609" s="445"/>
      <c r="U609" s="445"/>
      <c r="V609" s="345"/>
      <c r="W609" s="441"/>
      <c r="X609" s="345"/>
      <c r="Y609" s="345"/>
      <c r="Z609" s="345"/>
      <c r="AA609" s="345"/>
      <c r="AB609" s="345"/>
      <c r="AC609" s="345"/>
      <c r="AD609" s="345"/>
      <c r="AE609" s="345"/>
      <c r="AF609" s="345"/>
      <c r="AG609" s="345"/>
      <c r="AH609" s="345"/>
      <c r="AI609" s="345"/>
      <c r="AJ609" s="345"/>
      <c r="AK609" s="345"/>
      <c r="AL609" s="345"/>
      <c r="AM609" s="345"/>
      <c r="AN609" s="345"/>
      <c r="AO609" s="345"/>
      <c r="AP609" s="345"/>
      <c r="AQ609" s="345"/>
      <c r="AR609" s="345"/>
      <c r="AS609" s="345"/>
    </row>
    <row r="610" ht="13.5" customHeight="1">
      <c r="A610" s="424" t="str">
        <f>'Membership Application List'!A839</f>
        <v/>
      </c>
      <c r="B610" s="443" t="str">
        <f t="shared" si="6"/>
        <v/>
      </c>
      <c r="C610" s="443" t="str">
        <f t="shared" si="7"/>
        <v/>
      </c>
      <c r="D610" s="426" t="str">
        <f>'Membership Application List'!E839</f>
        <v/>
      </c>
      <c r="E610" s="426" t="str">
        <f>IF('Membership Application List'!J839 = "Food/Litter Donation", 0, IF('Membership Application List'!J839 = "$15 Donation, Discord Verification", IF('Membership Application List'!N839 = TRUE, 15, 0)))</f>
        <v>#N/A</v>
      </c>
      <c r="F610" s="426">
        <f>if('Membership Application List'!K839=TRUE, 5,0)</f>
        <v>0</v>
      </c>
      <c r="G610" s="426" t="str">
        <f t="shared" si="8"/>
        <v>#N/A</v>
      </c>
      <c r="H610" s="427" t="str">
        <f>'Membership Application List'!L839</f>
        <v/>
      </c>
      <c r="I610" s="345"/>
      <c r="J610" s="441"/>
      <c r="K610" s="345"/>
      <c r="L610" s="478"/>
      <c r="M610" s="345"/>
      <c r="N610" s="345"/>
      <c r="O610" s="345"/>
      <c r="P610" s="414"/>
      <c r="Q610" s="414"/>
      <c r="R610" s="414"/>
      <c r="S610" s="445"/>
      <c r="T610" s="445"/>
      <c r="U610" s="445"/>
      <c r="V610" s="345"/>
      <c r="W610" s="441"/>
      <c r="X610" s="345"/>
      <c r="Y610" s="345"/>
      <c r="Z610" s="345"/>
      <c r="AA610" s="345"/>
      <c r="AB610" s="345"/>
      <c r="AC610" s="345"/>
      <c r="AD610" s="345"/>
      <c r="AE610" s="345"/>
      <c r="AF610" s="345"/>
      <c r="AG610" s="345"/>
      <c r="AH610" s="345"/>
      <c r="AI610" s="345"/>
      <c r="AJ610" s="345"/>
      <c r="AK610" s="345"/>
      <c r="AL610" s="345"/>
      <c r="AM610" s="345"/>
      <c r="AN610" s="345"/>
      <c r="AO610" s="345"/>
      <c r="AP610" s="345"/>
      <c r="AQ610" s="345"/>
      <c r="AR610" s="345"/>
      <c r="AS610" s="345"/>
    </row>
    <row r="611" ht="13.5" customHeight="1">
      <c r="A611" s="436" t="str">
        <f>'Membership Application List'!A840</f>
        <v/>
      </c>
      <c r="B611" s="437" t="str">
        <f t="shared" si="6"/>
        <v/>
      </c>
      <c r="C611" s="437" t="str">
        <f t="shared" si="7"/>
        <v/>
      </c>
      <c r="D611" s="438" t="str">
        <f>'Membership Application List'!E840</f>
        <v/>
      </c>
      <c r="E611" s="438" t="str">
        <f>IF('Membership Application List'!J840 = "Food/Litter Donation", 0, IF('Membership Application List'!J840 = "$15 Donation, Discord Verification", IF('Membership Application List'!N840 = TRUE, 15, 0)))</f>
        <v>#N/A</v>
      </c>
      <c r="F611" s="438">
        <f>if('Membership Application List'!K840=TRUE, 5,0)</f>
        <v>0</v>
      </c>
      <c r="G611" s="438" t="str">
        <f t="shared" si="8"/>
        <v>#N/A</v>
      </c>
      <c r="H611" s="439" t="str">
        <f>'Membership Application List'!L840</f>
        <v/>
      </c>
      <c r="I611" s="345"/>
      <c r="J611" s="441"/>
      <c r="K611" s="345"/>
      <c r="L611" s="478"/>
      <c r="M611" s="345"/>
      <c r="N611" s="345"/>
      <c r="O611" s="345"/>
      <c r="P611" s="414"/>
      <c r="Q611" s="414"/>
      <c r="R611" s="414"/>
      <c r="S611" s="445"/>
      <c r="T611" s="445"/>
      <c r="U611" s="445"/>
      <c r="V611" s="345"/>
      <c r="W611" s="441"/>
      <c r="X611" s="345"/>
      <c r="Y611" s="345"/>
      <c r="Z611" s="345"/>
      <c r="AA611" s="345"/>
      <c r="AB611" s="345"/>
      <c r="AC611" s="345"/>
      <c r="AD611" s="345"/>
      <c r="AE611" s="345"/>
      <c r="AF611" s="345"/>
      <c r="AG611" s="345"/>
      <c r="AH611" s="345"/>
      <c r="AI611" s="345"/>
      <c r="AJ611" s="345"/>
      <c r="AK611" s="345"/>
      <c r="AL611" s="345"/>
      <c r="AM611" s="345"/>
      <c r="AN611" s="345"/>
      <c r="AO611" s="345"/>
      <c r="AP611" s="345"/>
      <c r="AQ611" s="345"/>
      <c r="AR611" s="345"/>
      <c r="AS611" s="345"/>
    </row>
    <row r="612" ht="13.5" customHeight="1">
      <c r="A612" s="424" t="str">
        <f>'Membership Application List'!A841</f>
        <v/>
      </c>
      <c r="B612" s="443" t="str">
        <f t="shared" si="6"/>
        <v/>
      </c>
      <c r="C612" s="443" t="str">
        <f t="shared" si="7"/>
        <v/>
      </c>
      <c r="D612" s="426" t="str">
        <f>'Membership Application List'!E841</f>
        <v/>
      </c>
      <c r="E612" s="426" t="str">
        <f>IF('Membership Application List'!J841 = "Food/Litter Donation", 0, IF('Membership Application List'!J841 = "$15 Donation, Discord Verification", IF('Membership Application List'!N841 = TRUE, 15, 0)))</f>
        <v>#N/A</v>
      </c>
      <c r="F612" s="426">
        <f>if('Membership Application List'!K841=TRUE, 5,0)</f>
        <v>0</v>
      </c>
      <c r="G612" s="426" t="str">
        <f t="shared" si="8"/>
        <v>#N/A</v>
      </c>
      <c r="H612" s="427" t="str">
        <f>'Membership Application List'!L841</f>
        <v/>
      </c>
      <c r="I612" s="345"/>
      <c r="J612" s="441"/>
      <c r="K612" s="345"/>
      <c r="L612" s="478"/>
      <c r="M612" s="345"/>
      <c r="N612" s="345"/>
      <c r="O612" s="345"/>
      <c r="P612" s="414"/>
      <c r="Q612" s="414"/>
      <c r="R612" s="414"/>
      <c r="S612" s="445"/>
      <c r="T612" s="445"/>
      <c r="U612" s="445"/>
      <c r="V612" s="345"/>
      <c r="W612" s="441"/>
      <c r="X612" s="345"/>
      <c r="Y612" s="345"/>
      <c r="Z612" s="345"/>
      <c r="AA612" s="345"/>
      <c r="AB612" s="345"/>
      <c r="AC612" s="345"/>
      <c r="AD612" s="345"/>
      <c r="AE612" s="345"/>
      <c r="AF612" s="345"/>
      <c r="AG612" s="345"/>
      <c r="AH612" s="345"/>
      <c r="AI612" s="345"/>
      <c r="AJ612" s="345"/>
      <c r="AK612" s="345"/>
      <c r="AL612" s="345"/>
      <c r="AM612" s="345"/>
      <c r="AN612" s="345"/>
      <c r="AO612" s="345"/>
      <c r="AP612" s="345"/>
      <c r="AQ612" s="345"/>
      <c r="AR612" s="345"/>
      <c r="AS612" s="345"/>
    </row>
    <row r="613" ht="13.5" customHeight="1">
      <c r="A613" s="436" t="str">
        <f>'Membership Application List'!A842</f>
        <v/>
      </c>
      <c r="B613" s="437" t="str">
        <f t="shared" si="6"/>
        <v/>
      </c>
      <c r="C613" s="437" t="str">
        <f t="shared" si="7"/>
        <v/>
      </c>
      <c r="D613" s="438" t="str">
        <f>'Membership Application List'!E842</f>
        <v/>
      </c>
      <c r="E613" s="438" t="str">
        <f>IF('Membership Application List'!J842 = "Food/Litter Donation", 0, IF('Membership Application List'!J842 = "$15 Donation, Discord Verification", IF('Membership Application List'!N842 = TRUE, 15, 0)))</f>
        <v>#N/A</v>
      </c>
      <c r="F613" s="438">
        <f>if('Membership Application List'!K842=TRUE, 5,0)</f>
        <v>0</v>
      </c>
      <c r="G613" s="438" t="str">
        <f t="shared" si="8"/>
        <v>#N/A</v>
      </c>
      <c r="H613" s="439" t="str">
        <f>'Membership Application List'!L842</f>
        <v/>
      </c>
      <c r="I613" s="345"/>
      <c r="J613" s="441"/>
      <c r="K613" s="345"/>
      <c r="L613" s="478"/>
      <c r="M613" s="345"/>
      <c r="N613" s="345"/>
      <c r="O613" s="345"/>
      <c r="P613" s="414"/>
      <c r="Q613" s="414"/>
      <c r="R613" s="414"/>
      <c r="S613" s="445"/>
      <c r="T613" s="445"/>
      <c r="U613" s="445"/>
      <c r="V613" s="345"/>
      <c r="W613" s="441"/>
      <c r="X613" s="345"/>
      <c r="Y613" s="345"/>
      <c r="Z613" s="345"/>
      <c r="AA613" s="345"/>
      <c r="AB613" s="345"/>
      <c r="AC613" s="345"/>
      <c r="AD613" s="345"/>
      <c r="AE613" s="345"/>
      <c r="AF613" s="345"/>
      <c r="AG613" s="345"/>
      <c r="AH613" s="345"/>
      <c r="AI613" s="345"/>
      <c r="AJ613" s="345"/>
      <c r="AK613" s="345"/>
      <c r="AL613" s="345"/>
      <c r="AM613" s="345"/>
      <c r="AN613" s="345"/>
      <c r="AO613" s="345"/>
      <c r="AP613" s="345"/>
      <c r="AQ613" s="345"/>
      <c r="AR613" s="345"/>
      <c r="AS613" s="345"/>
    </row>
    <row r="614" ht="13.5" customHeight="1">
      <c r="A614" s="424" t="str">
        <f>'Membership Application List'!A843</f>
        <v/>
      </c>
      <c r="B614" s="443" t="str">
        <f t="shared" si="6"/>
        <v/>
      </c>
      <c r="C614" s="443" t="str">
        <f t="shared" si="7"/>
        <v/>
      </c>
      <c r="D614" s="426" t="str">
        <f>'Membership Application List'!E843</f>
        <v/>
      </c>
      <c r="E614" s="426" t="str">
        <f>IF('Membership Application List'!J843 = "Food/Litter Donation", 0, IF('Membership Application List'!J843 = "$15 Donation, Discord Verification", IF('Membership Application List'!N843 = TRUE, 15, 0)))</f>
        <v>#N/A</v>
      </c>
      <c r="F614" s="426">
        <f>if('Membership Application List'!K843=TRUE, 5,0)</f>
        <v>0</v>
      </c>
      <c r="G614" s="426" t="str">
        <f t="shared" si="8"/>
        <v>#N/A</v>
      </c>
      <c r="H614" s="427" t="str">
        <f>'Membership Application List'!L843</f>
        <v/>
      </c>
      <c r="I614" s="345"/>
      <c r="J614" s="441"/>
      <c r="K614" s="345"/>
      <c r="L614" s="478"/>
      <c r="M614" s="345"/>
      <c r="N614" s="345"/>
      <c r="O614" s="345"/>
      <c r="P614" s="414"/>
      <c r="Q614" s="414"/>
      <c r="R614" s="414"/>
      <c r="S614" s="445"/>
      <c r="T614" s="445"/>
      <c r="U614" s="445"/>
      <c r="V614" s="345"/>
      <c r="W614" s="441"/>
      <c r="X614" s="345"/>
      <c r="Y614" s="345"/>
      <c r="Z614" s="345"/>
      <c r="AA614" s="345"/>
      <c r="AB614" s="345"/>
      <c r="AC614" s="345"/>
      <c r="AD614" s="345"/>
      <c r="AE614" s="345"/>
      <c r="AF614" s="345"/>
      <c r="AG614" s="345"/>
      <c r="AH614" s="345"/>
      <c r="AI614" s="345"/>
      <c r="AJ614" s="345"/>
      <c r="AK614" s="345"/>
      <c r="AL614" s="345"/>
      <c r="AM614" s="345"/>
      <c r="AN614" s="345"/>
      <c r="AO614" s="345"/>
      <c r="AP614" s="345"/>
      <c r="AQ614" s="345"/>
      <c r="AR614" s="345"/>
      <c r="AS614" s="345"/>
    </row>
    <row r="615" ht="13.5" customHeight="1">
      <c r="A615" s="436" t="str">
        <f>'Membership Application List'!A844</f>
        <v/>
      </c>
      <c r="B615" s="437" t="str">
        <f t="shared" si="6"/>
        <v/>
      </c>
      <c r="C615" s="437" t="str">
        <f t="shared" si="7"/>
        <v/>
      </c>
      <c r="D615" s="438" t="str">
        <f>'Membership Application List'!E844</f>
        <v/>
      </c>
      <c r="E615" s="438" t="str">
        <f>IF('Membership Application List'!J844 = "Food/Litter Donation", 0, IF('Membership Application List'!J844 = "$15 Donation, Discord Verification", IF('Membership Application List'!N844 = TRUE, 15, 0)))</f>
        <v>#N/A</v>
      </c>
      <c r="F615" s="438">
        <f>if('Membership Application List'!K844=TRUE, 5,0)</f>
        <v>0</v>
      </c>
      <c r="G615" s="438" t="str">
        <f t="shared" si="8"/>
        <v>#N/A</v>
      </c>
      <c r="H615" s="439" t="str">
        <f>'Membership Application List'!L844</f>
        <v/>
      </c>
      <c r="I615" s="345"/>
      <c r="J615" s="441"/>
      <c r="K615" s="345"/>
      <c r="L615" s="478"/>
      <c r="M615" s="345"/>
      <c r="N615" s="345"/>
      <c r="O615" s="345"/>
      <c r="P615" s="414"/>
      <c r="Q615" s="414"/>
      <c r="R615" s="414"/>
      <c r="S615" s="445"/>
      <c r="T615" s="445"/>
      <c r="U615" s="445"/>
      <c r="V615" s="345"/>
      <c r="W615" s="441"/>
      <c r="X615" s="345"/>
      <c r="Y615" s="345"/>
      <c r="Z615" s="345"/>
      <c r="AA615" s="345"/>
      <c r="AB615" s="345"/>
      <c r="AC615" s="345"/>
      <c r="AD615" s="345"/>
      <c r="AE615" s="345"/>
      <c r="AF615" s="345"/>
      <c r="AG615" s="345"/>
      <c r="AH615" s="345"/>
      <c r="AI615" s="345"/>
      <c r="AJ615" s="345"/>
      <c r="AK615" s="345"/>
      <c r="AL615" s="345"/>
      <c r="AM615" s="345"/>
      <c r="AN615" s="345"/>
      <c r="AO615" s="345"/>
      <c r="AP615" s="345"/>
      <c r="AQ615" s="345"/>
      <c r="AR615" s="345"/>
      <c r="AS615" s="345"/>
    </row>
    <row r="616" ht="13.5" customHeight="1">
      <c r="A616" s="424" t="str">
        <f>'Membership Application List'!A845</f>
        <v/>
      </c>
      <c r="B616" s="443" t="str">
        <f t="shared" si="6"/>
        <v/>
      </c>
      <c r="C616" s="443" t="str">
        <f t="shared" si="7"/>
        <v/>
      </c>
      <c r="D616" s="426" t="str">
        <f>'Membership Application List'!E845</f>
        <v/>
      </c>
      <c r="E616" s="426" t="str">
        <f>IF('Membership Application List'!J845 = "Food/Litter Donation", 0, IF('Membership Application List'!J845 = "$15 Donation, Discord Verification", IF('Membership Application List'!N845 = TRUE, 15, 0)))</f>
        <v>#N/A</v>
      </c>
      <c r="F616" s="426">
        <f>if('Membership Application List'!K845=TRUE, 5,0)</f>
        <v>0</v>
      </c>
      <c r="G616" s="426" t="str">
        <f t="shared" si="8"/>
        <v>#N/A</v>
      </c>
      <c r="H616" s="427" t="str">
        <f>'Membership Application List'!L845</f>
        <v/>
      </c>
      <c r="I616" s="345"/>
      <c r="J616" s="441"/>
      <c r="K616" s="345"/>
      <c r="L616" s="478"/>
      <c r="M616" s="345"/>
      <c r="N616" s="345"/>
      <c r="O616" s="345"/>
      <c r="P616" s="414"/>
      <c r="Q616" s="414"/>
      <c r="R616" s="414"/>
      <c r="S616" s="445"/>
      <c r="T616" s="445"/>
      <c r="U616" s="445"/>
      <c r="V616" s="345"/>
      <c r="W616" s="441"/>
      <c r="X616" s="345"/>
      <c r="Y616" s="345"/>
      <c r="Z616" s="345"/>
      <c r="AA616" s="345"/>
      <c r="AB616" s="345"/>
      <c r="AC616" s="345"/>
      <c r="AD616" s="345"/>
      <c r="AE616" s="345"/>
      <c r="AF616" s="345"/>
      <c r="AG616" s="345"/>
      <c r="AH616" s="345"/>
      <c r="AI616" s="345"/>
      <c r="AJ616" s="345"/>
      <c r="AK616" s="345"/>
      <c r="AL616" s="345"/>
      <c r="AM616" s="345"/>
      <c r="AN616" s="345"/>
      <c r="AO616" s="345"/>
      <c r="AP616" s="345"/>
      <c r="AQ616" s="345"/>
      <c r="AR616" s="345"/>
      <c r="AS616" s="345"/>
    </row>
    <row r="617" ht="13.5" customHeight="1">
      <c r="A617" s="436" t="str">
        <f>'Membership Application List'!A846</f>
        <v/>
      </c>
      <c r="B617" s="437" t="str">
        <f t="shared" si="6"/>
        <v/>
      </c>
      <c r="C617" s="437" t="str">
        <f t="shared" si="7"/>
        <v/>
      </c>
      <c r="D617" s="438" t="str">
        <f>'Membership Application List'!E846</f>
        <v/>
      </c>
      <c r="E617" s="438" t="str">
        <f>IF('Membership Application List'!J846 = "Food/Litter Donation", 0, IF('Membership Application List'!J846 = "$15 Donation, Discord Verification", IF('Membership Application List'!N846 = TRUE, 15, 0)))</f>
        <v>#N/A</v>
      </c>
      <c r="F617" s="438">
        <f>if('Membership Application List'!K846=TRUE, 5,0)</f>
        <v>0</v>
      </c>
      <c r="G617" s="438" t="str">
        <f t="shared" si="8"/>
        <v>#N/A</v>
      </c>
      <c r="H617" s="439" t="str">
        <f>'Membership Application List'!L846</f>
        <v/>
      </c>
      <c r="I617" s="345"/>
      <c r="J617" s="441"/>
      <c r="K617" s="345"/>
      <c r="L617" s="478"/>
      <c r="M617" s="345"/>
      <c r="N617" s="345"/>
      <c r="O617" s="345"/>
      <c r="P617" s="414"/>
      <c r="Q617" s="414"/>
      <c r="R617" s="414"/>
      <c r="S617" s="445"/>
      <c r="T617" s="445"/>
      <c r="U617" s="445"/>
      <c r="V617" s="345"/>
      <c r="W617" s="441"/>
      <c r="X617" s="345"/>
      <c r="Y617" s="345"/>
      <c r="Z617" s="345"/>
      <c r="AA617" s="345"/>
      <c r="AB617" s="345"/>
      <c r="AC617" s="345"/>
      <c r="AD617" s="345"/>
      <c r="AE617" s="345"/>
      <c r="AF617" s="345"/>
      <c r="AG617" s="345"/>
      <c r="AH617" s="345"/>
      <c r="AI617" s="345"/>
      <c r="AJ617" s="345"/>
      <c r="AK617" s="345"/>
      <c r="AL617" s="345"/>
      <c r="AM617" s="345"/>
      <c r="AN617" s="345"/>
      <c r="AO617" s="345"/>
      <c r="AP617" s="345"/>
      <c r="AQ617" s="345"/>
      <c r="AR617" s="345"/>
      <c r="AS617" s="345"/>
    </row>
    <row r="618" ht="13.5" customHeight="1">
      <c r="A618" s="424" t="str">
        <f>'Membership Application List'!A847</f>
        <v/>
      </c>
      <c r="B618" s="443" t="str">
        <f t="shared" si="6"/>
        <v/>
      </c>
      <c r="C618" s="443" t="str">
        <f t="shared" si="7"/>
        <v/>
      </c>
      <c r="D618" s="426" t="str">
        <f>'Membership Application List'!E847</f>
        <v/>
      </c>
      <c r="E618" s="426" t="str">
        <f>IF('Membership Application List'!J847 = "Food/Litter Donation", 0, IF('Membership Application List'!J847 = "$15 Donation, Discord Verification", IF('Membership Application List'!N847 = TRUE, 15, 0)))</f>
        <v>#N/A</v>
      </c>
      <c r="F618" s="426">
        <f>if('Membership Application List'!K847=TRUE, 5,0)</f>
        <v>0</v>
      </c>
      <c r="G618" s="426" t="str">
        <f t="shared" si="8"/>
        <v>#N/A</v>
      </c>
      <c r="H618" s="427" t="str">
        <f>'Membership Application List'!L847</f>
        <v/>
      </c>
      <c r="I618" s="345"/>
      <c r="J618" s="441"/>
      <c r="K618" s="345"/>
      <c r="L618" s="478"/>
      <c r="M618" s="345"/>
      <c r="N618" s="345"/>
      <c r="O618" s="345"/>
      <c r="P618" s="414"/>
      <c r="Q618" s="414"/>
      <c r="R618" s="414"/>
      <c r="S618" s="445"/>
      <c r="T618" s="445"/>
      <c r="U618" s="445"/>
      <c r="V618" s="345"/>
      <c r="W618" s="441"/>
      <c r="X618" s="345"/>
      <c r="Y618" s="345"/>
      <c r="Z618" s="345"/>
      <c r="AA618" s="345"/>
      <c r="AB618" s="345"/>
      <c r="AC618" s="345"/>
      <c r="AD618" s="345"/>
      <c r="AE618" s="345"/>
      <c r="AF618" s="345"/>
      <c r="AG618" s="345"/>
      <c r="AH618" s="345"/>
      <c r="AI618" s="345"/>
      <c r="AJ618" s="345"/>
      <c r="AK618" s="345"/>
      <c r="AL618" s="345"/>
      <c r="AM618" s="345"/>
      <c r="AN618" s="345"/>
      <c r="AO618" s="345"/>
      <c r="AP618" s="345"/>
      <c r="AQ618" s="345"/>
      <c r="AR618" s="345"/>
      <c r="AS618" s="345"/>
    </row>
    <row r="619" ht="13.5" customHeight="1">
      <c r="A619" s="436" t="str">
        <f>'Membership Application List'!A848</f>
        <v/>
      </c>
      <c r="B619" s="437" t="str">
        <f t="shared" si="6"/>
        <v/>
      </c>
      <c r="C619" s="437" t="str">
        <f t="shared" si="7"/>
        <v/>
      </c>
      <c r="D619" s="438" t="str">
        <f>'Membership Application List'!E848</f>
        <v/>
      </c>
      <c r="E619" s="438" t="str">
        <f>IF('Membership Application List'!J848 = "Food/Litter Donation", 0, IF('Membership Application List'!J848 = "$15 Donation, Discord Verification", IF('Membership Application List'!N848 = TRUE, 15, 0)))</f>
        <v>#N/A</v>
      </c>
      <c r="F619" s="438">
        <f>if('Membership Application List'!K848=TRUE, 5,0)</f>
        <v>0</v>
      </c>
      <c r="G619" s="438" t="str">
        <f t="shared" si="8"/>
        <v>#N/A</v>
      </c>
      <c r="H619" s="439" t="str">
        <f>'Membership Application List'!L848</f>
        <v/>
      </c>
      <c r="I619" s="345"/>
      <c r="J619" s="441"/>
      <c r="K619" s="345"/>
      <c r="L619" s="478"/>
      <c r="M619" s="345"/>
      <c r="N619" s="345"/>
      <c r="O619" s="345"/>
      <c r="P619" s="414"/>
      <c r="Q619" s="414"/>
      <c r="R619" s="414"/>
      <c r="S619" s="445"/>
      <c r="T619" s="445"/>
      <c r="U619" s="445"/>
      <c r="V619" s="345"/>
      <c r="W619" s="441"/>
      <c r="X619" s="345"/>
      <c r="Y619" s="345"/>
      <c r="Z619" s="345"/>
      <c r="AA619" s="345"/>
      <c r="AB619" s="345"/>
      <c r="AC619" s="345"/>
      <c r="AD619" s="345"/>
      <c r="AE619" s="345"/>
      <c r="AF619" s="345"/>
      <c r="AG619" s="345"/>
      <c r="AH619" s="345"/>
      <c r="AI619" s="345"/>
      <c r="AJ619" s="345"/>
      <c r="AK619" s="345"/>
      <c r="AL619" s="345"/>
      <c r="AM619" s="345"/>
      <c r="AN619" s="345"/>
      <c r="AO619" s="345"/>
      <c r="AP619" s="345"/>
      <c r="AQ619" s="345"/>
      <c r="AR619" s="345"/>
      <c r="AS619" s="345"/>
    </row>
    <row r="620" ht="13.5" customHeight="1">
      <c r="A620" s="424" t="str">
        <f>'Membership Application List'!A849</f>
        <v/>
      </c>
      <c r="B620" s="443" t="str">
        <f t="shared" si="6"/>
        <v/>
      </c>
      <c r="C620" s="443" t="str">
        <f t="shared" si="7"/>
        <v/>
      </c>
      <c r="D620" s="426" t="str">
        <f>'Membership Application List'!E849</f>
        <v/>
      </c>
      <c r="E620" s="426" t="str">
        <f>IF('Membership Application List'!J849 = "Food/Litter Donation", 0, IF('Membership Application List'!J849 = "$15 Donation, Discord Verification", IF('Membership Application List'!N849 = TRUE, 15, 0)))</f>
        <v>#N/A</v>
      </c>
      <c r="F620" s="426">
        <f>if('Membership Application List'!K849=TRUE, 5,0)</f>
        <v>0</v>
      </c>
      <c r="G620" s="426" t="str">
        <f t="shared" si="8"/>
        <v>#N/A</v>
      </c>
      <c r="H620" s="427" t="str">
        <f>'Membership Application List'!L849</f>
        <v/>
      </c>
      <c r="I620" s="345"/>
      <c r="J620" s="441"/>
      <c r="K620" s="345"/>
      <c r="L620" s="478"/>
      <c r="M620" s="345"/>
      <c r="N620" s="345"/>
      <c r="O620" s="345"/>
      <c r="P620" s="414"/>
      <c r="Q620" s="414"/>
      <c r="R620" s="414"/>
      <c r="S620" s="445"/>
      <c r="T620" s="445"/>
      <c r="U620" s="445"/>
      <c r="V620" s="345"/>
      <c r="W620" s="441"/>
      <c r="X620" s="345"/>
      <c r="Y620" s="345"/>
      <c r="Z620" s="345"/>
      <c r="AA620" s="345"/>
      <c r="AB620" s="345"/>
      <c r="AC620" s="345"/>
      <c r="AD620" s="345"/>
      <c r="AE620" s="345"/>
      <c r="AF620" s="345"/>
      <c r="AG620" s="345"/>
      <c r="AH620" s="345"/>
      <c r="AI620" s="345"/>
      <c r="AJ620" s="345"/>
      <c r="AK620" s="345"/>
      <c r="AL620" s="345"/>
      <c r="AM620" s="345"/>
      <c r="AN620" s="345"/>
      <c r="AO620" s="345"/>
      <c r="AP620" s="345"/>
      <c r="AQ620" s="345"/>
      <c r="AR620" s="345"/>
      <c r="AS620" s="345"/>
    </row>
    <row r="621" ht="13.5" customHeight="1">
      <c r="A621" s="436" t="str">
        <f>'Membership Application List'!A850</f>
        <v/>
      </c>
      <c r="B621" s="437" t="str">
        <f t="shared" si="6"/>
        <v/>
      </c>
      <c r="C621" s="437" t="str">
        <f t="shared" si="7"/>
        <v/>
      </c>
      <c r="D621" s="438" t="str">
        <f>'Membership Application List'!E850</f>
        <v/>
      </c>
      <c r="E621" s="438" t="str">
        <f>IF('Membership Application List'!J850 = "Food/Litter Donation", 0, IF('Membership Application List'!J850 = "$15 Donation, Discord Verification", IF('Membership Application List'!N850 = TRUE, 15, 0)))</f>
        <v>#N/A</v>
      </c>
      <c r="F621" s="438">
        <f>if('Membership Application List'!K850=TRUE, 5,0)</f>
        <v>0</v>
      </c>
      <c r="G621" s="438" t="str">
        <f t="shared" si="8"/>
        <v>#N/A</v>
      </c>
      <c r="H621" s="439" t="str">
        <f>'Membership Application List'!L850</f>
        <v/>
      </c>
      <c r="I621" s="345"/>
      <c r="J621" s="441"/>
      <c r="K621" s="345"/>
      <c r="L621" s="478"/>
      <c r="M621" s="345"/>
      <c r="N621" s="345"/>
      <c r="O621" s="345"/>
      <c r="P621" s="414"/>
      <c r="Q621" s="414"/>
      <c r="R621" s="414"/>
      <c r="S621" s="445"/>
      <c r="T621" s="445"/>
      <c r="U621" s="445"/>
      <c r="V621" s="345"/>
      <c r="W621" s="441"/>
      <c r="X621" s="345"/>
      <c r="Y621" s="345"/>
      <c r="Z621" s="345"/>
      <c r="AA621" s="345"/>
      <c r="AB621" s="345"/>
      <c r="AC621" s="345"/>
      <c r="AD621" s="345"/>
      <c r="AE621" s="345"/>
      <c r="AF621" s="345"/>
      <c r="AG621" s="345"/>
      <c r="AH621" s="345"/>
      <c r="AI621" s="345"/>
      <c r="AJ621" s="345"/>
      <c r="AK621" s="345"/>
      <c r="AL621" s="345"/>
      <c r="AM621" s="345"/>
      <c r="AN621" s="345"/>
      <c r="AO621" s="345"/>
      <c r="AP621" s="345"/>
      <c r="AQ621" s="345"/>
      <c r="AR621" s="345"/>
      <c r="AS621" s="345"/>
    </row>
    <row r="622" ht="13.5" customHeight="1">
      <c r="A622" s="424" t="str">
        <f>'Membership Application List'!A851</f>
        <v/>
      </c>
      <c r="B622" s="443" t="str">
        <f t="shared" si="6"/>
        <v/>
      </c>
      <c r="C622" s="443" t="str">
        <f t="shared" si="7"/>
        <v/>
      </c>
      <c r="D622" s="426" t="str">
        <f>'Membership Application List'!E851</f>
        <v/>
      </c>
      <c r="E622" s="426" t="str">
        <f>IF('Membership Application List'!J851 = "Food/Litter Donation", 0, IF('Membership Application List'!J851 = "$15 Donation, Discord Verification", IF('Membership Application List'!N851 = TRUE, 15, 0)))</f>
        <v>#N/A</v>
      </c>
      <c r="F622" s="426">
        <f>if('Membership Application List'!K851=TRUE, 5,0)</f>
        <v>0</v>
      </c>
      <c r="G622" s="426" t="str">
        <f t="shared" si="8"/>
        <v>#N/A</v>
      </c>
      <c r="H622" s="427" t="str">
        <f>'Membership Application List'!L851</f>
        <v/>
      </c>
      <c r="I622" s="345"/>
      <c r="J622" s="441"/>
      <c r="K622" s="345"/>
      <c r="L622" s="478"/>
      <c r="M622" s="345"/>
      <c r="N622" s="345"/>
      <c r="O622" s="345"/>
      <c r="P622" s="414"/>
      <c r="Q622" s="414"/>
      <c r="R622" s="414"/>
      <c r="S622" s="445"/>
      <c r="T622" s="445"/>
      <c r="U622" s="445"/>
      <c r="V622" s="345"/>
      <c r="W622" s="441"/>
      <c r="X622" s="345"/>
      <c r="Y622" s="345"/>
      <c r="Z622" s="345"/>
      <c r="AA622" s="345"/>
      <c r="AB622" s="345"/>
      <c r="AC622" s="345"/>
      <c r="AD622" s="345"/>
      <c r="AE622" s="345"/>
      <c r="AF622" s="345"/>
      <c r="AG622" s="345"/>
      <c r="AH622" s="345"/>
      <c r="AI622" s="345"/>
      <c r="AJ622" s="345"/>
      <c r="AK622" s="345"/>
      <c r="AL622" s="345"/>
      <c r="AM622" s="345"/>
      <c r="AN622" s="345"/>
      <c r="AO622" s="345"/>
      <c r="AP622" s="345"/>
      <c r="AQ622" s="345"/>
      <c r="AR622" s="345"/>
      <c r="AS622" s="345"/>
    </row>
    <row r="623" ht="13.5" customHeight="1">
      <c r="A623" s="436" t="str">
        <f>'Membership Application List'!A852</f>
        <v/>
      </c>
      <c r="B623" s="437" t="str">
        <f t="shared" si="6"/>
        <v/>
      </c>
      <c r="C623" s="437" t="str">
        <f t="shared" si="7"/>
        <v/>
      </c>
      <c r="D623" s="438" t="str">
        <f>'Membership Application List'!E852</f>
        <v/>
      </c>
      <c r="E623" s="438" t="str">
        <f>IF('Membership Application List'!J852 = "Food/Litter Donation", 0, IF('Membership Application List'!J852 = "$15 Donation, Discord Verification", IF('Membership Application List'!N852 = TRUE, 15, 0)))</f>
        <v>#N/A</v>
      </c>
      <c r="F623" s="438">
        <f>if('Membership Application List'!K852=TRUE, 5,0)</f>
        <v>0</v>
      </c>
      <c r="G623" s="438" t="str">
        <f t="shared" si="8"/>
        <v>#N/A</v>
      </c>
      <c r="H623" s="439" t="str">
        <f>'Membership Application List'!L852</f>
        <v/>
      </c>
      <c r="I623" s="345"/>
      <c r="J623" s="441"/>
      <c r="K623" s="345"/>
      <c r="L623" s="478"/>
      <c r="M623" s="345"/>
      <c r="N623" s="345"/>
      <c r="O623" s="345"/>
      <c r="P623" s="414"/>
      <c r="Q623" s="414"/>
      <c r="R623" s="414"/>
      <c r="S623" s="445"/>
      <c r="T623" s="445"/>
      <c r="U623" s="445"/>
      <c r="V623" s="345"/>
      <c r="W623" s="441"/>
      <c r="X623" s="345"/>
      <c r="Y623" s="345"/>
      <c r="Z623" s="345"/>
      <c r="AA623" s="345"/>
      <c r="AB623" s="345"/>
      <c r="AC623" s="345"/>
      <c r="AD623" s="345"/>
      <c r="AE623" s="345"/>
      <c r="AF623" s="345"/>
      <c r="AG623" s="345"/>
      <c r="AH623" s="345"/>
      <c r="AI623" s="345"/>
      <c r="AJ623" s="345"/>
      <c r="AK623" s="345"/>
      <c r="AL623" s="345"/>
      <c r="AM623" s="345"/>
      <c r="AN623" s="345"/>
      <c r="AO623" s="345"/>
      <c r="AP623" s="345"/>
      <c r="AQ623" s="345"/>
      <c r="AR623" s="345"/>
      <c r="AS623" s="345"/>
    </row>
    <row r="624" ht="13.5" customHeight="1">
      <c r="A624" s="424" t="str">
        <f>'Membership Application List'!A853</f>
        <v/>
      </c>
      <c r="B624" s="443" t="str">
        <f t="shared" si="6"/>
        <v/>
      </c>
      <c r="C624" s="443" t="str">
        <f t="shared" si="7"/>
        <v/>
      </c>
      <c r="D624" s="426" t="str">
        <f>'Membership Application List'!E853</f>
        <v/>
      </c>
      <c r="E624" s="426" t="str">
        <f>IF('Membership Application List'!J853 = "Food/Litter Donation", 0, IF('Membership Application List'!J853 = "$15 Donation, Discord Verification", IF('Membership Application List'!N853 = TRUE, 15, 0)))</f>
        <v>#N/A</v>
      </c>
      <c r="F624" s="426">
        <f>if('Membership Application List'!K853=TRUE, 5,0)</f>
        <v>0</v>
      </c>
      <c r="G624" s="426" t="str">
        <f t="shared" si="8"/>
        <v>#N/A</v>
      </c>
      <c r="H624" s="427" t="str">
        <f>'Membership Application List'!L853</f>
        <v/>
      </c>
      <c r="I624" s="345"/>
      <c r="J624" s="441"/>
      <c r="K624" s="345"/>
      <c r="L624" s="478"/>
      <c r="M624" s="345"/>
      <c r="N624" s="345"/>
      <c r="O624" s="345"/>
      <c r="P624" s="414"/>
      <c r="Q624" s="414"/>
      <c r="R624" s="414"/>
      <c r="S624" s="445"/>
      <c r="T624" s="445"/>
      <c r="U624" s="445"/>
      <c r="V624" s="345"/>
      <c r="W624" s="441"/>
      <c r="X624" s="345"/>
      <c r="Y624" s="345"/>
      <c r="Z624" s="345"/>
      <c r="AA624" s="345"/>
      <c r="AB624" s="345"/>
      <c r="AC624" s="345"/>
      <c r="AD624" s="345"/>
      <c r="AE624" s="345"/>
      <c r="AF624" s="345"/>
      <c r="AG624" s="345"/>
      <c r="AH624" s="345"/>
      <c r="AI624" s="345"/>
      <c r="AJ624" s="345"/>
      <c r="AK624" s="345"/>
      <c r="AL624" s="345"/>
      <c r="AM624" s="345"/>
      <c r="AN624" s="345"/>
      <c r="AO624" s="345"/>
      <c r="AP624" s="345"/>
      <c r="AQ624" s="345"/>
      <c r="AR624" s="345"/>
      <c r="AS624" s="345"/>
    </row>
    <row r="625" ht="13.5" customHeight="1">
      <c r="A625" s="436" t="str">
        <f>'Membership Application List'!A854</f>
        <v/>
      </c>
      <c r="B625" s="437" t="str">
        <f t="shared" si="6"/>
        <v/>
      </c>
      <c r="C625" s="437" t="str">
        <f t="shared" si="7"/>
        <v/>
      </c>
      <c r="D625" s="438" t="str">
        <f>'Membership Application List'!E854</f>
        <v/>
      </c>
      <c r="E625" s="438" t="str">
        <f>IF('Membership Application List'!J854 = "Food/Litter Donation", 0, IF('Membership Application List'!J854 = "$15 Donation, Discord Verification", IF('Membership Application List'!N854 = TRUE, 15, 0)))</f>
        <v>#N/A</v>
      </c>
      <c r="F625" s="438">
        <f>if('Membership Application List'!K854=TRUE, 5,0)</f>
        <v>0</v>
      </c>
      <c r="G625" s="438" t="str">
        <f t="shared" si="8"/>
        <v>#N/A</v>
      </c>
      <c r="H625" s="439" t="str">
        <f>'Membership Application List'!L854</f>
        <v/>
      </c>
      <c r="I625" s="345"/>
      <c r="J625" s="441"/>
      <c r="K625" s="345"/>
      <c r="L625" s="478"/>
      <c r="M625" s="345"/>
      <c r="N625" s="345"/>
      <c r="O625" s="345"/>
      <c r="P625" s="414"/>
      <c r="Q625" s="414"/>
      <c r="R625" s="414"/>
      <c r="S625" s="445"/>
      <c r="T625" s="445"/>
      <c r="U625" s="445"/>
      <c r="V625" s="345"/>
      <c r="W625" s="441"/>
      <c r="X625" s="345"/>
      <c r="Y625" s="345"/>
      <c r="Z625" s="345"/>
      <c r="AA625" s="345"/>
      <c r="AB625" s="345"/>
      <c r="AC625" s="345"/>
      <c r="AD625" s="345"/>
      <c r="AE625" s="345"/>
      <c r="AF625" s="345"/>
      <c r="AG625" s="345"/>
      <c r="AH625" s="345"/>
      <c r="AI625" s="345"/>
      <c r="AJ625" s="345"/>
      <c r="AK625" s="345"/>
      <c r="AL625" s="345"/>
      <c r="AM625" s="345"/>
      <c r="AN625" s="345"/>
      <c r="AO625" s="345"/>
      <c r="AP625" s="345"/>
      <c r="AQ625" s="345"/>
      <c r="AR625" s="345"/>
      <c r="AS625" s="345"/>
    </row>
    <row r="626" ht="13.5" customHeight="1">
      <c r="A626" s="424" t="str">
        <f>'Membership Application List'!A855</f>
        <v/>
      </c>
      <c r="B626" s="443" t="str">
        <f t="shared" si="6"/>
        <v/>
      </c>
      <c r="C626" s="443" t="str">
        <f t="shared" si="7"/>
        <v/>
      </c>
      <c r="D626" s="426" t="str">
        <f>'Membership Application List'!E855</f>
        <v/>
      </c>
      <c r="E626" s="426" t="str">
        <f>IF('Membership Application List'!J855 = "Food/Litter Donation", 0, IF('Membership Application List'!J855 = "$15 Donation, Discord Verification", IF('Membership Application List'!N855 = TRUE, 15, 0)))</f>
        <v>#N/A</v>
      </c>
      <c r="F626" s="426">
        <f>if('Membership Application List'!K855=TRUE, 5,0)</f>
        <v>0</v>
      </c>
      <c r="G626" s="426" t="str">
        <f t="shared" si="8"/>
        <v>#N/A</v>
      </c>
      <c r="H626" s="427" t="str">
        <f>'Membership Application List'!L855</f>
        <v/>
      </c>
      <c r="I626" s="345"/>
      <c r="J626" s="441"/>
      <c r="K626" s="345"/>
      <c r="L626" s="478"/>
      <c r="M626" s="345"/>
      <c r="N626" s="345"/>
      <c r="O626" s="345"/>
      <c r="P626" s="414"/>
      <c r="Q626" s="414"/>
      <c r="R626" s="414"/>
      <c r="S626" s="445"/>
      <c r="T626" s="445"/>
      <c r="U626" s="445"/>
      <c r="V626" s="345"/>
      <c r="W626" s="441"/>
      <c r="X626" s="345"/>
      <c r="Y626" s="345"/>
      <c r="Z626" s="345"/>
      <c r="AA626" s="345"/>
      <c r="AB626" s="345"/>
      <c r="AC626" s="345"/>
      <c r="AD626" s="345"/>
      <c r="AE626" s="345"/>
      <c r="AF626" s="345"/>
      <c r="AG626" s="345"/>
      <c r="AH626" s="345"/>
      <c r="AI626" s="345"/>
      <c r="AJ626" s="345"/>
      <c r="AK626" s="345"/>
      <c r="AL626" s="345"/>
      <c r="AM626" s="345"/>
      <c r="AN626" s="345"/>
      <c r="AO626" s="345"/>
      <c r="AP626" s="345"/>
      <c r="AQ626" s="345"/>
      <c r="AR626" s="345"/>
      <c r="AS626" s="345"/>
    </row>
    <row r="627" ht="13.5" customHeight="1">
      <c r="A627" s="436" t="str">
        <f>'Membership Application List'!A856</f>
        <v/>
      </c>
      <c r="B627" s="437" t="str">
        <f t="shared" si="6"/>
        <v/>
      </c>
      <c r="C627" s="437" t="str">
        <f t="shared" si="7"/>
        <v/>
      </c>
      <c r="D627" s="438" t="str">
        <f>'Membership Application List'!E856</f>
        <v/>
      </c>
      <c r="E627" s="438" t="str">
        <f>IF('Membership Application List'!J856 = "Food/Litter Donation", 0, IF('Membership Application List'!J856 = "$15 Donation, Discord Verification", IF('Membership Application List'!N856 = TRUE, 15, 0)))</f>
        <v>#N/A</v>
      </c>
      <c r="F627" s="438">
        <f>if('Membership Application List'!K856=TRUE, 5,0)</f>
        <v>0</v>
      </c>
      <c r="G627" s="438" t="str">
        <f t="shared" si="8"/>
        <v>#N/A</v>
      </c>
      <c r="H627" s="439" t="str">
        <f>'Membership Application List'!L856</f>
        <v/>
      </c>
      <c r="I627" s="345"/>
      <c r="J627" s="441"/>
      <c r="K627" s="345"/>
      <c r="L627" s="478"/>
      <c r="M627" s="345"/>
      <c r="N627" s="345"/>
      <c r="O627" s="345"/>
      <c r="P627" s="414"/>
      <c r="Q627" s="414"/>
      <c r="R627" s="414"/>
      <c r="S627" s="445"/>
      <c r="T627" s="445"/>
      <c r="U627" s="445"/>
      <c r="V627" s="345"/>
      <c r="W627" s="441"/>
      <c r="X627" s="345"/>
      <c r="Y627" s="345"/>
      <c r="Z627" s="345"/>
      <c r="AA627" s="345"/>
      <c r="AB627" s="345"/>
      <c r="AC627" s="345"/>
      <c r="AD627" s="345"/>
      <c r="AE627" s="345"/>
      <c r="AF627" s="345"/>
      <c r="AG627" s="345"/>
      <c r="AH627" s="345"/>
      <c r="AI627" s="345"/>
      <c r="AJ627" s="345"/>
      <c r="AK627" s="345"/>
      <c r="AL627" s="345"/>
      <c r="AM627" s="345"/>
      <c r="AN627" s="345"/>
      <c r="AO627" s="345"/>
      <c r="AP627" s="345"/>
      <c r="AQ627" s="345"/>
      <c r="AR627" s="345"/>
      <c r="AS627" s="345"/>
    </row>
    <row r="628" ht="13.5" customHeight="1">
      <c r="A628" s="424" t="str">
        <f>'Membership Application List'!A857</f>
        <v/>
      </c>
      <c r="B628" s="443" t="str">
        <f t="shared" si="6"/>
        <v/>
      </c>
      <c r="C628" s="443" t="str">
        <f t="shared" si="7"/>
        <v/>
      </c>
      <c r="D628" s="426" t="str">
        <f>'Membership Application List'!E857</f>
        <v/>
      </c>
      <c r="E628" s="426" t="str">
        <f>IF('Membership Application List'!J857 = "Food/Litter Donation", 0, IF('Membership Application List'!J857 = "$15 Donation, Discord Verification", IF('Membership Application List'!N857 = TRUE, 15, 0)))</f>
        <v>#N/A</v>
      </c>
      <c r="F628" s="426">
        <f>if('Membership Application List'!K857=TRUE, 5,0)</f>
        <v>0</v>
      </c>
      <c r="G628" s="426" t="str">
        <f t="shared" si="8"/>
        <v>#N/A</v>
      </c>
      <c r="H628" s="427" t="str">
        <f>'Membership Application List'!L857</f>
        <v/>
      </c>
      <c r="I628" s="345"/>
      <c r="J628" s="441"/>
      <c r="K628" s="345"/>
      <c r="L628" s="478"/>
      <c r="M628" s="345"/>
      <c r="N628" s="345"/>
      <c r="O628" s="345"/>
      <c r="P628" s="414"/>
      <c r="Q628" s="414"/>
      <c r="R628" s="414"/>
      <c r="S628" s="445"/>
      <c r="T628" s="445"/>
      <c r="U628" s="445"/>
      <c r="V628" s="345"/>
      <c r="W628" s="441"/>
      <c r="X628" s="345"/>
      <c r="Y628" s="345"/>
      <c r="Z628" s="345"/>
      <c r="AA628" s="345"/>
      <c r="AB628" s="345"/>
      <c r="AC628" s="345"/>
      <c r="AD628" s="345"/>
      <c r="AE628" s="345"/>
      <c r="AF628" s="345"/>
      <c r="AG628" s="345"/>
      <c r="AH628" s="345"/>
      <c r="AI628" s="345"/>
      <c r="AJ628" s="345"/>
      <c r="AK628" s="345"/>
      <c r="AL628" s="345"/>
      <c r="AM628" s="345"/>
      <c r="AN628" s="345"/>
      <c r="AO628" s="345"/>
      <c r="AP628" s="345"/>
      <c r="AQ628" s="345"/>
      <c r="AR628" s="345"/>
      <c r="AS628" s="345"/>
    </row>
    <row r="629" ht="13.5" customHeight="1">
      <c r="A629" s="436" t="str">
        <f>'Membership Application List'!A858</f>
        <v/>
      </c>
      <c r="B629" s="437" t="str">
        <f t="shared" si="6"/>
        <v/>
      </c>
      <c r="C629" s="437" t="str">
        <f t="shared" si="7"/>
        <v/>
      </c>
      <c r="D629" s="438" t="str">
        <f>'Membership Application List'!E858</f>
        <v/>
      </c>
      <c r="E629" s="438" t="str">
        <f>IF('Membership Application List'!J858 = "Food/Litter Donation", 0, IF('Membership Application List'!J858 = "$15 Donation, Discord Verification", IF('Membership Application List'!N858 = TRUE, 15, 0)))</f>
        <v>#N/A</v>
      </c>
      <c r="F629" s="438">
        <f>if('Membership Application List'!K858=TRUE, 5,0)</f>
        <v>0</v>
      </c>
      <c r="G629" s="438" t="str">
        <f t="shared" si="8"/>
        <v>#N/A</v>
      </c>
      <c r="H629" s="439" t="str">
        <f>'Membership Application List'!L858</f>
        <v/>
      </c>
      <c r="I629" s="345"/>
      <c r="J629" s="441"/>
      <c r="K629" s="345"/>
      <c r="L629" s="478"/>
      <c r="M629" s="345"/>
      <c r="N629" s="345"/>
      <c r="O629" s="345"/>
      <c r="P629" s="414"/>
      <c r="Q629" s="414"/>
      <c r="R629" s="414"/>
      <c r="S629" s="445"/>
      <c r="T629" s="445"/>
      <c r="U629" s="445"/>
      <c r="V629" s="345"/>
      <c r="W629" s="441"/>
      <c r="X629" s="345"/>
      <c r="Y629" s="345"/>
      <c r="Z629" s="345"/>
      <c r="AA629" s="345"/>
      <c r="AB629" s="345"/>
      <c r="AC629" s="345"/>
      <c r="AD629" s="345"/>
      <c r="AE629" s="345"/>
      <c r="AF629" s="345"/>
      <c r="AG629" s="345"/>
      <c r="AH629" s="345"/>
      <c r="AI629" s="345"/>
      <c r="AJ629" s="345"/>
      <c r="AK629" s="345"/>
      <c r="AL629" s="345"/>
      <c r="AM629" s="345"/>
      <c r="AN629" s="345"/>
      <c r="AO629" s="345"/>
      <c r="AP629" s="345"/>
      <c r="AQ629" s="345"/>
      <c r="AR629" s="345"/>
      <c r="AS629" s="345"/>
    </row>
    <row r="630" ht="13.5" customHeight="1">
      <c r="A630" s="424" t="str">
        <f>'Membership Application List'!A859</f>
        <v/>
      </c>
      <c r="B630" s="443" t="str">
        <f t="shared" si="6"/>
        <v/>
      </c>
      <c r="C630" s="443" t="str">
        <f t="shared" si="7"/>
        <v/>
      </c>
      <c r="D630" s="426" t="str">
        <f>'Membership Application List'!E859</f>
        <v/>
      </c>
      <c r="E630" s="426" t="str">
        <f>IF('Membership Application List'!J859 = "Food/Litter Donation", 0, IF('Membership Application List'!J859 = "$15 Donation, Discord Verification", IF('Membership Application List'!N859 = TRUE, 15, 0)))</f>
        <v>#N/A</v>
      </c>
      <c r="F630" s="426">
        <f>if('Membership Application List'!K859=TRUE, 5,0)</f>
        <v>0</v>
      </c>
      <c r="G630" s="426" t="str">
        <f t="shared" si="8"/>
        <v>#N/A</v>
      </c>
      <c r="H630" s="427" t="str">
        <f>'Membership Application List'!L859</f>
        <v/>
      </c>
      <c r="I630" s="345"/>
      <c r="J630" s="441"/>
      <c r="K630" s="345"/>
      <c r="L630" s="478"/>
      <c r="M630" s="345"/>
      <c r="N630" s="345"/>
      <c r="O630" s="345"/>
      <c r="P630" s="414"/>
      <c r="Q630" s="414"/>
      <c r="R630" s="414"/>
      <c r="S630" s="445"/>
      <c r="T630" s="445"/>
      <c r="U630" s="445"/>
      <c r="V630" s="345"/>
      <c r="W630" s="441"/>
      <c r="X630" s="345"/>
      <c r="Y630" s="345"/>
      <c r="Z630" s="345"/>
      <c r="AA630" s="345"/>
      <c r="AB630" s="345"/>
      <c r="AC630" s="345"/>
      <c r="AD630" s="345"/>
      <c r="AE630" s="345"/>
      <c r="AF630" s="345"/>
      <c r="AG630" s="345"/>
      <c r="AH630" s="345"/>
      <c r="AI630" s="345"/>
      <c r="AJ630" s="345"/>
      <c r="AK630" s="345"/>
      <c r="AL630" s="345"/>
      <c r="AM630" s="345"/>
      <c r="AN630" s="345"/>
      <c r="AO630" s="345"/>
      <c r="AP630" s="345"/>
      <c r="AQ630" s="345"/>
      <c r="AR630" s="345"/>
      <c r="AS630" s="345"/>
    </row>
    <row r="631" ht="13.5" customHeight="1">
      <c r="A631" s="436" t="str">
        <f>'Membership Application List'!A860</f>
        <v/>
      </c>
      <c r="B631" s="437" t="str">
        <f t="shared" si="6"/>
        <v/>
      </c>
      <c r="C631" s="437" t="str">
        <f t="shared" si="7"/>
        <v/>
      </c>
      <c r="D631" s="438" t="str">
        <f>'Membership Application List'!E860</f>
        <v/>
      </c>
      <c r="E631" s="438" t="str">
        <f>IF('Membership Application List'!J860 = "Food/Litter Donation", 0, IF('Membership Application List'!J860 = "$15 Donation, Discord Verification", IF('Membership Application List'!N860 = TRUE, 15, 0)))</f>
        <v>#N/A</v>
      </c>
      <c r="F631" s="438">
        <f>if('Membership Application List'!K860=TRUE, 5,0)</f>
        <v>0</v>
      </c>
      <c r="G631" s="438" t="str">
        <f t="shared" si="8"/>
        <v>#N/A</v>
      </c>
      <c r="H631" s="439" t="str">
        <f>'Membership Application List'!L860</f>
        <v/>
      </c>
      <c r="I631" s="345"/>
      <c r="J631" s="441"/>
      <c r="K631" s="345"/>
      <c r="L631" s="478"/>
      <c r="M631" s="345"/>
      <c r="N631" s="345"/>
      <c r="O631" s="345"/>
      <c r="P631" s="414"/>
      <c r="Q631" s="414"/>
      <c r="R631" s="414"/>
      <c r="S631" s="445"/>
      <c r="T631" s="445"/>
      <c r="U631" s="445"/>
      <c r="V631" s="345"/>
      <c r="W631" s="441"/>
      <c r="X631" s="345"/>
      <c r="Y631" s="345"/>
      <c r="Z631" s="345"/>
      <c r="AA631" s="345"/>
      <c r="AB631" s="345"/>
      <c r="AC631" s="345"/>
      <c r="AD631" s="345"/>
      <c r="AE631" s="345"/>
      <c r="AF631" s="345"/>
      <c r="AG631" s="345"/>
      <c r="AH631" s="345"/>
      <c r="AI631" s="345"/>
      <c r="AJ631" s="345"/>
      <c r="AK631" s="345"/>
      <c r="AL631" s="345"/>
      <c r="AM631" s="345"/>
      <c r="AN631" s="345"/>
      <c r="AO631" s="345"/>
      <c r="AP631" s="345"/>
      <c r="AQ631" s="345"/>
      <c r="AR631" s="345"/>
      <c r="AS631" s="345"/>
    </row>
    <row r="632" ht="13.5" customHeight="1">
      <c r="A632" s="424" t="str">
        <f>'Membership Application List'!A861</f>
        <v/>
      </c>
      <c r="B632" s="443" t="str">
        <f t="shared" si="6"/>
        <v/>
      </c>
      <c r="C632" s="443" t="str">
        <f t="shared" si="7"/>
        <v/>
      </c>
      <c r="D632" s="426" t="str">
        <f>'Membership Application List'!E861</f>
        <v/>
      </c>
      <c r="E632" s="426" t="str">
        <f>IF('Membership Application List'!J861 = "Food/Litter Donation", 0, IF('Membership Application List'!J861 = "$15 Donation, Discord Verification", IF('Membership Application List'!N861 = TRUE, 15, 0)))</f>
        <v>#N/A</v>
      </c>
      <c r="F632" s="426">
        <f>if('Membership Application List'!K861=TRUE, 5,0)</f>
        <v>0</v>
      </c>
      <c r="G632" s="426" t="str">
        <f t="shared" si="8"/>
        <v>#N/A</v>
      </c>
      <c r="H632" s="427" t="str">
        <f>'Membership Application List'!L861</f>
        <v/>
      </c>
      <c r="I632" s="345"/>
      <c r="J632" s="441"/>
      <c r="K632" s="345"/>
      <c r="L632" s="478"/>
      <c r="M632" s="345"/>
      <c r="N632" s="345"/>
      <c r="O632" s="345"/>
      <c r="P632" s="414"/>
      <c r="Q632" s="414"/>
      <c r="R632" s="414"/>
      <c r="S632" s="445"/>
      <c r="T632" s="445"/>
      <c r="U632" s="445"/>
      <c r="V632" s="345"/>
      <c r="W632" s="441"/>
      <c r="X632" s="345"/>
      <c r="Y632" s="345"/>
      <c r="Z632" s="345"/>
      <c r="AA632" s="345"/>
      <c r="AB632" s="345"/>
      <c r="AC632" s="345"/>
      <c r="AD632" s="345"/>
      <c r="AE632" s="345"/>
      <c r="AF632" s="345"/>
      <c r="AG632" s="345"/>
      <c r="AH632" s="345"/>
      <c r="AI632" s="345"/>
      <c r="AJ632" s="345"/>
      <c r="AK632" s="345"/>
      <c r="AL632" s="345"/>
      <c r="AM632" s="345"/>
      <c r="AN632" s="345"/>
      <c r="AO632" s="345"/>
      <c r="AP632" s="345"/>
      <c r="AQ632" s="345"/>
      <c r="AR632" s="345"/>
      <c r="AS632" s="345"/>
    </row>
    <row r="633" ht="13.5" customHeight="1">
      <c r="A633" s="436" t="str">
        <f>'Membership Application List'!A862</f>
        <v/>
      </c>
      <c r="B633" s="437" t="str">
        <f t="shared" si="6"/>
        <v/>
      </c>
      <c r="C633" s="437" t="str">
        <f t="shared" si="7"/>
        <v/>
      </c>
      <c r="D633" s="438" t="str">
        <f>'Membership Application List'!E862</f>
        <v/>
      </c>
      <c r="E633" s="438" t="str">
        <f>IF('Membership Application List'!J862 = "Food/Litter Donation", 0, IF('Membership Application List'!J862 = "$15 Donation, Discord Verification", IF('Membership Application List'!N862 = TRUE, 15, 0)))</f>
        <v>#N/A</v>
      </c>
      <c r="F633" s="438">
        <f>if('Membership Application List'!K862=TRUE, 5,0)</f>
        <v>0</v>
      </c>
      <c r="G633" s="438" t="str">
        <f t="shared" si="8"/>
        <v>#N/A</v>
      </c>
      <c r="H633" s="439" t="str">
        <f>'Membership Application List'!L862</f>
        <v/>
      </c>
      <c r="I633" s="345"/>
      <c r="J633" s="441"/>
      <c r="K633" s="345"/>
      <c r="L633" s="478"/>
      <c r="M633" s="345"/>
      <c r="N633" s="345"/>
      <c r="O633" s="345"/>
      <c r="P633" s="414"/>
      <c r="Q633" s="414"/>
      <c r="R633" s="414"/>
      <c r="S633" s="445"/>
      <c r="T633" s="445"/>
      <c r="U633" s="445"/>
      <c r="V633" s="345"/>
      <c r="W633" s="441"/>
      <c r="X633" s="345"/>
      <c r="Y633" s="345"/>
      <c r="Z633" s="345"/>
      <c r="AA633" s="345"/>
      <c r="AB633" s="345"/>
      <c r="AC633" s="345"/>
      <c r="AD633" s="345"/>
      <c r="AE633" s="345"/>
      <c r="AF633" s="345"/>
      <c r="AG633" s="345"/>
      <c r="AH633" s="345"/>
      <c r="AI633" s="345"/>
      <c r="AJ633" s="345"/>
      <c r="AK633" s="345"/>
      <c r="AL633" s="345"/>
      <c r="AM633" s="345"/>
      <c r="AN633" s="345"/>
      <c r="AO633" s="345"/>
      <c r="AP633" s="345"/>
      <c r="AQ633" s="345"/>
      <c r="AR633" s="345"/>
      <c r="AS633" s="345"/>
    </row>
    <row r="634" ht="13.5" customHeight="1">
      <c r="A634" s="424" t="str">
        <f>'Membership Application List'!A863</f>
        <v/>
      </c>
      <c r="B634" s="443" t="str">
        <f t="shared" si="6"/>
        <v/>
      </c>
      <c r="C634" s="443" t="str">
        <f t="shared" si="7"/>
        <v/>
      </c>
      <c r="D634" s="426" t="str">
        <f>'Membership Application List'!E863</f>
        <v/>
      </c>
      <c r="E634" s="426" t="str">
        <f>IF('Membership Application List'!J863 = "Food/Litter Donation", 0, IF('Membership Application List'!J863 = "$15 Donation, Discord Verification", IF('Membership Application List'!N863 = TRUE, 15, 0)))</f>
        <v>#N/A</v>
      </c>
      <c r="F634" s="426">
        <f>if('Membership Application List'!K863=TRUE, 5,0)</f>
        <v>0</v>
      </c>
      <c r="G634" s="426" t="str">
        <f t="shared" si="8"/>
        <v>#N/A</v>
      </c>
      <c r="H634" s="427" t="str">
        <f>'Membership Application List'!L863</f>
        <v/>
      </c>
      <c r="I634" s="345"/>
      <c r="J634" s="441"/>
      <c r="K634" s="345"/>
      <c r="L634" s="478"/>
      <c r="M634" s="345"/>
      <c r="N634" s="345"/>
      <c r="O634" s="345"/>
      <c r="P634" s="414"/>
      <c r="Q634" s="414"/>
      <c r="R634" s="414"/>
      <c r="S634" s="445"/>
      <c r="T634" s="445"/>
      <c r="U634" s="445"/>
      <c r="V634" s="345"/>
      <c r="W634" s="441"/>
      <c r="X634" s="345"/>
      <c r="Y634" s="345"/>
      <c r="Z634" s="345"/>
      <c r="AA634" s="345"/>
      <c r="AB634" s="345"/>
      <c r="AC634" s="345"/>
      <c r="AD634" s="345"/>
      <c r="AE634" s="345"/>
      <c r="AF634" s="345"/>
      <c r="AG634" s="345"/>
      <c r="AH634" s="345"/>
      <c r="AI634" s="345"/>
      <c r="AJ634" s="345"/>
      <c r="AK634" s="345"/>
      <c r="AL634" s="345"/>
      <c r="AM634" s="345"/>
      <c r="AN634" s="345"/>
      <c r="AO634" s="345"/>
      <c r="AP634" s="345"/>
      <c r="AQ634" s="345"/>
      <c r="AR634" s="345"/>
      <c r="AS634" s="345"/>
    </row>
    <row r="635" ht="13.5" customHeight="1">
      <c r="A635" s="436" t="str">
        <f>'Membership Application List'!A864</f>
        <v/>
      </c>
      <c r="B635" s="437" t="str">
        <f t="shared" si="6"/>
        <v/>
      </c>
      <c r="C635" s="437" t="str">
        <f t="shared" si="7"/>
        <v/>
      </c>
      <c r="D635" s="438" t="str">
        <f>'Membership Application List'!E864</f>
        <v/>
      </c>
      <c r="E635" s="438" t="str">
        <f>IF('Membership Application List'!J864 = "Food/Litter Donation", 0, IF('Membership Application List'!J864 = "$15 Donation, Discord Verification", IF('Membership Application List'!N864 = TRUE, 15, 0)))</f>
        <v>#N/A</v>
      </c>
      <c r="F635" s="438">
        <f>if('Membership Application List'!K864=TRUE, 5,0)</f>
        <v>0</v>
      </c>
      <c r="G635" s="438" t="str">
        <f t="shared" si="8"/>
        <v>#N/A</v>
      </c>
      <c r="H635" s="439" t="str">
        <f>'Membership Application List'!L864</f>
        <v/>
      </c>
      <c r="I635" s="345"/>
      <c r="J635" s="441"/>
      <c r="K635" s="345"/>
      <c r="L635" s="478"/>
      <c r="M635" s="345"/>
      <c r="N635" s="345"/>
      <c r="O635" s="345"/>
      <c r="P635" s="414"/>
      <c r="Q635" s="414"/>
      <c r="R635" s="414"/>
      <c r="S635" s="445"/>
      <c r="T635" s="445"/>
      <c r="U635" s="445"/>
      <c r="V635" s="345"/>
      <c r="W635" s="441"/>
      <c r="X635" s="345"/>
      <c r="Y635" s="345"/>
      <c r="Z635" s="345"/>
      <c r="AA635" s="345"/>
      <c r="AB635" s="345"/>
      <c r="AC635" s="345"/>
      <c r="AD635" s="345"/>
      <c r="AE635" s="345"/>
      <c r="AF635" s="345"/>
      <c r="AG635" s="345"/>
      <c r="AH635" s="345"/>
      <c r="AI635" s="345"/>
      <c r="AJ635" s="345"/>
      <c r="AK635" s="345"/>
      <c r="AL635" s="345"/>
      <c r="AM635" s="345"/>
      <c r="AN635" s="345"/>
      <c r="AO635" s="345"/>
      <c r="AP635" s="345"/>
      <c r="AQ635" s="345"/>
      <c r="AR635" s="345"/>
      <c r="AS635" s="345"/>
    </row>
    <row r="636" ht="13.5" customHeight="1">
      <c r="A636" s="424" t="str">
        <f>'Membership Application List'!A865</f>
        <v/>
      </c>
      <c r="B636" s="443" t="str">
        <f t="shared" si="6"/>
        <v/>
      </c>
      <c r="C636" s="443" t="str">
        <f t="shared" si="7"/>
        <v/>
      </c>
      <c r="D636" s="426" t="str">
        <f>'Membership Application List'!E865</f>
        <v/>
      </c>
      <c r="E636" s="426" t="str">
        <f>IF('Membership Application List'!J865 = "Food/Litter Donation", 0, IF('Membership Application List'!J865 = "$15 Donation, Discord Verification", IF('Membership Application List'!N865 = TRUE, 15, 0)))</f>
        <v>#N/A</v>
      </c>
      <c r="F636" s="426">
        <f>if('Membership Application List'!K865=TRUE, 5,0)</f>
        <v>0</v>
      </c>
      <c r="G636" s="426" t="str">
        <f t="shared" si="8"/>
        <v>#N/A</v>
      </c>
      <c r="H636" s="427" t="str">
        <f>'Membership Application List'!L865</f>
        <v/>
      </c>
      <c r="I636" s="345"/>
      <c r="J636" s="441"/>
      <c r="K636" s="345"/>
      <c r="L636" s="478"/>
      <c r="M636" s="345"/>
      <c r="N636" s="345"/>
      <c r="O636" s="345"/>
      <c r="P636" s="414"/>
      <c r="Q636" s="414"/>
      <c r="R636" s="414"/>
      <c r="S636" s="445"/>
      <c r="T636" s="445"/>
      <c r="U636" s="445"/>
      <c r="V636" s="345"/>
      <c r="W636" s="441"/>
      <c r="X636" s="345"/>
      <c r="Y636" s="345"/>
      <c r="Z636" s="345"/>
      <c r="AA636" s="345"/>
      <c r="AB636" s="345"/>
      <c r="AC636" s="345"/>
      <c r="AD636" s="345"/>
      <c r="AE636" s="345"/>
      <c r="AF636" s="345"/>
      <c r="AG636" s="345"/>
      <c r="AH636" s="345"/>
      <c r="AI636" s="345"/>
      <c r="AJ636" s="345"/>
      <c r="AK636" s="345"/>
      <c r="AL636" s="345"/>
      <c r="AM636" s="345"/>
      <c r="AN636" s="345"/>
      <c r="AO636" s="345"/>
      <c r="AP636" s="345"/>
      <c r="AQ636" s="345"/>
      <c r="AR636" s="345"/>
      <c r="AS636" s="345"/>
    </row>
    <row r="637" ht="13.5" customHeight="1">
      <c r="A637" s="436" t="str">
        <f>'Membership Application List'!A866</f>
        <v/>
      </c>
      <c r="B637" s="437" t="str">
        <f t="shared" si="6"/>
        <v/>
      </c>
      <c r="C637" s="437" t="str">
        <f t="shared" si="7"/>
        <v/>
      </c>
      <c r="D637" s="438" t="str">
        <f>'Membership Application List'!E866</f>
        <v/>
      </c>
      <c r="E637" s="438" t="str">
        <f>IF('Membership Application List'!J866 = "Food/Litter Donation", 0, IF('Membership Application List'!J866 = "$15 Donation, Discord Verification", IF('Membership Application List'!N866 = TRUE, 15, 0)))</f>
        <v>#N/A</v>
      </c>
      <c r="F637" s="438">
        <f>if('Membership Application List'!K866=TRUE, 5,0)</f>
        <v>0</v>
      </c>
      <c r="G637" s="438" t="str">
        <f t="shared" si="8"/>
        <v>#N/A</v>
      </c>
      <c r="H637" s="439" t="str">
        <f>'Membership Application List'!L866</f>
        <v/>
      </c>
      <c r="I637" s="345"/>
      <c r="J637" s="441"/>
      <c r="K637" s="345"/>
      <c r="L637" s="478"/>
      <c r="M637" s="345"/>
      <c r="N637" s="345"/>
      <c r="O637" s="345"/>
      <c r="P637" s="414"/>
      <c r="Q637" s="414"/>
      <c r="R637" s="414"/>
      <c r="S637" s="445"/>
      <c r="T637" s="445"/>
      <c r="U637" s="445"/>
      <c r="V637" s="345"/>
      <c r="W637" s="441"/>
      <c r="X637" s="345"/>
      <c r="Y637" s="345"/>
      <c r="Z637" s="345"/>
      <c r="AA637" s="345"/>
      <c r="AB637" s="345"/>
      <c r="AC637" s="345"/>
      <c r="AD637" s="345"/>
      <c r="AE637" s="345"/>
      <c r="AF637" s="345"/>
      <c r="AG637" s="345"/>
      <c r="AH637" s="345"/>
      <c r="AI637" s="345"/>
      <c r="AJ637" s="345"/>
      <c r="AK637" s="345"/>
      <c r="AL637" s="345"/>
      <c r="AM637" s="345"/>
      <c r="AN637" s="345"/>
      <c r="AO637" s="345"/>
      <c r="AP637" s="345"/>
      <c r="AQ637" s="345"/>
      <c r="AR637" s="345"/>
      <c r="AS637" s="345"/>
    </row>
    <row r="638" ht="13.5" customHeight="1">
      <c r="A638" s="424" t="str">
        <f>'Membership Application List'!A867</f>
        <v/>
      </c>
      <c r="B638" s="443" t="str">
        <f t="shared" si="6"/>
        <v/>
      </c>
      <c r="C638" s="443" t="str">
        <f t="shared" si="7"/>
        <v/>
      </c>
      <c r="D638" s="426" t="str">
        <f>'Membership Application List'!E867</f>
        <v/>
      </c>
      <c r="E638" s="426" t="str">
        <f>IF('Membership Application List'!J867 = "Food/Litter Donation", 0, IF('Membership Application List'!J867 = "$15 Donation, Discord Verification", IF('Membership Application List'!N867 = TRUE, 15, 0)))</f>
        <v>#N/A</v>
      </c>
      <c r="F638" s="426">
        <f>if('Membership Application List'!K867=TRUE, 5,0)</f>
        <v>0</v>
      </c>
      <c r="G638" s="426" t="str">
        <f t="shared" si="8"/>
        <v>#N/A</v>
      </c>
      <c r="H638" s="427" t="str">
        <f>'Membership Application List'!L867</f>
        <v/>
      </c>
      <c r="I638" s="345"/>
      <c r="J638" s="441"/>
      <c r="K638" s="345"/>
      <c r="L638" s="478"/>
      <c r="M638" s="345"/>
      <c r="N638" s="345"/>
      <c r="O638" s="345"/>
      <c r="P638" s="414"/>
      <c r="Q638" s="414"/>
      <c r="R638" s="414"/>
      <c r="S638" s="445"/>
      <c r="T638" s="445"/>
      <c r="U638" s="445"/>
      <c r="V638" s="345"/>
      <c r="W638" s="441"/>
      <c r="X638" s="345"/>
      <c r="Y638" s="345"/>
      <c r="Z638" s="345"/>
      <c r="AA638" s="345"/>
      <c r="AB638" s="345"/>
      <c r="AC638" s="345"/>
      <c r="AD638" s="345"/>
      <c r="AE638" s="345"/>
      <c r="AF638" s="345"/>
      <c r="AG638" s="345"/>
      <c r="AH638" s="345"/>
      <c r="AI638" s="345"/>
      <c r="AJ638" s="345"/>
      <c r="AK638" s="345"/>
      <c r="AL638" s="345"/>
      <c r="AM638" s="345"/>
      <c r="AN638" s="345"/>
      <c r="AO638" s="345"/>
      <c r="AP638" s="345"/>
      <c r="AQ638" s="345"/>
      <c r="AR638" s="345"/>
      <c r="AS638" s="345"/>
    </row>
    <row r="639" ht="13.5" customHeight="1">
      <c r="A639" s="436" t="str">
        <f>'Membership Application List'!A868</f>
        <v/>
      </c>
      <c r="B639" s="437" t="str">
        <f t="shared" si="6"/>
        <v/>
      </c>
      <c r="C639" s="437" t="str">
        <f t="shared" si="7"/>
        <v/>
      </c>
      <c r="D639" s="438" t="str">
        <f>'Membership Application List'!E868</f>
        <v/>
      </c>
      <c r="E639" s="438" t="str">
        <f>IF('Membership Application List'!J868 = "Food/Litter Donation", 0, IF('Membership Application List'!J868 = "$15 Donation, Discord Verification", IF('Membership Application List'!N868 = TRUE, 15, 0)))</f>
        <v>#N/A</v>
      </c>
      <c r="F639" s="438">
        <f>if('Membership Application List'!K868=TRUE, 5,0)</f>
        <v>0</v>
      </c>
      <c r="G639" s="438" t="str">
        <f t="shared" si="8"/>
        <v>#N/A</v>
      </c>
      <c r="H639" s="439" t="str">
        <f>'Membership Application List'!L868</f>
        <v/>
      </c>
      <c r="I639" s="345"/>
      <c r="J639" s="441"/>
      <c r="K639" s="345"/>
      <c r="L639" s="478"/>
      <c r="M639" s="345"/>
      <c r="N639" s="345"/>
      <c r="O639" s="345"/>
      <c r="P639" s="414"/>
      <c r="Q639" s="414"/>
      <c r="R639" s="414"/>
      <c r="S639" s="445"/>
      <c r="T639" s="445"/>
      <c r="U639" s="445"/>
      <c r="V639" s="345"/>
      <c r="W639" s="441"/>
      <c r="X639" s="345"/>
      <c r="Y639" s="345"/>
      <c r="Z639" s="345"/>
      <c r="AA639" s="345"/>
      <c r="AB639" s="345"/>
      <c r="AC639" s="345"/>
      <c r="AD639" s="345"/>
      <c r="AE639" s="345"/>
      <c r="AF639" s="345"/>
      <c r="AG639" s="345"/>
      <c r="AH639" s="345"/>
      <c r="AI639" s="345"/>
      <c r="AJ639" s="345"/>
      <c r="AK639" s="345"/>
      <c r="AL639" s="345"/>
      <c r="AM639" s="345"/>
      <c r="AN639" s="345"/>
      <c r="AO639" s="345"/>
      <c r="AP639" s="345"/>
      <c r="AQ639" s="345"/>
      <c r="AR639" s="345"/>
      <c r="AS639" s="345"/>
    </row>
    <row r="640" ht="13.5" customHeight="1">
      <c r="A640" s="424" t="str">
        <f>'Membership Application List'!A869</f>
        <v/>
      </c>
      <c r="B640" s="443" t="str">
        <f t="shared" si="6"/>
        <v/>
      </c>
      <c r="C640" s="443" t="str">
        <f t="shared" si="7"/>
        <v/>
      </c>
      <c r="D640" s="426" t="str">
        <f>'Membership Application List'!E869</f>
        <v/>
      </c>
      <c r="E640" s="426" t="str">
        <f>IF('Membership Application List'!J869 = "Food/Litter Donation", 0, IF('Membership Application List'!J869 = "$15 Donation, Discord Verification", IF('Membership Application List'!N869 = TRUE, 15, 0)))</f>
        <v>#N/A</v>
      </c>
      <c r="F640" s="426">
        <f>if('Membership Application List'!K869=TRUE, 5,0)</f>
        <v>0</v>
      </c>
      <c r="G640" s="426" t="str">
        <f t="shared" si="8"/>
        <v>#N/A</v>
      </c>
      <c r="H640" s="427" t="str">
        <f>'Membership Application List'!L869</f>
        <v/>
      </c>
      <c r="I640" s="345"/>
      <c r="J640" s="441"/>
      <c r="K640" s="345"/>
      <c r="L640" s="478"/>
      <c r="M640" s="345"/>
      <c r="N640" s="345"/>
      <c r="O640" s="345"/>
      <c r="P640" s="414"/>
      <c r="Q640" s="414"/>
      <c r="R640" s="414"/>
      <c r="S640" s="445"/>
      <c r="T640" s="445"/>
      <c r="U640" s="445"/>
      <c r="V640" s="345"/>
      <c r="W640" s="441"/>
      <c r="X640" s="345"/>
      <c r="Y640" s="345"/>
      <c r="Z640" s="345"/>
      <c r="AA640" s="345"/>
      <c r="AB640" s="345"/>
      <c r="AC640" s="345"/>
      <c r="AD640" s="345"/>
      <c r="AE640" s="345"/>
      <c r="AF640" s="345"/>
      <c r="AG640" s="345"/>
      <c r="AH640" s="345"/>
      <c r="AI640" s="345"/>
      <c r="AJ640" s="345"/>
      <c r="AK640" s="345"/>
      <c r="AL640" s="345"/>
      <c r="AM640" s="345"/>
      <c r="AN640" s="345"/>
      <c r="AO640" s="345"/>
      <c r="AP640" s="345"/>
      <c r="AQ640" s="345"/>
      <c r="AR640" s="345"/>
      <c r="AS640" s="345"/>
    </row>
    <row r="641" ht="13.5" customHeight="1">
      <c r="A641" s="436" t="str">
        <f>'Membership Application List'!A870</f>
        <v/>
      </c>
      <c r="B641" s="437" t="str">
        <f t="shared" si="6"/>
        <v/>
      </c>
      <c r="C641" s="437" t="str">
        <f t="shared" si="7"/>
        <v/>
      </c>
      <c r="D641" s="438" t="str">
        <f>'Membership Application List'!E870</f>
        <v/>
      </c>
      <c r="E641" s="438" t="str">
        <f>IF('Membership Application List'!J870 = "Food/Litter Donation", 0, IF('Membership Application List'!J870 = "$15 Donation, Discord Verification", IF('Membership Application List'!N870 = TRUE, 15, 0)))</f>
        <v>#N/A</v>
      </c>
      <c r="F641" s="438">
        <f>if('Membership Application List'!K870=TRUE, 5,0)</f>
        <v>0</v>
      </c>
      <c r="G641" s="438" t="str">
        <f t="shared" si="8"/>
        <v>#N/A</v>
      </c>
      <c r="H641" s="439" t="str">
        <f>'Membership Application List'!L870</f>
        <v/>
      </c>
      <c r="I641" s="345"/>
      <c r="J641" s="441"/>
      <c r="K641" s="345"/>
      <c r="L641" s="478"/>
      <c r="M641" s="345"/>
      <c r="N641" s="345"/>
      <c r="O641" s="345"/>
      <c r="P641" s="414"/>
      <c r="Q641" s="414"/>
      <c r="R641" s="414"/>
      <c r="S641" s="445"/>
      <c r="T641" s="445"/>
      <c r="U641" s="445"/>
      <c r="V641" s="345"/>
      <c r="W641" s="441"/>
      <c r="X641" s="345"/>
      <c r="Y641" s="345"/>
      <c r="Z641" s="345"/>
      <c r="AA641" s="345"/>
      <c r="AB641" s="345"/>
      <c r="AC641" s="345"/>
      <c r="AD641" s="345"/>
      <c r="AE641" s="345"/>
      <c r="AF641" s="345"/>
      <c r="AG641" s="345"/>
      <c r="AH641" s="345"/>
      <c r="AI641" s="345"/>
      <c r="AJ641" s="345"/>
      <c r="AK641" s="345"/>
      <c r="AL641" s="345"/>
      <c r="AM641" s="345"/>
      <c r="AN641" s="345"/>
      <c r="AO641" s="345"/>
      <c r="AP641" s="345"/>
      <c r="AQ641" s="345"/>
      <c r="AR641" s="345"/>
      <c r="AS641" s="345"/>
    </row>
    <row r="642" ht="13.5" customHeight="1">
      <c r="A642" s="424" t="str">
        <f>'Membership Application List'!A871</f>
        <v/>
      </c>
      <c r="B642" s="443" t="str">
        <f t="shared" si="6"/>
        <v/>
      </c>
      <c r="C642" s="443" t="str">
        <f t="shared" si="7"/>
        <v/>
      </c>
      <c r="D642" s="426" t="str">
        <f>'Membership Application List'!E871</f>
        <v/>
      </c>
      <c r="E642" s="426" t="str">
        <f>IF('Membership Application List'!J871 = "Food/Litter Donation", 0, IF('Membership Application List'!J871 = "$15 Donation, Discord Verification", IF('Membership Application List'!N871 = TRUE, 15, 0)))</f>
        <v>#N/A</v>
      </c>
      <c r="F642" s="426">
        <f>if('Membership Application List'!K871=TRUE, 5,0)</f>
        <v>0</v>
      </c>
      <c r="G642" s="426" t="str">
        <f t="shared" si="8"/>
        <v>#N/A</v>
      </c>
      <c r="H642" s="427" t="str">
        <f>'Membership Application List'!L871</f>
        <v/>
      </c>
      <c r="I642" s="345"/>
      <c r="J642" s="441"/>
      <c r="K642" s="345"/>
      <c r="L642" s="478"/>
      <c r="M642" s="345"/>
      <c r="N642" s="345"/>
      <c r="O642" s="345"/>
      <c r="P642" s="414"/>
      <c r="Q642" s="414"/>
      <c r="R642" s="414"/>
      <c r="S642" s="445"/>
      <c r="T642" s="445"/>
      <c r="U642" s="445"/>
      <c r="V642" s="345"/>
      <c r="W642" s="441"/>
      <c r="X642" s="345"/>
      <c r="Y642" s="345"/>
      <c r="Z642" s="345"/>
      <c r="AA642" s="345"/>
      <c r="AB642" s="345"/>
      <c r="AC642" s="345"/>
      <c r="AD642" s="345"/>
      <c r="AE642" s="345"/>
      <c r="AF642" s="345"/>
      <c r="AG642" s="345"/>
      <c r="AH642" s="345"/>
      <c r="AI642" s="345"/>
      <c r="AJ642" s="345"/>
      <c r="AK642" s="345"/>
      <c r="AL642" s="345"/>
      <c r="AM642" s="345"/>
      <c r="AN642" s="345"/>
      <c r="AO642" s="345"/>
      <c r="AP642" s="345"/>
      <c r="AQ642" s="345"/>
      <c r="AR642" s="345"/>
      <c r="AS642" s="345"/>
    </row>
    <row r="643" ht="13.5" customHeight="1">
      <c r="A643" s="436" t="str">
        <f>'Membership Application List'!A872</f>
        <v/>
      </c>
      <c r="B643" s="437" t="str">
        <f t="shared" si="6"/>
        <v/>
      </c>
      <c r="C643" s="437" t="str">
        <f t="shared" si="7"/>
        <v/>
      </c>
      <c r="D643" s="438" t="str">
        <f>'Membership Application List'!E872</f>
        <v/>
      </c>
      <c r="E643" s="438" t="str">
        <f>IF('Membership Application List'!J872 = "Food/Litter Donation", 0, IF('Membership Application List'!J872 = "$15 Donation, Discord Verification", IF('Membership Application List'!N872 = TRUE, 15, 0)))</f>
        <v>#N/A</v>
      </c>
      <c r="F643" s="438">
        <f>if('Membership Application List'!K872=TRUE, 5,0)</f>
        <v>0</v>
      </c>
      <c r="G643" s="438" t="str">
        <f t="shared" si="8"/>
        <v>#N/A</v>
      </c>
      <c r="H643" s="439" t="str">
        <f>'Membership Application List'!L872</f>
        <v/>
      </c>
      <c r="I643" s="345"/>
      <c r="J643" s="441"/>
      <c r="K643" s="345"/>
      <c r="L643" s="478"/>
      <c r="M643" s="345"/>
      <c r="N643" s="345"/>
      <c r="O643" s="345"/>
      <c r="P643" s="414"/>
      <c r="Q643" s="414"/>
      <c r="R643" s="414"/>
      <c r="S643" s="445"/>
      <c r="T643" s="445"/>
      <c r="U643" s="445"/>
      <c r="V643" s="345"/>
      <c r="W643" s="441"/>
      <c r="X643" s="345"/>
      <c r="Y643" s="345"/>
      <c r="Z643" s="345"/>
      <c r="AA643" s="345"/>
      <c r="AB643" s="345"/>
      <c r="AC643" s="345"/>
      <c r="AD643" s="345"/>
      <c r="AE643" s="345"/>
      <c r="AF643" s="345"/>
      <c r="AG643" s="345"/>
      <c r="AH643" s="345"/>
      <c r="AI643" s="345"/>
      <c r="AJ643" s="345"/>
      <c r="AK643" s="345"/>
      <c r="AL643" s="345"/>
      <c r="AM643" s="345"/>
      <c r="AN643" s="345"/>
      <c r="AO643" s="345"/>
      <c r="AP643" s="345"/>
      <c r="AQ643" s="345"/>
      <c r="AR643" s="345"/>
      <c r="AS643" s="345"/>
    </row>
    <row r="644" ht="13.5" customHeight="1">
      <c r="A644" s="424" t="str">
        <f>'Membership Application List'!A873</f>
        <v/>
      </c>
      <c r="B644" s="443" t="str">
        <f t="shared" si="6"/>
        <v/>
      </c>
      <c r="C644" s="443" t="str">
        <f t="shared" si="7"/>
        <v/>
      </c>
      <c r="D644" s="426" t="str">
        <f>'Membership Application List'!E873</f>
        <v/>
      </c>
      <c r="E644" s="426" t="str">
        <f>IF('Membership Application List'!J873 = "Food/Litter Donation", 0, IF('Membership Application List'!J873 = "$15 Donation, Discord Verification", IF('Membership Application List'!N873 = TRUE, 15, 0)))</f>
        <v>#N/A</v>
      </c>
      <c r="F644" s="426">
        <f>if('Membership Application List'!K873=TRUE, 5,0)</f>
        <v>0</v>
      </c>
      <c r="G644" s="426" t="str">
        <f t="shared" si="8"/>
        <v>#N/A</v>
      </c>
      <c r="H644" s="427" t="str">
        <f>'Membership Application List'!L873</f>
        <v/>
      </c>
      <c r="I644" s="345"/>
      <c r="J644" s="441"/>
      <c r="K644" s="345"/>
      <c r="L644" s="478"/>
      <c r="M644" s="345"/>
      <c r="N644" s="345"/>
      <c r="O644" s="345"/>
      <c r="P644" s="414"/>
      <c r="Q644" s="414"/>
      <c r="R644" s="414"/>
      <c r="S644" s="445"/>
      <c r="T644" s="445"/>
      <c r="U644" s="445"/>
      <c r="V644" s="345"/>
      <c r="W644" s="441"/>
      <c r="X644" s="345"/>
      <c r="Y644" s="345"/>
      <c r="Z644" s="345"/>
      <c r="AA644" s="345"/>
      <c r="AB644" s="345"/>
      <c r="AC644" s="345"/>
      <c r="AD644" s="345"/>
      <c r="AE644" s="345"/>
      <c r="AF644" s="345"/>
      <c r="AG644" s="345"/>
      <c r="AH644" s="345"/>
      <c r="AI644" s="345"/>
      <c r="AJ644" s="345"/>
      <c r="AK644" s="345"/>
      <c r="AL644" s="345"/>
      <c r="AM644" s="345"/>
      <c r="AN644" s="345"/>
      <c r="AO644" s="345"/>
      <c r="AP644" s="345"/>
      <c r="AQ644" s="345"/>
      <c r="AR644" s="345"/>
      <c r="AS644" s="345"/>
    </row>
    <row r="645" ht="13.5" customHeight="1">
      <c r="A645" s="436" t="str">
        <f>'Membership Application List'!A874</f>
        <v/>
      </c>
      <c r="B645" s="437" t="str">
        <f t="shared" si="6"/>
        <v/>
      </c>
      <c r="C645" s="437" t="str">
        <f t="shared" si="7"/>
        <v/>
      </c>
      <c r="D645" s="438" t="str">
        <f>'Membership Application List'!E874</f>
        <v/>
      </c>
      <c r="E645" s="438" t="str">
        <f>IF('Membership Application List'!J874 = "Food/Litter Donation", 0, IF('Membership Application List'!J874 = "$15 Donation, Discord Verification", IF('Membership Application List'!N874 = TRUE, 15, 0)))</f>
        <v>#N/A</v>
      </c>
      <c r="F645" s="438">
        <f>if('Membership Application List'!K874=TRUE, 5,0)</f>
        <v>0</v>
      </c>
      <c r="G645" s="438" t="str">
        <f t="shared" si="8"/>
        <v>#N/A</v>
      </c>
      <c r="H645" s="439" t="str">
        <f>'Membership Application List'!L874</f>
        <v/>
      </c>
      <c r="I645" s="345"/>
      <c r="J645" s="441"/>
      <c r="K645" s="345"/>
      <c r="L645" s="478"/>
      <c r="M645" s="345"/>
      <c r="N645" s="345"/>
      <c r="O645" s="345"/>
      <c r="P645" s="414"/>
      <c r="Q645" s="414"/>
      <c r="R645" s="414"/>
      <c r="S645" s="445"/>
      <c r="T645" s="445"/>
      <c r="U645" s="445"/>
      <c r="V645" s="345"/>
      <c r="W645" s="441"/>
      <c r="X645" s="345"/>
      <c r="Y645" s="345"/>
      <c r="Z645" s="345"/>
      <c r="AA645" s="345"/>
      <c r="AB645" s="345"/>
      <c r="AC645" s="345"/>
      <c r="AD645" s="345"/>
      <c r="AE645" s="345"/>
      <c r="AF645" s="345"/>
      <c r="AG645" s="345"/>
      <c r="AH645" s="345"/>
      <c r="AI645" s="345"/>
      <c r="AJ645" s="345"/>
      <c r="AK645" s="345"/>
      <c r="AL645" s="345"/>
      <c r="AM645" s="345"/>
      <c r="AN645" s="345"/>
      <c r="AO645" s="345"/>
      <c r="AP645" s="345"/>
      <c r="AQ645" s="345"/>
      <c r="AR645" s="345"/>
      <c r="AS645" s="345"/>
    </row>
    <row r="646" ht="13.5" customHeight="1">
      <c r="A646" s="424" t="str">
        <f>'Membership Application List'!A875</f>
        <v/>
      </c>
      <c r="B646" s="443" t="str">
        <f t="shared" si="6"/>
        <v/>
      </c>
      <c r="C646" s="443" t="str">
        <f t="shared" si="7"/>
        <v/>
      </c>
      <c r="D646" s="426" t="str">
        <f>'Membership Application List'!E875</f>
        <v/>
      </c>
      <c r="E646" s="426" t="str">
        <f>IF('Membership Application List'!J875 = "Food/Litter Donation", 0, IF('Membership Application List'!J875 = "$15 Donation, Discord Verification", IF('Membership Application List'!N875 = TRUE, 15, 0)))</f>
        <v>#N/A</v>
      </c>
      <c r="F646" s="426">
        <f>if('Membership Application List'!K875=TRUE, 5,0)</f>
        <v>0</v>
      </c>
      <c r="G646" s="426" t="str">
        <f t="shared" si="8"/>
        <v>#N/A</v>
      </c>
      <c r="H646" s="427" t="str">
        <f>'Membership Application List'!L875</f>
        <v/>
      </c>
      <c r="I646" s="345"/>
      <c r="J646" s="441"/>
      <c r="K646" s="345"/>
      <c r="L646" s="478"/>
      <c r="M646" s="345"/>
      <c r="N646" s="345"/>
      <c r="O646" s="345"/>
      <c r="P646" s="414"/>
      <c r="Q646" s="414"/>
      <c r="R646" s="414"/>
      <c r="S646" s="445"/>
      <c r="T646" s="445"/>
      <c r="U646" s="445"/>
      <c r="V646" s="345"/>
      <c r="W646" s="441"/>
      <c r="X646" s="345"/>
      <c r="Y646" s="345"/>
      <c r="Z646" s="345"/>
      <c r="AA646" s="345"/>
      <c r="AB646" s="345"/>
      <c r="AC646" s="345"/>
      <c r="AD646" s="345"/>
      <c r="AE646" s="345"/>
      <c r="AF646" s="345"/>
      <c r="AG646" s="345"/>
      <c r="AH646" s="345"/>
      <c r="AI646" s="345"/>
      <c r="AJ646" s="345"/>
      <c r="AK646" s="345"/>
      <c r="AL646" s="345"/>
      <c r="AM646" s="345"/>
      <c r="AN646" s="345"/>
      <c r="AO646" s="345"/>
      <c r="AP646" s="345"/>
      <c r="AQ646" s="345"/>
      <c r="AR646" s="345"/>
      <c r="AS646" s="345"/>
    </row>
    <row r="647" ht="13.5" customHeight="1">
      <c r="A647" s="436" t="str">
        <f>'Membership Application List'!A876</f>
        <v/>
      </c>
      <c r="B647" s="437" t="str">
        <f t="shared" si="6"/>
        <v/>
      </c>
      <c r="C647" s="437" t="str">
        <f t="shared" si="7"/>
        <v/>
      </c>
      <c r="D647" s="438" t="str">
        <f>'Membership Application List'!E876</f>
        <v/>
      </c>
      <c r="E647" s="438" t="str">
        <f>IF('Membership Application List'!J876 = "Food/Litter Donation", 0, IF('Membership Application List'!J876 = "$15 Donation, Discord Verification", IF('Membership Application List'!N876 = TRUE, 15, 0)))</f>
        <v>#N/A</v>
      </c>
      <c r="F647" s="438">
        <f>if('Membership Application List'!K876=TRUE, 5,0)</f>
        <v>0</v>
      </c>
      <c r="G647" s="438" t="str">
        <f t="shared" si="8"/>
        <v>#N/A</v>
      </c>
      <c r="H647" s="439" t="str">
        <f>'Membership Application List'!L876</f>
        <v/>
      </c>
      <c r="I647" s="345"/>
      <c r="J647" s="441"/>
      <c r="K647" s="345"/>
      <c r="L647" s="478"/>
      <c r="M647" s="345"/>
      <c r="N647" s="345"/>
      <c r="O647" s="345"/>
      <c r="P647" s="414"/>
      <c r="Q647" s="414"/>
      <c r="R647" s="414"/>
      <c r="S647" s="445"/>
      <c r="T647" s="445"/>
      <c r="U647" s="445"/>
      <c r="V647" s="345"/>
      <c r="W647" s="441"/>
      <c r="X647" s="345"/>
      <c r="Y647" s="345"/>
      <c r="Z647" s="345"/>
      <c r="AA647" s="345"/>
      <c r="AB647" s="345"/>
      <c r="AC647" s="345"/>
      <c r="AD647" s="345"/>
      <c r="AE647" s="345"/>
      <c r="AF647" s="345"/>
      <c r="AG647" s="345"/>
      <c r="AH647" s="345"/>
      <c r="AI647" s="345"/>
      <c r="AJ647" s="345"/>
      <c r="AK647" s="345"/>
      <c r="AL647" s="345"/>
      <c r="AM647" s="345"/>
      <c r="AN647" s="345"/>
      <c r="AO647" s="345"/>
      <c r="AP647" s="345"/>
      <c r="AQ647" s="345"/>
      <c r="AR647" s="345"/>
      <c r="AS647" s="345"/>
    </row>
    <row r="648" ht="13.5" customHeight="1">
      <c r="A648" s="424" t="str">
        <f>'Membership Application List'!A877</f>
        <v/>
      </c>
      <c r="B648" s="443" t="str">
        <f t="shared" si="6"/>
        <v/>
      </c>
      <c r="C648" s="443" t="str">
        <f t="shared" si="7"/>
        <v/>
      </c>
      <c r="D648" s="426" t="str">
        <f>'Membership Application List'!E877</f>
        <v/>
      </c>
      <c r="E648" s="426" t="str">
        <f>IF('Membership Application List'!J877 = "Food/Litter Donation", 0, IF('Membership Application List'!J877 = "$15 Donation, Discord Verification", IF('Membership Application List'!N877 = TRUE, 15, 0)))</f>
        <v>#N/A</v>
      </c>
      <c r="F648" s="426">
        <f>if('Membership Application List'!K877=TRUE, 5,0)</f>
        <v>0</v>
      </c>
      <c r="G648" s="426" t="str">
        <f t="shared" si="8"/>
        <v>#N/A</v>
      </c>
      <c r="H648" s="427" t="str">
        <f>'Membership Application List'!L877</f>
        <v/>
      </c>
      <c r="I648" s="345"/>
      <c r="J648" s="441"/>
      <c r="K648" s="345"/>
      <c r="L648" s="478"/>
      <c r="M648" s="345"/>
      <c r="N648" s="345"/>
      <c r="O648" s="345"/>
      <c r="P648" s="414"/>
      <c r="Q648" s="414"/>
      <c r="R648" s="414"/>
      <c r="S648" s="445"/>
      <c r="T648" s="445"/>
      <c r="U648" s="445"/>
      <c r="V648" s="345"/>
      <c r="W648" s="441"/>
      <c r="X648" s="345"/>
      <c r="Y648" s="345"/>
      <c r="Z648" s="345"/>
      <c r="AA648" s="345"/>
      <c r="AB648" s="345"/>
      <c r="AC648" s="345"/>
      <c r="AD648" s="345"/>
      <c r="AE648" s="345"/>
      <c r="AF648" s="345"/>
      <c r="AG648" s="345"/>
      <c r="AH648" s="345"/>
      <c r="AI648" s="345"/>
      <c r="AJ648" s="345"/>
      <c r="AK648" s="345"/>
      <c r="AL648" s="345"/>
      <c r="AM648" s="345"/>
      <c r="AN648" s="345"/>
      <c r="AO648" s="345"/>
      <c r="AP648" s="345"/>
      <c r="AQ648" s="345"/>
      <c r="AR648" s="345"/>
      <c r="AS648" s="345"/>
    </row>
    <row r="649" ht="13.5" customHeight="1">
      <c r="A649" s="436" t="str">
        <f>'Membership Application List'!A878</f>
        <v/>
      </c>
      <c r="B649" s="437" t="str">
        <f t="shared" si="6"/>
        <v/>
      </c>
      <c r="C649" s="437" t="str">
        <f t="shared" si="7"/>
        <v/>
      </c>
      <c r="D649" s="438" t="str">
        <f>'Membership Application List'!E878</f>
        <v/>
      </c>
      <c r="E649" s="438" t="str">
        <f>IF('Membership Application List'!J878 = "Food/Litter Donation", 0, IF('Membership Application List'!J878 = "$15 Donation, Discord Verification", IF('Membership Application List'!N878 = TRUE, 15, 0)))</f>
        <v>#N/A</v>
      </c>
      <c r="F649" s="438">
        <f>if('Membership Application List'!K878=TRUE, 5,0)</f>
        <v>0</v>
      </c>
      <c r="G649" s="438" t="str">
        <f t="shared" si="8"/>
        <v>#N/A</v>
      </c>
      <c r="H649" s="439" t="str">
        <f>'Membership Application List'!L878</f>
        <v/>
      </c>
      <c r="I649" s="345"/>
      <c r="J649" s="441"/>
      <c r="K649" s="345"/>
      <c r="L649" s="478"/>
      <c r="M649" s="345"/>
      <c r="N649" s="345"/>
      <c r="O649" s="345"/>
      <c r="P649" s="414"/>
      <c r="Q649" s="414"/>
      <c r="R649" s="414"/>
      <c r="S649" s="445"/>
      <c r="T649" s="445"/>
      <c r="U649" s="445"/>
      <c r="V649" s="345"/>
      <c r="W649" s="441"/>
      <c r="X649" s="345"/>
      <c r="Y649" s="345"/>
      <c r="Z649" s="345"/>
      <c r="AA649" s="345"/>
      <c r="AB649" s="345"/>
      <c r="AC649" s="345"/>
      <c r="AD649" s="345"/>
      <c r="AE649" s="345"/>
      <c r="AF649" s="345"/>
      <c r="AG649" s="345"/>
      <c r="AH649" s="345"/>
      <c r="AI649" s="345"/>
      <c r="AJ649" s="345"/>
      <c r="AK649" s="345"/>
      <c r="AL649" s="345"/>
      <c r="AM649" s="345"/>
      <c r="AN649" s="345"/>
      <c r="AO649" s="345"/>
      <c r="AP649" s="345"/>
      <c r="AQ649" s="345"/>
      <c r="AR649" s="345"/>
      <c r="AS649" s="345"/>
    </row>
    <row r="650" ht="13.5" customHeight="1">
      <c r="A650" s="424" t="str">
        <f>'Membership Application List'!A879</f>
        <v/>
      </c>
      <c r="B650" s="443" t="str">
        <f t="shared" si="6"/>
        <v/>
      </c>
      <c r="C650" s="443" t="str">
        <f t="shared" si="7"/>
        <v/>
      </c>
      <c r="D650" s="426" t="str">
        <f>'Membership Application List'!E879</f>
        <v/>
      </c>
      <c r="E650" s="426" t="str">
        <f>IF('Membership Application List'!J879 = "Food/Litter Donation", 0, IF('Membership Application List'!J879 = "$15 Donation, Discord Verification", IF('Membership Application List'!N879 = TRUE, 15, 0)))</f>
        <v>#N/A</v>
      </c>
      <c r="F650" s="426">
        <f>if('Membership Application List'!K879=TRUE, 5,0)</f>
        <v>0</v>
      </c>
      <c r="G650" s="426" t="str">
        <f t="shared" si="8"/>
        <v>#N/A</v>
      </c>
      <c r="H650" s="427" t="str">
        <f>'Membership Application List'!L879</f>
        <v/>
      </c>
      <c r="I650" s="345"/>
      <c r="J650" s="441"/>
      <c r="K650" s="345"/>
      <c r="L650" s="478"/>
      <c r="M650" s="345"/>
      <c r="N650" s="345"/>
      <c r="O650" s="345"/>
      <c r="P650" s="414"/>
      <c r="Q650" s="414"/>
      <c r="R650" s="414"/>
      <c r="S650" s="445"/>
      <c r="T650" s="445"/>
      <c r="U650" s="445"/>
      <c r="V650" s="345"/>
      <c r="W650" s="441"/>
      <c r="X650" s="345"/>
      <c r="Y650" s="345"/>
      <c r="Z650" s="345"/>
      <c r="AA650" s="345"/>
      <c r="AB650" s="345"/>
      <c r="AC650" s="345"/>
      <c r="AD650" s="345"/>
      <c r="AE650" s="345"/>
      <c r="AF650" s="345"/>
      <c r="AG650" s="345"/>
      <c r="AH650" s="345"/>
      <c r="AI650" s="345"/>
      <c r="AJ650" s="345"/>
      <c r="AK650" s="345"/>
      <c r="AL650" s="345"/>
      <c r="AM650" s="345"/>
      <c r="AN650" s="345"/>
      <c r="AO650" s="345"/>
      <c r="AP650" s="345"/>
      <c r="AQ650" s="345"/>
      <c r="AR650" s="345"/>
      <c r="AS650" s="345"/>
    </row>
    <row r="651" ht="13.5" customHeight="1">
      <c r="A651" s="436" t="str">
        <f>'Membership Application List'!A880</f>
        <v/>
      </c>
      <c r="B651" s="437" t="str">
        <f t="shared" si="6"/>
        <v/>
      </c>
      <c r="C651" s="437" t="str">
        <f t="shared" si="7"/>
        <v/>
      </c>
      <c r="D651" s="438" t="str">
        <f>'Membership Application List'!E880</f>
        <v/>
      </c>
      <c r="E651" s="438" t="str">
        <f>IF('Membership Application List'!J880 = "Food/Litter Donation", 0, IF('Membership Application List'!J880 = "$15 Donation, Discord Verification", IF('Membership Application List'!N880 = TRUE, 15, 0)))</f>
        <v>#N/A</v>
      </c>
      <c r="F651" s="438">
        <f>if('Membership Application List'!K880=TRUE, 5,0)</f>
        <v>0</v>
      </c>
      <c r="G651" s="438" t="str">
        <f t="shared" si="8"/>
        <v>#N/A</v>
      </c>
      <c r="H651" s="439" t="str">
        <f>'Membership Application List'!L880</f>
        <v/>
      </c>
      <c r="I651" s="345"/>
      <c r="J651" s="441"/>
      <c r="K651" s="345"/>
      <c r="L651" s="478"/>
      <c r="M651" s="345"/>
      <c r="N651" s="345"/>
      <c r="O651" s="345"/>
      <c r="P651" s="414"/>
      <c r="Q651" s="414"/>
      <c r="R651" s="414"/>
      <c r="S651" s="445"/>
      <c r="T651" s="445"/>
      <c r="U651" s="445"/>
      <c r="V651" s="345"/>
      <c r="W651" s="441"/>
      <c r="X651" s="345"/>
      <c r="Y651" s="345"/>
      <c r="Z651" s="345"/>
      <c r="AA651" s="345"/>
      <c r="AB651" s="345"/>
      <c r="AC651" s="345"/>
      <c r="AD651" s="345"/>
      <c r="AE651" s="345"/>
      <c r="AF651" s="345"/>
      <c r="AG651" s="345"/>
      <c r="AH651" s="345"/>
      <c r="AI651" s="345"/>
      <c r="AJ651" s="345"/>
      <c r="AK651" s="345"/>
      <c r="AL651" s="345"/>
      <c r="AM651" s="345"/>
      <c r="AN651" s="345"/>
      <c r="AO651" s="345"/>
      <c r="AP651" s="345"/>
      <c r="AQ651" s="345"/>
      <c r="AR651" s="345"/>
      <c r="AS651" s="345"/>
    </row>
    <row r="652" ht="13.5" customHeight="1">
      <c r="A652" s="424" t="str">
        <f>'Membership Application List'!A881</f>
        <v/>
      </c>
      <c r="B652" s="443" t="str">
        <f t="shared" si="6"/>
        <v/>
      </c>
      <c r="C652" s="443" t="str">
        <f t="shared" si="7"/>
        <v/>
      </c>
      <c r="D652" s="426" t="str">
        <f>'Membership Application List'!E881</f>
        <v/>
      </c>
      <c r="E652" s="426" t="str">
        <f>IF('Membership Application List'!J881 = "Food/Litter Donation", 0, IF('Membership Application List'!J881 = "$15 Donation, Discord Verification", IF('Membership Application List'!N881 = TRUE, 15, 0)))</f>
        <v>#N/A</v>
      </c>
      <c r="F652" s="426">
        <f>if('Membership Application List'!K881=TRUE, 5,0)</f>
        <v>0</v>
      </c>
      <c r="G652" s="426" t="str">
        <f t="shared" si="8"/>
        <v>#N/A</v>
      </c>
      <c r="H652" s="427" t="str">
        <f>'Membership Application List'!L881</f>
        <v/>
      </c>
      <c r="I652" s="345"/>
      <c r="J652" s="441"/>
      <c r="K652" s="345"/>
      <c r="L652" s="478"/>
      <c r="M652" s="345"/>
      <c r="N652" s="345"/>
      <c r="O652" s="345"/>
      <c r="P652" s="414"/>
      <c r="Q652" s="414"/>
      <c r="R652" s="414"/>
      <c r="S652" s="445"/>
      <c r="T652" s="445"/>
      <c r="U652" s="445"/>
      <c r="V652" s="345"/>
      <c r="W652" s="441"/>
      <c r="X652" s="345"/>
      <c r="Y652" s="345"/>
      <c r="Z652" s="345"/>
      <c r="AA652" s="345"/>
      <c r="AB652" s="345"/>
      <c r="AC652" s="345"/>
      <c r="AD652" s="345"/>
      <c r="AE652" s="345"/>
      <c r="AF652" s="345"/>
      <c r="AG652" s="345"/>
      <c r="AH652" s="345"/>
      <c r="AI652" s="345"/>
      <c r="AJ652" s="345"/>
      <c r="AK652" s="345"/>
      <c r="AL652" s="345"/>
      <c r="AM652" s="345"/>
      <c r="AN652" s="345"/>
      <c r="AO652" s="345"/>
      <c r="AP652" s="345"/>
      <c r="AQ652" s="345"/>
      <c r="AR652" s="345"/>
      <c r="AS652" s="345"/>
    </row>
    <row r="653" ht="13.5" customHeight="1">
      <c r="A653" s="436" t="str">
        <f>'Membership Application List'!A882</f>
        <v/>
      </c>
      <c r="B653" s="437" t="str">
        <f t="shared" si="6"/>
        <v/>
      </c>
      <c r="C653" s="437" t="str">
        <f t="shared" si="7"/>
        <v/>
      </c>
      <c r="D653" s="438" t="str">
        <f>'Membership Application List'!E882</f>
        <v/>
      </c>
      <c r="E653" s="438" t="str">
        <f>IF('Membership Application List'!J882 = "Food/Litter Donation", 0, IF('Membership Application List'!J882 = "$15 Donation, Discord Verification", IF('Membership Application List'!N882 = TRUE, 15, 0)))</f>
        <v>#N/A</v>
      </c>
      <c r="F653" s="438">
        <f>if('Membership Application List'!K882=TRUE, 5,0)</f>
        <v>0</v>
      </c>
      <c r="G653" s="438" t="str">
        <f t="shared" si="8"/>
        <v>#N/A</v>
      </c>
      <c r="H653" s="439" t="str">
        <f>'Membership Application List'!L882</f>
        <v/>
      </c>
      <c r="I653" s="345"/>
      <c r="J653" s="441"/>
      <c r="K653" s="345"/>
      <c r="L653" s="478"/>
      <c r="M653" s="345"/>
      <c r="N653" s="345"/>
      <c r="O653" s="345"/>
      <c r="P653" s="414"/>
      <c r="Q653" s="414"/>
      <c r="R653" s="414"/>
      <c r="S653" s="445"/>
      <c r="T653" s="445"/>
      <c r="U653" s="445"/>
      <c r="V653" s="345"/>
      <c r="W653" s="441"/>
      <c r="X653" s="345"/>
      <c r="Y653" s="345"/>
      <c r="Z653" s="345"/>
      <c r="AA653" s="345"/>
      <c r="AB653" s="345"/>
      <c r="AC653" s="345"/>
      <c r="AD653" s="345"/>
      <c r="AE653" s="345"/>
      <c r="AF653" s="345"/>
      <c r="AG653" s="345"/>
      <c r="AH653" s="345"/>
      <c r="AI653" s="345"/>
      <c r="AJ653" s="345"/>
      <c r="AK653" s="345"/>
      <c r="AL653" s="345"/>
      <c r="AM653" s="345"/>
      <c r="AN653" s="345"/>
      <c r="AO653" s="345"/>
      <c r="AP653" s="345"/>
      <c r="AQ653" s="345"/>
      <c r="AR653" s="345"/>
      <c r="AS653" s="345"/>
    </row>
    <row r="654" ht="13.5" customHeight="1">
      <c r="A654" s="424" t="str">
        <f>'Membership Application List'!A883</f>
        <v/>
      </c>
      <c r="B654" s="443" t="str">
        <f t="shared" si="6"/>
        <v/>
      </c>
      <c r="C654" s="443" t="str">
        <f t="shared" si="7"/>
        <v/>
      </c>
      <c r="D654" s="426" t="str">
        <f>'Membership Application List'!E883</f>
        <v/>
      </c>
      <c r="E654" s="426" t="str">
        <f>IF('Membership Application List'!J883 = "Food/Litter Donation", 0, IF('Membership Application List'!J883 = "$15 Donation, Discord Verification", IF('Membership Application List'!N883 = TRUE, 15, 0)))</f>
        <v>#N/A</v>
      </c>
      <c r="F654" s="426">
        <f>if('Membership Application List'!K883=TRUE, 5,0)</f>
        <v>0</v>
      </c>
      <c r="G654" s="426" t="str">
        <f t="shared" si="8"/>
        <v>#N/A</v>
      </c>
      <c r="H654" s="427" t="str">
        <f>'Membership Application List'!L883</f>
        <v/>
      </c>
      <c r="I654" s="345"/>
      <c r="J654" s="441"/>
      <c r="K654" s="345"/>
      <c r="L654" s="478"/>
      <c r="M654" s="345"/>
      <c r="N654" s="345"/>
      <c r="O654" s="345"/>
      <c r="P654" s="414"/>
      <c r="Q654" s="414"/>
      <c r="R654" s="414"/>
      <c r="S654" s="445"/>
      <c r="T654" s="445"/>
      <c r="U654" s="445"/>
      <c r="V654" s="345"/>
      <c r="W654" s="441"/>
      <c r="X654" s="345"/>
      <c r="Y654" s="345"/>
      <c r="Z654" s="345"/>
      <c r="AA654" s="345"/>
      <c r="AB654" s="345"/>
      <c r="AC654" s="345"/>
      <c r="AD654" s="345"/>
      <c r="AE654" s="345"/>
      <c r="AF654" s="345"/>
      <c r="AG654" s="345"/>
      <c r="AH654" s="345"/>
      <c r="AI654" s="345"/>
      <c r="AJ654" s="345"/>
      <c r="AK654" s="345"/>
      <c r="AL654" s="345"/>
      <c r="AM654" s="345"/>
      <c r="AN654" s="345"/>
      <c r="AO654" s="345"/>
      <c r="AP654" s="345"/>
      <c r="AQ654" s="345"/>
      <c r="AR654" s="345"/>
      <c r="AS654" s="345"/>
    </row>
    <row r="655" ht="13.5" customHeight="1">
      <c r="A655" s="436" t="str">
        <f>'Membership Application List'!A884</f>
        <v/>
      </c>
      <c r="B655" s="437" t="str">
        <f t="shared" si="6"/>
        <v/>
      </c>
      <c r="C655" s="437" t="str">
        <f t="shared" si="7"/>
        <v/>
      </c>
      <c r="D655" s="438" t="str">
        <f>'Membership Application List'!E884</f>
        <v/>
      </c>
      <c r="E655" s="438" t="str">
        <f>IF('Membership Application List'!J884 = "Food/Litter Donation", 0, IF('Membership Application List'!J884 = "$15 Donation, Discord Verification", IF('Membership Application List'!N884 = TRUE, 15, 0)))</f>
        <v>#N/A</v>
      </c>
      <c r="F655" s="438">
        <f>if('Membership Application List'!K884=TRUE, 5,0)</f>
        <v>0</v>
      </c>
      <c r="G655" s="438" t="str">
        <f t="shared" si="8"/>
        <v>#N/A</v>
      </c>
      <c r="H655" s="439" t="str">
        <f>'Membership Application List'!L884</f>
        <v/>
      </c>
      <c r="I655" s="345"/>
      <c r="J655" s="441"/>
      <c r="K655" s="345"/>
      <c r="L655" s="478"/>
      <c r="M655" s="345"/>
      <c r="N655" s="345"/>
      <c r="O655" s="345"/>
      <c r="P655" s="414"/>
      <c r="Q655" s="414"/>
      <c r="R655" s="414"/>
      <c r="S655" s="445"/>
      <c r="T655" s="445"/>
      <c r="U655" s="445"/>
      <c r="V655" s="345"/>
      <c r="W655" s="441"/>
      <c r="X655" s="345"/>
      <c r="Y655" s="345"/>
      <c r="Z655" s="345"/>
      <c r="AA655" s="345"/>
      <c r="AB655" s="345"/>
      <c r="AC655" s="345"/>
      <c r="AD655" s="345"/>
      <c r="AE655" s="345"/>
      <c r="AF655" s="345"/>
      <c r="AG655" s="345"/>
      <c r="AH655" s="345"/>
      <c r="AI655" s="345"/>
      <c r="AJ655" s="345"/>
      <c r="AK655" s="345"/>
      <c r="AL655" s="345"/>
      <c r="AM655" s="345"/>
      <c r="AN655" s="345"/>
      <c r="AO655" s="345"/>
      <c r="AP655" s="345"/>
      <c r="AQ655" s="345"/>
      <c r="AR655" s="345"/>
      <c r="AS655" s="345"/>
    </row>
    <row r="656" ht="13.5" customHeight="1">
      <c r="A656" s="424" t="str">
        <f>'Membership Application List'!A885</f>
        <v/>
      </c>
      <c r="B656" s="443" t="str">
        <f t="shared" si="6"/>
        <v/>
      </c>
      <c r="C656" s="443" t="str">
        <f t="shared" si="7"/>
        <v/>
      </c>
      <c r="D656" s="426" t="str">
        <f>'Membership Application List'!E885</f>
        <v/>
      </c>
      <c r="E656" s="426" t="str">
        <f>IF('Membership Application List'!J885 = "Food/Litter Donation", 0, IF('Membership Application List'!J885 = "$15 Donation, Discord Verification", IF('Membership Application List'!N885 = TRUE, 15, 0)))</f>
        <v>#N/A</v>
      </c>
      <c r="F656" s="426">
        <f>if('Membership Application List'!K885=TRUE, 5,0)</f>
        <v>0</v>
      </c>
      <c r="G656" s="426" t="str">
        <f t="shared" si="8"/>
        <v>#N/A</v>
      </c>
      <c r="H656" s="427" t="str">
        <f>'Membership Application List'!L885</f>
        <v/>
      </c>
      <c r="I656" s="345"/>
      <c r="J656" s="441"/>
      <c r="K656" s="345"/>
      <c r="L656" s="478"/>
      <c r="M656" s="345"/>
      <c r="N656" s="345"/>
      <c r="O656" s="345"/>
      <c r="P656" s="414"/>
      <c r="Q656" s="414"/>
      <c r="R656" s="414"/>
      <c r="S656" s="445"/>
      <c r="T656" s="445"/>
      <c r="U656" s="445"/>
      <c r="V656" s="345"/>
      <c r="W656" s="441"/>
      <c r="X656" s="345"/>
      <c r="Y656" s="345"/>
      <c r="Z656" s="345"/>
      <c r="AA656" s="345"/>
      <c r="AB656" s="345"/>
      <c r="AC656" s="345"/>
      <c r="AD656" s="345"/>
      <c r="AE656" s="345"/>
      <c r="AF656" s="345"/>
      <c r="AG656" s="345"/>
      <c r="AH656" s="345"/>
      <c r="AI656" s="345"/>
      <c r="AJ656" s="345"/>
      <c r="AK656" s="345"/>
      <c r="AL656" s="345"/>
      <c r="AM656" s="345"/>
      <c r="AN656" s="345"/>
      <c r="AO656" s="345"/>
      <c r="AP656" s="345"/>
      <c r="AQ656" s="345"/>
      <c r="AR656" s="345"/>
      <c r="AS656" s="345"/>
    </row>
    <row r="657" ht="13.5" customHeight="1">
      <c r="A657" s="436" t="str">
        <f>'Membership Application List'!A886</f>
        <v/>
      </c>
      <c r="B657" s="437" t="str">
        <f t="shared" si="6"/>
        <v/>
      </c>
      <c r="C657" s="437" t="str">
        <f t="shared" si="7"/>
        <v/>
      </c>
      <c r="D657" s="438" t="str">
        <f>'Membership Application List'!E886</f>
        <v/>
      </c>
      <c r="E657" s="438" t="str">
        <f>IF('Membership Application List'!J886 = "Food/Litter Donation", 0, IF('Membership Application List'!J886 = "$15 Donation, Discord Verification", IF('Membership Application List'!N886 = TRUE, 15, 0)))</f>
        <v>#N/A</v>
      </c>
      <c r="F657" s="438">
        <f>if('Membership Application List'!K886=TRUE, 5,0)</f>
        <v>0</v>
      </c>
      <c r="G657" s="438" t="str">
        <f t="shared" si="8"/>
        <v>#N/A</v>
      </c>
      <c r="H657" s="439" t="str">
        <f>'Membership Application List'!L886</f>
        <v/>
      </c>
      <c r="I657" s="345"/>
      <c r="J657" s="441"/>
      <c r="K657" s="345"/>
      <c r="L657" s="478"/>
      <c r="M657" s="345"/>
      <c r="N657" s="345"/>
      <c r="O657" s="345"/>
      <c r="P657" s="414"/>
      <c r="Q657" s="414"/>
      <c r="R657" s="414"/>
      <c r="S657" s="445"/>
      <c r="T657" s="445"/>
      <c r="U657" s="445"/>
      <c r="V657" s="345"/>
      <c r="W657" s="441"/>
      <c r="X657" s="345"/>
      <c r="Y657" s="345"/>
      <c r="Z657" s="345"/>
      <c r="AA657" s="345"/>
      <c r="AB657" s="345"/>
      <c r="AC657" s="345"/>
      <c r="AD657" s="345"/>
      <c r="AE657" s="345"/>
      <c r="AF657" s="345"/>
      <c r="AG657" s="345"/>
      <c r="AH657" s="345"/>
      <c r="AI657" s="345"/>
      <c r="AJ657" s="345"/>
      <c r="AK657" s="345"/>
      <c r="AL657" s="345"/>
      <c r="AM657" s="345"/>
      <c r="AN657" s="345"/>
      <c r="AO657" s="345"/>
      <c r="AP657" s="345"/>
      <c r="AQ657" s="345"/>
      <c r="AR657" s="345"/>
      <c r="AS657" s="345"/>
    </row>
    <row r="658" ht="13.5" customHeight="1">
      <c r="A658" s="424" t="str">
        <f>'Membership Application List'!A887</f>
        <v/>
      </c>
      <c r="B658" s="443" t="str">
        <f t="shared" si="6"/>
        <v/>
      </c>
      <c r="C658" s="443" t="str">
        <f t="shared" si="7"/>
        <v/>
      </c>
      <c r="D658" s="426" t="str">
        <f>'Membership Application List'!E887</f>
        <v/>
      </c>
      <c r="E658" s="426" t="str">
        <f>IF('Membership Application List'!J887 = "Food/Litter Donation", 0, IF('Membership Application List'!J887 = "$15 Donation, Discord Verification", IF('Membership Application List'!N887 = TRUE, 15, 0)))</f>
        <v>#N/A</v>
      </c>
      <c r="F658" s="426">
        <f>if('Membership Application List'!K887=TRUE, 5,0)</f>
        <v>0</v>
      </c>
      <c r="G658" s="426" t="str">
        <f t="shared" si="8"/>
        <v>#N/A</v>
      </c>
      <c r="H658" s="427" t="str">
        <f>'Membership Application List'!L887</f>
        <v/>
      </c>
      <c r="I658" s="345"/>
      <c r="J658" s="441"/>
      <c r="K658" s="345"/>
      <c r="L658" s="478"/>
      <c r="M658" s="345"/>
      <c r="N658" s="345"/>
      <c r="O658" s="345"/>
      <c r="P658" s="414"/>
      <c r="Q658" s="414"/>
      <c r="R658" s="414"/>
      <c r="S658" s="445"/>
      <c r="T658" s="445"/>
      <c r="U658" s="445"/>
      <c r="V658" s="345"/>
      <c r="W658" s="441"/>
      <c r="X658" s="345"/>
      <c r="Y658" s="345"/>
      <c r="Z658" s="345"/>
      <c r="AA658" s="345"/>
      <c r="AB658" s="345"/>
      <c r="AC658" s="345"/>
      <c r="AD658" s="345"/>
      <c r="AE658" s="345"/>
      <c r="AF658" s="345"/>
      <c r="AG658" s="345"/>
      <c r="AH658" s="345"/>
      <c r="AI658" s="345"/>
      <c r="AJ658" s="345"/>
      <c r="AK658" s="345"/>
      <c r="AL658" s="345"/>
      <c r="AM658" s="345"/>
      <c r="AN658" s="345"/>
      <c r="AO658" s="345"/>
      <c r="AP658" s="345"/>
      <c r="AQ658" s="345"/>
      <c r="AR658" s="345"/>
      <c r="AS658" s="345"/>
    </row>
    <row r="659" ht="13.5" customHeight="1">
      <c r="A659" s="436" t="str">
        <f>'Membership Application List'!A888</f>
        <v/>
      </c>
      <c r="B659" s="437" t="str">
        <f t="shared" si="6"/>
        <v/>
      </c>
      <c r="C659" s="437" t="str">
        <f t="shared" si="7"/>
        <v/>
      </c>
      <c r="D659" s="438" t="str">
        <f>'Membership Application List'!E888</f>
        <v/>
      </c>
      <c r="E659" s="438" t="str">
        <f>IF('Membership Application List'!J888 = "Food/Litter Donation", 0, IF('Membership Application List'!J888 = "$15 Donation, Discord Verification", IF('Membership Application List'!N888 = TRUE, 15, 0)))</f>
        <v>#N/A</v>
      </c>
      <c r="F659" s="438">
        <f>if('Membership Application List'!K888=TRUE, 5,0)</f>
        <v>0</v>
      </c>
      <c r="G659" s="438" t="str">
        <f t="shared" si="8"/>
        <v>#N/A</v>
      </c>
      <c r="H659" s="439" t="str">
        <f>'Membership Application List'!L888</f>
        <v/>
      </c>
      <c r="I659" s="345"/>
      <c r="J659" s="441"/>
      <c r="K659" s="345"/>
      <c r="L659" s="478"/>
      <c r="M659" s="345"/>
      <c r="N659" s="345"/>
      <c r="O659" s="345"/>
      <c r="P659" s="414"/>
      <c r="Q659" s="414"/>
      <c r="R659" s="414"/>
      <c r="S659" s="445"/>
      <c r="T659" s="445"/>
      <c r="U659" s="445"/>
      <c r="V659" s="345"/>
      <c r="W659" s="441"/>
      <c r="X659" s="345"/>
      <c r="Y659" s="345"/>
      <c r="Z659" s="345"/>
      <c r="AA659" s="345"/>
      <c r="AB659" s="345"/>
      <c r="AC659" s="345"/>
      <c r="AD659" s="345"/>
      <c r="AE659" s="345"/>
      <c r="AF659" s="345"/>
      <c r="AG659" s="345"/>
      <c r="AH659" s="345"/>
      <c r="AI659" s="345"/>
      <c r="AJ659" s="345"/>
      <c r="AK659" s="345"/>
      <c r="AL659" s="345"/>
      <c r="AM659" s="345"/>
      <c r="AN659" s="345"/>
      <c r="AO659" s="345"/>
      <c r="AP659" s="345"/>
      <c r="AQ659" s="345"/>
      <c r="AR659" s="345"/>
      <c r="AS659" s="345"/>
    </row>
    <row r="660" ht="13.5" customHeight="1">
      <c r="A660" s="424" t="str">
        <f>'Membership Application List'!A889</f>
        <v/>
      </c>
      <c r="B660" s="443" t="str">
        <f t="shared" si="6"/>
        <v/>
      </c>
      <c r="C660" s="443" t="str">
        <f t="shared" si="7"/>
        <v/>
      </c>
      <c r="D660" s="426" t="str">
        <f>'Membership Application List'!E889</f>
        <v/>
      </c>
      <c r="E660" s="426" t="str">
        <f>IF('Membership Application List'!J889 = "Food/Litter Donation", 0, IF('Membership Application List'!J889 = "$15 Donation, Discord Verification", IF('Membership Application List'!N889 = TRUE, 15, 0)))</f>
        <v>#N/A</v>
      </c>
      <c r="F660" s="426">
        <f>if('Membership Application List'!K889=TRUE, 5,0)</f>
        <v>0</v>
      </c>
      <c r="G660" s="426" t="str">
        <f t="shared" si="8"/>
        <v>#N/A</v>
      </c>
      <c r="H660" s="427" t="str">
        <f>'Membership Application List'!L889</f>
        <v/>
      </c>
      <c r="I660" s="345"/>
      <c r="J660" s="441"/>
      <c r="K660" s="345"/>
      <c r="L660" s="478"/>
      <c r="M660" s="345"/>
      <c r="N660" s="345"/>
      <c r="O660" s="345"/>
      <c r="P660" s="414"/>
      <c r="Q660" s="414"/>
      <c r="R660" s="414"/>
      <c r="S660" s="445"/>
      <c r="T660" s="445"/>
      <c r="U660" s="445"/>
      <c r="V660" s="345"/>
      <c r="W660" s="441"/>
      <c r="X660" s="345"/>
      <c r="Y660" s="345"/>
      <c r="Z660" s="345"/>
      <c r="AA660" s="345"/>
      <c r="AB660" s="345"/>
      <c r="AC660" s="345"/>
      <c r="AD660" s="345"/>
      <c r="AE660" s="345"/>
      <c r="AF660" s="345"/>
      <c r="AG660" s="345"/>
      <c r="AH660" s="345"/>
      <c r="AI660" s="345"/>
      <c r="AJ660" s="345"/>
      <c r="AK660" s="345"/>
      <c r="AL660" s="345"/>
      <c r="AM660" s="345"/>
      <c r="AN660" s="345"/>
      <c r="AO660" s="345"/>
      <c r="AP660" s="345"/>
      <c r="AQ660" s="345"/>
      <c r="AR660" s="345"/>
      <c r="AS660" s="345"/>
    </row>
    <row r="661" ht="13.5" customHeight="1">
      <c r="A661" s="436" t="str">
        <f>'Membership Application List'!A890</f>
        <v/>
      </c>
      <c r="B661" s="437" t="str">
        <f t="shared" si="6"/>
        <v/>
      </c>
      <c r="C661" s="437" t="str">
        <f t="shared" si="7"/>
        <v/>
      </c>
      <c r="D661" s="438" t="str">
        <f>'Membership Application List'!E890</f>
        <v/>
      </c>
      <c r="E661" s="438" t="str">
        <f>IF('Membership Application List'!J890 = "Food/Litter Donation", 0, IF('Membership Application List'!J890 = "$15 Donation, Discord Verification", IF('Membership Application List'!N890 = TRUE, 15, 0)))</f>
        <v>#N/A</v>
      </c>
      <c r="F661" s="438">
        <f>if('Membership Application List'!K890=TRUE, 5,0)</f>
        <v>0</v>
      </c>
      <c r="G661" s="438" t="str">
        <f t="shared" si="8"/>
        <v>#N/A</v>
      </c>
      <c r="H661" s="439" t="str">
        <f>'Membership Application List'!L890</f>
        <v/>
      </c>
      <c r="I661" s="345"/>
      <c r="J661" s="441"/>
      <c r="K661" s="345"/>
      <c r="L661" s="478"/>
      <c r="M661" s="345"/>
      <c r="N661" s="345"/>
      <c r="O661" s="345"/>
      <c r="P661" s="414"/>
      <c r="Q661" s="414"/>
      <c r="R661" s="414"/>
      <c r="S661" s="445"/>
      <c r="T661" s="445"/>
      <c r="U661" s="445"/>
      <c r="V661" s="345"/>
      <c r="W661" s="441"/>
      <c r="X661" s="345"/>
      <c r="Y661" s="345"/>
      <c r="Z661" s="345"/>
      <c r="AA661" s="345"/>
      <c r="AB661" s="345"/>
      <c r="AC661" s="345"/>
      <c r="AD661" s="345"/>
      <c r="AE661" s="345"/>
      <c r="AF661" s="345"/>
      <c r="AG661" s="345"/>
      <c r="AH661" s="345"/>
      <c r="AI661" s="345"/>
      <c r="AJ661" s="345"/>
      <c r="AK661" s="345"/>
      <c r="AL661" s="345"/>
      <c r="AM661" s="345"/>
      <c r="AN661" s="345"/>
      <c r="AO661" s="345"/>
      <c r="AP661" s="345"/>
      <c r="AQ661" s="345"/>
      <c r="AR661" s="345"/>
      <c r="AS661" s="345"/>
    </row>
    <row r="662" ht="13.5" customHeight="1">
      <c r="A662" s="424" t="str">
        <f>'Membership Application List'!A891</f>
        <v/>
      </c>
      <c r="B662" s="443" t="str">
        <f t="shared" si="6"/>
        <v/>
      </c>
      <c r="C662" s="443" t="str">
        <f t="shared" si="7"/>
        <v/>
      </c>
      <c r="D662" s="426" t="str">
        <f>'Membership Application List'!E891</f>
        <v/>
      </c>
      <c r="E662" s="426" t="str">
        <f>IF('Membership Application List'!J891 = "Food/Litter Donation", 0, IF('Membership Application List'!J891 = "$15 Donation, Discord Verification", IF('Membership Application List'!N891 = TRUE, 15, 0)))</f>
        <v>#N/A</v>
      </c>
      <c r="F662" s="426">
        <f>if('Membership Application List'!K891=TRUE, 5,0)</f>
        <v>0</v>
      </c>
      <c r="G662" s="426" t="str">
        <f t="shared" si="8"/>
        <v>#N/A</v>
      </c>
      <c r="H662" s="427" t="str">
        <f>'Membership Application List'!L891</f>
        <v/>
      </c>
      <c r="I662" s="345"/>
      <c r="J662" s="441"/>
      <c r="K662" s="345"/>
      <c r="L662" s="478"/>
      <c r="M662" s="345"/>
      <c r="N662" s="345"/>
      <c r="O662" s="345"/>
      <c r="P662" s="414"/>
      <c r="Q662" s="414"/>
      <c r="R662" s="414"/>
      <c r="S662" s="445"/>
      <c r="T662" s="445"/>
      <c r="U662" s="445"/>
      <c r="V662" s="345"/>
      <c r="W662" s="441"/>
      <c r="X662" s="345"/>
      <c r="Y662" s="345"/>
      <c r="Z662" s="345"/>
      <c r="AA662" s="345"/>
      <c r="AB662" s="345"/>
      <c r="AC662" s="345"/>
      <c r="AD662" s="345"/>
      <c r="AE662" s="345"/>
      <c r="AF662" s="345"/>
      <c r="AG662" s="345"/>
      <c r="AH662" s="345"/>
      <c r="AI662" s="345"/>
      <c r="AJ662" s="345"/>
      <c r="AK662" s="345"/>
      <c r="AL662" s="345"/>
      <c r="AM662" s="345"/>
      <c r="AN662" s="345"/>
      <c r="AO662" s="345"/>
      <c r="AP662" s="345"/>
      <c r="AQ662" s="345"/>
      <c r="AR662" s="345"/>
      <c r="AS662" s="345"/>
    </row>
    <row r="663" ht="13.5" customHeight="1">
      <c r="A663" s="436" t="str">
        <f>'Membership Application List'!A892</f>
        <v/>
      </c>
      <c r="B663" s="437" t="str">
        <f t="shared" si="6"/>
        <v/>
      </c>
      <c r="C663" s="437" t="str">
        <f t="shared" si="7"/>
        <v/>
      </c>
      <c r="D663" s="438" t="str">
        <f>'Membership Application List'!E892</f>
        <v/>
      </c>
      <c r="E663" s="438" t="str">
        <f>IF('Membership Application List'!J892 = "Food/Litter Donation", 0, IF('Membership Application List'!J892 = "$15 Donation, Discord Verification", IF('Membership Application List'!N892 = TRUE, 15, 0)))</f>
        <v>#N/A</v>
      </c>
      <c r="F663" s="438">
        <f>if('Membership Application List'!K892=TRUE, 5,0)</f>
        <v>0</v>
      </c>
      <c r="G663" s="438" t="str">
        <f t="shared" si="8"/>
        <v>#N/A</v>
      </c>
      <c r="H663" s="439" t="str">
        <f>'Membership Application List'!L892</f>
        <v/>
      </c>
      <c r="I663" s="345"/>
      <c r="J663" s="441"/>
      <c r="K663" s="345"/>
      <c r="L663" s="478"/>
      <c r="M663" s="345"/>
      <c r="N663" s="345"/>
      <c r="O663" s="345"/>
      <c r="P663" s="414"/>
      <c r="Q663" s="414"/>
      <c r="R663" s="414"/>
      <c r="S663" s="445"/>
      <c r="T663" s="445"/>
      <c r="U663" s="445"/>
      <c r="V663" s="345"/>
      <c r="W663" s="441"/>
      <c r="X663" s="345"/>
      <c r="Y663" s="345"/>
      <c r="Z663" s="345"/>
      <c r="AA663" s="345"/>
      <c r="AB663" s="345"/>
      <c r="AC663" s="345"/>
      <c r="AD663" s="345"/>
      <c r="AE663" s="345"/>
      <c r="AF663" s="345"/>
      <c r="AG663" s="345"/>
      <c r="AH663" s="345"/>
      <c r="AI663" s="345"/>
      <c r="AJ663" s="345"/>
      <c r="AK663" s="345"/>
      <c r="AL663" s="345"/>
      <c r="AM663" s="345"/>
      <c r="AN663" s="345"/>
      <c r="AO663" s="345"/>
      <c r="AP663" s="345"/>
      <c r="AQ663" s="345"/>
      <c r="AR663" s="345"/>
      <c r="AS663" s="345"/>
    </row>
    <row r="664" ht="13.5" customHeight="1">
      <c r="A664" s="424" t="str">
        <f>'Membership Application List'!A893</f>
        <v/>
      </c>
      <c r="B664" s="443" t="str">
        <f t="shared" si="6"/>
        <v/>
      </c>
      <c r="C664" s="443" t="str">
        <f t="shared" si="7"/>
        <v/>
      </c>
      <c r="D664" s="426" t="str">
        <f>'Membership Application List'!E893</f>
        <v/>
      </c>
      <c r="E664" s="426" t="str">
        <f>IF('Membership Application List'!J893 = "Food/Litter Donation", 0, IF('Membership Application List'!J893 = "$15 Donation, Discord Verification", IF('Membership Application List'!N893 = TRUE, 15, 0)))</f>
        <v>#N/A</v>
      </c>
      <c r="F664" s="426">
        <f>if('Membership Application List'!K893=TRUE, 5,0)</f>
        <v>0</v>
      </c>
      <c r="G664" s="426" t="str">
        <f t="shared" si="8"/>
        <v>#N/A</v>
      </c>
      <c r="H664" s="427" t="str">
        <f>'Membership Application List'!L893</f>
        <v/>
      </c>
      <c r="I664" s="345"/>
      <c r="J664" s="441"/>
      <c r="K664" s="345"/>
      <c r="L664" s="478"/>
      <c r="M664" s="345"/>
      <c r="N664" s="345"/>
      <c r="O664" s="345"/>
      <c r="P664" s="414"/>
      <c r="Q664" s="414"/>
      <c r="R664" s="414"/>
      <c r="S664" s="445"/>
      <c r="T664" s="445"/>
      <c r="U664" s="445"/>
      <c r="V664" s="345"/>
      <c r="W664" s="441"/>
      <c r="X664" s="345"/>
      <c r="Y664" s="345"/>
      <c r="Z664" s="345"/>
      <c r="AA664" s="345"/>
      <c r="AB664" s="345"/>
      <c r="AC664" s="345"/>
      <c r="AD664" s="345"/>
      <c r="AE664" s="345"/>
      <c r="AF664" s="345"/>
      <c r="AG664" s="345"/>
      <c r="AH664" s="345"/>
      <c r="AI664" s="345"/>
      <c r="AJ664" s="345"/>
      <c r="AK664" s="345"/>
      <c r="AL664" s="345"/>
      <c r="AM664" s="345"/>
      <c r="AN664" s="345"/>
      <c r="AO664" s="345"/>
      <c r="AP664" s="345"/>
      <c r="AQ664" s="345"/>
      <c r="AR664" s="345"/>
      <c r="AS664" s="345"/>
    </row>
    <row r="665" ht="13.5" customHeight="1">
      <c r="A665" s="436" t="str">
        <f>'Membership Application List'!A894</f>
        <v/>
      </c>
      <c r="B665" s="437" t="str">
        <f t="shared" si="6"/>
        <v/>
      </c>
      <c r="C665" s="437" t="str">
        <f t="shared" si="7"/>
        <v/>
      </c>
      <c r="D665" s="438" t="str">
        <f>'Membership Application List'!E894</f>
        <v/>
      </c>
      <c r="E665" s="438" t="str">
        <f>IF('Membership Application List'!J894 = "Food/Litter Donation", 0, IF('Membership Application List'!J894 = "$15 Donation, Discord Verification", IF('Membership Application List'!N894 = TRUE, 15, 0)))</f>
        <v>#N/A</v>
      </c>
      <c r="F665" s="438">
        <f>if('Membership Application List'!K894=TRUE, 5,0)</f>
        <v>0</v>
      </c>
      <c r="G665" s="438" t="str">
        <f t="shared" si="8"/>
        <v>#N/A</v>
      </c>
      <c r="H665" s="439" t="str">
        <f>'Membership Application List'!L894</f>
        <v/>
      </c>
      <c r="I665" s="345"/>
      <c r="J665" s="441"/>
      <c r="K665" s="345"/>
      <c r="L665" s="478"/>
      <c r="M665" s="345"/>
      <c r="N665" s="345"/>
      <c r="O665" s="345"/>
      <c r="P665" s="414"/>
      <c r="Q665" s="414"/>
      <c r="R665" s="414"/>
      <c r="S665" s="445"/>
      <c r="T665" s="445"/>
      <c r="U665" s="445"/>
      <c r="V665" s="345"/>
      <c r="W665" s="441"/>
      <c r="X665" s="345"/>
      <c r="Y665" s="345"/>
      <c r="Z665" s="345"/>
      <c r="AA665" s="345"/>
      <c r="AB665" s="345"/>
      <c r="AC665" s="345"/>
      <c r="AD665" s="345"/>
      <c r="AE665" s="345"/>
      <c r="AF665" s="345"/>
      <c r="AG665" s="345"/>
      <c r="AH665" s="345"/>
      <c r="AI665" s="345"/>
      <c r="AJ665" s="345"/>
      <c r="AK665" s="345"/>
      <c r="AL665" s="345"/>
      <c r="AM665" s="345"/>
      <c r="AN665" s="345"/>
      <c r="AO665" s="345"/>
      <c r="AP665" s="345"/>
      <c r="AQ665" s="345"/>
      <c r="AR665" s="345"/>
      <c r="AS665" s="345"/>
    </row>
    <row r="666" ht="13.5" customHeight="1">
      <c r="A666" s="424" t="str">
        <f>'Membership Application List'!A895</f>
        <v/>
      </c>
      <c r="B666" s="443" t="str">
        <f t="shared" si="6"/>
        <v/>
      </c>
      <c r="C666" s="443" t="str">
        <f t="shared" si="7"/>
        <v/>
      </c>
      <c r="D666" s="426" t="str">
        <f>'Membership Application List'!E895</f>
        <v/>
      </c>
      <c r="E666" s="426" t="str">
        <f>IF('Membership Application List'!J895 = "Food/Litter Donation", 0, IF('Membership Application List'!J895 = "$15 Donation, Discord Verification", IF('Membership Application List'!N895 = TRUE, 15, 0)))</f>
        <v>#N/A</v>
      </c>
      <c r="F666" s="426">
        <f>if('Membership Application List'!K895=TRUE, 5,0)</f>
        <v>0</v>
      </c>
      <c r="G666" s="426" t="str">
        <f t="shared" si="8"/>
        <v>#N/A</v>
      </c>
      <c r="H666" s="427" t="str">
        <f>'Membership Application List'!L895</f>
        <v/>
      </c>
      <c r="I666" s="345"/>
      <c r="J666" s="441"/>
      <c r="K666" s="345"/>
      <c r="L666" s="478"/>
      <c r="M666" s="345"/>
      <c r="N666" s="345"/>
      <c r="O666" s="345"/>
      <c r="P666" s="414"/>
      <c r="Q666" s="414"/>
      <c r="R666" s="414"/>
      <c r="S666" s="445"/>
      <c r="T666" s="445"/>
      <c r="U666" s="445"/>
      <c r="V666" s="345"/>
      <c r="W666" s="441"/>
      <c r="X666" s="345"/>
      <c r="Y666" s="345"/>
      <c r="Z666" s="345"/>
      <c r="AA666" s="345"/>
      <c r="AB666" s="345"/>
      <c r="AC666" s="345"/>
      <c r="AD666" s="345"/>
      <c r="AE666" s="345"/>
      <c r="AF666" s="345"/>
      <c r="AG666" s="345"/>
      <c r="AH666" s="345"/>
      <c r="AI666" s="345"/>
      <c r="AJ666" s="345"/>
      <c r="AK666" s="345"/>
      <c r="AL666" s="345"/>
      <c r="AM666" s="345"/>
      <c r="AN666" s="345"/>
      <c r="AO666" s="345"/>
      <c r="AP666" s="345"/>
      <c r="AQ666" s="345"/>
      <c r="AR666" s="345"/>
      <c r="AS666" s="345"/>
    </row>
    <row r="667" ht="13.5" customHeight="1">
      <c r="A667" s="436" t="str">
        <f>'Membership Application List'!A896</f>
        <v/>
      </c>
      <c r="B667" s="437" t="str">
        <f t="shared" si="6"/>
        <v/>
      </c>
      <c r="C667" s="437" t="str">
        <f t="shared" si="7"/>
        <v/>
      </c>
      <c r="D667" s="438" t="str">
        <f>'Membership Application List'!E896</f>
        <v/>
      </c>
      <c r="E667" s="438" t="str">
        <f>IF('Membership Application List'!J896 = "Food/Litter Donation", 0, IF('Membership Application List'!J896 = "$15 Donation, Discord Verification", IF('Membership Application List'!N896 = TRUE, 15, 0)))</f>
        <v>#N/A</v>
      </c>
      <c r="F667" s="438">
        <f>if('Membership Application List'!K896=TRUE, 5,0)</f>
        <v>0</v>
      </c>
      <c r="G667" s="438" t="str">
        <f t="shared" si="8"/>
        <v>#N/A</v>
      </c>
      <c r="H667" s="439" t="str">
        <f>'Membership Application List'!L896</f>
        <v/>
      </c>
      <c r="I667" s="345"/>
      <c r="J667" s="441"/>
      <c r="K667" s="345"/>
      <c r="L667" s="478"/>
      <c r="M667" s="345"/>
      <c r="N667" s="345"/>
      <c r="O667" s="345"/>
      <c r="P667" s="414"/>
      <c r="Q667" s="414"/>
      <c r="R667" s="414"/>
      <c r="S667" s="445"/>
      <c r="T667" s="445"/>
      <c r="U667" s="445"/>
      <c r="V667" s="345"/>
      <c r="W667" s="441"/>
      <c r="X667" s="345"/>
      <c r="Y667" s="345"/>
      <c r="Z667" s="345"/>
      <c r="AA667" s="345"/>
      <c r="AB667" s="345"/>
      <c r="AC667" s="345"/>
      <c r="AD667" s="345"/>
      <c r="AE667" s="345"/>
      <c r="AF667" s="345"/>
      <c r="AG667" s="345"/>
      <c r="AH667" s="345"/>
      <c r="AI667" s="345"/>
      <c r="AJ667" s="345"/>
      <c r="AK667" s="345"/>
      <c r="AL667" s="345"/>
      <c r="AM667" s="345"/>
      <c r="AN667" s="345"/>
      <c r="AO667" s="345"/>
      <c r="AP667" s="345"/>
      <c r="AQ667" s="345"/>
      <c r="AR667" s="345"/>
      <c r="AS667" s="345"/>
    </row>
    <row r="668" ht="13.5" customHeight="1">
      <c r="A668" s="424" t="str">
        <f>'Membership Application List'!A897</f>
        <v/>
      </c>
      <c r="B668" s="443" t="str">
        <f t="shared" si="6"/>
        <v/>
      </c>
      <c r="C668" s="443" t="str">
        <f t="shared" si="7"/>
        <v/>
      </c>
      <c r="D668" s="426" t="str">
        <f>'Membership Application List'!E897</f>
        <v/>
      </c>
      <c r="E668" s="426" t="str">
        <f>IF('Membership Application List'!J897 = "Food/Litter Donation", 0, IF('Membership Application List'!J897 = "$15 Donation, Discord Verification", IF('Membership Application List'!N897 = TRUE, 15, 0)))</f>
        <v>#N/A</v>
      </c>
      <c r="F668" s="426">
        <f>if('Membership Application List'!K897=TRUE, 5,0)</f>
        <v>0</v>
      </c>
      <c r="G668" s="426" t="str">
        <f t="shared" si="8"/>
        <v>#N/A</v>
      </c>
      <c r="H668" s="427" t="str">
        <f>'Membership Application List'!L897</f>
        <v/>
      </c>
      <c r="I668" s="345"/>
      <c r="J668" s="441"/>
      <c r="K668" s="345"/>
      <c r="L668" s="478"/>
      <c r="M668" s="345"/>
      <c r="N668" s="345"/>
      <c r="O668" s="345"/>
      <c r="P668" s="414"/>
      <c r="Q668" s="414"/>
      <c r="R668" s="414"/>
      <c r="S668" s="445"/>
      <c r="T668" s="445"/>
      <c r="U668" s="445"/>
      <c r="V668" s="345"/>
      <c r="W668" s="441"/>
      <c r="X668" s="345"/>
      <c r="Y668" s="345"/>
      <c r="Z668" s="345"/>
      <c r="AA668" s="345"/>
      <c r="AB668" s="345"/>
      <c r="AC668" s="345"/>
      <c r="AD668" s="345"/>
      <c r="AE668" s="345"/>
      <c r="AF668" s="345"/>
      <c r="AG668" s="345"/>
      <c r="AH668" s="345"/>
      <c r="AI668" s="345"/>
      <c r="AJ668" s="345"/>
      <c r="AK668" s="345"/>
      <c r="AL668" s="345"/>
      <c r="AM668" s="345"/>
      <c r="AN668" s="345"/>
      <c r="AO668" s="345"/>
      <c r="AP668" s="345"/>
      <c r="AQ668" s="345"/>
      <c r="AR668" s="345"/>
      <c r="AS668" s="345"/>
    </row>
    <row r="669" ht="13.5" customHeight="1">
      <c r="A669" s="436" t="str">
        <f>'Membership Application List'!A898</f>
        <v/>
      </c>
      <c r="B669" s="437" t="str">
        <f t="shared" si="6"/>
        <v/>
      </c>
      <c r="C669" s="437" t="str">
        <f t="shared" si="7"/>
        <v/>
      </c>
      <c r="D669" s="438" t="str">
        <f>'Membership Application List'!E898</f>
        <v/>
      </c>
      <c r="E669" s="438" t="str">
        <f>IF('Membership Application List'!J898 = "Food/Litter Donation", 0, IF('Membership Application List'!J898 = "$15 Donation, Discord Verification", IF('Membership Application List'!N898 = TRUE, 15, 0)))</f>
        <v>#N/A</v>
      </c>
      <c r="F669" s="438">
        <f>if('Membership Application List'!K898=TRUE, 5,0)</f>
        <v>0</v>
      </c>
      <c r="G669" s="438" t="str">
        <f t="shared" si="8"/>
        <v>#N/A</v>
      </c>
      <c r="H669" s="439" t="str">
        <f>'Membership Application List'!L898</f>
        <v/>
      </c>
      <c r="I669" s="345"/>
      <c r="J669" s="441"/>
      <c r="K669" s="345"/>
      <c r="L669" s="478"/>
      <c r="M669" s="345"/>
      <c r="N669" s="345"/>
      <c r="O669" s="345"/>
      <c r="P669" s="414"/>
      <c r="Q669" s="414"/>
      <c r="R669" s="414"/>
      <c r="S669" s="445"/>
      <c r="T669" s="445"/>
      <c r="U669" s="445"/>
      <c r="V669" s="345"/>
      <c r="W669" s="441"/>
      <c r="X669" s="345"/>
      <c r="Y669" s="345"/>
      <c r="Z669" s="345"/>
      <c r="AA669" s="345"/>
      <c r="AB669" s="345"/>
      <c r="AC669" s="345"/>
      <c r="AD669" s="345"/>
      <c r="AE669" s="345"/>
      <c r="AF669" s="345"/>
      <c r="AG669" s="345"/>
      <c r="AH669" s="345"/>
      <c r="AI669" s="345"/>
      <c r="AJ669" s="345"/>
      <c r="AK669" s="345"/>
      <c r="AL669" s="345"/>
      <c r="AM669" s="345"/>
      <c r="AN669" s="345"/>
      <c r="AO669" s="345"/>
      <c r="AP669" s="345"/>
      <c r="AQ669" s="345"/>
      <c r="AR669" s="345"/>
      <c r="AS669" s="345"/>
    </row>
    <row r="670" ht="13.5" customHeight="1">
      <c r="A670" s="424" t="str">
        <f>'Membership Application List'!A899</f>
        <v/>
      </c>
      <c r="B670" s="443" t="str">
        <f t="shared" si="6"/>
        <v/>
      </c>
      <c r="C670" s="443" t="str">
        <f t="shared" si="7"/>
        <v/>
      </c>
      <c r="D670" s="426" t="str">
        <f>'Membership Application List'!E899</f>
        <v/>
      </c>
      <c r="E670" s="426" t="str">
        <f>IF('Membership Application List'!J899 = "Food/Litter Donation", 0, IF('Membership Application List'!J899 = "$15 Donation, Discord Verification", IF('Membership Application List'!N899 = TRUE, 15, 0)))</f>
        <v>#N/A</v>
      </c>
      <c r="F670" s="426">
        <f>if('Membership Application List'!K899=TRUE, 5,0)</f>
        <v>0</v>
      </c>
      <c r="G670" s="426" t="str">
        <f t="shared" si="8"/>
        <v>#N/A</v>
      </c>
      <c r="H670" s="427" t="str">
        <f>'Membership Application List'!L899</f>
        <v/>
      </c>
      <c r="I670" s="345"/>
      <c r="J670" s="441"/>
      <c r="K670" s="345"/>
      <c r="L670" s="478"/>
      <c r="M670" s="345"/>
      <c r="N670" s="345"/>
      <c r="O670" s="345"/>
      <c r="P670" s="414"/>
      <c r="Q670" s="414"/>
      <c r="R670" s="414"/>
      <c r="S670" s="445"/>
      <c r="T670" s="445"/>
      <c r="U670" s="445"/>
      <c r="V670" s="345"/>
      <c r="W670" s="441"/>
      <c r="X670" s="345"/>
      <c r="Y670" s="345"/>
      <c r="Z670" s="345"/>
      <c r="AA670" s="345"/>
      <c r="AB670" s="345"/>
      <c r="AC670" s="345"/>
      <c r="AD670" s="345"/>
      <c r="AE670" s="345"/>
      <c r="AF670" s="345"/>
      <c r="AG670" s="345"/>
      <c r="AH670" s="345"/>
      <c r="AI670" s="345"/>
      <c r="AJ670" s="345"/>
      <c r="AK670" s="345"/>
      <c r="AL670" s="345"/>
      <c r="AM670" s="345"/>
      <c r="AN670" s="345"/>
      <c r="AO670" s="345"/>
      <c r="AP670" s="345"/>
      <c r="AQ670" s="345"/>
      <c r="AR670" s="345"/>
      <c r="AS670" s="345"/>
    </row>
    <row r="671" ht="13.5" customHeight="1">
      <c r="A671" s="436" t="str">
        <f>'Membership Application List'!A900</f>
        <v/>
      </c>
      <c r="B671" s="437" t="str">
        <f t="shared" si="6"/>
        <v/>
      </c>
      <c r="C671" s="437" t="str">
        <f t="shared" si="7"/>
        <v/>
      </c>
      <c r="D671" s="438" t="str">
        <f>'Membership Application List'!E900</f>
        <v/>
      </c>
      <c r="E671" s="438" t="str">
        <f>IF('Membership Application List'!J900 = "Food/Litter Donation", 0, IF('Membership Application List'!J900 = "$15 Donation, Discord Verification", IF('Membership Application List'!N900 = TRUE, 15, 0)))</f>
        <v>#N/A</v>
      </c>
      <c r="F671" s="438">
        <f>if('Membership Application List'!K900=TRUE, 5,0)</f>
        <v>0</v>
      </c>
      <c r="G671" s="438" t="str">
        <f t="shared" si="8"/>
        <v>#N/A</v>
      </c>
      <c r="H671" s="439" t="str">
        <f>'Membership Application List'!L900</f>
        <v/>
      </c>
      <c r="I671" s="345"/>
      <c r="J671" s="441"/>
      <c r="K671" s="345"/>
      <c r="L671" s="478"/>
      <c r="M671" s="345"/>
      <c r="N671" s="345"/>
      <c r="O671" s="345"/>
      <c r="P671" s="414"/>
      <c r="Q671" s="414"/>
      <c r="R671" s="414"/>
      <c r="S671" s="445"/>
      <c r="T671" s="445"/>
      <c r="U671" s="445"/>
      <c r="V671" s="345"/>
      <c r="W671" s="441"/>
      <c r="X671" s="345"/>
      <c r="Y671" s="345"/>
      <c r="Z671" s="345"/>
      <c r="AA671" s="345"/>
      <c r="AB671" s="345"/>
      <c r="AC671" s="345"/>
      <c r="AD671" s="345"/>
      <c r="AE671" s="345"/>
      <c r="AF671" s="345"/>
      <c r="AG671" s="345"/>
      <c r="AH671" s="345"/>
      <c r="AI671" s="345"/>
      <c r="AJ671" s="345"/>
      <c r="AK671" s="345"/>
      <c r="AL671" s="345"/>
      <c r="AM671" s="345"/>
      <c r="AN671" s="345"/>
      <c r="AO671" s="345"/>
      <c r="AP671" s="345"/>
      <c r="AQ671" s="345"/>
      <c r="AR671" s="345"/>
      <c r="AS671" s="345"/>
    </row>
    <row r="672" ht="13.5" customHeight="1">
      <c r="A672" s="424" t="str">
        <f>'Membership Application List'!A901</f>
        <v/>
      </c>
      <c r="B672" s="443" t="str">
        <f t="shared" si="6"/>
        <v/>
      </c>
      <c r="C672" s="443" t="str">
        <f t="shared" si="7"/>
        <v/>
      </c>
      <c r="D672" s="426" t="str">
        <f>'Membership Application List'!E901</f>
        <v/>
      </c>
      <c r="E672" s="426" t="str">
        <f>IF('Membership Application List'!J901 = "Food/Litter Donation", 0, IF('Membership Application List'!J901 = "$15 Donation, Discord Verification", IF('Membership Application List'!N901 = TRUE, 15, 0)))</f>
        <v>#N/A</v>
      </c>
      <c r="F672" s="426">
        <f>if('Membership Application List'!K901=TRUE, 5,0)</f>
        <v>0</v>
      </c>
      <c r="G672" s="426" t="str">
        <f t="shared" si="8"/>
        <v>#N/A</v>
      </c>
      <c r="H672" s="427" t="str">
        <f>'Membership Application List'!L901</f>
        <v/>
      </c>
      <c r="I672" s="345"/>
      <c r="J672" s="441"/>
      <c r="K672" s="345"/>
      <c r="L672" s="478"/>
      <c r="M672" s="345"/>
      <c r="N672" s="345"/>
      <c r="O672" s="345"/>
      <c r="P672" s="414"/>
      <c r="Q672" s="414"/>
      <c r="R672" s="414"/>
      <c r="S672" s="445"/>
      <c r="T672" s="445"/>
      <c r="U672" s="445"/>
      <c r="V672" s="345"/>
      <c r="W672" s="441"/>
      <c r="X672" s="345"/>
      <c r="Y672" s="345"/>
      <c r="Z672" s="345"/>
      <c r="AA672" s="345"/>
      <c r="AB672" s="345"/>
      <c r="AC672" s="345"/>
      <c r="AD672" s="345"/>
      <c r="AE672" s="345"/>
      <c r="AF672" s="345"/>
      <c r="AG672" s="345"/>
      <c r="AH672" s="345"/>
      <c r="AI672" s="345"/>
      <c r="AJ672" s="345"/>
      <c r="AK672" s="345"/>
      <c r="AL672" s="345"/>
      <c r="AM672" s="345"/>
      <c r="AN672" s="345"/>
      <c r="AO672" s="345"/>
      <c r="AP672" s="345"/>
      <c r="AQ672" s="345"/>
      <c r="AR672" s="345"/>
      <c r="AS672" s="345"/>
    </row>
    <row r="673" ht="13.5" customHeight="1">
      <c r="A673" s="436" t="str">
        <f>'Membership Application List'!A902</f>
        <v/>
      </c>
      <c r="B673" s="437" t="str">
        <f t="shared" si="6"/>
        <v/>
      </c>
      <c r="C673" s="437" t="str">
        <f t="shared" si="7"/>
        <v/>
      </c>
      <c r="D673" s="438" t="str">
        <f>'Membership Application List'!E902</f>
        <v/>
      </c>
      <c r="E673" s="438" t="str">
        <f>IF('Membership Application List'!J902 = "Food/Litter Donation", 0, IF('Membership Application List'!J902 = "$15 Donation, Discord Verification", IF('Membership Application List'!N902 = TRUE, 15, 0)))</f>
        <v>#N/A</v>
      </c>
      <c r="F673" s="438">
        <f>if('Membership Application List'!K902=TRUE, 5,0)</f>
        <v>0</v>
      </c>
      <c r="G673" s="438" t="str">
        <f t="shared" si="8"/>
        <v>#N/A</v>
      </c>
      <c r="H673" s="439" t="str">
        <f>'Membership Application List'!L902</f>
        <v/>
      </c>
      <c r="I673" s="345"/>
      <c r="J673" s="441"/>
      <c r="K673" s="345"/>
      <c r="L673" s="478"/>
      <c r="M673" s="345"/>
      <c r="N673" s="345"/>
      <c r="O673" s="345"/>
      <c r="P673" s="414"/>
      <c r="Q673" s="414"/>
      <c r="R673" s="414"/>
      <c r="S673" s="445"/>
      <c r="T673" s="445"/>
      <c r="U673" s="445"/>
      <c r="V673" s="345"/>
      <c r="W673" s="441"/>
      <c r="X673" s="345"/>
      <c r="Y673" s="345"/>
      <c r="Z673" s="345"/>
      <c r="AA673" s="345"/>
      <c r="AB673" s="345"/>
      <c r="AC673" s="345"/>
      <c r="AD673" s="345"/>
      <c r="AE673" s="345"/>
      <c r="AF673" s="345"/>
      <c r="AG673" s="345"/>
      <c r="AH673" s="345"/>
      <c r="AI673" s="345"/>
      <c r="AJ673" s="345"/>
      <c r="AK673" s="345"/>
      <c r="AL673" s="345"/>
      <c r="AM673" s="345"/>
      <c r="AN673" s="345"/>
      <c r="AO673" s="345"/>
      <c r="AP673" s="345"/>
      <c r="AQ673" s="345"/>
      <c r="AR673" s="345"/>
      <c r="AS673" s="345"/>
    </row>
    <row r="674" ht="13.5" customHeight="1">
      <c r="A674" s="424" t="str">
        <f>'Membership Application List'!A903</f>
        <v/>
      </c>
      <c r="B674" s="443" t="str">
        <f t="shared" si="6"/>
        <v/>
      </c>
      <c r="C674" s="443" t="str">
        <f t="shared" si="7"/>
        <v/>
      </c>
      <c r="D674" s="426" t="str">
        <f>'Membership Application List'!E903</f>
        <v/>
      </c>
      <c r="E674" s="426" t="str">
        <f>IF('Membership Application List'!J903 = "Food/Litter Donation", 0, IF('Membership Application List'!J903 = "$15 Donation, Discord Verification", IF('Membership Application List'!N903 = TRUE, 15, 0)))</f>
        <v>#N/A</v>
      </c>
      <c r="F674" s="426">
        <f>if('Membership Application List'!K903=TRUE, 5,0)</f>
        <v>0</v>
      </c>
      <c r="G674" s="426" t="str">
        <f t="shared" si="8"/>
        <v>#N/A</v>
      </c>
      <c r="H674" s="427" t="str">
        <f>'Membership Application List'!L903</f>
        <v/>
      </c>
      <c r="I674" s="345"/>
      <c r="J674" s="441"/>
      <c r="K674" s="345"/>
      <c r="L674" s="478"/>
      <c r="M674" s="345"/>
      <c r="N674" s="345"/>
      <c r="O674" s="345"/>
      <c r="P674" s="414"/>
      <c r="Q674" s="414"/>
      <c r="R674" s="414"/>
      <c r="S674" s="445"/>
      <c r="T674" s="445"/>
      <c r="U674" s="445"/>
      <c r="V674" s="345"/>
      <c r="W674" s="441"/>
      <c r="X674" s="345"/>
      <c r="Y674" s="345"/>
      <c r="Z674" s="345"/>
      <c r="AA674" s="345"/>
      <c r="AB674" s="345"/>
      <c r="AC674" s="345"/>
      <c r="AD674" s="345"/>
      <c r="AE674" s="345"/>
      <c r="AF674" s="345"/>
      <c r="AG674" s="345"/>
      <c r="AH674" s="345"/>
      <c r="AI674" s="345"/>
      <c r="AJ674" s="345"/>
      <c r="AK674" s="345"/>
      <c r="AL674" s="345"/>
      <c r="AM674" s="345"/>
      <c r="AN674" s="345"/>
      <c r="AO674" s="345"/>
      <c r="AP674" s="345"/>
      <c r="AQ674" s="345"/>
      <c r="AR674" s="345"/>
      <c r="AS674" s="345"/>
    </row>
    <row r="675" ht="13.5" customHeight="1">
      <c r="A675" s="436" t="str">
        <f>'Membership Application List'!A904</f>
        <v/>
      </c>
      <c r="B675" s="437" t="str">
        <f t="shared" si="6"/>
        <v/>
      </c>
      <c r="C675" s="437" t="str">
        <f t="shared" si="7"/>
        <v/>
      </c>
      <c r="D675" s="438" t="str">
        <f>'Membership Application List'!E904</f>
        <v/>
      </c>
      <c r="E675" s="438" t="str">
        <f>IF('Membership Application List'!J904 = "Food/Litter Donation", 0, IF('Membership Application List'!J904 = "$15 Donation, Discord Verification", IF('Membership Application List'!N904 = TRUE, 15, 0)))</f>
        <v>#N/A</v>
      </c>
      <c r="F675" s="438">
        <f>if('Membership Application List'!K904=TRUE, 5,0)</f>
        <v>0</v>
      </c>
      <c r="G675" s="438" t="str">
        <f t="shared" si="8"/>
        <v>#N/A</v>
      </c>
      <c r="H675" s="439" t="str">
        <f>'Membership Application List'!L904</f>
        <v/>
      </c>
      <c r="I675" s="345"/>
      <c r="J675" s="441"/>
      <c r="K675" s="345"/>
      <c r="L675" s="478"/>
      <c r="M675" s="345"/>
      <c r="N675" s="345"/>
      <c r="O675" s="345"/>
      <c r="P675" s="414"/>
      <c r="Q675" s="414"/>
      <c r="R675" s="414"/>
      <c r="S675" s="445"/>
      <c r="T675" s="445"/>
      <c r="U675" s="445"/>
      <c r="V675" s="345"/>
      <c r="W675" s="441"/>
      <c r="X675" s="345"/>
      <c r="Y675" s="345"/>
      <c r="Z675" s="345"/>
      <c r="AA675" s="345"/>
      <c r="AB675" s="345"/>
      <c r="AC675" s="345"/>
      <c r="AD675" s="345"/>
      <c r="AE675" s="345"/>
      <c r="AF675" s="345"/>
      <c r="AG675" s="345"/>
      <c r="AH675" s="345"/>
      <c r="AI675" s="345"/>
      <c r="AJ675" s="345"/>
      <c r="AK675" s="345"/>
      <c r="AL675" s="345"/>
      <c r="AM675" s="345"/>
      <c r="AN675" s="345"/>
      <c r="AO675" s="345"/>
      <c r="AP675" s="345"/>
      <c r="AQ675" s="345"/>
      <c r="AR675" s="345"/>
      <c r="AS675" s="345"/>
    </row>
    <row r="676" ht="13.5" customHeight="1">
      <c r="A676" s="424" t="str">
        <f>'Membership Application List'!A905</f>
        <v/>
      </c>
      <c r="B676" s="443" t="str">
        <f t="shared" si="6"/>
        <v/>
      </c>
      <c r="C676" s="443" t="str">
        <f t="shared" si="7"/>
        <v/>
      </c>
      <c r="D676" s="426" t="str">
        <f>'Membership Application List'!E905</f>
        <v/>
      </c>
      <c r="E676" s="426" t="str">
        <f>IF('Membership Application List'!J905 = "Food/Litter Donation", 0, IF('Membership Application List'!J905 = "$15 Donation, Discord Verification", IF('Membership Application List'!N905 = TRUE, 15, 0)))</f>
        <v>#N/A</v>
      </c>
      <c r="F676" s="426">
        <f>if('Membership Application List'!K905=TRUE, 5,0)</f>
        <v>0</v>
      </c>
      <c r="G676" s="426" t="str">
        <f t="shared" si="8"/>
        <v>#N/A</v>
      </c>
      <c r="H676" s="427" t="str">
        <f>'Membership Application List'!L905</f>
        <v/>
      </c>
      <c r="I676" s="345"/>
      <c r="J676" s="441"/>
      <c r="K676" s="345"/>
      <c r="L676" s="478"/>
      <c r="M676" s="345"/>
      <c r="N676" s="345"/>
      <c r="O676" s="345"/>
      <c r="P676" s="414"/>
      <c r="Q676" s="414"/>
      <c r="R676" s="414"/>
      <c r="S676" s="445"/>
      <c r="T676" s="445"/>
      <c r="U676" s="445"/>
      <c r="V676" s="345"/>
      <c r="W676" s="441"/>
      <c r="X676" s="345"/>
      <c r="Y676" s="345"/>
      <c r="Z676" s="345"/>
      <c r="AA676" s="345"/>
      <c r="AB676" s="345"/>
      <c r="AC676" s="345"/>
      <c r="AD676" s="345"/>
      <c r="AE676" s="345"/>
      <c r="AF676" s="345"/>
      <c r="AG676" s="345"/>
      <c r="AH676" s="345"/>
      <c r="AI676" s="345"/>
      <c r="AJ676" s="345"/>
      <c r="AK676" s="345"/>
      <c r="AL676" s="345"/>
      <c r="AM676" s="345"/>
      <c r="AN676" s="345"/>
      <c r="AO676" s="345"/>
      <c r="AP676" s="345"/>
      <c r="AQ676" s="345"/>
      <c r="AR676" s="345"/>
      <c r="AS676" s="345"/>
    </row>
    <row r="677" ht="13.5" customHeight="1">
      <c r="A677" s="436" t="str">
        <f>'Membership Application List'!A906</f>
        <v/>
      </c>
      <c r="B677" s="437" t="str">
        <f t="shared" si="6"/>
        <v/>
      </c>
      <c r="C677" s="437" t="str">
        <f t="shared" si="7"/>
        <v/>
      </c>
      <c r="D677" s="438" t="str">
        <f>'Membership Application List'!E906</f>
        <v/>
      </c>
      <c r="E677" s="438" t="str">
        <f>IF('Membership Application List'!J906 = "Food/Litter Donation", 0, IF('Membership Application List'!J906 = "$15 Donation, Discord Verification", IF('Membership Application List'!N906 = TRUE, 15, 0)))</f>
        <v>#N/A</v>
      </c>
      <c r="F677" s="438">
        <f>if('Membership Application List'!K906=TRUE, 5,0)</f>
        <v>0</v>
      </c>
      <c r="G677" s="438" t="str">
        <f t="shared" si="8"/>
        <v>#N/A</v>
      </c>
      <c r="H677" s="439" t="str">
        <f>'Membership Application List'!L906</f>
        <v/>
      </c>
      <c r="I677" s="345"/>
      <c r="J677" s="441"/>
      <c r="K677" s="345"/>
      <c r="L677" s="478"/>
      <c r="M677" s="345"/>
      <c r="N677" s="345"/>
      <c r="O677" s="345"/>
      <c r="P677" s="414"/>
      <c r="Q677" s="414"/>
      <c r="R677" s="414"/>
      <c r="S677" s="445"/>
      <c r="T677" s="445"/>
      <c r="U677" s="445"/>
      <c r="V677" s="345"/>
      <c r="W677" s="441"/>
      <c r="X677" s="345"/>
      <c r="Y677" s="345"/>
      <c r="Z677" s="345"/>
      <c r="AA677" s="345"/>
      <c r="AB677" s="345"/>
      <c r="AC677" s="345"/>
      <c r="AD677" s="345"/>
      <c r="AE677" s="345"/>
      <c r="AF677" s="345"/>
      <c r="AG677" s="345"/>
      <c r="AH677" s="345"/>
      <c r="AI677" s="345"/>
      <c r="AJ677" s="345"/>
      <c r="AK677" s="345"/>
      <c r="AL677" s="345"/>
      <c r="AM677" s="345"/>
      <c r="AN677" s="345"/>
      <c r="AO677" s="345"/>
      <c r="AP677" s="345"/>
      <c r="AQ677" s="345"/>
      <c r="AR677" s="345"/>
      <c r="AS677" s="345"/>
    </row>
    <row r="678" ht="13.5" customHeight="1">
      <c r="A678" s="424" t="str">
        <f>'Membership Application List'!A907</f>
        <v/>
      </c>
      <c r="B678" s="443" t="str">
        <f t="shared" si="6"/>
        <v/>
      </c>
      <c r="C678" s="443" t="str">
        <f t="shared" si="7"/>
        <v/>
      </c>
      <c r="D678" s="426" t="str">
        <f>'Membership Application List'!E907</f>
        <v/>
      </c>
      <c r="E678" s="426" t="str">
        <f>IF('Membership Application List'!J907 = "Food/Litter Donation", 0, IF('Membership Application List'!J907 = "$15 Donation, Discord Verification", IF('Membership Application List'!N907 = TRUE, 15, 0)))</f>
        <v>#N/A</v>
      </c>
      <c r="F678" s="426">
        <f>if('Membership Application List'!K907=TRUE, 5,0)</f>
        <v>0</v>
      </c>
      <c r="G678" s="426" t="str">
        <f t="shared" si="8"/>
        <v>#N/A</v>
      </c>
      <c r="H678" s="427" t="str">
        <f>'Membership Application List'!L907</f>
        <v/>
      </c>
      <c r="I678" s="345"/>
      <c r="J678" s="441"/>
      <c r="K678" s="345"/>
      <c r="L678" s="478"/>
      <c r="M678" s="345"/>
      <c r="N678" s="345"/>
      <c r="O678" s="345"/>
      <c r="P678" s="414"/>
      <c r="Q678" s="414"/>
      <c r="R678" s="414"/>
      <c r="S678" s="445"/>
      <c r="T678" s="445"/>
      <c r="U678" s="445"/>
      <c r="V678" s="345"/>
      <c r="W678" s="441"/>
      <c r="X678" s="345"/>
      <c r="Y678" s="345"/>
      <c r="Z678" s="345"/>
      <c r="AA678" s="345"/>
      <c r="AB678" s="345"/>
      <c r="AC678" s="345"/>
      <c r="AD678" s="345"/>
      <c r="AE678" s="345"/>
      <c r="AF678" s="345"/>
      <c r="AG678" s="345"/>
      <c r="AH678" s="345"/>
      <c r="AI678" s="345"/>
      <c r="AJ678" s="345"/>
      <c r="AK678" s="345"/>
      <c r="AL678" s="345"/>
      <c r="AM678" s="345"/>
      <c r="AN678" s="345"/>
      <c r="AO678" s="345"/>
      <c r="AP678" s="345"/>
      <c r="AQ678" s="345"/>
      <c r="AR678" s="345"/>
      <c r="AS678" s="345"/>
    </row>
    <row r="679" ht="13.5" customHeight="1">
      <c r="A679" s="436" t="str">
        <f>'Membership Application List'!A908</f>
        <v/>
      </c>
      <c r="B679" s="437" t="str">
        <f t="shared" si="6"/>
        <v/>
      </c>
      <c r="C679" s="437" t="str">
        <f t="shared" si="7"/>
        <v/>
      </c>
      <c r="D679" s="438" t="str">
        <f>'Membership Application List'!E908</f>
        <v/>
      </c>
      <c r="E679" s="438" t="str">
        <f>IF('Membership Application List'!J908 = "Food/Litter Donation", 0, IF('Membership Application List'!J908 = "$15 Donation, Discord Verification", IF('Membership Application List'!N908 = TRUE, 15, 0)))</f>
        <v>#N/A</v>
      </c>
      <c r="F679" s="438">
        <f>if('Membership Application List'!K908=TRUE, 5,0)</f>
        <v>0</v>
      </c>
      <c r="G679" s="438" t="str">
        <f t="shared" si="8"/>
        <v>#N/A</v>
      </c>
      <c r="H679" s="439" t="str">
        <f>'Membership Application List'!L908</f>
        <v/>
      </c>
      <c r="I679" s="345"/>
      <c r="J679" s="441"/>
      <c r="K679" s="345"/>
      <c r="L679" s="478"/>
      <c r="M679" s="345"/>
      <c r="N679" s="345"/>
      <c r="O679" s="345"/>
      <c r="P679" s="414"/>
      <c r="Q679" s="414"/>
      <c r="R679" s="414"/>
      <c r="S679" s="445"/>
      <c r="T679" s="445"/>
      <c r="U679" s="445"/>
      <c r="V679" s="345"/>
      <c r="W679" s="441"/>
      <c r="X679" s="345"/>
      <c r="Y679" s="345"/>
      <c r="Z679" s="345"/>
      <c r="AA679" s="345"/>
      <c r="AB679" s="345"/>
      <c r="AC679" s="345"/>
      <c r="AD679" s="345"/>
      <c r="AE679" s="345"/>
      <c r="AF679" s="345"/>
      <c r="AG679" s="345"/>
      <c r="AH679" s="345"/>
      <c r="AI679" s="345"/>
      <c r="AJ679" s="345"/>
      <c r="AK679" s="345"/>
      <c r="AL679" s="345"/>
      <c r="AM679" s="345"/>
      <c r="AN679" s="345"/>
      <c r="AO679" s="345"/>
      <c r="AP679" s="345"/>
      <c r="AQ679" s="345"/>
      <c r="AR679" s="345"/>
      <c r="AS679" s="345"/>
    </row>
    <row r="680" ht="13.5" customHeight="1">
      <c r="A680" s="424" t="str">
        <f>'Membership Application List'!A909</f>
        <v/>
      </c>
      <c r="B680" s="443" t="str">
        <f t="shared" si="6"/>
        <v/>
      </c>
      <c r="C680" s="443" t="str">
        <f t="shared" si="7"/>
        <v/>
      </c>
      <c r="D680" s="426" t="str">
        <f>'Membership Application List'!E909</f>
        <v/>
      </c>
      <c r="E680" s="426" t="str">
        <f>IF('Membership Application List'!J909 = "Food/Litter Donation", 0, IF('Membership Application List'!J909 = "$15 Donation, Discord Verification", IF('Membership Application List'!N909 = TRUE, 15, 0)))</f>
        <v>#N/A</v>
      </c>
      <c r="F680" s="426">
        <f>if('Membership Application List'!K909=TRUE, 5,0)</f>
        <v>0</v>
      </c>
      <c r="G680" s="426" t="str">
        <f t="shared" si="8"/>
        <v>#N/A</v>
      </c>
      <c r="H680" s="427" t="str">
        <f>'Membership Application List'!L909</f>
        <v/>
      </c>
      <c r="I680" s="345"/>
      <c r="J680" s="441"/>
      <c r="K680" s="345"/>
      <c r="L680" s="478"/>
      <c r="M680" s="345"/>
      <c r="N680" s="345"/>
      <c r="O680" s="345"/>
      <c r="P680" s="414"/>
      <c r="Q680" s="414"/>
      <c r="R680" s="414"/>
      <c r="S680" s="445"/>
      <c r="T680" s="445"/>
      <c r="U680" s="445"/>
      <c r="V680" s="345"/>
      <c r="W680" s="441"/>
      <c r="X680" s="345"/>
      <c r="Y680" s="345"/>
      <c r="Z680" s="345"/>
      <c r="AA680" s="345"/>
      <c r="AB680" s="345"/>
      <c r="AC680" s="345"/>
      <c r="AD680" s="345"/>
      <c r="AE680" s="345"/>
      <c r="AF680" s="345"/>
      <c r="AG680" s="345"/>
      <c r="AH680" s="345"/>
      <c r="AI680" s="345"/>
      <c r="AJ680" s="345"/>
      <c r="AK680" s="345"/>
      <c r="AL680" s="345"/>
      <c r="AM680" s="345"/>
      <c r="AN680" s="345"/>
      <c r="AO680" s="345"/>
      <c r="AP680" s="345"/>
      <c r="AQ680" s="345"/>
      <c r="AR680" s="345"/>
      <c r="AS680" s="345"/>
    </row>
    <row r="681" ht="13.5" customHeight="1">
      <c r="A681" s="436" t="str">
        <f>'Membership Application List'!A910</f>
        <v/>
      </c>
      <c r="B681" s="437" t="str">
        <f t="shared" si="6"/>
        <v/>
      </c>
      <c r="C681" s="437" t="str">
        <f t="shared" si="7"/>
        <v/>
      </c>
      <c r="D681" s="438" t="str">
        <f>'Membership Application List'!E910</f>
        <v/>
      </c>
      <c r="E681" s="438" t="str">
        <f>IF('Membership Application List'!J910 = "Food/Litter Donation", 0, IF('Membership Application List'!J910 = "$15 Donation, Discord Verification", IF('Membership Application List'!N910 = TRUE, 15, 0)))</f>
        <v>#N/A</v>
      </c>
      <c r="F681" s="438">
        <f>if('Membership Application List'!K910=TRUE, 5,0)</f>
        <v>0</v>
      </c>
      <c r="G681" s="438" t="str">
        <f t="shared" si="8"/>
        <v>#N/A</v>
      </c>
      <c r="H681" s="439" t="str">
        <f>'Membership Application List'!L910</f>
        <v/>
      </c>
      <c r="I681" s="345"/>
      <c r="J681" s="441"/>
      <c r="K681" s="345"/>
      <c r="L681" s="478"/>
      <c r="M681" s="345"/>
      <c r="N681" s="345"/>
      <c r="O681" s="345"/>
      <c r="P681" s="414"/>
      <c r="Q681" s="414"/>
      <c r="R681" s="414"/>
      <c r="S681" s="445"/>
      <c r="T681" s="445"/>
      <c r="U681" s="445"/>
      <c r="V681" s="345"/>
      <c r="W681" s="441"/>
      <c r="X681" s="345"/>
      <c r="Y681" s="345"/>
      <c r="Z681" s="345"/>
      <c r="AA681" s="345"/>
      <c r="AB681" s="345"/>
      <c r="AC681" s="345"/>
      <c r="AD681" s="345"/>
      <c r="AE681" s="345"/>
      <c r="AF681" s="345"/>
      <c r="AG681" s="345"/>
      <c r="AH681" s="345"/>
      <c r="AI681" s="345"/>
      <c r="AJ681" s="345"/>
      <c r="AK681" s="345"/>
      <c r="AL681" s="345"/>
      <c r="AM681" s="345"/>
      <c r="AN681" s="345"/>
      <c r="AO681" s="345"/>
      <c r="AP681" s="345"/>
      <c r="AQ681" s="345"/>
      <c r="AR681" s="345"/>
      <c r="AS681" s="345"/>
    </row>
    <row r="682" ht="13.5" customHeight="1">
      <c r="A682" s="424" t="str">
        <f>'Membership Application List'!A911</f>
        <v/>
      </c>
      <c r="B682" s="443" t="str">
        <f t="shared" si="6"/>
        <v/>
      </c>
      <c r="C682" s="443" t="str">
        <f t="shared" si="7"/>
        <v/>
      </c>
      <c r="D682" s="426" t="str">
        <f>'Membership Application List'!E911</f>
        <v/>
      </c>
      <c r="E682" s="426" t="str">
        <f>IF('Membership Application List'!J911 = "Food/Litter Donation", 0, IF('Membership Application List'!J911 = "$15 Donation, Discord Verification", IF('Membership Application List'!N911 = TRUE, 15, 0)))</f>
        <v>#N/A</v>
      </c>
      <c r="F682" s="426">
        <f>if('Membership Application List'!K911=TRUE, 5,0)</f>
        <v>0</v>
      </c>
      <c r="G682" s="426" t="str">
        <f t="shared" si="8"/>
        <v>#N/A</v>
      </c>
      <c r="H682" s="427" t="str">
        <f>'Membership Application List'!L911</f>
        <v/>
      </c>
      <c r="I682" s="345"/>
      <c r="J682" s="441"/>
      <c r="K682" s="345"/>
      <c r="L682" s="478"/>
      <c r="M682" s="345"/>
      <c r="N682" s="345"/>
      <c r="O682" s="345"/>
      <c r="P682" s="414"/>
      <c r="Q682" s="414"/>
      <c r="R682" s="414"/>
      <c r="S682" s="445"/>
      <c r="T682" s="445"/>
      <c r="U682" s="445"/>
      <c r="V682" s="345"/>
      <c r="W682" s="441"/>
      <c r="X682" s="345"/>
      <c r="Y682" s="345"/>
      <c r="Z682" s="345"/>
      <c r="AA682" s="345"/>
      <c r="AB682" s="345"/>
      <c r="AC682" s="345"/>
      <c r="AD682" s="345"/>
      <c r="AE682" s="345"/>
      <c r="AF682" s="345"/>
      <c r="AG682" s="345"/>
      <c r="AH682" s="345"/>
      <c r="AI682" s="345"/>
      <c r="AJ682" s="345"/>
      <c r="AK682" s="345"/>
      <c r="AL682" s="345"/>
      <c r="AM682" s="345"/>
      <c r="AN682" s="345"/>
      <c r="AO682" s="345"/>
      <c r="AP682" s="345"/>
      <c r="AQ682" s="345"/>
      <c r="AR682" s="345"/>
      <c r="AS682" s="345"/>
    </row>
    <row r="683" ht="13.5" customHeight="1">
      <c r="A683" s="436" t="str">
        <f>'Membership Application List'!A912</f>
        <v/>
      </c>
      <c r="B683" s="437" t="str">
        <f t="shared" si="6"/>
        <v/>
      </c>
      <c r="C683" s="437" t="str">
        <f t="shared" si="7"/>
        <v/>
      </c>
      <c r="D683" s="438" t="str">
        <f>'Membership Application List'!E912</f>
        <v/>
      </c>
      <c r="E683" s="438" t="str">
        <f>IF('Membership Application List'!J912 = "Food/Litter Donation", 0, IF('Membership Application List'!J912 = "$15 Donation, Discord Verification", IF('Membership Application List'!N912 = TRUE, 15, 0)))</f>
        <v>#N/A</v>
      </c>
      <c r="F683" s="438">
        <f>if('Membership Application List'!K912=TRUE, 5,0)</f>
        <v>0</v>
      </c>
      <c r="G683" s="438" t="str">
        <f t="shared" si="8"/>
        <v>#N/A</v>
      </c>
      <c r="H683" s="439" t="str">
        <f>'Membership Application List'!L912</f>
        <v/>
      </c>
      <c r="I683" s="345"/>
      <c r="J683" s="441"/>
      <c r="K683" s="345"/>
      <c r="L683" s="478"/>
      <c r="M683" s="345"/>
      <c r="N683" s="345"/>
      <c r="O683" s="345"/>
      <c r="P683" s="414"/>
      <c r="Q683" s="414"/>
      <c r="R683" s="414"/>
      <c r="S683" s="445"/>
      <c r="T683" s="445"/>
      <c r="U683" s="445"/>
      <c r="V683" s="345"/>
      <c r="W683" s="441"/>
      <c r="X683" s="345"/>
      <c r="Y683" s="345"/>
      <c r="Z683" s="345"/>
      <c r="AA683" s="345"/>
      <c r="AB683" s="345"/>
      <c r="AC683" s="345"/>
      <c r="AD683" s="345"/>
      <c r="AE683" s="345"/>
      <c r="AF683" s="345"/>
      <c r="AG683" s="345"/>
      <c r="AH683" s="345"/>
      <c r="AI683" s="345"/>
      <c r="AJ683" s="345"/>
      <c r="AK683" s="345"/>
      <c r="AL683" s="345"/>
      <c r="AM683" s="345"/>
      <c r="AN683" s="345"/>
      <c r="AO683" s="345"/>
      <c r="AP683" s="345"/>
      <c r="AQ683" s="345"/>
      <c r="AR683" s="345"/>
      <c r="AS683" s="345"/>
    </row>
    <row r="684" ht="13.5" customHeight="1">
      <c r="A684" s="424" t="str">
        <f>'Membership Application List'!A913</f>
        <v/>
      </c>
      <c r="B684" s="443" t="str">
        <f t="shared" si="6"/>
        <v/>
      </c>
      <c r="C684" s="443" t="str">
        <f t="shared" si="7"/>
        <v/>
      </c>
      <c r="D684" s="426" t="str">
        <f>'Membership Application List'!E913</f>
        <v/>
      </c>
      <c r="E684" s="426" t="str">
        <f>IF('Membership Application List'!J913 = "Food/Litter Donation", 0, IF('Membership Application List'!J913 = "$15 Donation, Discord Verification", IF('Membership Application List'!N913 = TRUE, 15, 0)))</f>
        <v>#N/A</v>
      </c>
      <c r="F684" s="426">
        <f>if('Membership Application List'!K913=TRUE, 5,0)</f>
        <v>0</v>
      </c>
      <c r="G684" s="426" t="str">
        <f t="shared" si="8"/>
        <v>#N/A</v>
      </c>
      <c r="H684" s="427" t="str">
        <f>'Membership Application List'!L913</f>
        <v/>
      </c>
      <c r="I684" s="345"/>
      <c r="J684" s="441"/>
      <c r="K684" s="345"/>
      <c r="L684" s="478"/>
      <c r="M684" s="345"/>
      <c r="N684" s="345"/>
      <c r="O684" s="345"/>
      <c r="P684" s="414"/>
      <c r="Q684" s="414"/>
      <c r="R684" s="414"/>
      <c r="S684" s="445"/>
      <c r="T684" s="445"/>
      <c r="U684" s="445"/>
      <c r="V684" s="345"/>
      <c r="W684" s="441"/>
      <c r="X684" s="345"/>
      <c r="Y684" s="345"/>
      <c r="Z684" s="345"/>
      <c r="AA684" s="345"/>
      <c r="AB684" s="345"/>
      <c r="AC684" s="345"/>
      <c r="AD684" s="345"/>
      <c r="AE684" s="345"/>
      <c r="AF684" s="345"/>
      <c r="AG684" s="345"/>
      <c r="AH684" s="345"/>
      <c r="AI684" s="345"/>
      <c r="AJ684" s="345"/>
      <c r="AK684" s="345"/>
      <c r="AL684" s="345"/>
      <c r="AM684" s="345"/>
      <c r="AN684" s="345"/>
      <c r="AO684" s="345"/>
      <c r="AP684" s="345"/>
      <c r="AQ684" s="345"/>
      <c r="AR684" s="345"/>
      <c r="AS684" s="345"/>
    </row>
    <row r="685" ht="13.5" customHeight="1">
      <c r="A685" s="436" t="str">
        <f>'Membership Application List'!A914</f>
        <v/>
      </c>
      <c r="B685" s="437" t="str">
        <f t="shared" si="6"/>
        <v/>
      </c>
      <c r="C685" s="437" t="str">
        <f t="shared" si="7"/>
        <v/>
      </c>
      <c r="D685" s="438" t="str">
        <f>'Membership Application List'!E914</f>
        <v/>
      </c>
      <c r="E685" s="438" t="str">
        <f>IF('Membership Application List'!J914 = "Food/Litter Donation", 0, IF('Membership Application List'!J914 = "$15 Donation, Discord Verification", IF('Membership Application List'!N914 = TRUE, 15, 0)))</f>
        <v>#N/A</v>
      </c>
      <c r="F685" s="438">
        <f>if('Membership Application List'!K914=TRUE, 5,0)</f>
        <v>0</v>
      </c>
      <c r="G685" s="438" t="str">
        <f t="shared" si="8"/>
        <v>#N/A</v>
      </c>
      <c r="H685" s="439" t="str">
        <f>'Membership Application List'!L914</f>
        <v/>
      </c>
      <c r="I685" s="345"/>
      <c r="J685" s="441"/>
      <c r="K685" s="345"/>
      <c r="L685" s="478"/>
      <c r="M685" s="345"/>
      <c r="N685" s="345"/>
      <c r="O685" s="345"/>
      <c r="P685" s="414"/>
      <c r="Q685" s="414"/>
      <c r="R685" s="414"/>
      <c r="S685" s="445"/>
      <c r="T685" s="445"/>
      <c r="U685" s="445"/>
      <c r="V685" s="345"/>
      <c r="W685" s="441"/>
      <c r="X685" s="345"/>
      <c r="Y685" s="345"/>
      <c r="Z685" s="345"/>
      <c r="AA685" s="345"/>
      <c r="AB685" s="345"/>
      <c r="AC685" s="345"/>
      <c r="AD685" s="345"/>
      <c r="AE685" s="345"/>
      <c r="AF685" s="345"/>
      <c r="AG685" s="345"/>
      <c r="AH685" s="345"/>
      <c r="AI685" s="345"/>
      <c r="AJ685" s="345"/>
      <c r="AK685" s="345"/>
      <c r="AL685" s="345"/>
      <c r="AM685" s="345"/>
      <c r="AN685" s="345"/>
      <c r="AO685" s="345"/>
      <c r="AP685" s="345"/>
      <c r="AQ685" s="345"/>
      <c r="AR685" s="345"/>
      <c r="AS685" s="345"/>
    </row>
    <row r="686" ht="13.5" customHeight="1">
      <c r="A686" s="424" t="str">
        <f>'Membership Application List'!A915</f>
        <v/>
      </c>
      <c r="B686" s="443" t="str">
        <f t="shared" si="6"/>
        <v/>
      </c>
      <c r="C686" s="443" t="str">
        <f t="shared" si="7"/>
        <v/>
      </c>
      <c r="D686" s="426" t="str">
        <f>'Membership Application List'!E915</f>
        <v/>
      </c>
      <c r="E686" s="426" t="str">
        <f>IF('Membership Application List'!J915 = "Food/Litter Donation", 0, IF('Membership Application List'!J915 = "$15 Donation, Discord Verification", IF('Membership Application List'!N915 = TRUE, 15, 0)))</f>
        <v>#N/A</v>
      </c>
      <c r="F686" s="426">
        <f>if('Membership Application List'!K915=TRUE, 5,0)</f>
        <v>0</v>
      </c>
      <c r="G686" s="426" t="str">
        <f t="shared" si="8"/>
        <v>#N/A</v>
      </c>
      <c r="H686" s="427" t="str">
        <f>'Membership Application List'!L915</f>
        <v/>
      </c>
      <c r="I686" s="345"/>
      <c r="J686" s="441"/>
      <c r="K686" s="345"/>
      <c r="L686" s="478"/>
      <c r="M686" s="345"/>
      <c r="N686" s="345"/>
      <c r="O686" s="345"/>
      <c r="P686" s="414"/>
      <c r="Q686" s="414"/>
      <c r="R686" s="414"/>
      <c r="S686" s="445"/>
      <c r="T686" s="445"/>
      <c r="U686" s="445"/>
      <c r="V686" s="345"/>
      <c r="W686" s="441"/>
      <c r="X686" s="345"/>
      <c r="Y686" s="345"/>
      <c r="Z686" s="345"/>
      <c r="AA686" s="345"/>
      <c r="AB686" s="345"/>
      <c r="AC686" s="345"/>
      <c r="AD686" s="345"/>
      <c r="AE686" s="345"/>
      <c r="AF686" s="345"/>
      <c r="AG686" s="345"/>
      <c r="AH686" s="345"/>
      <c r="AI686" s="345"/>
      <c r="AJ686" s="345"/>
      <c r="AK686" s="345"/>
      <c r="AL686" s="345"/>
      <c r="AM686" s="345"/>
      <c r="AN686" s="345"/>
      <c r="AO686" s="345"/>
      <c r="AP686" s="345"/>
      <c r="AQ686" s="345"/>
      <c r="AR686" s="345"/>
      <c r="AS686" s="345"/>
    </row>
    <row r="687" ht="13.5" customHeight="1">
      <c r="A687" s="436" t="str">
        <f>'Membership Application List'!A916</f>
        <v/>
      </c>
      <c r="B687" s="437" t="str">
        <f t="shared" si="6"/>
        <v/>
      </c>
      <c r="C687" s="437" t="str">
        <f t="shared" si="7"/>
        <v/>
      </c>
      <c r="D687" s="438" t="str">
        <f>'Membership Application List'!E916</f>
        <v/>
      </c>
      <c r="E687" s="438" t="str">
        <f>IF('Membership Application List'!J916 = "Food/Litter Donation", 0, IF('Membership Application List'!J916 = "$15 Donation, Discord Verification", IF('Membership Application List'!N916 = TRUE, 15, 0)))</f>
        <v>#N/A</v>
      </c>
      <c r="F687" s="438">
        <f>if('Membership Application List'!K916=TRUE, 5,0)</f>
        <v>0</v>
      </c>
      <c r="G687" s="438" t="str">
        <f t="shared" si="8"/>
        <v>#N/A</v>
      </c>
      <c r="H687" s="439" t="str">
        <f>'Membership Application List'!L916</f>
        <v/>
      </c>
      <c r="I687" s="345"/>
      <c r="J687" s="441"/>
      <c r="K687" s="345"/>
      <c r="L687" s="478"/>
      <c r="M687" s="345"/>
      <c r="N687" s="345"/>
      <c r="O687" s="345"/>
      <c r="P687" s="414"/>
      <c r="Q687" s="414"/>
      <c r="R687" s="414"/>
      <c r="S687" s="445"/>
      <c r="T687" s="445"/>
      <c r="U687" s="445"/>
      <c r="V687" s="345"/>
      <c r="W687" s="441"/>
      <c r="X687" s="345"/>
      <c r="Y687" s="345"/>
      <c r="Z687" s="345"/>
      <c r="AA687" s="345"/>
      <c r="AB687" s="345"/>
      <c r="AC687" s="345"/>
      <c r="AD687" s="345"/>
      <c r="AE687" s="345"/>
      <c r="AF687" s="345"/>
      <c r="AG687" s="345"/>
      <c r="AH687" s="345"/>
      <c r="AI687" s="345"/>
      <c r="AJ687" s="345"/>
      <c r="AK687" s="345"/>
      <c r="AL687" s="345"/>
      <c r="AM687" s="345"/>
      <c r="AN687" s="345"/>
      <c r="AO687" s="345"/>
      <c r="AP687" s="345"/>
      <c r="AQ687" s="345"/>
      <c r="AR687" s="345"/>
      <c r="AS687" s="345"/>
    </row>
    <row r="688" ht="13.5" customHeight="1">
      <c r="A688" s="424" t="str">
        <f>'Membership Application List'!A917</f>
        <v/>
      </c>
      <c r="B688" s="443" t="str">
        <f t="shared" si="6"/>
        <v/>
      </c>
      <c r="C688" s="443" t="str">
        <f t="shared" si="7"/>
        <v/>
      </c>
      <c r="D688" s="426" t="str">
        <f>'Membership Application List'!E917</f>
        <v/>
      </c>
      <c r="E688" s="426" t="str">
        <f>IF('Membership Application List'!J917 = "Food/Litter Donation", 0, IF('Membership Application List'!J917 = "$15 Donation, Discord Verification", IF('Membership Application List'!N917 = TRUE, 15, 0)))</f>
        <v>#N/A</v>
      </c>
      <c r="F688" s="426">
        <f>if('Membership Application List'!K917=TRUE, 5,0)</f>
        <v>0</v>
      </c>
      <c r="G688" s="426" t="str">
        <f t="shared" si="8"/>
        <v>#N/A</v>
      </c>
      <c r="H688" s="427" t="str">
        <f>'Membership Application List'!L917</f>
        <v/>
      </c>
      <c r="I688" s="345"/>
      <c r="J688" s="441"/>
      <c r="K688" s="345"/>
      <c r="L688" s="478"/>
      <c r="M688" s="345"/>
      <c r="N688" s="345"/>
      <c r="O688" s="345"/>
      <c r="P688" s="414"/>
      <c r="Q688" s="414"/>
      <c r="R688" s="414"/>
      <c r="S688" s="445"/>
      <c r="T688" s="445"/>
      <c r="U688" s="445"/>
      <c r="V688" s="345"/>
      <c r="W688" s="441"/>
      <c r="X688" s="345"/>
      <c r="Y688" s="345"/>
      <c r="Z688" s="345"/>
      <c r="AA688" s="345"/>
      <c r="AB688" s="345"/>
      <c r="AC688" s="345"/>
      <c r="AD688" s="345"/>
      <c r="AE688" s="345"/>
      <c r="AF688" s="345"/>
      <c r="AG688" s="345"/>
      <c r="AH688" s="345"/>
      <c r="AI688" s="345"/>
      <c r="AJ688" s="345"/>
      <c r="AK688" s="345"/>
      <c r="AL688" s="345"/>
      <c r="AM688" s="345"/>
      <c r="AN688" s="345"/>
      <c r="AO688" s="345"/>
      <c r="AP688" s="345"/>
      <c r="AQ688" s="345"/>
      <c r="AR688" s="345"/>
      <c r="AS688" s="345"/>
    </row>
    <row r="689" ht="13.5" customHeight="1">
      <c r="A689" s="436" t="str">
        <f>'Membership Application List'!A918</f>
        <v/>
      </c>
      <c r="B689" s="437" t="str">
        <f t="shared" si="6"/>
        <v/>
      </c>
      <c r="C689" s="437" t="str">
        <f t="shared" si="7"/>
        <v/>
      </c>
      <c r="D689" s="438" t="str">
        <f>'Membership Application List'!E918</f>
        <v/>
      </c>
      <c r="E689" s="438" t="str">
        <f>IF('Membership Application List'!J918 = "Food/Litter Donation", 0, IF('Membership Application List'!J918 = "$15 Donation, Discord Verification", IF('Membership Application List'!N918 = TRUE, 15, 0)))</f>
        <v>#N/A</v>
      </c>
      <c r="F689" s="438">
        <f>if('Membership Application List'!K918=TRUE, 5,0)</f>
        <v>0</v>
      </c>
      <c r="G689" s="438" t="str">
        <f t="shared" si="8"/>
        <v>#N/A</v>
      </c>
      <c r="H689" s="439" t="str">
        <f>'Membership Application List'!L918</f>
        <v/>
      </c>
      <c r="I689" s="345"/>
      <c r="J689" s="441"/>
      <c r="K689" s="345"/>
      <c r="L689" s="478"/>
      <c r="M689" s="345"/>
      <c r="N689" s="345"/>
      <c r="O689" s="345"/>
      <c r="P689" s="414"/>
      <c r="Q689" s="414"/>
      <c r="R689" s="414"/>
      <c r="S689" s="445"/>
      <c r="T689" s="445"/>
      <c r="U689" s="445"/>
      <c r="V689" s="345"/>
      <c r="W689" s="441"/>
      <c r="X689" s="345"/>
      <c r="Y689" s="345"/>
      <c r="Z689" s="345"/>
      <c r="AA689" s="345"/>
      <c r="AB689" s="345"/>
      <c r="AC689" s="345"/>
      <c r="AD689" s="345"/>
      <c r="AE689" s="345"/>
      <c r="AF689" s="345"/>
      <c r="AG689" s="345"/>
      <c r="AH689" s="345"/>
      <c r="AI689" s="345"/>
      <c r="AJ689" s="345"/>
      <c r="AK689" s="345"/>
      <c r="AL689" s="345"/>
      <c r="AM689" s="345"/>
      <c r="AN689" s="345"/>
      <c r="AO689" s="345"/>
      <c r="AP689" s="345"/>
      <c r="AQ689" s="345"/>
      <c r="AR689" s="345"/>
      <c r="AS689" s="345"/>
    </row>
    <row r="690" ht="13.5" customHeight="1">
      <c r="A690" s="424" t="str">
        <f>'Membership Application List'!A919</f>
        <v/>
      </c>
      <c r="B690" s="443" t="str">
        <f t="shared" si="6"/>
        <v/>
      </c>
      <c r="C690" s="443" t="str">
        <f t="shared" si="7"/>
        <v/>
      </c>
      <c r="D690" s="426" t="str">
        <f>'Membership Application List'!E919</f>
        <v/>
      </c>
      <c r="E690" s="426" t="str">
        <f>IF('Membership Application List'!J919 = "Food/Litter Donation", 0, IF('Membership Application List'!J919 = "$15 Donation, Discord Verification", IF('Membership Application List'!N919 = TRUE, 15, 0)))</f>
        <v>#N/A</v>
      </c>
      <c r="F690" s="426">
        <f>if('Membership Application List'!K919=TRUE, 5,0)</f>
        <v>0</v>
      </c>
      <c r="G690" s="426" t="str">
        <f t="shared" si="8"/>
        <v>#N/A</v>
      </c>
      <c r="H690" s="427" t="str">
        <f>'Membership Application List'!L919</f>
        <v/>
      </c>
      <c r="I690" s="345"/>
      <c r="J690" s="441"/>
      <c r="K690" s="345"/>
      <c r="L690" s="478"/>
      <c r="M690" s="345"/>
      <c r="N690" s="345"/>
      <c r="O690" s="345"/>
      <c r="P690" s="414"/>
      <c r="Q690" s="414"/>
      <c r="R690" s="414"/>
      <c r="S690" s="445"/>
      <c r="T690" s="445"/>
      <c r="U690" s="445"/>
      <c r="V690" s="345"/>
      <c r="W690" s="441"/>
      <c r="X690" s="345"/>
      <c r="Y690" s="345"/>
      <c r="Z690" s="345"/>
      <c r="AA690" s="345"/>
      <c r="AB690" s="345"/>
      <c r="AC690" s="345"/>
      <c r="AD690" s="345"/>
      <c r="AE690" s="345"/>
      <c r="AF690" s="345"/>
      <c r="AG690" s="345"/>
      <c r="AH690" s="345"/>
      <c r="AI690" s="345"/>
      <c r="AJ690" s="345"/>
      <c r="AK690" s="345"/>
      <c r="AL690" s="345"/>
      <c r="AM690" s="345"/>
      <c r="AN690" s="345"/>
      <c r="AO690" s="345"/>
      <c r="AP690" s="345"/>
      <c r="AQ690" s="345"/>
      <c r="AR690" s="345"/>
      <c r="AS690" s="345"/>
    </row>
    <row r="691" ht="13.5" customHeight="1">
      <c r="A691" s="436" t="str">
        <f>'Membership Application List'!A920</f>
        <v/>
      </c>
      <c r="B691" s="437" t="str">
        <f t="shared" si="6"/>
        <v/>
      </c>
      <c r="C691" s="437" t="str">
        <f t="shared" si="7"/>
        <v/>
      </c>
      <c r="D691" s="438" t="str">
        <f>'Membership Application List'!E920</f>
        <v/>
      </c>
      <c r="E691" s="438" t="str">
        <f>IF('Membership Application List'!J920 = "Food/Litter Donation", 0, IF('Membership Application List'!J920 = "$15 Donation, Discord Verification", IF('Membership Application List'!N920 = TRUE, 15, 0)))</f>
        <v>#N/A</v>
      </c>
      <c r="F691" s="438">
        <f>if('Membership Application List'!K920=TRUE, 5,0)</f>
        <v>0</v>
      </c>
      <c r="G691" s="438" t="str">
        <f t="shared" si="8"/>
        <v>#N/A</v>
      </c>
      <c r="H691" s="439" t="str">
        <f>'Membership Application List'!L920</f>
        <v/>
      </c>
      <c r="I691" s="345"/>
      <c r="J691" s="441"/>
      <c r="K691" s="345"/>
      <c r="L691" s="478"/>
      <c r="M691" s="345"/>
      <c r="N691" s="345"/>
      <c r="O691" s="345"/>
      <c r="P691" s="414"/>
      <c r="Q691" s="414"/>
      <c r="R691" s="414"/>
      <c r="S691" s="445"/>
      <c r="T691" s="445"/>
      <c r="U691" s="445"/>
      <c r="V691" s="345"/>
      <c r="W691" s="441"/>
      <c r="X691" s="345"/>
      <c r="Y691" s="345"/>
      <c r="Z691" s="345"/>
      <c r="AA691" s="345"/>
      <c r="AB691" s="345"/>
      <c r="AC691" s="345"/>
      <c r="AD691" s="345"/>
      <c r="AE691" s="345"/>
      <c r="AF691" s="345"/>
      <c r="AG691" s="345"/>
      <c r="AH691" s="345"/>
      <c r="AI691" s="345"/>
      <c r="AJ691" s="345"/>
      <c r="AK691" s="345"/>
      <c r="AL691" s="345"/>
      <c r="AM691" s="345"/>
      <c r="AN691" s="345"/>
      <c r="AO691" s="345"/>
      <c r="AP691" s="345"/>
      <c r="AQ691" s="345"/>
      <c r="AR691" s="345"/>
      <c r="AS691" s="345"/>
    </row>
    <row r="692" ht="13.5" customHeight="1">
      <c r="A692" s="424" t="str">
        <f>'Membership Application List'!A921</f>
        <v/>
      </c>
      <c r="B692" s="443" t="str">
        <f t="shared" si="6"/>
        <v/>
      </c>
      <c r="C692" s="443" t="str">
        <f t="shared" si="7"/>
        <v/>
      </c>
      <c r="D692" s="426" t="str">
        <f>'Membership Application List'!E921</f>
        <v/>
      </c>
      <c r="E692" s="426" t="str">
        <f>IF('Membership Application List'!J921 = "Food/Litter Donation", 0, IF('Membership Application List'!J921 = "$15 Donation, Discord Verification", IF('Membership Application List'!N921 = TRUE, 15, 0)))</f>
        <v>#N/A</v>
      </c>
      <c r="F692" s="426">
        <f>if('Membership Application List'!K921=TRUE, 5,0)</f>
        <v>0</v>
      </c>
      <c r="G692" s="426" t="str">
        <f t="shared" si="8"/>
        <v>#N/A</v>
      </c>
      <c r="H692" s="427" t="str">
        <f>'Membership Application List'!L921</f>
        <v/>
      </c>
      <c r="I692" s="345"/>
      <c r="J692" s="441"/>
      <c r="K692" s="345"/>
      <c r="L692" s="478"/>
      <c r="M692" s="345"/>
      <c r="N692" s="345"/>
      <c r="O692" s="345"/>
      <c r="P692" s="414"/>
      <c r="Q692" s="414"/>
      <c r="R692" s="414"/>
      <c r="S692" s="445"/>
      <c r="T692" s="445"/>
      <c r="U692" s="445"/>
      <c r="V692" s="345"/>
      <c r="W692" s="441"/>
      <c r="X692" s="345"/>
      <c r="Y692" s="345"/>
      <c r="Z692" s="345"/>
      <c r="AA692" s="345"/>
      <c r="AB692" s="345"/>
      <c r="AC692" s="345"/>
      <c r="AD692" s="345"/>
      <c r="AE692" s="345"/>
      <c r="AF692" s="345"/>
      <c r="AG692" s="345"/>
      <c r="AH692" s="345"/>
      <c r="AI692" s="345"/>
      <c r="AJ692" s="345"/>
      <c r="AK692" s="345"/>
      <c r="AL692" s="345"/>
      <c r="AM692" s="345"/>
      <c r="AN692" s="345"/>
      <c r="AO692" s="345"/>
      <c r="AP692" s="345"/>
      <c r="AQ692" s="345"/>
      <c r="AR692" s="345"/>
      <c r="AS692" s="345"/>
    </row>
    <row r="693" ht="13.5" customHeight="1">
      <c r="A693" s="436" t="str">
        <f>'Membership Application List'!A922</f>
        <v/>
      </c>
      <c r="B693" s="437" t="str">
        <f t="shared" si="6"/>
        <v/>
      </c>
      <c r="C693" s="437" t="str">
        <f t="shared" si="7"/>
        <v/>
      </c>
      <c r="D693" s="438" t="str">
        <f>'Membership Application List'!E922</f>
        <v/>
      </c>
      <c r="E693" s="438" t="str">
        <f>IF('Membership Application List'!J922 = "Food/Litter Donation", 0, IF('Membership Application List'!J922 = "$15 Donation, Discord Verification", IF('Membership Application List'!N922 = TRUE, 15, 0)))</f>
        <v>#N/A</v>
      </c>
      <c r="F693" s="438">
        <f>if('Membership Application List'!K922=TRUE, 5,0)</f>
        <v>0</v>
      </c>
      <c r="G693" s="438" t="str">
        <f t="shared" si="8"/>
        <v>#N/A</v>
      </c>
      <c r="H693" s="439" t="str">
        <f>'Membership Application List'!L922</f>
        <v/>
      </c>
      <c r="I693" s="345"/>
      <c r="J693" s="441"/>
      <c r="K693" s="345"/>
      <c r="L693" s="478"/>
      <c r="M693" s="345"/>
      <c r="N693" s="345"/>
      <c r="O693" s="345"/>
      <c r="P693" s="414"/>
      <c r="Q693" s="414"/>
      <c r="R693" s="414"/>
      <c r="S693" s="445"/>
      <c r="T693" s="445"/>
      <c r="U693" s="445"/>
      <c r="V693" s="345"/>
      <c r="W693" s="441"/>
      <c r="X693" s="345"/>
      <c r="Y693" s="345"/>
      <c r="Z693" s="345"/>
      <c r="AA693" s="345"/>
      <c r="AB693" s="345"/>
      <c r="AC693" s="345"/>
      <c r="AD693" s="345"/>
      <c r="AE693" s="345"/>
      <c r="AF693" s="345"/>
      <c r="AG693" s="345"/>
      <c r="AH693" s="345"/>
      <c r="AI693" s="345"/>
      <c r="AJ693" s="345"/>
      <c r="AK693" s="345"/>
      <c r="AL693" s="345"/>
      <c r="AM693" s="345"/>
      <c r="AN693" s="345"/>
      <c r="AO693" s="345"/>
      <c r="AP693" s="345"/>
      <c r="AQ693" s="345"/>
      <c r="AR693" s="345"/>
      <c r="AS693" s="345"/>
    </row>
    <row r="694" ht="13.5" customHeight="1">
      <c r="A694" s="424" t="str">
        <f>'Membership Application List'!A923</f>
        <v/>
      </c>
      <c r="B694" s="443" t="str">
        <f t="shared" si="6"/>
        <v/>
      </c>
      <c r="C694" s="443" t="str">
        <f t="shared" si="7"/>
        <v/>
      </c>
      <c r="D694" s="426" t="str">
        <f>'Membership Application List'!E923</f>
        <v/>
      </c>
      <c r="E694" s="426" t="str">
        <f>IF('Membership Application List'!J923 = "Food/Litter Donation", 0, IF('Membership Application List'!J923 = "$15 Donation, Discord Verification", IF('Membership Application List'!N923 = TRUE, 15, 0)))</f>
        <v>#N/A</v>
      </c>
      <c r="F694" s="426">
        <f>if('Membership Application List'!K923=TRUE, 5,0)</f>
        <v>0</v>
      </c>
      <c r="G694" s="426" t="str">
        <f t="shared" si="8"/>
        <v>#N/A</v>
      </c>
      <c r="H694" s="427" t="str">
        <f>'Membership Application List'!L923</f>
        <v/>
      </c>
      <c r="I694" s="345"/>
      <c r="J694" s="441"/>
      <c r="K694" s="345"/>
      <c r="L694" s="478"/>
      <c r="M694" s="345"/>
      <c r="N694" s="345"/>
      <c r="O694" s="345"/>
      <c r="P694" s="414"/>
      <c r="Q694" s="414"/>
      <c r="R694" s="414"/>
      <c r="S694" s="445"/>
      <c r="T694" s="445"/>
      <c r="U694" s="445"/>
      <c r="V694" s="345"/>
      <c r="W694" s="441"/>
      <c r="X694" s="345"/>
      <c r="Y694" s="345"/>
      <c r="Z694" s="345"/>
      <c r="AA694" s="345"/>
      <c r="AB694" s="345"/>
      <c r="AC694" s="345"/>
      <c r="AD694" s="345"/>
      <c r="AE694" s="345"/>
      <c r="AF694" s="345"/>
      <c r="AG694" s="345"/>
      <c r="AH694" s="345"/>
      <c r="AI694" s="345"/>
      <c r="AJ694" s="345"/>
      <c r="AK694" s="345"/>
      <c r="AL694" s="345"/>
      <c r="AM694" s="345"/>
      <c r="AN694" s="345"/>
      <c r="AO694" s="345"/>
      <c r="AP694" s="345"/>
      <c r="AQ694" s="345"/>
      <c r="AR694" s="345"/>
      <c r="AS694" s="345"/>
    </row>
    <row r="695" ht="13.5" customHeight="1">
      <c r="A695" s="436" t="str">
        <f>'Membership Application List'!A924</f>
        <v/>
      </c>
      <c r="B695" s="437" t="str">
        <f t="shared" si="6"/>
        <v/>
      </c>
      <c r="C695" s="437" t="str">
        <f t="shared" si="7"/>
        <v/>
      </c>
      <c r="D695" s="438" t="str">
        <f>'Membership Application List'!E924</f>
        <v/>
      </c>
      <c r="E695" s="438" t="str">
        <f>IF('Membership Application List'!J924 = "Food/Litter Donation", 0, IF('Membership Application List'!J924 = "$15 Donation, Discord Verification", IF('Membership Application List'!N924 = TRUE, 15, 0)))</f>
        <v>#N/A</v>
      </c>
      <c r="F695" s="438">
        <f>if('Membership Application List'!K924=TRUE, 5,0)</f>
        <v>0</v>
      </c>
      <c r="G695" s="438" t="str">
        <f t="shared" si="8"/>
        <v>#N/A</v>
      </c>
      <c r="H695" s="439" t="str">
        <f>'Membership Application List'!L924</f>
        <v/>
      </c>
      <c r="I695" s="345"/>
      <c r="J695" s="441"/>
      <c r="K695" s="345"/>
      <c r="L695" s="478"/>
      <c r="M695" s="345"/>
      <c r="N695" s="345"/>
      <c r="O695" s="345"/>
      <c r="P695" s="414"/>
      <c r="Q695" s="414"/>
      <c r="R695" s="414"/>
      <c r="S695" s="445"/>
      <c r="T695" s="445"/>
      <c r="U695" s="445"/>
      <c r="V695" s="345"/>
      <c r="W695" s="441"/>
      <c r="X695" s="345"/>
      <c r="Y695" s="345"/>
      <c r="Z695" s="345"/>
      <c r="AA695" s="345"/>
      <c r="AB695" s="345"/>
      <c r="AC695" s="345"/>
      <c r="AD695" s="345"/>
      <c r="AE695" s="345"/>
      <c r="AF695" s="345"/>
      <c r="AG695" s="345"/>
      <c r="AH695" s="345"/>
      <c r="AI695" s="345"/>
      <c r="AJ695" s="345"/>
      <c r="AK695" s="345"/>
      <c r="AL695" s="345"/>
      <c r="AM695" s="345"/>
      <c r="AN695" s="345"/>
      <c r="AO695" s="345"/>
      <c r="AP695" s="345"/>
      <c r="AQ695" s="345"/>
      <c r="AR695" s="345"/>
      <c r="AS695" s="345"/>
    </row>
    <row r="696" ht="13.5" customHeight="1">
      <c r="A696" s="424" t="str">
        <f>'Membership Application List'!A925</f>
        <v/>
      </c>
      <c r="B696" s="443" t="str">
        <f t="shared" si="6"/>
        <v/>
      </c>
      <c r="C696" s="443" t="str">
        <f t="shared" si="7"/>
        <v/>
      </c>
      <c r="D696" s="426" t="str">
        <f>'Membership Application List'!E925</f>
        <v/>
      </c>
      <c r="E696" s="426" t="str">
        <f>IF('Membership Application List'!J925 = "Food/Litter Donation", 0, IF('Membership Application List'!J925 = "$15 Donation, Discord Verification", IF('Membership Application List'!N925 = TRUE, 15, 0)))</f>
        <v>#N/A</v>
      </c>
      <c r="F696" s="426">
        <f>if('Membership Application List'!K925=TRUE, 5,0)</f>
        <v>0</v>
      </c>
      <c r="G696" s="426" t="str">
        <f t="shared" si="8"/>
        <v>#N/A</v>
      </c>
      <c r="H696" s="427" t="str">
        <f>'Membership Application List'!L925</f>
        <v/>
      </c>
      <c r="I696" s="345"/>
      <c r="J696" s="441"/>
      <c r="K696" s="345"/>
      <c r="L696" s="478"/>
      <c r="M696" s="345"/>
      <c r="N696" s="345"/>
      <c r="O696" s="345"/>
      <c r="P696" s="414"/>
      <c r="Q696" s="414"/>
      <c r="R696" s="414"/>
      <c r="S696" s="445"/>
      <c r="T696" s="445"/>
      <c r="U696" s="445"/>
      <c r="V696" s="345"/>
      <c r="W696" s="441"/>
      <c r="X696" s="345"/>
      <c r="Y696" s="345"/>
      <c r="Z696" s="345"/>
      <c r="AA696" s="345"/>
      <c r="AB696" s="345"/>
      <c r="AC696" s="345"/>
      <c r="AD696" s="345"/>
      <c r="AE696" s="345"/>
      <c r="AF696" s="345"/>
      <c r="AG696" s="345"/>
      <c r="AH696" s="345"/>
      <c r="AI696" s="345"/>
      <c r="AJ696" s="345"/>
      <c r="AK696" s="345"/>
      <c r="AL696" s="345"/>
      <c r="AM696" s="345"/>
      <c r="AN696" s="345"/>
      <c r="AO696" s="345"/>
      <c r="AP696" s="345"/>
      <c r="AQ696" s="345"/>
      <c r="AR696" s="345"/>
      <c r="AS696" s="345"/>
    </row>
    <row r="697" ht="13.5" customHeight="1">
      <c r="A697" s="436" t="str">
        <f>'Membership Application List'!A926</f>
        <v/>
      </c>
      <c r="B697" s="437" t="str">
        <f t="shared" si="6"/>
        <v/>
      </c>
      <c r="C697" s="437" t="str">
        <f t="shared" si="7"/>
        <v/>
      </c>
      <c r="D697" s="438" t="str">
        <f>'Membership Application List'!E926</f>
        <v/>
      </c>
      <c r="E697" s="438" t="str">
        <f>IF('Membership Application List'!J926 = "Food/Litter Donation", 0, IF('Membership Application List'!J926 = "$15 Donation, Discord Verification", IF('Membership Application List'!N926 = TRUE, 15, 0)))</f>
        <v>#N/A</v>
      </c>
      <c r="F697" s="438">
        <f>if('Membership Application List'!K926=TRUE, 5,0)</f>
        <v>0</v>
      </c>
      <c r="G697" s="438" t="str">
        <f t="shared" si="8"/>
        <v>#N/A</v>
      </c>
      <c r="H697" s="439" t="str">
        <f>'Membership Application List'!L926</f>
        <v/>
      </c>
      <c r="I697" s="345"/>
      <c r="J697" s="441"/>
      <c r="K697" s="345"/>
      <c r="L697" s="478"/>
      <c r="M697" s="345"/>
      <c r="N697" s="345"/>
      <c r="O697" s="345"/>
      <c r="P697" s="414"/>
      <c r="Q697" s="414"/>
      <c r="R697" s="414"/>
      <c r="S697" s="445"/>
      <c r="T697" s="445"/>
      <c r="U697" s="445"/>
      <c r="V697" s="345"/>
      <c r="W697" s="441"/>
      <c r="X697" s="345"/>
      <c r="Y697" s="345"/>
      <c r="Z697" s="345"/>
      <c r="AA697" s="345"/>
      <c r="AB697" s="345"/>
      <c r="AC697" s="345"/>
      <c r="AD697" s="345"/>
      <c r="AE697" s="345"/>
      <c r="AF697" s="345"/>
      <c r="AG697" s="345"/>
      <c r="AH697" s="345"/>
      <c r="AI697" s="345"/>
      <c r="AJ697" s="345"/>
      <c r="AK697" s="345"/>
      <c r="AL697" s="345"/>
      <c r="AM697" s="345"/>
      <c r="AN697" s="345"/>
      <c r="AO697" s="345"/>
      <c r="AP697" s="345"/>
      <c r="AQ697" s="345"/>
      <c r="AR697" s="345"/>
      <c r="AS697" s="345"/>
    </row>
    <row r="698" ht="13.5" customHeight="1">
      <c r="A698" s="424" t="str">
        <f>'Membership Application List'!A927</f>
        <v/>
      </c>
      <c r="B698" s="443" t="str">
        <f t="shared" si="6"/>
        <v/>
      </c>
      <c r="C698" s="443" t="str">
        <f t="shared" si="7"/>
        <v/>
      </c>
      <c r="D698" s="426" t="str">
        <f>'Membership Application List'!E927</f>
        <v/>
      </c>
      <c r="E698" s="426" t="str">
        <f>IF('Membership Application List'!J927 = "Food/Litter Donation", 0, IF('Membership Application List'!J927 = "$15 Donation, Discord Verification", IF('Membership Application List'!N927 = TRUE, 15, 0)))</f>
        <v>#N/A</v>
      </c>
      <c r="F698" s="426">
        <f>if('Membership Application List'!K927=TRUE, 5,0)</f>
        <v>0</v>
      </c>
      <c r="G698" s="426" t="str">
        <f t="shared" si="8"/>
        <v>#N/A</v>
      </c>
      <c r="H698" s="427" t="str">
        <f>'Membership Application List'!L927</f>
        <v/>
      </c>
      <c r="I698" s="345"/>
      <c r="J698" s="441"/>
      <c r="K698" s="345"/>
      <c r="L698" s="478"/>
      <c r="M698" s="345"/>
      <c r="N698" s="345"/>
      <c r="O698" s="345"/>
      <c r="P698" s="414"/>
      <c r="Q698" s="414"/>
      <c r="R698" s="414"/>
      <c r="S698" s="445"/>
      <c r="T698" s="445"/>
      <c r="U698" s="445"/>
      <c r="V698" s="345"/>
      <c r="W698" s="441"/>
      <c r="X698" s="345"/>
      <c r="Y698" s="345"/>
      <c r="Z698" s="345"/>
      <c r="AA698" s="345"/>
      <c r="AB698" s="345"/>
      <c r="AC698" s="345"/>
      <c r="AD698" s="345"/>
      <c r="AE698" s="345"/>
      <c r="AF698" s="345"/>
      <c r="AG698" s="345"/>
      <c r="AH698" s="345"/>
      <c r="AI698" s="345"/>
      <c r="AJ698" s="345"/>
      <c r="AK698" s="345"/>
      <c r="AL698" s="345"/>
      <c r="AM698" s="345"/>
      <c r="AN698" s="345"/>
      <c r="AO698" s="345"/>
      <c r="AP698" s="345"/>
      <c r="AQ698" s="345"/>
      <c r="AR698" s="345"/>
      <c r="AS698" s="345"/>
    </row>
    <row r="699" ht="13.5" customHeight="1">
      <c r="A699" s="436" t="str">
        <f>'Membership Application List'!A928</f>
        <v/>
      </c>
      <c r="B699" s="437" t="str">
        <f t="shared" si="6"/>
        <v/>
      </c>
      <c r="C699" s="437" t="str">
        <f t="shared" si="7"/>
        <v/>
      </c>
      <c r="D699" s="438" t="str">
        <f>'Membership Application List'!E928</f>
        <v/>
      </c>
      <c r="E699" s="438" t="str">
        <f>IF('Membership Application List'!J928 = "Food/Litter Donation", 0, IF('Membership Application List'!J928 = "$15 Donation, Discord Verification", IF('Membership Application List'!N928 = TRUE, 15, 0)))</f>
        <v>#N/A</v>
      </c>
      <c r="F699" s="438">
        <f>if('Membership Application List'!K928=TRUE, 5,0)</f>
        <v>0</v>
      </c>
      <c r="G699" s="438" t="str">
        <f t="shared" si="8"/>
        <v>#N/A</v>
      </c>
      <c r="H699" s="439" t="str">
        <f>'Membership Application List'!L928</f>
        <v/>
      </c>
      <c r="I699" s="345"/>
      <c r="J699" s="441"/>
      <c r="K699" s="345"/>
      <c r="L699" s="478"/>
      <c r="M699" s="345"/>
      <c r="N699" s="345"/>
      <c r="O699" s="345"/>
      <c r="P699" s="414"/>
      <c r="Q699" s="414"/>
      <c r="R699" s="414"/>
      <c r="S699" s="445"/>
      <c r="T699" s="445"/>
      <c r="U699" s="445"/>
      <c r="V699" s="345"/>
      <c r="W699" s="441"/>
      <c r="X699" s="345"/>
      <c r="Y699" s="345"/>
      <c r="Z699" s="345"/>
      <c r="AA699" s="345"/>
      <c r="AB699" s="345"/>
      <c r="AC699" s="345"/>
      <c r="AD699" s="345"/>
      <c r="AE699" s="345"/>
      <c r="AF699" s="345"/>
      <c r="AG699" s="345"/>
      <c r="AH699" s="345"/>
      <c r="AI699" s="345"/>
      <c r="AJ699" s="345"/>
      <c r="AK699" s="345"/>
      <c r="AL699" s="345"/>
      <c r="AM699" s="345"/>
      <c r="AN699" s="345"/>
      <c r="AO699" s="345"/>
      <c r="AP699" s="345"/>
      <c r="AQ699" s="345"/>
      <c r="AR699" s="345"/>
      <c r="AS699" s="345"/>
    </row>
    <row r="700" ht="13.5" customHeight="1">
      <c r="A700" s="424" t="str">
        <f>'Membership Application List'!A929</f>
        <v/>
      </c>
      <c r="B700" s="443" t="str">
        <f t="shared" si="6"/>
        <v/>
      </c>
      <c r="C700" s="443" t="str">
        <f t="shared" si="7"/>
        <v/>
      </c>
      <c r="D700" s="426" t="str">
        <f>'Membership Application List'!E929</f>
        <v/>
      </c>
      <c r="E700" s="426" t="str">
        <f>IF('Membership Application List'!J929 = "Food/Litter Donation", 0, IF('Membership Application List'!J929 = "$15 Donation, Discord Verification", IF('Membership Application List'!N929 = TRUE, 15, 0)))</f>
        <v>#N/A</v>
      </c>
      <c r="F700" s="426">
        <f>if('Membership Application List'!K929=TRUE, 5,0)</f>
        <v>0</v>
      </c>
      <c r="G700" s="426" t="str">
        <f t="shared" si="8"/>
        <v>#N/A</v>
      </c>
      <c r="H700" s="427" t="str">
        <f>'Membership Application List'!L929</f>
        <v/>
      </c>
      <c r="I700" s="345"/>
      <c r="J700" s="441"/>
      <c r="K700" s="345"/>
      <c r="L700" s="478"/>
      <c r="M700" s="345"/>
      <c r="N700" s="345"/>
      <c r="O700" s="345"/>
      <c r="P700" s="414"/>
      <c r="Q700" s="414"/>
      <c r="R700" s="414"/>
      <c r="S700" s="445"/>
      <c r="T700" s="445"/>
      <c r="U700" s="445"/>
      <c r="V700" s="345"/>
      <c r="W700" s="441"/>
      <c r="X700" s="345"/>
      <c r="Y700" s="345"/>
      <c r="Z700" s="345"/>
      <c r="AA700" s="345"/>
      <c r="AB700" s="345"/>
      <c r="AC700" s="345"/>
      <c r="AD700" s="345"/>
      <c r="AE700" s="345"/>
      <c r="AF700" s="345"/>
      <c r="AG700" s="345"/>
      <c r="AH700" s="345"/>
      <c r="AI700" s="345"/>
      <c r="AJ700" s="345"/>
      <c r="AK700" s="345"/>
      <c r="AL700" s="345"/>
      <c r="AM700" s="345"/>
      <c r="AN700" s="345"/>
      <c r="AO700" s="345"/>
      <c r="AP700" s="345"/>
      <c r="AQ700" s="345"/>
      <c r="AR700" s="345"/>
      <c r="AS700" s="345"/>
    </row>
    <row r="701" ht="13.5" customHeight="1">
      <c r="A701" s="436" t="str">
        <f>'Membership Application List'!A930</f>
        <v/>
      </c>
      <c r="B701" s="437" t="str">
        <f t="shared" si="6"/>
        <v/>
      </c>
      <c r="C701" s="437" t="str">
        <f t="shared" si="7"/>
        <v/>
      </c>
      <c r="D701" s="438" t="str">
        <f>'Membership Application List'!E930</f>
        <v/>
      </c>
      <c r="E701" s="438" t="str">
        <f>IF('Membership Application List'!J930 = "Food/Litter Donation", 0, IF('Membership Application List'!J930 = "$15 Donation, Discord Verification", IF('Membership Application List'!N930 = TRUE, 15, 0)))</f>
        <v>#N/A</v>
      </c>
      <c r="F701" s="438">
        <f>if('Membership Application List'!K930=TRUE, 5,0)</f>
        <v>0</v>
      </c>
      <c r="G701" s="438" t="str">
        <f t="shared" si="8"/>
        <v>#N/A</v>
      </c>
      <c r="H701" s="439" t="str">
        <f>'Membership Application List'!L930</f>
        <v/>
      </c>
      <c r="I701" s="345"/>
      <c r="J701" s="441"/>
      <c r="K701" s="345"/>
      <c r="L701" s="478"/>
      <c r="M701" s="345"/>
      <c r="N701" s="345"/>
      <c r="O701" s="345"/>
      <c r="P701" s="414"/>
      <c r="Q701" s="414"/>
      <c r="R701" s="414"/>
      <c r="S701" s="445"/>
      <c r="T701" s="445"/>
      <c r="U701" s="445"/>
      <c r="V701" s="345"/>
      <c r="W701" s="441"/>
      <c r="X701" s="345"/>
      <c r="Y701" s="345"/>
      <c r="Z701" s="345"/>
      <c r="AA701" s="345"/>
      <c r="AB701" s="345"/>
      <c r="AC701" s="345"/>
      <c r="AD701" s="345"/>
      <c r="AE701" s="345"/>
      <c r="AF701" s="345"/>
      <c r="AG701" s="345"/>
      <c r="AH701" s="345"/>
      <c r="AI701" s="345"/>
      <c r="AJ701" s="345"/>
      <c r="AK701" s="345"/>
      <c r="AL701" s="345"/>
      <c r="AM701" s="345"/>
      <c r="AN701" s="345"/>
      <c r="AO701" s="345"/>
      <c r="AP701" s="345"/>
      <c r="AQ701" s="345"/>
      <c r="AR701" s="345"/>
      <c r="AS701" s="345"/>
    </row>
    <row r="702" ht="13.5" customHeight="1">
      <c r="A702" s="424" t="str">
        <f>'Membership Application List'!A931</f>
        <v/>
      </c>
      <c r="B702" s="443" t="str">
        <f t="shared" si="6"/>
        <v/>
      </c>
      <c r="C702" s="443" t="str">
        <f t="shared" si="7"/>
        <v/>
      </c>
      <c r="D702" s="426" t="str">
        <f>'Membership Application List'!E931</f>
        <v/>
      </c>
      <c r="E702" s="426" t="str">
        <f>IF('Membership Application List'!J931 = "Food/Litter Donation", 0, IF('Membership Application List'!J931 = "$15 Donation, Discord Verification", IF('Membership Application List'!N931 = TRUE, 15, 0)))</f>
        <v>#N/A</v>
      </c>
      <c r="F702" s="426">
        <f>if('Membership Application List'!K931=TRUE, 5,0)</f>
        <v>0</v>
      </c>
      <c r="G702" s="426" t="str">
        <f t="shared" si="8"/>
        <v>#N/A</v>
      </c>
      <c r="H702" s="427" t="str">
        <f>'Membership Application List'!L931</f>
        <v/>
      </c>
      <c r="I702" s="345"/>
      <c r="J702" s="441"/>
      <c r="K702" s="345"/>
      <c r="L702" s="478"/>
      <c r="M702" s="345"/>
      <c r="N702" s="345"/>
      <c r="O702" s="345"/>
      <c r="P702" s="414"/>
      <c r="Q702" s="414"/>
      <c r="R702" s="414"/>
      <c r="S702" s="445"/>
      <c r="T702" s="445"/>
      <c r="U702" s="445"/>
      <c r="V702" s="345"/>
      <c r="W702" s="441"/>
      <c r="X702" s="345"/>
      <c r="Y702" s="345"/>
      <c r="Z702" s="345"/>
      <c r="AA702" s="345"/>
      <c r="AB702" s="345"/>
      <c r="AC702" s="345"/>
      <c r="AD702" s="345"/>
      <c r="AE702" s="345"/>
      <c r="AF702" s="345"/>
      <c r="AG702" s="345"/>
      <c r="AH702" s="345"/>
      <c r="AI702" s="345"/>
      <c r="AJ702" s="345"/>
      <c r="AK702" s="345"/>
      <c r="AL702" s="345"/>
      <c r="AM702" s="345"/>
      <c r="AN702" s="345"/>
      <c r="AO702" s="345"/>
      <c r="AP702" s="345"/>
      <c r="AQ702" s="345"/>
      <c r="AR702" s="345"/>
      <c r="AS702" s="345"/>
    </row>
    <row r="703" ht="13.5" customHeight="1">
      <c r="A703" s="436" t="str">
        <f>'Membership Application List'!A932</f>
        <v/>
      </c>
      <c r="B703" s="437" t="str">
        <f t="shared" si="6"/>
        <v/>
      </c>
      <c r="C703" s="437" t="str">
        <f t="shared" si="7"/>
        <v/>
      </c>
      <c r="D703" s="438" t="str">
        <f>'Membership Application List'!E932</f>
        <v/>
      </c>
      <c r="E703" s="438" t="str">
        <f>IF('Membership Application List'!J932 = "Food/Litter Donation", 0, IF('Membership Application List'!J932 = "$15 Donation, Discord Verification", IF('Membership Application List'!N932 = TRUE, 15, 0)))</f>
        <v>#N/A</v>
      </c>
      <c r="F703" s="438">
        <f>if('Membership Application List'!K932=TRUE, 5,0)</f>
        <v>0</v>
      </c>
      <c r="G703" s="438" t="str">
        <f t="shared" si="8"/>
        <v>#N/A</v>
      </c>
      <c r="H703" s="439" t="str">
        <f>'Membership Application List'!L932</f>
        <v/>
      </c>
      <c r="I703" s="345"/>
      <c r="J703" s="441"/>
      <c r="K703" s="345"/>
      <c r="L703" s="478"/>
      <c r="M703" s="345"/>
      <c r="N703" s="345"/>
      <c r="O703" s="345"/>
      <c r="P703" s="414"/>
      <c r="Q703" s="414"/>
      <c r="R703" s="414"/>
      <c r="S703" s="445"/>
      <c r="T703" s="445"/>
      <c r="U703" s="445"/>
      <c r="V703" s="345"/>
      <c r="W703" s="441"/>
      <c r="X703" s="345"/>
      <c r="Y703" s="345"/>
      <c r="Z703" s="345"/>
      <c r="AA703" s="345"/>
      <c r="AB703" s="345"/>
      <c r="AC703" s="345"/>
      <c r="AD703" s="345"/>
      <c r="AE703" s="345"/>
      <c r="AF703" s="345"/>
      <c r="AG703" s="345"/>
      <c r="AH703" s="345"/>
      <c r="AI703" s="345"/>
      <c r="AJ703" s="345"/>
      <c r="AK703" s="345"/>
      <c r="AL703" s="345"/>
      <c r="AM703" s="345"/>
      <c r="AN703" s="345"/>
      <c r="AO703" s="345"/>
      <c r="AP703" s="345"/>
      <c r="AQ703" s="345"/>
      <c r="AR703" s="345"/>
      <c r="AS703" s="345"/>
    </row>
    <row r="704" ht="13.5" customHeight="1">
      <c r="A704" s="424" t="str">
        <f>'Membership Application List'!A933</f>
        <v/>
      </c>
      <c r="B704" s="443" t="str">
        <f t="shared" si="6"/>
        <v/>
      </c>
      <c r="C704" s="443" t="str">
        <f t="shared" si="7"/>
        <v/>
      </c>
      <c r="D704" s="426" t="str">
        <f>'Membership Application List'!E933</f>
        <v/>
      </c>
      <c r="E704" s="426" t="str">
        <f>IF('Membership Application List'!J933 = "Food/Litter Donation", 0, IF('Membership Application List'!J933 = "$15 Donation, Discord Verification", IF('Membership Application List'!N933 = TRUE, 15, 0)))</f>
        <v>#N/A</v>
      </c>
      <c r="F704" s="426">
        <f>if('Membership Application List'!K933=TRUE, 5,0)</f>
        <v>0</v>
      </c>
      <c r="G704" s="426" t="str">
        <f t="shared" si="8"/>
        <v>#N/A</v>
      </c>
      <c r="H704" s="427" t="str">
        <f>'Membership Application List'!L933</f>
        <v/>
      </c>
      <c r="I704" s="345"/>
      <c r="J704" s="441"/>
      <c r="K704" s="345"/>
      <c r="L704" s="478"/>
      <c r="M704" s="345"/>
      <c r="N704" s="345"/>
      <c r="O704" s="345"/>
      <c r="P704" s="414"/>
      <c r="Q704" s="414"/>
      <c r="R704" s="414"/>
      <c r="S704" s="445"/>
      <c r="T704" s="445"/>
      <c r="U704" s="445"/>
      <c r="V704" s="345"/>
      <c r="W704" s="441"/>
      <c r="X704" s="345"/>
      <c r="Y704" s="345"/>
      <c r="Z704" s="345"/>
      <c r="AA704" s="345"/>
      <c r="AB704" s="345"/>
      <c r="AC704" s="345"/>
      <c r="AD704" s="345"/>
      <c r="AE704" s="345"/>
      <c r="AF704" s="345"/>
      <c r="AG704" s="345"/>
      <c r="AH704" s="345"/>
      <c r="AI704" s="345"/>
      <c r="AJ704" s="345"/>
      <c r="AK704" s="345"/>
      <c r="AL704" s="345"/>
      <c r="AM704" s="345"/>
      <c r="AN704" s="345"/>
      <c r="AO704" s="345"/>
      <c r="AP704" s="345"/>
      <c r="AQ704" s="345"/>
      <c r="AR704" s="345"/>
      <c r="AS704" s="345"/>
    </row>
    <row r="705" ht="13.5" customHeight="1">
      <c r="A705" s="436" t="str">
        <f>'Membership Application List'!A934</f>
        <v/>
      </c>
      <c r="B705" s="437" t="str">
        <f t="shared" si="6"/>
        <v/>
      </c>
      <c r="C705" s="437" t="str">
        <f t="shared" si="7"/>
        <v/>
      </c>
      <c r="D705" s="438" t="str">
        <f>'Membership Application List'!E934</f>
        <v/>
      </c>
      <c r="E705" s="438" t="str">
        <f>IF('Membership Application List'!J934 = "Food/Litter Donation", 0, IF('Membership Application List'!J934 = "$15 Donation, Discord Verification", IF('Membership Application List'!N934 = TRUE, 15, 0)))</f>
        <v>#N/A</v>
      </c>
      <c r="F705" s="438">
        <f>if('Membership Application List'!K934=TRUE, 5,0)</f>
        <v>0</v>
      </c>
      <c r="G705" s="438" t="str">
        <f t="shared" si="8"/>
        <v>#N/A</v>
      </c>
      <c r="H705" s="439" t="str">
        <f>'Membership Application List'!L934</f>
        <v/>
      </c>
      <c r="I705" s="345"/>
      <c r="J705" s="441"/>
      <c r="K705" s="345"/>
      <c r="L705" s="478"/>
      <c r="M705" s="345"/>
      <c r="N705" s="345"/>
      <c r="O705" s="345"/>
      <c r="P705" s="414"/>
      <c r="Q705" s="414"/>
      <c r="R705" s="414"/>
      <c r="S705" s="445"/>
      <c r="T705" s="445"/>
      <c r="U705" s="445"/>
      <c r="V705" s="345"/>
      <c r="W705" s="441"/>
      <c r="X705" s="345"/>
      <c r="Y705" s="345"/>
      <c r="Z705" s="345"/>
      <c r="AA705" s="345"/>
      <c r="AB705" s="345"/>
      <c r="AC705" s="345"/>
      <c r="AD705" s="345"/>
      <c r="AE705" s="345"/>
      <c r="AF705" s="345"/>
      <c r="AG705" s="345"/>
      <c r="AH705" s="345"/>
      <c r="AI705" s="345"/>
      <c r="AJ705" s="345"/>
      <c r="AK705" s="345"/>
      <c r="AL705" s="345"/>
      <c r="AM705" s="345"/>
      <c r="AN705" s="345"/>
      <c r="AO705" s="345"/>
      <c r="AP705" s="345"/>
      <c r="AQ705" s="345"/>
      <c r="AR705" s="345"/>
      <c r="AS705" s="345"/>
    </row>
    <row r="706" ht="13.5" customHeight="1">
      <c r="A706" s="424" t="str">
        <f>'Membership Application List'!A935</f>
        <v/>
      </c>
      <c r="B706" s="443" t="str">
        <f t="shared" si="6"/>
        <v/>
      </c>
      <c r="C706" s="443" t="str">
        <f t="shared" si="7"/>
        <v/>
      </c>
      <c r="D706" s="426" t="str">
        <f>'Membership Application List'!E935</f>
        <v/>
      </c>
      <c r="E706" s="426" t="str">
        <f>IF('Membership Application List'!J935 = "Food/Litter Donation", 0, IF('Membership Application List'!J935 = "$15 Donation, Discord Verification", IF('Membership Application List'!N935 = TRUE, 15, 0)))</f>
        <v>#N/A</v>
      </c>
      <c r="F706" s="426">
        <f>if('Membership Application List'!K935=TRUE, 5,0)</f>
        <v>0</v>
      </c>
      <c r="G706" s="426" t="str">
        <f t="shared" si="8"/>
        <v>#N/A</v>
      </c>
      <c r="H706" s="427" t="str">
        <f>'Membership Application List'!L935</f>
        <v/>
      </c>
      <c r="I706" s="345"/>
      <c r="J706" s="441"/>
      <c r="K706" s="345"/>
      <c r="L706" s="478"/>
      <c r="M706" s="345"/>
      <c r="N706" s="345"/>
      <c r="O706" s="345"/>
      <c r="P706" s="414"/>
      <c r="Q706" s="414"/>
      <c r="R706" s="414"/>
      <c r="S706" s="445"/>
      <c r="T706" s="445"/>
      <c r="U706" s="445"/>
      <c r="V706" s="345"/>
      <c r="W706" s="441"/>
      <c r="X706" s="345"/>
      <c r="Y706" s="345"/>
      <c r="Z706" s="345"/>
      <c r="AA706" s="345"/>
      <c r="AB706" s="345"/>
      <c r="AC706" s="345"/>
      <c r="AD706" s="345"/>
      <c r="AE706" s="345"/>
      <c r="AF706" s="345"/>
      <c r="AG706" s="345"/>
      <c r="AH706" s="345"/>
      <c r="AI706" s="345"/>
      <c r="AJ706" s="345"/>
      <c r="AK706" s="345"/>
      <c r="AL706" s="345"/>
      <c r="AM706" s="345"/>
      <c r="AN706" s="345"/>
      <c r="AO706" s="345"/>
      <c r="AP706" s="345"/>
      <c r="AQ706" s="345"/>
      <c r="AR706" s="345"/>
      <c r="AS706" s="345"/>
    </row>
    <row r="707" ht="13.5" customHeight="1">
      <c r="A707" s="436" t="str">
        <f>'Membership Application List'!A936</f>
        <v/>
      </c>
      <c r="B707" s="437" t="str">
        <f t="shared" si="6"/>
        <v/>
      </c>
      <c r="C707" s="437" t="str">
        <f t="shared" si="7"/>
        <v/>
      </c>
      <c r="D707" s="438" t="str">
        <f>'Membership Application List'!E936</f>
        <v/>
      </c>
      <c r="E707" s="438" t="str">
        <f>IF('Membership Application List'!J936 = "Food/Litter Donation", 0, IF('Membership Application List'!J936 = "$15 Donation, Discord Verification", IF('Membership Application List'!N936 = TRUE, 15, 0)))</f>
        <v>#N/A</v>
      </c>
      <c r="F707" s="438">
        <f>if('Membership Application List'!K936=TRUE, 5,0)</f>
        <v>0</v>
      </c>
      <c r="G707" s="438" t="str">
        <f t="shared" si="8"/>
        <v>#N/A</v>
      </c>
      <c r="H707" s="439" t="str">
        <f>'Membership Application List'!L936</f>
        <v/>
      </c>
      <c r="I707" s="345"/>
      <c r="J707" s="441"/>
      <c r="K707" s="345"/>
      <c r="L707" s="478"/>
      <c r="M707" s="345"/>
      <c r="N707" s="345"/>
      <c r="O707" s="345"/>
      <c r="P707" s="414"/>
      <c r="Q707" s="414"/>
      <c r="R707" s="414"/>
      <c r="S707" s="445"/>
      <c r="T707" s="445"/>
      <c r="U707" s="445"/>
      <c r="V707" s="345"/>
      <c r="W707" s="441"/>
      <c r="X707" s="345"/>
      <c r="Y707" s="345"/>
      <c r="Z707" s="345"/>
      <c r="AA707" s="345"/>
      <c r="AB707" s="345"/>
      <c r="AC707" s="345"/>
      <c r="AD707" s="345"/>
      <c r="AE707" s="345"/>
      <c r="AF707" s="345"/>
      <c r="AG707" s="345"/>
      <c r="AH707" s="345"/>
      <c r="AI707" s="345"/>
      <c r="AJ707" s="345"/>
      <c r="AK707" s="345"/>
      <c r="AL707" s="345"/>
      <c r="AM707" s="345"/>
      <c r="AN707" s="345"/>
      <c r="AO707" s="345"/>
      <c r="AP707" s="345"/>
      <c r="AQ707" s="345"/>
      <c r="AR707" s="345"/>
      <c r="AS707" s="345"/>
    </row>
    <row r="708" ht="13.5" customHeight="1">
      <c r="A708" s="424" t="str">
        <f>'Membership Application List'!A937</f>
        <v/>
      </c>
      <c r="B708" s="443" t="str">
        <f t="shared" si="6"/>
        <v/>
      </c>
      <c r="C708" s="443" t="str">
        <f t="shared" si="7"/>
        <v/>
      </c>
      <c r="D708" s="426" t="str">
        <f>'Membership Application List'!E937</f>
        <v/>
      </c>
      <c r="E708" s="426" t="str">
        <f>IF('Membership Application List'!J937 = "Food/Litter Donation", 0, IF('Membership Application List'!J937 = "$15 Donation, Discord Verification", IF('Membership Application List'!N937 = TRUE, 15, 0)))</f>
        <v>#N/A</v>
      </c>
      <c r="F708" s="426">
        <f>if('Membership Application List'!K937=TRUE, 5,0)</f>
        <v>0</v>
      </c>
      <c r="G708" s="426" t="str">
        <f t="shared" si="8"/>
        <v>#N/A</v>
      </c>
      <c r="H708" s="427" t="str">
        <f>'Membership Application List'!L937</f>
        <v/>
      </c>
      <c r="I708" s="345"/>
      <c r="J708" s="441"/>
      <c r="K708" s="345"/>
      <c r="L708" s="478"/>
      <c r="M708" s="345"/>
      <c r="N708" s="345"/>
      <c r="O708" s="345"/>
      <c r="P708" s="414"/>
      <c r="Q708" s="414"/>
      <c r="R708" s="414"/>
      <c r="S708" s="445"/>
      <c r="T708" s="445"/>
      <c r="U708" s="445"/>
      <c r="V708" s="345"/>
      <c r="W708" s="441"/>
      <c r="X708" s="345"/>
      <c r="Y708" s="345"/>
      <c r="Z708" s="345"/>
      <c r="AA708" s="345"/>
      <c r="AB708" s="345"/>
      <c r="AC708" s="345"/>
      <c r="AD708" s="345"/>
      <c r="AE708" s="345"/>
      <c r="AF708" s="345"/>
      <c r="AG708" s="345"/>
      <c r="AH708" s="345"/>
      <c r="AI708" s="345"/>
      <c r="AJ708" s="345"/>
      <c r="AK708" s="345"/>
      <c r="AL708" s="345"/>
      <c r="AM708" s="345"/>
      <c r="AN708" s="345"/>
      <c r="AO708" s="345"/>
      <c r="AP708" s="345"/>
      <c r="AQ708" s="345"/>
      <c r="AR708" s="345"/>
      <c r="AS708" s="345"/>
    </row>
    <row r="709" ht="13.5" customHeight="1">
      <c r="A709" s="436" t="str">
        <f>'Membership Application List'!A938</f>
        <v/>
      </c>
      <c r="B709" s="437" t="str">
        <f t="shared" si="6"/>
        <v/>
      </c>
      <c r="C709" s="437" t="str">
        <f t="shared" si="7"/>
        <v/>
      </c>
      <c r="D709" s="438" t="str">
        <f>'Membership Application List'!E938</f>
        <v/>
      </c>
      <c r="E709" s="438" t="str">
        <f>IF('Membership Application List'!J938 = "Food/Litter Donation", 0, IF('Membership Application List'!J938 = "$15 Donation, Discord Verification", IF('Membership Application List'!N938 = TRUE, 15, 0)))</f>
        <v>#N/A</v>
      </c>
      <c r="F709" s="438">
        <f>if('Membership Application List'!K938=TRUE, 5,0)</f>
        <v>0</v>
      </c>
      <c r="G709" s="438" t="str">
        <f t="shared" si="8"/>
        <v>#N/A</v>
      </c>
      <c r="H709" s="439" t="str">
        <f>'Membership Application List'!L938</f>
        <v/>
      </c>
      <c r="I709" s="345"/>
      <c r="J709" s="441"/>
      <c r="K709" s="345"/>
      <c r="L709" s="478"/>
      <c r="M709" s="345"/>
      <c r="N709" s="345"/>
      <c r="O709" s="345"/>
      <c r="P709" s="414"/>
      <c r="Q709" s="414"/>
      <c r="R709" s="414"/>
      <c r="S709" s="445"/>
      <c r="T709" s="445"/>
      <c r="U709" s="445"/>
      <c r="V709" s="345"/>
      <c r="W709" s="441"/>
      <c r="X709" s="345"/>
      <c r="Y709" s="345"/>
      <c r="Z709" s="345"/>
      <c r="AA709" s="345"/>
      <c r="AB709" s="345"/>
      <c r="AC709" s="345"/>
      <c r="AD709" s="345"/>
      <c r="AE709" s="345"/>
      <c r="AF709" s="345"/>
      <c r="AG709" s="345"/>
      <c r="AH709" s="345"/>
      <c r="AI709" s="345"/>
      <c r="AJ709" s="345"/>
      <c r="AK709" s="345"/>
      <c r="AL709" s="345"/>
      <c r="AM709" s="345"/>
      <c r="AN709" s="345"/>
      <c r="AO709" s="345"/>
      <c r="AP709" s="345"/>
      <c r="AQ709" s="345"/>
      <c r="AR709" s="345"/>
      <c r="AS709" s="345"/>
    </row>
    <row r="710" ht="13.5" customHeight="1">
      <c r="A710" s="424" t="str">
        <f>'Membership Application List'!A939</f>
        <v/>
      </c>
      <c r="B710" s="443" t="str">
        <f t="shared" si="6"/>
        <v/>
      </c>
      <c r="C710" s="443" t="str">
        <f t="shared" si="7"/>
        <v/>
      </c>
      <c r="D710" s="426" t="str">
        <f>'Membership Application List'!E939</f>
        <v/>
      </c>
      <c r="E710" s="426" t="str">
        <f>IF('Membership Application List'!J939 = "Food/Litter Donation", 0, IF('Membership Application List'!J939 = "$15 Donation, Discord Verification", IF('Membership Application List'!N939 = TRUE, 15, 0)))</f>
        <v>#N/A</v>
      </c>
      <c r="F710" s="426">
        <f>if('Membership Application List'!K939=TRUE, 5,0)</f>
        <v>0</v>
      </c>
      <c r="G710" s="426" t="str">
        <f t="shared" si="8"/>
        <v>#N/A</v>
      </c>
      <c r="H710" s="427" t="str">
        <f>'Membership Application List'!L939</f>
        <v/>
      </c>
      <c r="I710" s="345"/>
      <c r="J710" s="441"/>
      <c r="K710" s="345"/>
      <c r="L710" s="478"/>
      <c r="M710" s="345"/>
      <c r="N710" s="345"/>
      <c r="O710" s="345"/>
      <c r="P710" s="414"/>
      <c r="Q710" s="414"/>
      <c r="R710" s="414"/>
      <c r="S710" s="445"/>
      <c r="T710" s="445"/>
      <c r="U710" s="445"/>
      <c r="V710" s="345"/>
      <c r="W710" s="441"/>
      <c r="X710" s="345"/>
      <c r="Y710" s="345"/>
      <c r="Z710" s="345"/>
      <c r="AA710" s="345"/>
      <c r="AB710" s="345"/>
      <c r="AC710" s="345"/>
      <c r="AD710" s="345"/>
      <c r="AE710" s="345"/>
      <c r="AF710" s="345"/>
      <c r="AG710" s="345"/>
      <c r="AH710" s="345"/>
      <c r="AI710" s="345"/>
      <c r="AJ710" s="345"/>
      <c r="AK710" s="345"/>
      <c r="AL710" s="345"/>
      <c r="AM710" s="345"/>
      <c r="AN710" s="345"/>
      <c r="AO710" s="345"/>
      <c r="AP710" s="345"/>
      <c r="AQ710" s="345"/>
      <c r="AR710" s="345"/>
      <c r="AS710" s="345"/>
    </row>
    <row r="711" ht="13.5" customHeight="1">
      <c r="A711" s="436" t="str">
        <f>'Membership Application List'!A940</f>
        <v/>
      </c>
      <c r="B711" s="437" t="str">
        <f t="shared" si="6"/>
        <v/>
      </c>
      <c r="C711" s="437" t="str">
        <f t="shared" si="7"/>
        <v/>
      </c>
      <c r="D711" s="438" t="str">
        <f>'Membership Application List'!E940</f>
        <v/>
      </c>
      <c r="E711" s="438" t="str">
        <f>IF('Membership Application List'!J940 = "Food/Litter Donation", 0, IF('Membership Application List'!J940 = "$15 Donation, Discord Verification", IF('Membership Application List'!N940 = TRUE, 15, 0)))</f>
        <v>#N/A</v>
      </c>
      <c r="F711" s="438">
        <f>if('Membership Application List'!K940=TRUE, 5,0)</f>
        <v>0</v>
      </c>
      <c r="G711" s="438" t="str">
        <f t="shared" si="8"/>
        <v>#N/A</v>
      </c>
      <c r="H711" s="439" t="str">
        <f>'Membership Application List'!L940</f>
        <v/>
      </c>
      <c r="I711" s="345"/>
      <c r="J711" s="441"/>
      <c r="K711" s="345"/>
      <c r="L711" s="478"/>
      <c r="M711" s="345"/>
      <c r="N711" s="345"/>
      <c r="O711" s="345"/>
      <c r="P711" s="414"/>
      <c r="Q711" s="414"/>
      <c r="R711" s="414"/>
      <c r="S711" s="445"/>
      <c r="T711" s="445"/>
      <c r="U711" s="445"/>
      <c r="V711" s="345"/>
      <c r="W711" s="441"/>
      <c r="X711" s="345"/>
      <c r="Y711" s="345"/>
      <c r="Z711" s="345"/>
      <c r="AA711" s="345"/>
      <c r="AB711" s="345"/>
      <c r="AC711" s="345"/>
      <c r="AD711" s="345"/>
      <c r="AE711" s="345"/>
      <c r="AF711" s="345"/>
      <c r="AG711" s="345"/>
      <c r="AH711" s="345"/>
      <c r="AI711" s="345"/>
      <c r="AJ711" s="345"/>
      <c r="AK711" s="345"/>
      <c r="AL711" s="345"/>
      <c r="AM711" s="345"/>
      <c r="AN711" s="345"/>
      <c r="AO711" s="345"/>
      <c r="AP711" s="345"/>
      <c r="AQ711" s="345"/>
      <c r="AR711" s="345"/>
      <c r="AS711" s="345"/>
    </row>
    <row r="712" ht="13.5" customHeight="1">
      <c r="A712" s="424" t="str">
        <f>'Membership Application List'!A941</f>
        <v/>
      </c>
      <c r="B712" s="443" t="str">
        <f t="shared" si="6"/>
        <v/>
      </c>
      <c r="C712" s="443" t="str">
        <f t="shared" si="7"/>
        <v/>
      </c>
      <c r="D712" s="426" t="str">
        <f>'Membership Application List'!E941</f>
        <v/>
      </c>
      <c r="E712" s="426" t="str">
        <f>IF('Membership Application List'!J941 = "Food/Litter Donation", 0, IF('Membership Application List'!J941 = "$15 Donation, Discord Verification", IF('Membership Application List'!N941 = TRUE, 15, 0)))</f>
        <v>#N/A</v>
      </c>
      <c r="F712" s="426">
        <f>if('Membership Application List'!K941=TRUE, 5,0)</f>
        <v>0</v>
      </c>
      <c r="G712" s="426" t="str">
        <f t="shared" si="8"/>
        <v>#N/A</v>
      </c>
      <c r="H712" s="427" t="str">
        <f>'Membership Application List'!L941</f>
        <v/>
      </c>
      <c r="I712" s="345"/>
      <c r="J712" s="441"/>
      <c r="K712" s="345"/>
      <c r="L712" s="478"/>
      <c r="M712" s="345"/>
      <c r="N712" s="345"/>
      <c r="O712" s="345"/>
      <c r="P712" s="414"/>
      <c r="Q712" s="414"/>
      <c r="R712" s="414"/>
      <c r="S712" s="445"/>
      <c r="T712" s="445"/>
      <c r="U712" s="445"/>
      <c r="V712" s="345"/>
      <c r="W712" s="441"/>
      <c r="X712" s="345"/>
      <c r="Y712" s="345"/>
      <c r="Z712" s="345"/>
      <c r="AA712" s="345"/>
      <c r="AB712" s="345"/>
      <c r="AC712" s="345"/>
      <c r="AD712" s="345"/>
      <c r="AE712" s="345"/>
      <c r="AF712" s="345"/>
      <c r="AG712" s="345"/>
      <c r="AH712" s="345"/>
      <c r="AI712" s="345"/>
      <c r="AJ712" s="345"/>
      <c r="AK712" s="345"/>
      <c r="AL712" s="345"/>
      <c r="AM712" s="345"/>
      <c r="AN712" s="345"/>
      <c r="AO712" s="345"/>
      <c r="AP712" s="345"/>
      <c r="AQ712" s="345"/>
      <c r="AR712" s="345"/>
      <c r="AS712" s="345"/>
    </row>
    <row r="713" ht="13.5" customHeight="1">
      <c r="A713" s="436" t="str">
        <f>'Membership Application List'!A942</f>
        <v/>
      </c>
      <c r="B713" s="437" t="str">
        <f t="shared" si="6"/>
        <v/>
      </c>
      <c r="C713" s="437" t="str">
        <f t="shared" si="7"/>
        <v/>
      </c>
      <c r="D713" s="438" t="str">
        <f>'Membership Application List'!E942</f>
        <v/>
      </c>
      <c r="E713" s="438" t="str">
        <f>IF('Membership Application List'!J942 = "Food/Litter Donation", 0, IF('Membership Application List'!J942 = "$15 Donation, Discord Verification", IF('Membership Application List'!N942 = TRUE, 15, 0)))</f>
        <v>#N/A</v>
      </c>
      <c r="F713" s="438">
        <f>if('Membership Application List'!K942=TRUE, 5,0)</f>
        <v>0</v>
      </c>
      <c r="G713" s="438" t="str">
        <f t="shared" si="8"/>
        <v>#N/A</v>
      </c>
      <c r="H713" s="439" t="str">
        <f>'Membership Application List'!L942</f>
        <v/>
      </c>
      <c r="I713" s="345"/>
      <c r="J713" s="441"/>
      <c r="K713" s="345"/>
      <c r="L713" s="478"/>
      <c r="M713" s="345"/>
      <c r="N713" s="345"/>
      <c r="O713" s="345"/>
      <c r="P713" s="414"/>
      <c r="Q713" s="414"/>
      <c r="R713" s="414"/>
      <c r="S713" s="445"/>
      <c r="T713" s="445"/>
      <c r="U713" s="445"/>
      <c r="V713" s="345"/>
      <c r="W713" s="441"/>
      <c r="X713" s="345"/>
      <c r="Y713" s="345"/>
      <c r="Z713" s="345"/>
      <c r="AA713" s="345"/>
      <c r="AB713" s="345"/>
      <c r="AC713" s="345"/>
      <c r="AD713" s="345"/>
      <c r="AE713" s="345"/>
      <c r="AF713" s="345"/>
      <c r="AG713" s="345"/>
      <c r="AH713" s="345"/>
      <c r="AI713" s="345"/>
      <c r="AJ713" s="345"/>
      <c r="AK713" s="345"/>
      <c r="AL713" s="345"/>
      <c r="AM713" s="345"/>
      <c r="AN713" s="345"/>
      <c r="AO713" s="345"/>
      <c r="AP713" s="345"/>
      <c r="AQ713" s="345"/>
      <c r="AR713" s="345"/>
      <c r="AS713" s="345"/>
    </row>
    <row r="714" ht="13.5" customHeight="1">
      <c r="A714" s="424" t="str">
        <f>'Membership Application List'!A943</f>
        <v/>
      </c>
      <c r="B714" s="443" t="str">
        <f t="shared" si="6"/>
        <v/>
      </c>
      <c r="C714" s="443" t="str">
        <f t="shared" si="7"/>
        <v/>
      </c>
      <c r="D714" s="426" t="str">
        <f>'Membership Application List'!E943</f>
        <v/>
      </c>
      <c r="E714" s="426" t="str">
        <f>IF('Membership Application List'!J943 = "Food/Litter Donation", 0, IF('Membership Application List'!J943 = "$15 Donation, Discord Verification", IF('Membership Application List'!N943 = TRUE, 15, 0)))</f>
        <v>#N/A</v>
      </c>
      <c r="F714" s="426">
        <f>if('Membership Application List'!K943=TRUE, 5,0)</f>
        <v>0</v>
      </c>
      <c r="G714" s="426" t="str">
        <f t="shared" si="8"/>
        <v>#N/A</v>
      </c>
      <c r="H714" s="427" t="str">
        <f>'Membership Application List'!L943</f>
        <v/>
      </c>
      <c r="I714" s="345"/>
      <c r="J714" s="441"/>
      <c r="K714" s="345"/>
      <c r="L714" s="478"/>
      <c r="M714" s="345"/>
      <c r="N714" s="345"/>
      <c r="O714" s="345"/>
      <c r="P714" s="414"/>
      <c r="Q714" s="414"/>
      <c r="R714" s="414"/>
      <c r="S714" s="445"/>
      <c r="T714" s="445"/>
      <c r="U714" s="445"/>
      <c r="V714" s="345"/>
      <c r="W714" s="441"/>
      <c r="X714" s="345"/>
      <c r="Y714" s="345"/>
      <c r="Z714" s="345"/>
      <c r="AA714" s="345"/>
      <c r="AB714" s="345"/>
      <c r="AC714" s="345"/>
      <c r="AD714" s="345"/>
      <c r="AE714" s="345"/>
      <c r="AF714" s="345"/>
      <c r="AG714" s="345"/>
      <c r="AH714" s="345"/>
      <c r="AI714" s="345"/>
      <c r="AJ714" s="345"/>
      <c r="AK714" s="345"/>
      <c r="AL714" s="345"/>
      <c r="AM714" s="345"/>
      <c r="AN714" s="345"/>
      <c r="AO714" s="345"/>
      <c r="AP714" s="345"/>
      <c r="AQ714" s="345"/>
      <c r="AR714" s="345"/>
      <c r="AS714" s="345"/>
    </row>
    <row r="715" ht="13.5" customHeight="1">
      <c r="A715" s="436" t="str">
        <f>'Membership Application List'!A944</f>
        <v/>
      </c>
      <c r="B715" s="437" t="str">
        <f t="shared" si="6"/>
        <v/>
      </c>
      <c r="C715" s="437" t="str">
        <f t="shared" si="7"/>
        <v/>
      </c>
      <c r="D715" s="438" t="str">
        <f>'Membership Application List'!E944</f>
        <v/>
      </c>
      <c r="E715" s="438" t="str">
        <f>IF('Membership Application List'!J944 = "Food/Litter Donation", 0, IF('Membership Application List'!J944 = "$15 Donation, Discord Verification", IF('Membership Application List'!N944 = TRUE, 15, 0)))</f>
        <v>#N/A</v>
      </c>
      <c r="F715" s="438">
        <f>if('Membership Application List'!K944=TRUE, 5,0)</f>
        <v>0</v>
      </c>
      <c r="G715" s="438" t="str">
        <f t="shared" si="8"/>
        <v>#N/A</v>
      </c>
      <c r="H715" s="439" t="str">
        <f>'Membership Application List'!L944</f>
        <v/>
      </c>
      <c r="I715" s="345"/>
      <c r="J715" s="441"/>
      <c r="K715" s="345"/>
      <c r="L715" s="478"/>
      <c r="M715" s="345"/>
      <c r="N715" s="345"/>
      <c r="O715" s="345"/>
      <c r="P715" s="414"/>
      <c r="Q715" s="414"/>
      <c r="R715" s="414"/>
      <c r="S715" s="445"/>
      <c r="T715" s="445"/>
      <c r="U715" s="445"/>
      <c r="V715" s="345"/>
      <c r="W715" s="441"/>
      <c r="X715" s="345"/>
      <c r="Y715" s="345"/>
      <c r="Z715" s="345"/>
      <c r="AA715" s="345"/>
      <c r="AB715" s="345"/>
      <c r="AC715" s="345"/>
      <c r="AD715" s="345"/>
      <c r="AE715" s="345"/>
      <c r="AF715" s="345"/>
      <c r="AG715" s="345"/>
      <c r="AH715" s="345"/>
      <c r="AI715" s="345"/>
      <c r="AJ715" s="345"/>
      <c r="AK715" s="345"/>
      <c r="AL715" s="345"/>
      <c r="AM715" s="345"/>
      <c r="AN715" s="345"/>
      <c r="AO715" s="345"/>
      <c r="AP715" s="345"/>
      <c r="AQ715" s="345"/>
      <c r="AR715" s="345"/>
      <c r="AS715" s="345"/>
    </row>
    <row r="716" ht="13.5" customHeight="1">
      <c r="A716" s="424" t="str">
        <f>'Membership Application List'!A945</f>
        <v/>
      </c>
      <c r="B716" s="443" t="str">
        <f t="shared" si="6"/>
        <v/>
      </c>
      <c r="C716" s="443" t="str">
        <f t="shared" si="7"/>
        <v/>
      </c>
      <c r="D716" s="426" t="str">
        <f>'Membership Application List'!E945</f>
        <v/>
      </c>
      <c r="E716" s="426" t="str">
        <f>IF('Membership Application List'!J945 = "Food/Litter Donation", 0, IF('Membership Application List'!J945 = "$15 Donation, Discord Verification", IF('Membership Application List'!N945 = TRUE, 15, 0)))</f>
        <v>#N/A</v>
      </c>
      <c r="F716" s="426">
        <f>if('Membership Application List'!K945=TRUE, 5,0)</f>
        <v>0</v>
      </c>
      <c r="G716" s="426" t="str">
        <f t="shared" si="8"/>
        <v>#N/A</v>
      </c>
      <c r="H716" s="427" t="str">
        <f>'Membership Application List'!L945</f>
        <v/>
      </c>
      <c r="I716" s="345"/>
      <c r="J716" s="441"/>
      <c r="K716" s="345"/>
      <c r="L716" s="478"/>
      <c r="M716" s="345"/>
      <c r="N716" s="345"/>
      <c r="O716" s="345"/>
      <c r="P716" s="414"/>
      <c r="Q716" s="414"/>
      <c r="R716" s="414"/>
      <c r="S716" s="445"/>
      <c r="T716" s="445"/>
      <c r="U716" s="445"/>
      <c r="V716" s="345"/>
      <c r="W716" s="441"/>
      <c r="X716" s="345"/>
      <c r="Y716" s="345"/>
      <c r="Z716" s="345"/>
      <c r="AA716" s="345"/>
      <c r="AB716" s="345"/>
      <c r="AC716" s="345"/>
      <c r="AD716" s="345"/>
      <c r="AE716" s="345"/>
      <c r="AF716" s="345"/>
      <c r="AG716" s="345"/>
      <c r="AH716" s="345"/>
      <c r="AI716" s="345"/>
      <c r="AJ716" s="345"/>
      <c r="AK716" s="345"/>
      <c r="AL716" s="345"/>
      <c r="AM716" s="345"/>
      <c r="AN716" s="345"/>
      <c r="AO716" s="345"/>
      <c r="AP716" s="345"/>
      <c r="AQ716" s="345"/>
      <c r="AR716" s="345"/>
      <c r="AS716" s="345"/>
    </row>
    <row r="717" ht="13.5" customHeight="1">
      <c r="A717" s="436" t="str">
        <f>'Membership Application List'!A946</f>
        <v/>
      </c>
      <c r="B717" s="437" t="str">
        <f t="shared" si="6"/>
        <v/>
      </c>
      <c r="C717" s="437" t="str">
        <f t="shared" si="7"/>
        <v/>
      </c>
      <c r="D717" s="438" t="str">
        <f>'Membership Application List'!E946</f>
        <v/>
      </c>
      <c r="E717" s="438" t="str">
        <f>IF('Membership Application List'!J946 = "Food/Litter Donation", 0, IF('Membership Application List'!J946 = "$15 Donation, Discord Verification", IF('Membership Application List'!N946 = TRUE, 15, 0)))</f>
        <v>#N/A</v>
      </c>
      <c r="F717" s="438">
        <f>if('Membership Application List'!K946=TRUE, 5,0)</f>
        <v>0</v>
      </c>
      <c r="G717" s="438" t="str">
        <f t="shared" si="8"/>
        <v>#N/A</v>
      </c>
      <c r="H717" s="439" t="str">
        <f>'Membership Application List'!L946</f>
        <v/>
      </c>
      <c r="I717" s="345"/>
      <c r="J717" s="441"/>
      <c r="K717" s="345"/>
      <c r="L717" s="478"/>
      <c r="M717" s="345"/>
      <c r="N717" s="345"/>
      <c r="O717" s="345"/>
      <c r="P717" s="414"/>
      <c r="Q717" s="414"/>
      <c r="R717" s="414"/>
      <c r="S717" s="445"/>
      <c r="T717" s="445"/>
      <c r="U717" s="445"/>
      <c r="V717" s="345"/>
      <c r="W717" s="441"/>
      <c r="X717" s="345"/>
      <c r="Y717" s="345"/>
      <c r="Z717" s="345"/>
      <c r="AA717" s="345"/>
      <c r="AB717" s="345"/>
      <c r="AC717" s="345"/>
      <c r="AD717" s="345"/>
      <c r="AE717" s="345"/>
      <c r="AF717" s="345"/>
      <c r="AG717" s="345"/>
      <c r="AH717" s="345"/>
      <c r="AI717" s="345"/>
      <c r="AJ717" s="345"/>
      <c r="AK717" s="345"/>
      <c r="AL717" s="345"/>
      <c r="AM717" s="345"/>
      <c r="AN717" s="345"/>
      <c r="AO717" s="345"/>
      <c r="AP717" s="345"/>
      <c r="AQ717" s="345"/>
      <c r="AR717" s="345"/>
      <c r="AS717" s="345"/>
    </row>
    <row r="718" ht="13.5" customHeight="1">
      <c r="A718" s="424" t="str">
        <f>'Membership Application List'!A947</f>
        <v/>
      </c>
      <c r="B718" s="443" t="str">
        <f t="shared" si="6"/>
        <v/>
      </c>
      <c r="C718" s="443" t="str">
        <f t="shared" si="7"/>
        <v/>
      </c>
      <c r="D718" s="426" t="str">
        <f>'Membership Application List'!E947</f>
        <v/>
      </c>
      <c r="E718" s="426" t="str">
        <f>IF('Membership Application List'!J947 = "Food/Litter Donation", 0, IF('Membership Application List'!J947 = "$15 Donation, Discord Verification", IF('Membership Application List'!N947 = TRUE, 15, 0)))</f>
        <v>#N/A</v>
      </c>
      <c r="F718" s="426">
        <f>if('Membership Application List'!K947=TRUE, 5,0)</f>
        <v>0</v>
      </c>
      <c r="G718" s="426" t="str">
        <f t="shared" si="8"/>
        <v>#N/A</v>
      </c>
      <c r="H718" s="427" t="str">
        <f>'Membership Application List'!L947</f>
        <v/>
      </c>
      <c r="I718" s="345"/>
      <c r="J718" s="441"/>
      <c r="K718" s="345"/>
      <c r="L718" s="478"/>
      <c r="M718" s="345"/>
      <c r="N718" s="345"/>
      <c r="O718" s="345"/>
      <c r="P718" s="414"/>
      <c r="Q718" s="414"/>
      <c r="R718" s="414"/>
      <c r="S718" s="445"/>
      <c r="T718" s="445"/>
      <c r="U718" s="445"/>
      <c r="V718" s="345"/>
      <c r="W718" s="441"/>
      <c r="X718" s="345"/>
      <c r="Y718" s="345"/>
      <c r="Z718" s="345"/>
      <c r="AA718" s="345"/>
      <c r="AB718" s="345"/>
      <c r="AC718" s="345"/>
      <c r="AD718" s="345"/>
      <c r="AE718" s="345"/>
      <c r="AF718" s="345"/>
      <c r="AG718" s="345"/>
      <c r="AH718" s="345"/>
      <c r="AI718" s="345"/>
      <c r="AJ718" s="345"/>
      <c r="AK718" s="345"/>
      <c r="AL718" s="345"/>
      <c r="AM718" s="345"/>
      <c r="AN718" s="345"/>
      <c r="AO718" s="345"/>
      <c r="AP718" s="345"/>
      <c r="AQ718" s="345"/>
      <c r="AR718" s="345"/>
      <c r="AS718" s="345"/>
    </row>
    <row r="719" ht="13.5" customHeight="1">
      <c r="A719" s="436" t="str">
        <f>'Membership Application List'!A948</f>
        <v/>
      </c>
      <c r="B719" s="437" t="str">
        <f t="shared" si="6"/>
        <v/>
      </c>
      <c r="C719" s="437" t="str">
        <f t="shared" si="7"/>
        <v/>
      </c>
      <c r="D719" s="438" t="str">
        <f>'Membership Application List'!E948</f>
        <v/>
      </c>
      <c r="E719" s="438" t="str">
        <f>IF('Membership Application List'!J948 = "Food/Litter Donation", 0, IF('Membership Application List'!J948 = "$15 Donation, Discord Verification", IF('Membership Application List'!N948 = TRUE, 15, 0)))</f>
        <v>#N/A</v>
      </c>
      <c r="F719" s="438">
        <f>if('Membership Application List'!K948=TRUE, 5,0)</f>
        <v>0</v>
      </c>
      <c r="G719" s="438" t="str">
        <f t="shared" si="8"/>
        <v>#N/A</v>
      </c>
      <c r="H719" s="439" t="str">
        <f>'Membership Application List'!L948</f>
        <v/>
      </c>
      <c r="I719" s="345"/>
      <c r="J719" s="441"/>
      <c r="K719" s="345"/>
      <c r="L719" s="478"/>
      <c r="M719" s="345"/>
      <c r="N719" s="345"/>
      <c r="O719" s="345"/>
      <c r="P719" s="414"/>
      <c r="Q719" s="414"/>
      <c r="R719" s="414"/>
      <c r="S719" s="445"/>
      <c r="T719" s="445"/>
      <c r="U719" s="445"/>
      <c r="V719" s="345"/>
      <c r="W719" s="441"/>
      <c r="X719" s="345"/>
      <c r="Y719" s="345"/>
      <c r="Z719" s="345"/>
      <c r="AA719" s="345"/>
      <c r="AB719" s="345"/>
      <c r="AC719" s="345"/>
      <c r="AD719" s="345"/>
      <c r="AE719" s="345"/>
      <c r="AF719" s="345"/>
      <c r="AG719" s="345"/>
      <c r="AH719" s="345"/>
      <c r="AI719" s="345"/>
      <c r="AJ719" s="345"/>
      <c r="AK719" s="345"/>
      <c r="AL719" s="345"/>
      <c r="AM719" s="345"/>
      <c r="AN719" s="345"/>
      <c r="AO719" s="345"/>
      <c r="AP719" s="345"/>
      <c r="AQ719" s="345"/>
      <c r="AR719" s="345"/>
      <c r="AS719" s="345"/>
    </row>
    <row r="720" ht="13.5" customHeight="1">
      <c r="A720" s="424" t="str">
        <f>'Membership Application List'!A949</f>
        <v/>
      </c>
      <c r="B720" s="443" t="str">
        <f t="shared" si="6"/>
        <v/>
      </c>
      <c r="C720" s="443" t="str">
        <f t="shared" si="7"/>
        <v/>
      </c>
      <c r="D720" s="426" t="str">
        <f>'Membership Application List'!E949</f>
        <v/>
      </c>
      <c r="E720" s="426" t="str">
        <f>IF('Membership Application List'!J949 = "Food/Litter Donation", 0, IF('Membership Application List'!J949 = "$15 Donation, Discord Verification", IF('Membership Application List'!N949 = TRUE, 15, 0)))</f>
        <v>#N/A</v>
      </c>
      <c r="F720" s="426">
        <f>if('Membership Application List'!K949=TRUE, 5,0)</f>
        <v>0</v>
      </c>
      <c r="G720" s="426" t="str">
        <f t="shared" si="8"/>
        <v>#N/A</v>
      </c>
      <c r="H720" s="427" t="str">
        <f>'Membership Application List'!L949</f>
        <v/>
      </c>
      <c r="I720" s="345"/>
      <c r="J720" s="441"/>
      <c r="K720" s="345"/>
      <c r="L720" s="478"/>
      <c r="M720" s="345"/>
      <c r="N720" s="345"/>
      <c r="O720" s="345"/>
      <c r="P720" s="414"/>
      <c r="Q720" s="414"/>
      <c r="R720" s="414"/>
      <c r="S720" s="445"/>
      <c r="T720" s="445"/>
      <c r="U720" s="445"/>
      <c r="V720" s="345"/>
      <c r="W720" s="441"/>
      <c r="X720" s="345"/>
      <c r="Y720" s="345"/>
      <c r="Z720" s="345"/>
      <c r="AA720" s="345"/>
      <c r="AB720" s="345"/>
      <c r="AC720" s="345"/>
      <c r="AD720" s="345"/>
      <c r="AE720" s="345"/>
      <c r="AF720" s="345"/>
      <c r="AG720" s="345"/>
      <c r="AH720" s="345"/>
      <c r="AI720" s="345"/>
      <c r="AJ720" s="345"/>
      <c r="AK720" s="345"/>
      <c r="AL720" s="345"/>
      <c r="AM720" s="345"/>
      <c r="AN720" s="345"/>
      <c r="AO720" s="345"/>
      <c r="AP720" s="345"/>
      <c r="AQ720" s="345"/>
      <c r="AR720" s="345"/>
      <c r="AS720" s="345"/>
    </row>
    <row r="721" ht="13.5" customHeight="1">
      <c r="A721" s="436" t="str">
        <f>'Membership Application List'!A950</f>
        <v/>
      </c>
      <c r="B721" s="437" t="str">
        <f t="shared" si="6"/>
        <v/>
      </c>
      <c r="C721" s="437" t="str">
        <f t="shared" si="7"/>
        <v/>
      </c>
      <c r="D721" s="438" t="str">
        <f>'Membership Application List'!E950</f>
        <v/>
      </c>
      <c r="E721" s="438" t="str">
        <f>IF('Membership Application List'!J950 = "Food/Litter Donation", 0, IF('Membership Application List'!J950 = "$15 Donation, Discord Verification", IF('Membership Application List'!N950 = TRUE, 15, 0)))</f>
        <v>#N/A</v>
      </c>
      <c r="F721" s="438">
        <f>if('Membership Application List'!K950=TRUE, 5,0)</f>
        <v>0</v>
      </c>
      <c r="G721" s="438" t="str">
        <f t="shared" si="8"/>
        <v>#N/A</v>
      </c>
      <c r="H721" s="439" t="str">
        <f>'Membership Application List'!L950</f>
        <v/>
      </c>
      <c r="I721" s="345"/>
      <c r="J721" s="441"/>
      <c r="K721" s="345"/>
      <c r="L721" s="478"/>
      <c r="M721" s="345"/>
      <c r="N721" s="345"/>
      <c r="O721" s="345"/>
      <c r="P721" s="414"/>
      <c r="Q721" s="414"/>
      <c r="R721" s="414"/>
      <c r="S721" s="445"/>
      <c r="T721" s="445"/>
      <c r="U721" s="445"/>
      <c r="V721" s="345"/>
      <c r="W721" s="441"/>
      <c r="X721" s="345"/>
      <c r="Y721" s="345"/>
      <c r="Z721" s="345"/>
      <c r="AA721" s="345"/>
      <c r="AB721" s="345"/>
      <c r="AC721" s="345"/>
      <c r="AD721" s="345"/>
      <c r="AE721" s="345"/>
      <c r="AF721" s="345"/>
      <c r="AG721" s="345"/>
      <c r="AH721" s="345"/>
      <c r="AI721" s="345"/>
      <c r="AJ721" s="345"/>
      <c r="AK721" s="345"/>
      <c r="AL721" s="345"/>
      <c r="AM721" s="345"/>
      <c r="AN721" s="345"/>
      <c r="AO721" s="345"/>
      <c r="AP721" s="345"/>
      <c r="AQ721" s="345"/>
      <c r="AR721" s="345"/>
      <c r="AS721" s="345"/>
    </row>
    <row r="722" ht="13.5" customHeight="1">
      <c r="A722" s="424" t="str">
        <f>'Membership Application List'!A951</f>
        <v/>
      </c>
      <c r="B722" s="443" t="str">
        <f t="shared" si="6"/>
        <v/>
      </c>
      <c r="C722" s="443" t="str">
        <f t="shared" si="7"/>
        <v/>
      </c>
      <c r="D722" s="426" t="str">
        <f>'Membership Application List'!E951</f>
        <v/>
      </c>
      <c r="E722" s="426" t="str">
        <f>IF('Membership Application List'!J951 = "Food/Litter Donation", 0, IF('Membership Application List'!J951 = "$15 Donation, Discord Verification", IF('Membership Application List'!N951 = TRUE, 15, 0)))</f>
        <v>#N/A</v>
      </c>
      <c r="F722" s="426">
        <f>if('Membership Application List'!K951=TRUE, 5,0)</f>
        <v>0</v>
      </c>
      <c r="G722" s="426" t="str">
        <f t="shared" si="8"/>
        <v>#N/A</v>
      </c>
      <c r="H722" s="427" t="str">
        <f>'Membership Application List'!L951</f>
        <v/>
      </c>
      <c r="I722" s="345"/>
      <c r="J722" s="441"/>
      <c r="K722" s="345"/>
      <c r="L722" s="478"/>
      <c r="M722" s="345"/>
      <c r="N722" s="345"/>
      <c r="O722" s="345"/>
      <c r="P722" s="414"/>
      <c r="Q722" s="414"/>
      <c r="R722" s="414"/>
      <c r="S722" s="445"/>
      <c r="T722" s="445"/>
      <c r="U722" s="445"/>
      <c r="V722" s="345"/>
      <c r="W722" s="441"/>
      <c r="X722" s="345"/>
      <c r="Y722" s="345"/>
      <c r="Z722" s="345"/>
      <c r="AA722" s="345"/>
      <c r="AB722" s="345"/>
      <c r="AC722" s="345"/>
      <c r="AD722" s="345"/>
      <c r="AE722" s="345"/>
      <c r="AF722" s="345"/>
      <c r="AG722" s="345"/>
      <c r="AH722" s="345"/>
      <c r="AI722" s="345"/>
      <c r="AJ722" s="345"/>
      <c r="AK722" s="345"/>
      <c r="AL722" s="345"/>
      <c r="AM722" s="345"/>
      <c r="AN722" s="345"/>
      <c r="AO722" s="345"/>
      <c r="AP722" s="345"/>
      <c r="AQ722" s="345"/>
      <c r="AR722" s="345"/>
      <c r="AS722" s="345"/>
    </row>
    <row r="723" ht="13.5" customHeight="1">
      <c r="A723" s="436" t="str">
        <f>'Membership Application List'!A952</f>
        <v/>
      </c>
      <c r="B723" s="437" t="str">
        <f t="shared" si="6"/>
        <v/>
      </c>
      <c r="C723" s="437" t="str">
        <f t="shared" si="7"/>
        <v/>
      </c>
      <c r="D723" s="438" t="str">
        <f>'Membership Application List'!E952</f>
        <v/>
      </c>
      <c r="E723" s="438" t="str">
        <f>IF('Membership Application List'!J952 = "Food/Litter Donation", 0, IF('Membership Application List'!J952 = "$15 Donation, Discord Verification", IF('Membership Application List'!N952 = TRUE, 15, 0)))</f>
        <v>#N/A</v>
      </c>
      <c r="F723" s="438">
        <f>if('Membership Application List'!K952=TRUE, 5,0)</f>
        <v>0</v>
      </c>
      <c r="G723" s="438" t="str">
        <f t="shared" si="8"/>
        <v>#N/A</v>
      </c>
      <c r="H723" s="439" t="str">
        <f>'Membership Application List'!L952</f>
        <v/>
      </c>
      <c r="I723" s="345"/>
      <c r="J723" s="441"/>
      <c r="K723" s="345"/>
      <c r="L723" s="478"/>
      <c r="M723" s="345"/>
      <c r="N723" s="345"/>
      <c r="O723" s="345"/>
      <c r="P723" s="414"/>
      <c r="Q723" s="414"/>
      <c r="R723" s="414"/>
      <c r="S723" s="445"/>
      <c r="T723" s="445"/>
      <c r="U723" s="445"/>
      <c r="V723" s="345"/>
      <c r="W723" s="441"/>
      <c r="X723" s="345"/>
      <c r="Y723" s="345"/>
      <c r="Z723" s="345"/>
      <c r="AA723" s="345"/>
      <c r="AB723" s="345"/>
      <c r="AC723" s="345"/>
      <c r="AD723" s="345"/>
      <c r="AE723" s="345"/>
      <c r="AF723" s="345"/>
      <c r="AG723" s="345"/>
      <c r="AH723" s="345"/>
      <c r="AI723" s="345"/>
      <c r="AJ723" s="345"/>
      <c r="AK723" s="345"/>
      <c r="AL723" s="345"/>
      <c r="AM723" s="345"/>
      <c r="AN723" s="345"/>
      <c r="AO723" s="345"/>
      <c r="AP723" s="345"/>
      <c r="AQ723" s="345"/>
      <c r="AR723" s="345"/>
      <c r="AS723" s="345"/>
    </row>
    <row r="724" ht="13.5" customHeight="1">
      <c r="A724" s="424" t="str">
        <f>'Membership Application List'!A953</f>
        <v/>
      </c>
      <c r="B724" s="443" t="str">
        <f t="shared" si="6"/>
        <v/>
      </c>
      <c r="C724" s="443" t="str">
        <f t="shared" si="7"/>
        <v/>
      </c>
      <c r="D724" s="426" t="str">
        <f>'Membership Application List'!E953</f>
        <v/>
      </c>
      <c r="E724" s="426" t="str">
        <f>IF('Membership Application List'!J953 = "Food/Litter Donation", 0, IF('Membership Application List'!J953 = "$15 Donation, Discord Verification", IF('Membership Application List'!N953 = TRUE, 15, 0)))</f>
        <v>#N/A</v>
      </c>
      <c r="F724" s="426">
        <f>if('Membership Application List'!K953=TRUE, 5,0)</f>
        <v>0</v>
      </c>
      <c r="G724" s="426" t="str">
        <f t="shared" si="8"/>
        <v>#N/A</v>
      </c>
      <c r="H724" s="427" t="str">
        <f>'Membership Application List'!L953</f>
        <v/>
      </c>
      <c r="I724" s="345"/>
      <c r="J724" s="441"/>
      <c r="K724" s="345"/>
      <c r="L724" s="478"/>
      <c r="M724" s="345"/>
      <c r="N724" s="345"/>
      <c r="O724" s="345"/>
      <c r="P724" s="414"/>
      <c r="Q724" s="414"/>
      <c r="R724" s="414"/>
      <c r="S724" s="445"/>
      <c r="T724" s="445"/>
      <c r="U724" s="445"/>
      <c r="V724" s="345"/>
      <c r="W724" s="441"/>
      <c r="X724" s="345"/>
      <c r="Y724" s="345"/>
      <c r="Z724" s="345"/>
      <c r="AA724" s="345"/>
      <c r="AB724" s="345"/>
      <c r="AC724" s="345"/>
      <c r="AD724" s="345"/>
      <c r="AE724" s="345"/>
      <c r="AF724" s="345"/>
      <c r="AG724" s="345"/>
      <c r="AH724" s="345"/>
      <c r="AI724" s="345"/>
      <c r="AJ724" s="345"/>
      <c r="AK724" s="345"/>
      <c r="AL724" s="345"/>
      <c r="AM724" s="345"/>
      <c r="AN724" s="345"/>
      <c r="AO724" s="345"/>
      <c r="AP724" s="345"/>
      <c r="AQ724" s="345"/>
      <c r="AR724" s="345"/>
      <c r="AS724" s="345"/>
    </row>
    <row r="725" ht="13.5" customHeight="1">
      <c r="A725" s="436" t="str">
        <f>'Membership Application List'!A954</f>
        <v/>
      </c>
      <c r="B725" s="437" t="str">
        <f t="shared" si="6"/>
        <v/>
      </c>
      <c r="C725" s="437" t="str">
        <f t="shared" si="7"/>
        <v/>
      </c>
      <c r="D725" s="438" t="str">
        <f>'Membership Application List'!E954</f>
        <v/>
      </c>
      <c r="E725" s="438" t="str">
        <f>IF('Membership Application List'!J954 = "Food/Litter Donation", 0, IF('Membership Application List'!J954 = "$15 Donation, Discord Verification", IF('Membership Application List'!N954 = TRUE, 15, 0)))</f>
        <v>#N/A</v>
      </c>
      <c r="F725" s="438">
        <f>if('Membership Application List'!K954=TRUE, 5,0)</f>
        <v>0</v>
      </c>
      <c r="G725" s="438" t="str">
        <f t="shared" si="8"/>
        <v>#N/A</v>
      </c>
      <c r="H725" s="439" t="str">
        <f>'Membership Application List'!L954</f>
        <v/>
      </c>
      <c r="I725" s="345"/>
      <c r="J725" s="441"/>
      <c r="K725" s="345"/>
      <c r="L725" s="478"/>
      <c r="M725" s="345"/>
      <c r="N725" s="345"/>
      <c r="O725" s="345"/>
      <c r="P725" s="414"/>
      <c r="Q725" s="414"/>
      <c r="R725" s="414"/>
      <c r="S725" s="445"/>
      <c r="T725" s="445"/>
      <c r="U725" s="445"/>
      <c r="V725" s="345"/>
      <c r="W725" s="441"/>
      <c r="X725" s="345"/>
      <c r="Y725" s="345"/>
      <c r="Z725" s="345"/>
      <c r="AA725" s="345"/>
      <c r="AB725" s="345"/>
      <c r="AC725" s="345"/>
      <c r="AD725" s="345"/>
      <c r="AE725" s="345"/>
      <c r="AF725" s="345"/>
      <c r="AG725" s="345"/>
      <c r="AH725" s="345"/>
      <c r="AI725" s="345"/>
      <c r="AJ725" s="345"/>
      <c r="AK725" s="345"/>
      <c r="AL725" s="345"/>
      <c r="AM725" s="345"/>
      <c r="AN725" s="345"/>
      <c r="AO725" s="345"/>
      <c r="AP725" s="345"/>
      <c r="AQ725" s="345"/>
      <c r="AR725" s="345"/>
      <c r="AS725" s="345"/>
    </row>
    <row r="726" ht="13.5" customHeight="1">
      <c r="A726" s="424" t="str">
        <f>'Membership Application List'!A955</f>
        <v/>
      </c>
      <c r="B726" s="443" t="str">
        <f t="shared" si="6"/>
        <v/>
      </c>
      <c r="C726" s="443" t="str">
        <f t="shared" si="7"/>
        <v/>
      </c>
      <c r="D726" s="426" t="str">
        <f>'Membership Application List'!E955</f>
        <v/>
      </c>
      <c r="E726" s="426" t="str">
        <f>IF('Membership Application List'!J955 = "Food/Litter Donation", 0, IF('Membership Application List'!J955 = "$15 Donation, Discord Verification", IF('Membership Application List'!N955 = TRUE, 15, 0)))</f>
        <v>#N/A</v>
      </c>
      <c r="F726" s="426">
        <f>if('Membership Application List'!K955=TRUE, 5,0)</f>
        <v>0</v>
      </c>
      <c r="G726" s="426" t="str">
        <f t="shared" si="8"/>
        <v>#N/A</v>
      </c>
      <c r="H726" s="427" t="str">
        <f>'Membership Application List'!L955</f>
        <v/>
      </c>
      <c r="I726" s="345"/>
      <c r="J726" s="441"/>
      <c r="K726" s="345"/>
      <c r="L726" s="478"/>
      <c r="M726" s="345"/>
      <c r="N726" s="345"/>
      <c r="O726" s="345"/>
      <c r="P726" s="414"/>
      <c r="Q726" s="414"/>
      <c r="R726" s="414"/>
      <c r="S726" s="445"/>
      <c r="T726" s="445"/>
      <c r="U726" s="445"/>
      <c r="V726" s="345"/>
      <c r="W726" s="441"/>
      <c r="X726" s="345"/>
      <c r="Y726" s="345"/>
      <c r="Z726" s="345"/>
      <c r="AA726" s="345"/>
      <c r="AB726" s="345"/>
      <c r="AC726" s="345"/>
      <c r="AD726" s="345"/>
      <c r="AE726" s="345"/>
      <c r="AF726" s="345"/>
      <c r="AG726" s="345"/>
      <c r="AH726" s="345"/>
      <c r="AI726" s="345"/>
      <c r="AJ726" s="345"/>
      <c r="AK726" s="345"/>
      <c r="AL726" s="345"/>
      <c r="AM726" s="345"/>
      <c r="AN726" s="345"/>
      <c r="AO726" s="345"/>
      <c r="AP726" s="345"/>
      <c r="AQ726" s="345"/>
      <c r="AR726" s="345"/>
      <c r="AS726" s="345"/>
    </row>
    <row r="727" ht="13.5" customHeight="1">
      <c r="A727" s="436" t="str">
        <f>'Membership Application List'!A956</f>
        <v/>
      </c>
      <c r="B727" s="437" t="str">
        <f t="shared" si="6"/>
        <v/>
      </c>
      <c r="C727" s="437" t="str">
        <f t="shared" si="7"/>
        <v/>
      </c>
      <c r="D727" s="438" t="str">
        <f>'Membership Application List'!E956</f>
        <v/>
      </c>
      <c r="E727" s="438" t="str">
        <f>IF('Membership Application List'!J956 = "Food/Litter Donation", 0, IF('Membership Application List'!J956 = "$15 Donation, Discord Verification", IF('Membership Application List'!N956 = TRUE, 15, 0)))</f>
        <v>#N/A</v>
      </c>
      <c r="F727" s="438">
        <f>if('Membership Application List'!K956=TRUE, 5,0)</f>
        <v>0</v>
      </c>
      <c r="G727" s="438" t="str">
        <f t="shared" si="8"/>
        <v>#N/A</v>
      </c>
      <c r="H727" s="439" t="str">
        <f>'Membership Application List'!L956</f>
        <v/>
      </c>
      <c r="I727" s="345"/>
      <c r="J727" s="441"/>
      <c r="K727" s="345"/>
      <c r="L727" s="478"/>
      <c r="M727" s="345"/>
      <c r="N727" s="345"/>
      <c r="O727" s="345"/>
      <c r="P727" s="414"/>
      <c r="Q727" s="414"/>
      <c r="R727" s="414"/>
      <c r="S727" s="445"/>
      <c r="T727" s="445"/>
      <c r="U727" s="445"/>
      <c r="V727" s="345"/>
      <c r="W727" s="441"/>
      <c r="X727" s="345"/>
      <c r="Y727" s="345"/>
      <c r="Z727" s="345"/>
      <c r="AA727" s="345"/>
      <c r="AB727" s="345"/>
      <c r="AC727" s="345"/>
      <c r="AD727" s="345"/>
      <c r="AE727" s="345"/>
      <c r="AF727" s="345"/>
      <c r="AG727" s="345"/>
      <c r="AH727" s="345"/>
      <c r="AI727" s="345"/>
      <c r="AJ727" s="345"/>
      <c r="AK727" s="345"/>
      <c r="AL727" s="345"/>
      <c r="AM727" s="345"/>
      <c r="AN727" s="345"/>
      <c r="AO727" s="345"/>
      <c r="AP727" s="345"/>
      <c r="AQ727" s="345"/>
      <c r="AR727" s="345"/>
      <c r="AS727" s="345"/>
    </row>
    <row r="728" ht="13.5" customHeight="1">
      <c r="A728" s="424" t="str">
        <f>'Membership Application List'!A957</f>
        <v/>
      </c>
      <c r="B728" s="443" t="str">
        <f t="shared" si="6"/>
        <v/>
      </c>
      <c r="C728" s="443" t="str">
        <f t="shared" si="7"/>
        <v/>
      </c>
      <c r="D728" s="426" t="str">
        <f>'Membership Application List'!E957</f>
        <v/>
      </c>
      <c r="E728" s="426" t="str">
        <f>IF('Membership Application List'!J957 = "Food/Litter Donation", 0, IF('Membership Application List'!J957 = "$15 Donation, Discord Verification", IF('Membership Application List'!N957 = TRUE, 15, 0)))</f>
        <v>#N/A</v>
      </c>
      <c r="F728" s="426">
        <f>if('Membership Application List'!K957=TRUE, 5,0)</f>
        <v>0</v>
      </c>
      <c r="G728" s="426" t="str">
        <f t="shared" si="8"/>
        <v>#N/A</v>
      </c>
      <c r="H728" s="427" t="str">
        <f>'Membership Application List'!L957</f>
        <v/>
      </c>
      <c r="I728" s="345"/>
      <c r="J728" s="441"/>
      <c r="K728" s="345"/>
      <c r="L728" s="478"/>
      <c r="M728" s="345"/>
      <c r="N728" s="345"/>
      <c r="O728" s="345"/>
      <c r="P728" s="414"/>
      <c r="Q728" s="414"/>
      <c r="R728" s="414"/>
      <c r="S728" s="445"/>
      <c r="T728" s="445"/>
      <c r="U728" s="445"/>
      <c r="V728" s="345"/>
      <c r="W728" s="441"/>
      <c r="X728" s="345"/>
      <c r="Y728" s="345"/>
      <c r="Z728" s="345"/>
      <c r="AA728" s="345"/>
      <c r="AB728" s="345"/>
      <c r="AC728" s="345"/>
      <c r="AD728" s="345"/>
      <c r="AE728" s="345"/>
      <c r="AF728" s="345"/>
      <c r="AG728" s="345"/>
      <c r="AH728" s="345"/>
      <c r="AI728" s="345"/>
      <c r="AJ728" s="345"/>
      <c r="AK728" s="345"/>
      <c r="AL728" s="345"/>
      <c r="AM728" s="345"/>
      <c r="AN728" s="345"/>
      <c r="AO728" s="345"/>
      <c r="AP728" s="345"/>
      <c r="AQ728" s="345"/>
      <c r="AR728" s="345"/>
      <c r="AS728" s="345"/>
    </row>
    <row r="729" ht="13.5" customHeight="1">
      <c r="A729" s="436" t="str">
        <f>'Membership Application List'!A958</f>
        <v/>
      </c>
      <c r="B729" s="437" t="str">
        <f t="shared" si="6"/>
        <v/>
      </c>
      <c r="C729" s="437" t="str">
        <f t="shared" si="7"/>
        <v/>
      </c>
      <c r="D729" s="438" t="str">
        <f>'Membership Application List'!E958</f>
        <v/>
      </c>
      <c r="E729" s="438" t="str">
        <f>IF('Membership Application List'!J958 = "Food/Litter Donation", 0, IF('Membership Application List'!J958 = "$15 Donation, Discord Verification", IF('Membership Application List'!N958 = TRUE, 15, 0)))</f>
        <v>#N/A</v>
      </c>
      <c r="F729" s="438">
        <f>if('Membership Application List'!K958=TRUE, 5,0)</f>
        <v>0</v>
      </c>
      <c r="G729" s="438" t="str">
        <f t="shared" si="8"/>
        <v>#N/A</v>
      </c>
      <c r="H729" s="439" t="str">
        <f>'Membership Application List'!L958</f>
        <v/>
      </c>
      <c r="I729" s="345"/>
      <c r="J729" s="441"/>
      <c r="K729" s="345"/>
      <c r="L729" s="478"/>
      <c r="M729" s="345"/>
      <c r="N729" s="345"/>
      <c r="O729" s="345"/>
      <c r="P729" s="414"/>
      <c r="Q729" s="414"/>
      <c r="R729" s="414"/>
      <c r="S729" s="445"/>
      <c r="T729" s="445"/>
      <c r="U729" s="445"/>
      <c r="V729" s="345"/>
      <c r="W729" s="441"/>
      <c r="X729" s="345"/>
      <c r="Y729" s="345"/>
      <c r="Z729" s="345"/>
      <c r="AA729" s="345"/>
      <c r="AB729" s="345"/>
      <c r="AC729" s="345"/>
      <c r="AD729" s="345"/>
      <c r="AE729" s="345"/>
      <c r="AF729" s="345"/>
      <c r="AG729" s="345"/>
      <c r="AH729" s="345"/>
      <c r="AI729" s="345"/>
      <c r="AJ729" s="345"/>
      <c r="AK729" s="345"/>
      <c r="AL729" s="345"/>
      <c r="AM729" s="345"/>
      <c r="AN729" s="345"/>
      <c r="AO729" s="345"/>
      <c r="AP729" s="345"/>
      <c r="AQ729" s="345"/>
      <c r="AR729" s="345"/>
      <c r="AS729" s="345"/>
    </row>
    <row r="730" ht="13.5" customHeight="1">
      <c r="A730" s="424" t="str">
        <f>'Membership Application List'!A959</f>
        <v/>
      </c>
      <c r="B730" s="443" t="str">
        <f t="shared" si="6"/>
        <v/>
      </c>
      <c r="C730" s="443" t="str">
        <f t="shared" si="7"/>
        <v/>
      </c>
      <c r="D730" s="426" t="str">
        <f>'Membership Application List'!E959</f>
        <v/>
      </c>
      <c r="E730" s="426" t="str">
        <f>IF('Membership Application List'!J959 = "Food/Litter Donation", 0, IF('Membership Application List'!J959 = "$15 Donation, Discord Verification", IF('Membership Application List'!N959 = TRUE, 15, 0)))</f>
        <v>#N/A</v>
      </c>
      <c r="F730" s="426">
        <f>if('Membership Application List'!K959=TRUE, 5,0)</f>
        <v>0</v>
      </c>
      <c r="G730" s="426" t="str">
        <f t="shared" si="8"/>
        <v>#N/A</v>
      </c>
      <c r="H730" s="427" t="str">
        <f>'Membership Application List'!L959</f>
        <v/>
      </c>
      <c r="I730" s="345"/>
      <c r="J730" s="441"/>
      <c r="K730" s="345"/>
      <c r="L730" s="478"/>
      <c r="M730" s="345"/>
      <c r="N730" s="345"/>
      <c r="O730" s="345"/>
      <c r="P730" s="414"/>
      <c r="Q730" s="414"/>
      <c r="R730" s="414"/>
      <c r="S730" s="445"/>
      <c r="T730" s="445"/>
      <c r="U730" s="445"/>
      <c r="V730" s="345"/>
      <c r="W730" s="441"/>
      <c r="X730" s="345"/>
      <c r="Y730" s="345"/>
      <c r="Z730" s="345"/>
      <c r="AA730" s="345"/>
      <c r="AB730" s="345"/>
      <c r="AC730" s="345"/>
      <c r="AD730" s="345"/>
      <c r="AE730" s="345"/>
      <c r="AF730" s="345"/>
      <c r="AG730" s="345"/>
      <c r="AH730" s="345"/>
      <c r="AI730" s="345"/>
      <c r="AJ730" s="345"/>
      <c r="AK730" s="345"/>
      <c r="AL730" s="345"/>
      <c r="AM730" s="345"/>
      <c r="AN730" s="345"/>
      <c r="AO730" s="345"/>
      <c r="AP730" s="345"/>
      <c r="AQ730" s="345"/>
      <c r="AR730" s="345"/>
      <c r="AS730" s="345"/>
    </row>
    <row r="731" ht="13.5" customHeight="1">
      <c r="A731" s="436" t="str">
        <f>'Membership Application List'!A960</f>
        <v/>
      </c>
      <c r="B731" s="437" t="str">
        <f t="shared" si="6"/>
        <v/>
      </c>
      <c r="C731" s="437" t="str">
        <f t="shared" si="7"/>
        <v/>
      </c>
      <c r="D731" s="438" t="str">
        <f>'Membership Application List'!E960</f>
        <v/>
      </c>
      <c r="E731" s="438" t="str">
        <f>IF('Membership Application List'!J960 = "Food/Litter Donation", 0, IF('Membership Application List'!J960 = "$15 Donation, Discord Verification", IF('Membership Application List'!N960 = TRUE, 15, 0)))</f>
        <v>#N/A</v>
      </c>
      <c r="F731" s="438">
        <f>if('Membership Application List'!K960=TRUE, 5,0)</f>
        <v>0</v>
      </c>
      <c r="G731" s="438" t="str">
        <f t="shared" si="8"/>
        <v>#N/A</v>
      </c>
      <c r="H731" s="439" t="str">
        <f>'Membership Application List'!L960</f>
        <v/>
      </c>
      <c r="I731" s="345"/>
      <c r="J731" s="441"/>
      <c r="K731" s="345"/>
      <c r="L731" s="478"/>
      <c r="M731" s="345"/>
      <c r="N731" s="345"/>
      <c r="O731" s="345"/>
      <c r="P731" s="414"/>
      <c r="Q731" s="414"/>
      <c r="R731" s="414"/>
      <c r="S731" s="445"/>
      <c r="T731" s="445"/>
      <c r="U731" s="445"/>
      <c r="V731" s="345"/>
      <c r="W731" s="441"/>
      <c r="X731" s="345"/>
      <c r="Y731" s="345"/>
      <c r="Z731" s="345"/>
      <c r="AA731" s="345"/>
      <c r="AB731" s="345"/>
      <c r="AC731" s="345"/>
      <c r="AD731" s="345"/>
      <c r="AE731" s="345"/>
      <c r="AF731" s="345"/>
      <c r="AG731" s="345"/>
      <c r="AH731" s="345"/>
      <c r="AI731" s="345"/>
      <c r="AJ731" s="345"/>
      <c r="AK731" s="345"/>
      <c r="AL731" s="345"/>
      <c r="AM731" s="345"/>
      <c r="AN731" s="345"/>
      <c r="AO731" s="345"/>
      <c r="AP731" s="345"/>
      <c r="AQ731" s="345"/>
      <c r="AR731" s="345"/>
      <c r="AS731" s="345"/>
    </row>
    <row r="732" ht="13.5" customHeight="1">
      <c r="A732" s="424" t="str">
        <f>'Membership Application List'!A961</f>
        <v/>
      </c>
      <c r="B732" s="443" t="str">
        <f t="shared" si="6"/>
        <v/>
      </c>
      <c r="C732" s="443" t="str">
        <f t="shared" si="7"/>
        <v/>
      </c>
      <c r="D732" s="426" t="str">
        <f>'Membership Application List'!E961</f>
        <v/>
      </c>
      <c r="E732" s="426" t="str">
        <f>IF('Membership Application List'!J961 = "Food/Litter Donation", 0, IF('Membership Application List'!J961 = "$15 Donation, Discord Verification", IF('Membership Application List'!N961 = TRUE, 15, 0)))</f>
        <v>#N/A</v>
      </c>
      <c r="F732" s="426">
        <f>if('Membership Application List'!K961=TRUE, 5,0)</f>
        <v>0</v>
      </c>
      <c r="G732" s="426" t="str">
        <f t="shared" si="8"/>
        <v>#N/A</v>
      </c>
      <c r="H732" s="427" t="str">
        <f>'Membership Application List'!L961</f>
        <v/>
      </c>
      <c r="I732" s="345"/>
      <c r="J732" s="441"/>
      <c r="K732" s="345"/>
      <c r="L732" s="478"/>
      <c r="M732" s="345"/>
      <c r="N732" s="345"/>
      <c r="O732" s="345"/>
      <c r="P732" s="414"/>
      <c r="Q732" s="414"/>
      <c r="R732" s="414"/>
      <c r="S732" s="445"/>
      <c r="T732" s="445"/>
      <c r="U732" s="445"/>
      <c r="V732" s="345"/>
      <c r="W732" s="441"/>
      <c r="X732" s="345"/>
      <c r="Y732" s="345"/>
      <c r="Z732" s="345"/>
      <c r="AA732" s="345"/>
      <c r="AB732" s="345"/>
      <c r="AC732" s="345"/>
      <c r="AD732" s="345"/>
      <c r="AE732" s="345"/>
      <c r="AF732" s="345"/>
      <c r="AG732" s="345"/>
      <c r="AH732" s="345"/>
      <c r="AI732" s="345"/>
      <c r="AJ732" s="345"/>
      <c r="AK732" s="345"/>
      <c r="AL732" s="345"/>
      <c r="AM732" s="345"/>
      <c r="AN732" s="345"/>
      <c r="AO732" s="345"/>
      <c r="AP732" s="345"/>
      <c r="AQ732" s="345"/>
      <c r="AR732" s="345"/>
      <c r="AS732" s="345"/>
    </row>
    <row r="733" ht="13.5" customHeight="1">
      <c r="A733" s="436" t="str">
        <f>'Membership Application List'!A962</f>
        <v/>
      </c>
      <c r="B733" s="437" t="str">
        <f t="shared" si="6"/>
        <v/>
      </c>
      <c r="C733" s="437" t="str">
        <f t="shared" si="7"/>
        <v/>
      </c>
      <c r="D733" s="438" t="str">
        <f>'Membership Application List'!E962</f>
        <v/>
      </c>
      <c r="E733" s="438" t="str">
        <f>IF('Membership Application List'!J962 = "Food/Litter Donation", 0, IF('Membership Application List'!J962 = "$15 Donation, Discord Verification", IF('Membership Application List'!N962 = TRUE, 15, 0)))</f>
        <v>#N/A</v>
      </c>
      <c r="F733" s="438">
        <f>if('Membership Application List'!K962=TRUE, 5,0)</f>
        <v>0</v>
      </c>
      <c r="G733" s="438" t="str">
        <f t="shared" si="8"/>
        <v>#N/A</v>
      </c>
      <c r="H733" s="439" t="str">
        <f>'Membership Application List'!L962</f>
        <v/>
      </c>
      <c r="I733" s="345"/>
      <c r="J733" s="441"/>
      <c r="K733" s="345"/>
      <c r="L733" s="478"/>
      <c r="M733" s="345"/>
      <c r="N733" s="345"/>
      <c r="O733" s="345"/>
      <c r="P733" s="414"/>
      <c r="Q733" s="414"/>
      <c r="R733" s="414"/>
      <c r="S733" s="445"/>
      <c r="T733" s="445"/>
      <c r="U733" s="445"/>
      <c r="V733" s="345"/>
      <c r="W733" s="441"/>
      <c r="X733" s="345"/>
      <c r="Y733" s="345"/>
      <c r="Z733" s="345"/>
      <c r="AA733" s="345"/>
      <c r="AB733" s="345"/>
      <c r="AC733" s="345"/>
      <c r="AD733" s="345"/>
      <c r="AE733" s="345"/>
      <c r="AF733" s="345"/>
      <c r="AG733" s="345"/>
      <c r="AH733" s="345"/>
      <c r="AI733" s="345"/>
      <c r="AJ733" s="345"/>
      <c r="AK733" s="345"/>
      <c r="AL733" s="345"/>
      <c r="AM733" s="345"/>
      <c r="AN733" s="345"/>
      <c r="AO733" s="345"/>
      <c r="AP733" s="345"/>
      <c r="AQ733" s="345"/>
      <c r="AR733" s="345"/>
      <c r="AS733" s="345"/>
    </row>
    <row r="734" ht="13.5" customHeight="1">
      <c r="A734" s="424" t="str">
        <f>'Membership Application List'!A963</f>
        <v/>
      </c>
      <c r="B734" s="443" t="str">
        <f t="shared" si="6"/>
        <v/>
      </c>
      <c r="C734" s="443" t="str">
        <f t="shared" si="7"/>
        <v/>
      </c>
      <c r="D734" s="426" t="str">
        <f>'Membership Application List'!E963</f>
        <v/>
      </c>
      <c r="E734" s="426" t="str">
        <f>IF('Membership Application List'!J963 = "Food/Litter Donation", 0, IF('Membership Application List'!J963 = "$15 Donation, Discord Verification", IF('Membership Application List'!N963 = TRUE, 15, 0)))</f>
        <v>#N/A</v>
      </c>
      <c r="F734" s="426">
        <f>if('Membership Application List'!K963=TRUE, 5,0)</f>
        <v>0</v>
      </c>
      <c r="G734" s="426" t="str">
        <f t="shared" si="8"/>
        <v>#N/A</v>
      </c>
      <c r="H734" s="427" t="str">
        <f>'Membership Application List'!L963</f>
        <v/>
      </c>
      <c r="I734" s="345"/>
      <c r="J734" s="441"/>
      <c r="K734" s="345"/>
      <c r="L734" s="478"/>
      <c r="M734" s="345"/>
      <c r="N734" s="345"/>
      <c r="O734" s="345"/>
      <c r="P734" s="414"/>
      <c r="Q734" s="414"/>
      <c r="R734" s="414"/>
      <c r="S734" s="445"/>
      <c r="T734" s="445"/>
      <c r="U734" s="445"/>
      <c r="V734" s="345"/>
      <c r="W734" s="441"/>
      <c r="X734" s="345"/>
      <c r="Y734" s="345"/>
      <c r="Z734" s="345"/>
      <c r="AA734" s="345"/>
      <c r="AB734" s="345"/>
      <c r="AC734" s="345"/>
      <c r="AD734" s="345"/>
      <c r="AE734" s="345"/>
      <c r="AF734" s="345"/>
      <c r="AG734" s="345"/>
      <c r="AH734" s="345"/>
      <c r="AI734" s="345"/>
      <c r="AJ734" s="345"/>
      <c r="AK734" s="345"/>
      <c r="AL734" s="345"/>
      <c r="AM734" s="345"/>
      <c r="AN734" s="345"/>
      <c r="AO734" s="345"/>
      <c r="AP734" s="345"/>
      <c r="AQ734" s="345"/>
      <c r="AR734" s="345"/>
      <c r="AS734" s="345"/>
    </row>
    <row r="735" ht="13.5" customHeight="1">
      <c r="A735" s="436" t="str">
        <f>'Membership Application List'!A964</f>
        <v/>
      </c>
      <c r="B735" s="437" t="str">
        <f t="shared" si="6"/>
        <v/>
      </c>
      <c r="C735" s="437" t="str">
        <f t="shared" si="7"/>
        <v/>
      </c>
      <c r="D735" s="438" t="str">
        <f>'Membership Application List'!E964</f>
        <v/>
      </c>
      <c r="E735" s="438" t="str">
        <f>IF('Membership Application List'!J964 = "Food/Litter Donation", 0, IF('Membership Application List'!J964 = "$15 Donation, Discord Verification", IF('Membership Application List'!N964 = TRUE, 15, 0)))</f>
        <v>#N/A</v>
      </c>
      <c r="F735" s="438">
        <f>if('Membership Application List'!K964=TRUE, 5,0)</f>
        <v>0</v>
      </c>
      <c r="G735" s="438" t="str">
        <f t="shared" si="8"/>
        <v>#N/A</v>
      </c>
      <c r="H735" s="439" t="str">
        <f>'Membership Application List'!L964</f>
        <v/>
      </c>
      <c r="I735" s="345"/>
      <c r="J735" s="441"/>
      <c r="K735" s="345"/>
      <c r="L735" s="478"/>
      <c r="M735" s="345"/>
      <c r="N735" s="345"/>
      <c r="O735" s="345"/>
      <c r="P735" s="414"/>
      <c r="Q735" s="414"/>
      <c r="R735" s="414"/>
      <c r="S735" s="445"/>
      <c r="T735" s="445"/>
      <c r="U735" s="445"/>
      <c r="V735" s="345"/>
      <c r="W735" s="441"/>
      <c r="X735" s="345"/>
      <c r="Y735" s="345"/>
      <c r="Z735" s="345"/>
      <c r="AA735" s="345"/>
      <c r="AB735" s="345"/>
      <c r="AC735" s="345"/>
      <c r="AD735" s="345"/>
      <c r="AE735" s="345"/>
      <c r="AF735" s="345"/>
      <c r="AG735" s="345"/>
      <c r="AH735" s="345"/>
      <c r="AI735" s="345"/>
      <c r="AJ735" s="345"/>
      <c r="AK735" s="345"/>
      <c r="AL735" s="345"/>
      <c r="AM735" s="345"/>
      <c r="AN735" s="345"/>
      <c r="AO735" s="345"/>
      <c r="AP735" s="345"/>
      <c r="AQ735" s="345"/>
      <c r="AR735" s="345"/>
      <c r="AS735" s="345"/>
    </row>
    <row r="736" ht="13.5" customHeight="1">
      <c r="A736" s="424" t="str">
        <f>'Membership Application List'!A965</f>
        <v/>
      </c>
      <c r="B736" s="443" t="str">
        <f t="shared" si="6"/>
        <v/>
      </c>
      <c r="C736" s="443" t="str">
        <f t="shared" si="7"/>
        <v/>
      </c>
      <c r="D736" s="426" t="str">
        <f>'Membership Application List'!E965</f>
        <v/>
      </c>
      <c r="E736" s="426" t="str">
        <f>IF('Membership Application List'!J965 = "Food/Litter Donation", 0, IF('Membership Application List'!J965 = "$15 Donation, Discord Verification", IF('Membership Application List'!N965 = TRUE, 15, 0)))</f>
        <v>#N/A</v>
      </c>
      <c r="F736" s="426">
        <f>if('Membership Application List'!K965=TRUE, 5,0)</f>
        <v>0</v>
      </c>
      <c r="G736" s="426" t="str">
        <f t="shared" si="8"/>
        <v>#N/A</v>
      </c>
      <c r="H736" s="427" t="str">
        <f>'Membership Application List'!L965</f>
        <v/>
      </c>
      <c r="I736" s="345"/>
      <c r="J736" s="441"/>
      <c r="K736" s="345"/>
      <c r="L736" s="478"/>
      <c r="M736" s="345"/>
      <c r="N736" s="345"/>
      <c r="O736" s="345"/>
      <c r="P736" s="414"/>
      <c r="Q736" s="414"/>
      <c r="R736" s="414"/>
      <c r="S736" s="445"/>
      <c r="T736" s="445"/>
      <c r="U736" s="445"/>
      <c r="V736" s="345"/>
      <c r="W736" s="441"/>
      <c r="X736" s="345"/>
      <c r="Y736" s="345"/>
      <c r="Z736" s="345"/>
      <c r="AA736" s="345"/>
      <c r="AB736" s="345"/>
      <c r="AC736" s="345"/>
      <c r="AD736" s="345"/>
      <c r="AE736" s="345"/>
      <c r="AF736" s="345"/>
      <c r="AG736" s="345"/>
      <c r="AH736" s="345"/>
      <c r="AI736" s="345"/>
      <c r="AJ736" s="345"/>
      <c r="AK736" s="345"/>
      <c r="AL736" s="345"/>
      <c r="AM736" s="345"/>
      <c r="AN736" s="345"/>
      <c r="AO736" s="345"/>
      <c r="AP736" s="345"/>
      <c r="AQ736" s="345"/>
      <c r="AR736" s="345"/>
      <c r="AS736" s="345"/>
    </row>
    <row r="737" ht="13.5" customHeight="1">
      <c r="A737" s="436" t="str">
        <f>'Membership Application List'!A966</f>
        <v/>
      </c>
      <c r="B737" s="437" t="str">
        <f t="shared" si="6"/>
        <v/>
      </c>
      <c r="C737" s="437" t="str">
        <f t="shared" si="7"/>
        <v/>
      </c>
      <c r="D737" s="438" t="str">
        <f>'Membership Application List'!E966</f>
        <v/>
      </c>
      <c r="E737" s="438" t="str">
        <f>IF('Membership Application List'!J966 = "Food/Litter Donation", 0, IF('Membership Application List'!J966 = "$15 Donation, Discord Verification", IF('Membership Application List'!N966 = TRUE, 15, 0)))</f>
        <v>#N/A</v>
      </c>
      <c r="F737" s="438">
        <f>if('Membership Application List'!K966=TRUE, 5,0)</f>
        <v>0</v>
      </c>
      <c r="G737" s="438" t="str">
        <f t="shared" si="8"/>
        <v>#N/A</v>
      </c>
      <c r="H737" s="439" t="str">
        <f>'Membership Application List'!L966</f>
        <v/>
      </c>
      <c r="I737" s="345"/>
      <c r="J737" s="441"/>
      <c r="K737" s="345"/>
      <c r="L737" s="478"/>
      <c r="M737" s="345"/>
      <c r="N737" s="345"/>
      <c r="O737" s="345"/>
      <c r="P737" s="414"/>
      <c r="Q737" s="414"/>
      <c r="R737" s="414"/>
      <c r="S737" s="445"/>
      <c r="T737" s="445"/>
      <c r="U737" s="445"/>
      <c r="V737" s="345"/>
      <c r="W737" s="441"/>
      <c r="X737" s="345"/>
      <c r="Y737" s="345"/>
      <c r="Z737" s="345"/>
      <c r="AA737" s="345"/>
      <c r="AB737" s="345"/>
      <c r="AC737" s="345"/>
      <c r="AD737" s="345"/>
      <c r="AE737" s="345"/>
      <c r="AF737" s="345"/>
      <c r="AG737" s="345"/>
      <c r="AH737" s="345"/>
      <c r="AI737" s="345"/>
      <c r="AJ737" s="345"/>
      <c r="AK737" s="345"/>
      <c r="AL737" s="345"/>
      <c r="AM737" s="345"/>
      <c r="AN737" s="345"/>
      <c r="AO737" s="345"/>
      <c r="AP737" s="345"/>
      <c r="AQ737" s="345"/>
      <c r="AR737" s="345"/>
      <c r="AS737" s="345"/>
    </row>
    <row r="738" ht="13.5" customHeight="1">
      <c r="A738" s="424" t="str">
        <f>'Membership Application List'!A967</f>
        <v/>
      </c>
      <c r="B738" s="443" t="str">
        <f t="shared" si="6"/>
        <v/>
      </c>
      <c r="C738" s="443" t="str">
        <f t="shared" si="7"/>
        <v/>
      </c>
      <c r="D738" s="426" t="str">
        <f>'Membership Application List'!E967</f>
        <v/>
      </c>
      <c r="E738" s="426" t="str">
        <f>IF('Membership Application List'!J967 = "Food/Litter Donation", 0, IF('Membership Application List'!J967 = "$15 Donation, Discord Verification", IF('Membership Application List'!N967 = TRUE, 15, 0)))</f>
        <v>#N/A</v>
      </c>
      <c r="F738" s="426">
        <f>if('Membership Application List'!K967=TRUE, 5,0)</f>
        <v>0</v>
      </c>
      <c r="G738" s="426" t="str">
        <f t="shared" si="8"/>
        <v>#N/A</v>
      </c>
      <c r="H738" s="427" t="str">
        <f>'Membership Application List'!L967</f>
        <v/>
      </c>
      <c r="I738" s="345"/>
      <c r="J738" s="441"/>
      <c r="K738" s="345"/>
      <c r="L738" s="478"/>
      <c r="M738" s="345"/>
      <c r="N738" s="345"/>
      <c r="O738" s="345"/>
      <c r="P738" s="414"/>
      <c r="Q738" s="414"/>
      <c r="R738" s="414"/>
      <c r="S738" s="445"/>
      <c r="T738" s="445"/>
      <c r="U738" s="445"/>
      <c r="V738" s="345"/>
      <c r="W738" s="441"/>
      <c r="X738" s="345"/>
      <c r="Y738" s="345"/>
      <c r="Z738" s="345"/>
      <c r="AA738" s="345"/>
      <c r="AB738" s="345"/>
      <c r="AC738" s="345"/>
      <c r="AD738" s="345"/>
      <c r="AE738" s="345"/>
      <c r="AF738" s="345"/>
      <c r="AG738" s="345"/>
      <c r="AH738" s="345"/>
      <c r="AI738" s="345"/>
      <c r="AJ738" s="345"/>
      <c r="AK738" s="345"/>
      <c r="AL738" s="345"/>
      <c r="AM738" s="345"/>
      <c r="AN738" s="345"/>
      <c r="AO738" s="345"/>
      <c r="AP738" s="345"/>
      <c r="AQ738" s="345"/>
      <c r="AR738" s="345"/>
      <c r="AS738" s="345"/>
    </row>
    <row r="739" ht="13.5" customHeight="1">
      <c r="A739" s="436" t="str">
        <f>'Membership Application List'!A968</f>
        <v/>
      </c>
      <c r="B739" s="437" t="str">
        <f t="shared" si="6"/>
        <v/>
      </c>
      <c r="C739" s="437" t="str">
        <f t="shared" si="7"/>
        <v/>
      </c>
      <c r="D739" s="438" t="str">
        <f>'Membership Application List'!E968</f>
        <v/>
      </c>
      <c r="E739" s="438" t="str">
        <f>IF('Membership Application List'!J968 = "Food/Litter Donation", 0, IF('Membership Application List'!J968 = "$15 Donation, Discord Verification", IF('Membership Application List'!N968 = TRUE, 15, 0)))</f>
        <v>#N/A</v>
      </c>
      <c r="F739" s="438">
        <f>if('Membership Application List'!K968=TRUE, 5,0)</f>
        <v>0</v>
      </c>
      <c r="G739" s="438" t="str">
        <f t="shared" si="8"/>
        <v>#N/A</v>
      </c>
      <c r="H739" s="439" t="str">
        <f>'Membership Application List'!L968</f>
        <v/>
      </c>
      <c r="I739" s="345"/>
      <c r="J739" s="441"/>
      <c r="K739" s="345"/>
      <c r="L739" s="478"/>
      <c r="M739" s="345"/>
      <c r="N739" s="345"/>
      <c r="O739" s="345"/>
      <c r="P739" s="414"/>
      <c r="Q739" s="414"/>
      <c r="R739" s="414"/>
      <c r="S739" s="445"/>
      <c r="T739" s="445"/>
      <c r="U739" s="445"/>
      <c r="V739" s="345"/>
      <c r="W739" s="441"/>
      <c r="X739" s="345"/>
      <c r="Y739" s="345"/>
      <c r="Z739" s="345"/>
      <c r="AA739" s="345"/>
      <c r="AB739" s="345"/>
      <c r="AC739" s="345"/>
      <c r="AD739" s="345"/>
      <c r="AE739" s="345"/>
      <c r="AF739" s="345"/>
      <c r="AG739" s="345"/>
      <c r="AH739" s="345"/>
      <c r="AI739" s="345"/>
      <c r="AJ739" s="345"/>
      <c r="AK739" s="345"/>
      <c r="AL739" s="345"/>
      <c r="AM739" s="345"/>
      <c r="AN739" s="345"/>
      <c r="AO739" s="345"/>
      <c r="AP739" s="345"/>
      <c r="AQ739" s="345"/>
      <c r="AR739" s="345"/>
      <c r="AS739" s="345"/>
    </row>
    <row r="740" ht="13.5" customHeight="1">
      <c r="A740" s="424" t="str">
        <f>'Membership Application List'!A969</f>
        <v/>
      </c>
      <c r="B740" s="443" t="str">
        <f t="shared" si="6"/>
        <v/>
      </c>
      <c r="C740" s="443" t="str">
        <f t="shared" si="7"/>
        <v/>
      </c>
      <c r="D740" s="426" t="str">
        <f>'Membership Application List'!E969</f>
        <v/>
      </c>
      <c r="E740" s="426" t="str">
        <f>IF('Membership Application List'!J969 = "Food/Litter Donation", 0, IF('Membership Application List'!J969 = "$15 Donation, Discord Verification", IF('Membership Application List'!N969 = TRUE, 15, 0)))</f>
        <v>#N/A</v>
      </c>
      <c r="F740" s="426">
        <f>if('Membership Application List'!K969=TRUE, 5,0)</f>
        <v>0</v>
      </c>
      <c r="G740" s="426" t="str">
        <f t="shared" si="8"/>
        <v>#N/A</v>
      </c>
      <c r="H740" s="427" t="str">
        <f>'Membership Application List'!L969</f>
        <v/>
      </c>
      <c r="I740" s="345"/>
      <c r="J740" s="441"/>
      <c r="K740" s="345"/>
      <c r="L740" s="478"/>
      <c r="M740" s="345"/>
      <c r="N740" s="345"/>
      <c r="O740" s="345"/>
      <c r="P740" s="414"/>
      <c r="Q740" s="414"/>
      <c r="R740" s="414"/>
      <c r="S740" s="445"/>
      <c r="T740" s="445"/>
      <c r="U740" s="445"/>
      <c r="V740" s="345"/>
      <c r="W740" s="441"/>
      <c r="X740" s="345"/>
      <c r="Y740" s="345"/>
      <c r="Z740" s="345"/>
      <c r="AA740" s="345"/>
      <c r="AB740" s="345"/>
      <c r="AC740" s="345"/>
      <c r="AD740" s="345"/>
      <c r="AE740" s="345"/>
      <c r="AF740" s="345"/>
      <c r="AG740" s="345"/>
      <c r="AH740" s="345"/>
      <c r="AI740" s="345"/>
      <c r="AJ740" s="345"/>
      <c r="AK740" s="345"/>
      <c r="AL740" s="345"/>
      <c r="AM740" s="345"/>
      <c r="AN740" s="345"/>
      <c r="AO740" s="345"/>
      <c r="AP740" s="345"/>
      <c r="AQ740" s="345"/>
      <c r="AR740" s="345"/>
      <c r="AS740" s="345"/>
    </row>
    <row r="741" ht="13.5" customHeight="1">
      <c r="A741" s="436" t="str">
        <f>'Membership Application List'!A970</f>
        <v/>
      </c>
      <c r="B741" s="437" t="str">
        <f t="shared" si="6"/>
        <v/>
      </c>
      <c r="C741" s="437" t="str">
        <f t="shared" si="7"/>
        <v/>
      </c>
      <c r="D741" s="438" t="str">
        <f>'Membership Application List'!E970</f>
        <v/>
      </c>
      <c r="E741" s="438" t="str">
        <f>IF('Membership Application List'!J970 = "Food/Litter Donation", 0, IF('Membership Application List'!J970 = "$15 Donation, Discord Verification", IF('Membership Application List'!N970 = TRUE, 15, 0)))</f>
        <v>#N/A</v>
      </c>
      <c r="F741" s="438">
        <f>if('Membership Application List'!K970=TRUE, 5,0)</f>
        <v>0</v>
      </c>
      <c r="G741" s="438" t="str">
        <f t="shared" si="8"/>
        <v>#N/A</v>
      </c>
      <c r="H741" s="439" t="str">
        <f>'Membership Application List'!L970</f>
        <v/>
      </c>
      <c r="I741" s="345"/>
      <c r="J741" s="441"/>
      <c r="K741" s="345"/>
      <c r="L741" s="478"/>
      <c r="M741" s="345"/>
      <c r="N741" s="345"/>
      <c r="O741" s="345"/>
      <c r="P741" s="414"/>
      <c r="Q741" s="414"/>
      <c r="R741" s="414"/>
      <c r="S741" s="445"/>
      <c r="T741" s="445"/>
      <c r="U741" s="445"/>
      <c r="V741" s="345"/>
      <c r="W741" s="441"/>
      <c r="X741" s="345"/>
      <c r="Y741" s="345"/>
      <c r="Z741" s="345"/>
      <c r="AA741" s="345"/>
      <c r="AB741" s="345"/>
      <c r="AC741" s="345"/>
      <c r="AD741" s="345"/>
      <c r="AE741" s="345"/>
      <c r="AF741" s="345"/>
      <c r="AG741" s="345"/>
      <c r="AH741" s="345"/>
      <c r="AI741" s="345"/>
      <c r="AJ741" s="345"/>
      <c r="AK741" s="345"/>
      <c r="AL741" s="345"/>
      <c r="AM741" s="345"/>
      <c r="AN741" s="345"/>
      <c r="AO741" s="345"/>
      <c r="AP741" s="345"/>
      <c r="AQ741" s="345"/>
      <c r="AR741" s="345"/>
      <c r="AS741" s="345"/>
    </row>
    <row r="742" ht="13.5" customHeight="1">
      <c r="A742" s="424" t="str">
        <f>'Membership Application List'!A971</f>
        <v/>
      </c>
      <c r="B742" s="443" t="str">
        <f t="shared" si="6"/>
        <v/>
      </c>
      <c r="C742" s="443" t="str">
        <f t="shared" si="7"/>
        <v/>
      </c>
      <c r="D742" s="426" t="str">
        <f>'Membership Application List'!E971</f>
        <v/>
      </c>
      <c r="E742" s="426" t="str">
        <f>IF('Membership Application List'!J971 = "Food/Litter Donation", 0, IF('Membership Application List'!J971 = "$15 Donation, Discord Verification", IF('Membership Application List'!N971 = TRUE, 15, 0)))</f>
        <v>#N/A</v>
      </c>
      <c r="F742" s="426">
        <f>if('Membership Application List'!K971=TRUE, 5,0)</f>
        <v>0</v>
      </c>
      <c r="G742" s="426" t="str">
        <f t="shared" si="8"/>
        <v>#N/A</v>
      </c>
      <c r="H742" s="427" t="str">
        <f>'Membership Application List'!L971</f>
        <v/>
      </c>
      <c r="I742" s="345"/>
      <c r="J742" s="441"/>
      <c r="K742" s="345"/>
      <c r="L742" s="478"/>
      <c r="M742" s="345"/>
      <c r="N742" s="345"/>
      <c r="O742" s="345"/>
      <c r="P742" s="414"/>
      <c r="Q742" s="414"/>
      <c r="R742" s="414"/>
      <c r="S742" s="445"/>
      <c r="T742" s="445"/>
      <c r="U742" s="445"/>
      <c r="V742" s="345"/>
      <c r="W742" s="441"/>
      <c r="X742" s="345"/>
      <c r="Y742" s="345"/>
      <c r="Z742" s="345"/>
      <c r="AA742" s="345"/>
      <c r="AB742" s="345"/>
      <c r="AC742" s="345"/>
      <c r="AD742" s="345"/>
      <c r="AE742" s="345"/>
      <c r="AF742" s="345"/>
      <c r="AG742" s="345"/>
      <c r="AH742" s="345"/>
      <c r="AI742" s="345"/>
      <c r="AJ742" s="345"/>
      <c r="AK742" s="345"/>
      <c r="AL742" s="345"/>
      <c r="AM742" s="345"/>
      <c r="AN742" s="345"/>
      <c r="AO742" s="345"/>
      <c r="AP742" s="345"/>
      <c r="AQ742" s="345"/>
      <c r="AR742" s="345"/>
      <c r="AS742" s="345"/>
    </row>
    <row r="743" ht="13.5" customHeight="1">
      <c r="A743" s="436" t="str">
        <f>'Membership Application List'!A972</f>
        <v/>
      </c>
      <c r="B743" s="437" t="str">
        <f t="shared" si="6"/>
        <v/>
      </c>
      <c r="C743" s="437" t="str">
        <f t="shared" si="7"/>
        <v/>
      </c>
      <c r="D743" s="438" t="str">
        <f>'Membership Application List'!E972</f>
        <v/>
      </c>
      <c r="E743" s="438" t="str">
        <f>IF('Membership Application List'!J972 = "Food/Litter Donation", 0, IF('Membership Application List'!J972 = "$15 Donation, Discord Verification", IF('Membership Application List'!N972 = TRUE, 15, 0)))</f>
        <v>#N/A</v>
      </c>
      <c r="F743" s="438">
        <f>if('Membership Application List'!K972=TRUE, 5,0)</f>
        <v>0</v>
      </c>
      <c r="G743" s="438" t="str">
        <f t="shared" si="8"/>
        <v>#N/A</v>
      </c>
      <c r="H743" s="439" t="str">
        <f>'Membership Application List'!L972</f>
        <v/>
      </c>
      <c r="I743" s="345"/>
      <c r="J743" s="441"/>
      <c r="K743" s="345"/>
      <c r="L743" s="478"/>
      <c r="M743" s="345"/>
      <c r="N743" s="345"/>
      <c r="O743" s="345"/>
      <c r="P743" s="414"/>
      <c r="Q743" s="414"/>
      <c r="R743" s="414"/>
      <c r="S743" s="445"/>
      <c r="T743" s="445"/>
      <c r="U743" s="445"/>
      <c r="V743" s="345"/>
      <c r="W743" s="441"/>
      <c r="X743" s="345"/>
      <c r="Y743" s="345"/>
      <c r="Z743" s="345"/>
      <c r="AA743" s="345"/>
      <c r="AB743" s="345"/>
      <c r="AC743" s="345"/>
      <c r="AD743" s="345"/>
      <c r="AE743" s="345"/>
      <c r="AF743" s="345"/>
      <c r="AG743" s="345"/>
      <c r="AH743" s="345"/>
      <c r="AI743" s="345"/>
      <c r="AJ743" s="345"/>
      <c r="AK743" s="345"/>
      <c r="AL743" s="345"/>
      <c r="AM743" s="345"/>
      <c r="AN743" s="345"/>
      <c r="AO743" s="345"/>
      <c r="AP743" s="345"/>
      <c r="AQ743" s="345"/>
      <c r="AR743" s="345"/>
      <c r="AS743" s="345"/>
    </row>
    <row r="744" ht="13.5" customHeight="1">
      <c r="A744" s="424" t="str">
        <f>'Membership Application List'!A973</f>
        <v/>
      </c>
      <c r="B744" s="443" t="str">
        <f t="shared" si="6"/>
        <v/>
      </c>
      <c r="C744" s="443" t="str">
        <f t="shared" si="7"/>
        <v/>
      </c>
      <c r="D744" s="426" t="str">
        <f>'Membership Application List'!E973</f>
        <v/>
      </c>
      <c r="E744" s="426" t="str">
        <f>IF('Membership Application List'!J973 = "Food/Litter Donation", 0, IF('Membership Application List'!J973 = "$15 Donation, Discord Verification", IF('Membership Application List'!N973 = TRUE, 15, 0)))</f>
        <v>#N/A</v>
      </c>
      <c r="F744" s="426">
        <f>if('Membership Application List'!K973=TRUE, 5,0)</f>
        <v>0</v>
      </c>
      <c r="G744" s="426" t="str">
        <f t="shared" si="8"/>
        <v>#N/A</v>
      </c>
      <c r="H744" s="427" t="str">
        <f>'Membership Application List'!L973</f>
        <v/>
      </c>
      <c r="I744" s="345"/>
      <c r="J744" s="441"/>
      <c r="K744" s="345"/>
      <c r="L744" s="478"/>
      <c r="M744" s="345"/>
      <c r="N744" s="345"/>
      <c r="O744" s="345"/>
      <c r="P744" s="414"/>
      <c r="Q744" s="414"/>
      <c r="R744" s="414"/>
      <c r="S744" s="445"/>
      <c r="T744" s="445"/>
      <c r="U744" s="445"/>
      <c r="V744" s="345"/>
      <c r="W744" s="441"/>
      <c r="X744" s="345"/>
      <c r="Y744" s="345"/>
      <c r="Z744" s="345"/>
      <c r="AA744" s="345"/>
      <c r="AB744" s="345"/>
      <c r="AC744" s="345"/>
      <c r="AD744" s="345"/>
      <c r="AE744" s="345"/>
      <c r="AF744" s="345"/>
      <c r="AG744" s="345"/>
      <c r="AH744" s="345"/>
      <c r="AI744" s="345"/>
      <c r="AJ744" s="345"/>
      <c r="AK744" s="345"/>
      <c r="AL744" s="345"/>
      <c r="AM744" s="345"/>
      <c r="AN744" s="345"/>
      <c r="AO744" s="345"/>
      <c r="AP744" s="345"/>
      <c r="AQ744" s="345"/>
      <c r="AR744" s="345"/>
      <c r="AS744" s="345"/>
    </row>
    <row r="745" ht="13.5" customHeight="1">
      <c r="A745" s="436" t="str">
        <f>'Membership Application List'!A974</f>
        <v/>
      </c>
      <c r="B745" s="437" t="str">
        <f t="shared" si="6"/>
        <v/>
      </c>
      <c r="C745" s="437" t="str">
        <f t="shared" si="7"/>
        <v/>
      </c>
      <c r="D745" s="438" t="str">
        <f>'Membership Application List'!E974</f>
        <v/>
      </c>
      <c r="E745" s="438" t="str">
        <f>IF('Membership Application List'!J974 = "Food/Litter Donation", 0, IF('Membership Application List'!J974 = "$15 Donation, Discord Verification", IF('Membership Application List'!N974 = TRUE, 15, 0)))</f>
        <v>#N/A</v>
      </c>
      <c r="F745" s="438">
        <f>if('Membership Application List'!K974=TRUE, 5,0)</f>
        <v>0</v>
      </c>
      <c r="G745" s="438" t="str">
        <f t="shared" si="8"/>
        <v>#N/A</v>
      </c>
      <c r="H745" s="439" t="str">
        <f>'Membership Application List'!L974</f>
        <v/>
      </c>
      <c r="I745" s="345"/>
      <c r="J745" s="441"/>
      <c r="K745" s="345"/>
      <c r="L745" s="478"/>
      <c r="M745" s="345"/>
      <c r="N745" s="345"/>
      <c r="O745" s="345"/>
      <c r="P745" s="414"/>
      <c r="Q745" s="414"/>
      <c r="R745" s="414"/>
      <c r="S745" s="445"/>
      <c r="T745" s="445"/>
      <c r="U745" s="445"/>
      <c r="V745" s="345"/>
      <c r="W745" s="441"/>
      <c r="X745" s="345"/>
      <c r="Y745" s="345"/>
      <c r="Z745" s="345"/>
      <c r="AA745" s="345"/>
      <c r="AB745" s="345"/>
      <c r="AC745" s="345"/>
      <c r="AD745" s="345"/>
      <c r="AE745" s="345"/>
      <c r="AF745" s="345"/>
      <c r="AG745" s="345"/>
      <c r="AH745" s="345"/>
      <c r="AI745" s="345"/>
      <c r="AJ745" s="345"/>
      <c r="AK745" s="345"/>
      <c r="AL745" s="345"/>
      <c r="AM745" s="345"/>
      <c r="AN745" s="345"/>
      <c r="AO745" s="345"/>
      <c r="AP745" s="345"/>
      <c r="AQ745" s="345"/>
      <c r="AR745" s="345"/>
      <c r="AS745" s="345"/>
    </row>
    <row r="746" ht="13.5" customHeight="1">
      <c r="A746" s="424" t="str">
        <f>'Membership Application List'!A975</f>
        <v/>
      </c>
      <c r="B746" s="443" t="str">
        <f t="shared" si="6"/>
        <v/>
      </c>
      <c r="C746" s="443" t="str">
        <f t="shared" si="7"/>
        <v/>
      </c>
      <c r="D746" s="426" t="str">
        <f>'Membership Application List'!E975</f>
        <v/>
      </c>
      <c r="E746" s="426" t="str">
        <f>IF('Membership Application List'!J975 = "Food/Litter Donation", 0, IF('Membership Application List'!J975 = "$15 Donation, Discord Verification", IF('Membership Application List'!N975 = TRUE, 15, 0)))</f>
        <v>#N/A</v>
      </c>
      <c r="F746" s="426">
        <f>if('Membership Application List'!K975=TRUE, 5,0)</f>
        <v>0</v>
      </c>
      <c r="G746" s="426" t="str">
        <f t="shared" si="8"/>
        <v>#N/A</v>
      </c>
      <c r="H746" s="427" t="str">
        <f>'Membership Application List'!L975</f>
        <v/>
      </c>
      <c r="I746" s="345"/>
      <c r="J746" s="441"/>
      <c r="K746" s="345"/>
      <c r="L746" s="478"/>
      <c r="M746" s="345"/>
      <c r="N746" s="345"/>
      <c r="O746" s="345"/>
      <c r="P746" s="414"/>
      <c r="Q746" s="414"/>
      <c r="R746" s="414"/>
      <c r="S746" s="445"/>
      <c r="T746" s="445"/>
      <c r="U746" s="445"/>
      <c r="V746" s="345"/>
      <c r="W746" s="441"/>
      <c r="X746" s="345"/>
      <c r="Y746" s="345"/>
      <c r="Z746" s="345"/>
      <c r="AA746" s="345"/>
      <c r="AB746" s="345"/>
      <c r="AC746" s="345"/>
      <c r="AD746" s="345"/>
      <c r="AE746" s="345"/>
      <c r="AF746" s="345"/>
      <c r="AG746" s="345"/>
      <c r="AH746" s="345"/>
      <c r="AI746" s="345"/>
      <c r="AJ746" s="345"/>
      <c r="AK746" s="345"/>
      <c r="AL746" s="345"/>
      <c r="AM746" s="345"/>
      <c r="AN746" s="345"/>
      <c r="AO746" s="345"/>
      <c r="AP746" s="345"/>
      <c r="AQ746" s="345"/>
      <c r="AR746" s="345"/>
      <c r="AS746" s="345"/>
    </row>
    <row r="747" ht="13.5" customHeight="1">
      <c r="A747" s="436" t="str">
        <f>'Membership Application List'!A976</f>
        <v/>
      </c>
      <c r="B747" s="437" t="str">
        <f t="shared" si="6"/>
        <v/>
      </c>
      <c r="C747" s="437" t="str">
        <f t="shared" si="7"/>
        <v/>
      </c>
      <c r="D747" s="438" t="str">
        <f>'Membership Application List'!E976</f>
        <v/>
      </c>
      <c r="E747" s="438" t="str">
        <f>IF('Membership Application List'!J976 = "Food/Litter Donation", 0, IF('Membership Application List'!J976 = "$15 Donation, Discord Verification", IF('Membership Application List'!N976 = TRUE, 15, 0)))</f>
        <v>#N/A</v>
      </c>
      <c r="F747" s="438">
        <f>if('Membership Application List'!K976=TRUE, 5,0)</f>
        <v>0</v>
      </c>
      <c r="G747" s="438" t="str">
        <f t="shared" si="8"/>
        <v>#N/A</v>
      </c>
      <c r="H747" s="439" t="str">
        <f>'Membership Application List'!L976</f>
        <v/>
      </c>
      <c r="I747" s="345"/>
      <c r="J747" s="441"/>
      <c r="K747" s="345"/>
      <c r="L747" s="478"/>
      <c r="M747" s="345"/>
      <c r="N747" s="345"/>
      <c r="O747" s="345"/>
      <c r="P747" s="414"/>
      <c r="Q747" s="414"/>
      <c r="R747" s="414"/>
      <c r="S747" s="445"/>
      <c r="T747" s="445"/>
      <c r="U747" s="445"/>
      <c r="V747" s="345"/>
      <c r="W747" s="441"/>
      <c r="X747" s="345"/>
      <c r="Y747" s="345"/>
      <c r="Z747" s="345"/>
      <c r="AA747" s="345"/>
      <c r="AB747" s="345"/>
      <c r="AC747" s="345"/>
      <c r="AD747" s="345"/>
      <c r="AE747" s="345"/>
      <c r="AF747" s="345"/>
      <c r="AG747" s="345"/>
      <c r="AH747" s="345"/>
      <c r="AI747" s="345"/>
      <c r="AJ747" s="345"/>
      <c r="AK747" s="345"/>
      <c r="AL747" s="345"/>
      <c r="AM747" s="345"/>
      <c r="AN747" s="345"/>
      <c r="AO747" s="345"/>
      <c r="AP747" s="345"/>
      <c r="AQ747" s="345"/>
      <c r="AR747" s="345"/>
      <c r="AS747" s="345"/>
    </row>
    <row r="748" ht="13.5" customHeight="1">
      <c r="A748" s="424" t="str">
        <f>'Membership Application List'!A977</f>
        <v/>
      </c>
      <c r="B748" s="443" t="str">
        <f t="shared" si="6"/>
        <v/>
      </c>
      <c r="C748" s="443" t="str">
        <f t="shared" si="7"/>
        <v/>
      </c>
      <c r="D748" s="426" t="str">
        <f>'Membership Application List'!E977</f>
        <v/>
      </c>
      <c r="E748" s="426" t="str">
        <f>IF('Membership Application List'!J977 = "Food/Litter Donation", 0, IF('Membership Application List'!J977 = "$15 Donation, Discord Verification", IF('Membership Application List'!N977 = TRUE, 15, 0)))</f>
        <v>#N/A</v>
      </c>
      <c r="F748" s="426">
        <f>if('Membership Application List'!K977=TRUE, 5,0)</f>
        <v>0</v>
      </c>
      <c r="G748" s="426" t="str">
        <f t="shared" si="8"/>
        <v>#N/A</v>
      </c>
      <c r="H748" s="427" t="str">
        <f>'Membership Application List'!L977</f>
        <v/>
      </c>
      <c r="I748" s="345"/>
      <c r="J748" s="441"/>
      <c r="K748" s="345"/>
      <c r="L748" s="478"/>
      <c r="M748" s="345"/>
      <c r="N748" s="345"/>
      <c r="O748" s="345"/>
      <c r="P748" s="414"/>
      <c r="Q748" s="414"/>
      <c r="R748" s="414"/>
      <c r="S748" s="445"/>
      <c r="T748" s="445"/>
      <c r="U748" s="445"/>
      <c r="V748" s="345"/>
      <c r="W748" s="441"/>
      <c r="X748" s="345"/>
      <c r="Y748" s="345"/>
      <c r="Z748" s="345"/>
      <c r="AA748" s="345"/>
      <c r="AB748" s="345"/>
      <c r="AC748" s="345"/>
      <c r="AD748" s="345"/>
      <c r="AE748" s="345"/>
      <c r="AF748" s="345"/>
      <c r="AG748" s="345"/>
      <c r="AH748" s="345"/>
      <c r="AI748" s="345"/>
      <c r="AJ748" s="345"/>
      <c r="AK748" s="345"/>
      <c r="AL748" s="345"/>
      <c r="AM748" s="345"/>
      <c r="AN748" s="345"/>
      <c r="AO748" s="345"/>
      <c r="AP748" s="345"/>
      <c r="AQ748" s="345"/>
      <c r="AR748" s="345"/>
      <c r="AS748" s="345"/>
    </row>
    <row r="749" ht="13.5" customHeight="1">
      <c r="A749" s="436" t="str">
        <f>'Membership Application List'!A978</f>
        <v/>
      </c>
      <c r="B749" s="437" t="str">
        <f t="shared" si="6"/>
        <v/>
      </c>
      <c r="C749" s="437" t="str">
        <f t="shared" si="7"/>
        <v/>
      </c>
      <c r="D749" s="438" t="str">
        <f>'Membership Application List'!E978</f>
        <v/>
      </c>
      <c r="E749" s="438" t="str">
        <f>IF('Membership Application List'!J978 = "Food/Litter Donation", 0, IF('Membership Application List'!J978 = "$15 Donation, Discord Verification", IF('Membership Application List'!N978 = TRUE, 15, 0)))</f>
        <v>#N/A</v>
      </c>
      <c r="F749" s="438">
        <f>if('Membership Application List'!K978=TRUE, 5,0)</f>
        <v>0</v>
      </c>
      <c r="G749" s="438" t="str">
        <f t="shared" si="8"/>
        <v>#N/A</v>
      </c>
      <c r="H749" s="439" t="str">
        <f>'Membership Application List'!L978</f>
        <v/>
      </c>
      <c r="I749" s="345"/>
      <c r="J749" s="441"/>
      <c r="K749" s="345"/>
      <c r="L749" s="478"/>
      <c r="M749" s="345"/>
      <c r="N749" s="345"/>
      <c r="O749" s="345"/>
      <c r="P749" s="414"/>
      <c r="Q749" s="414"/>
      <c r="R749" s="414"/>
      <c r="S749" s="445"/>
      <c r="T749" s="445"/>
      <c r="U749" s="445"/>
      <c r="V749" s="345"/>
      <c r="W749" s="441"/>
      <c r="X749" s="345"/>
      <c r="Y749" s="345"/>
      <c r="Z749" s="345"/>
      <c r="AA749" s="345"/>
      <c r="AB749" s="345"/>
      <c r="AC749" s="345"/>
      <c r="AD749" s="345"/>
      <c r="AE749" s="345"/>
      <c r="AF749" s="345"/>
      <c r="AG749" s="345"/>
      <c r="AH749" s="345"/>
      <c r="AI749" s="345"/>
      <c r="AJ749" s="345"/>
      <c r="AK749" s="345"/>
      <c r="AL749" s="345"/>
      <c r="AM749" s="345"/>
      <c r="AN749" s="345"/>
      <c r="AO749" s="345"/>
      <c r="AP749" s="345"/>
      <c r="AQ749" s="345"/>
      <c r="AR749" s="345"/>
      <c r="AS749" s="345"/>
    </row>
    <row r="750" ht="13.5" customHeight="1">
      <c r="A750" s="424" t="str">
        <f>'Membership Application List'!A979</f>
        <v/>
      </c>
      <c r="B750" s="443" t="str">
        <f t="shared" si="6"/>
        <v/>
      </c>
      <c r="C750" s="443" t="str">
        <f t="shared" si="7"/>
        <v/>
      </c>
      <c r="D750" s="426" t="str">
        <f>'Membership Application List'!E979</f>
        <v/>
      </c>
      <c r="E750" s="426" t="str">
        <f>IF('Membership Application List'!J979 = "Food/Litter Donation", 0, IF('Membership Application List'!J979 = "$15 Donation, Discord Verification", IF('Membership Application List'!N979 = TRUE, 15, 0)))</f>
        <v>#N/A</v>
      </c>
      <c r="F750" s="426">
        <f>if('Membership Application List'!K979=TRUE, 5,0)</f>
        <v>0</v>
      </c>
      <c r="G750" s="426" t="str">
        <f t="shared" si="8"/>
        <v>#N/A</v>
      </c>
      <c r="H750" s="427" t="str">
        <f>'Membership Application List'!L979</f>
        <v/>
      </c>
      <c r="I750" s="345"/>
      <c r="J750" s="441"/>
      <c r="K750" s="345"/>
      <c r="L750" s="478"/>
      <c r="M750" s="345"/>
      <c r="N750" s="345"/>
      <c r="O750" s="345"/>
      <c r="P750" s="414"/>
      <c r="Q750" s="414"/>
      <c r="R750" s="414"/>
      <c r="S750" s="445"/>
      <c r="T750" s="445"/>
      <c r="U750" s="445"/>
      <c r="V750" s="345"/>
      <c r="W750" s="441"/>
      <c r="X750" s="345"/>
      <c r="Y750" s="345"/>
      <c r="Z750" s="345"/>
      <c r="AA750" s="345"/>
      <c r="AB750" s="345"/>
      <c r="AC750" s="345"/>
      <c r="AD750" s="345"/>
      <c r="AE750" s="345"/>
      <c r="AF750" s="345"/>
      <c r="AG750" s="345"/>
      <c r="AH750" s="345"/>
      <c r="AI750" s="345"/>
      <c r="AJ750" s="345"/>
      <c r="AK750" s="345"/>
      <c r="AL750" s="345"/>
      <c r="AM750" s="345"/>
      <c r="AN750" s="345"/>
      <c r="AO750" s="345"/>
      <c r="AP750" s="345"/>
      <c r="AQ750" s="345"/>
      <c r="AR750" s="345"/>
      <c r="AS750" s="345"/>
    </row>
    <row r="751" ht="13.5" customHeight="1">
      <c r="A751" s="436" t="str">
        <f>'Membership Application List'!A980</f>
        <v/>
      </c>
      <c r="B751" s="437" t="str">
        <f t="shared" si="6"/>
        <v/>
      </c>
      <c r="C751" s="437" t="str">
        <f t="shared" si="7"/>
        <v/>
      </c>
      <c r="D751" s="438" t="str">
        <f>'Membership Application List'!E980</f>
        <v/>
      </c>
      <c r="E751" s="438" t="str">
        <f>IF('Membership Application List'!J980 = "Food/Litter Donation", 0, IF('Membership Application List'!J980 = "$15 Donation, Discord Verification", IF('Membership Application List'!N980 = TRUE, 15, 0)))</f>
        <v>#N/A</v>
      </c>
      <c r="F751" s="438">
        <f>if('Membership Application List'!K980=TRUE, 5,0)</f>
        <v>0</v>
      </c>
      <c r="G751" s="438" t="str">
        <f t="shared" si="8"/>
        <v>#N/A</v>
      </c>
      <c r="H751" s="439" t="str">
        <f>'Membership Application List'!L980</f>
        <v/>
      </c>
      <c r="I751" s="345"/>
      <c r="J751" s="441"/>
      <c r="K751" s="345"/>
      <c r="L751" s="478"/>
      <c r="M751" s="345"/>
      <c r="N751" s="345"/>
      <c r="O751" s="345"/>
      <c r="P751" s="414"/>
      <c r="Q751" s="414"/>
      <c r="R751" s="414"/>
      <c r="S751" s="445"/>
      <c r="T751" s="445"/>
      <c r="U751" s="445"/>
      <c r="V751" s="345"/>
      <c r="W751" s="441"/>
      <c r="X751" s="345"/>
      <c r="Y751" s="345"/>
      <c r="Z751" s="345"/>
      <c r="AA751" s="345"/>
      <c r="AB751" s="345"/>
      <c r="AC751" s="345"/>
      <c r="AD751" s="345"/>
      <c r="AE751" s="345"/>
      <c r="AF751" s="345"/>
      <c r="AG751" s="345"/>
      <c r="AH751" s="345"/>
      <c r="AI751" s="345"/>
      <c r="AJ751" s="345"/>
      <c r="AK751" s="345"/>
      <c r="AL751" s="345"/>
      <c r="AM751" s="345"/>
      <c r="AN751" s="345"/>
      <c r="AO751" s="345"/>
      <c r="AP751" s="345"/>
      <c r="AQ751" s="345"/>
      <c r="AR751" s="345"/>
      <c r="AS751" s="345"/>
    </row>
    <row r="752" ht="13.5" customHeight="1">
      <c r="A752" s="424" t="str">
        <f>'Membership Application List'!A981</f>
        <v/>
      </c>
      <c r="B752" s="443" t="str">
        <f t="shared" si="6"/>
        <v/>
      </c>
      <c r="C752" s="443" t="str">
        <f t="shared" si="7"/>
        <v/>
      </c>
      <c r="D752" s="426" t="str">
        <f>'Membership Application List'!E981</f>
        <v/>
      </c>
      <c r="E752" s="426" t="str">
        <f>IF('Membership Application List'!J981 = "Food/Litter Donation", 0, IF('Membership Application List'!J981 = "$15 Donation, Discord Verification", IF('Membership Application List'!N981 = TRUE, 15, 0)))</f>
        <v>#N/A</v>
      </c>
      <c r="F752" s="426">
        <f>if('Membership Application List'!K981=TRUE, 5,0)</f>
        <v>0</v>
      </c>
      <c r="G752" s="426" t="str">
        <f t="shared" si="8"/>
        <v>#N/A</v>
      </c>
      <c r="H752" s="427" t="str">
        <f>'Membership Application List'!L981</f>
        <v/>
      </c>
      <c r="I752" s="345"/>
      <c r="J752" s="441"/>
      <c r="K752" s="345"/>
      <c r="L752" s="478"/>
      <c r="M752" s="345"/>
      <c r="N752" s="345"/>
      <c r="O752" s="345"/>
      <c r="P752" s="414"/>
      <c r="Q752" s="414"/>
      <c r="R752" s="414"/>
      <c r="S752" s="445"/>
      <c r="T752" s="445"/>
      <c r="U752" s="445"/>
      <c r="V752" s="345"/>
      <c r="W752" s="441"/>
      <c r="X752" s="345"/>
      <c r="Y752" s="345"/>
      <c r="Z752" s="345"/>
      <c r="AA752" s="345"/>
      <c r="AB752" s="345"/>
      <c r="AC752" s="345"/>
      <c r="AD752" s="345"/>
      <c r="AE752" s="345"/>
      <c r="AF752" s="345"/>
      <c r="AG752" s="345"/>
      <c r="AH752" s="345"/>
      <c r="AI752" s="345"/>
      <c r="AJ752" s="345"/>
      <c r="AK752" s="345"/>
      <c r="AL752" s="345"/>
      <c r="AM752" s="345"/>
      <c r="AN752" s="345"/>
      <c r="AO752" s="345"/>
      <c r="AP752" s="345"/>
      <c r="AQ752" s="345"/>
      <c r="AR752" s="345"/>
      <c r="AS752" s="345"/>
    </row>
    <row r="753" ht="13.5" customHeight="1">
      <c r="A753" s="436" t="str">
        <f>'Membership Application List'!A982</f>
        <v/>
      </c>
      <c r="B753" s="437" t="str">
        <f t="shared" si="6"/>
        <v/>
      </c>
      <c r="C753" s="437" t="str">
        <f t="shared" si="7"/>
        <v/>
      </c>
      <c r="D753" s="438" t="str">
        <f>'Membership Application List'!E982</f>
        <v/>
      </c>
      <c r="E753" s="438" t="str">
        <f>IF('Membership Application List'!J982 = "Food/Litter Donation", 0, IF('Membership Application List'!J982 = "$15 Donation, Discord Verification", IF('Membership Application List'!N982 = TRUE, 15, 0)))</f>
        <v>#N/A</v>
      </c>
      <c r="F753" s="438">
        <f>if('Membership Application List'!K982=TRUE, 5,0)</f>
        <v>0</v>
      </c>
      <c r="G753" s="438" t="str">
        <f t="shared" si="8"/>
        <v>#N/A</v>
      </c>
      <c r="H753" s="439" t="str">
        <f>'Membership Application List'!L982</f>
        <v/>
      </c>
      <c r="I753" s="345"/>
      <c r="J753" s="441"/>
      <c r="K753" s="345"/>
      <c r="L753" s="478"/>
      <c r="M753" s="345"/>
      <c r="N753" s="345"/>
      <c r="O753" s="345"/>
      <c r="P753" s="414"/>
      <c r="Q753" s="414"/>
      <c r="R753" s="414"/>
      <c r="S753" s="445"/>
      <c r="T753" s="445"/>
      <c r="U753" s="445"/>
      <c r="V753" s="345"/>
      <c r="W753" s="441"/>
      <c r="X753" s="345"/>
      <c r="Y753" s="345"/>
      <c r="Z753" s="345"/>
      <c r="AA753" s="345"/>
      <c r="AB753" s="345"/>
      <c r="AC753" s="345"/>
      <c r="AD753" s="345"/>
      <c r="AE753" s="345"/>
      <c r="AF753" s="345"/>
      <c r="AG753" s="345"/>
      <c r="AH753" s="345"/>
      <c r="AI753" s="345"/>
      <c r="AJ753" s="345"/>
      <c r="AK753" s="345"/>
      <c r="AL753" s="345"/>
      <c r="AM753" s="345"/>
      <c r="AN753" s="345"/>
      <c r="AO753" s="345"/>
      <c r="AP753" s="345"/>
      <c r="AQ753" s="345"/>
      <c r="AR753" s="345"/>
      <c r="AS753" s="345"/>
    </row>
    <row r="754" ht="13.5" customHeight="1">
      <c r="A754" s="424" t="str">
        <f>'Membership Application List'!A983</f>
        <v/>
      </c>
      <c r="B754" s="443" t="str">
        <f t="shared" si="6"/>
        <v/>
      </c>
      <c r="C754" s="443" t="str">
        <f t="shared" si="7"/>
        <v/>
      </c>
      <c r="D754" s="426" t="str">
        <f>'Membership Application List'!E983</f>
        <v/>
      </c>
      <c r="E754" s="426" t="str">
        <f>IF('Membership Application List'!J983 = "Food/Litter Donation", 0, IF('Membership Application List'!J983 = "$15 Donation, Discord Verification", IF('Membership Application List'!N983 = TRUE, 15, 0)))</f>
        <v>#N/A</v>
      </c>
      <c r="F754" s="426">
        <f>if('Membership Application List'!K983=TRUE, 5,0)</f>
        <v>0</v>
      </c>
      <c r="G754" s="426" t="str">
        <f t="shared" si="8"/>
        <v>#N/A</v>
      </c>
      <c r="H754" s="427" t="str">
        <f>'Membership Application List'!L983</f>
        <v/>
      </c>
      <c r="I754" s="345"/>
      <c r="J754" s="441"/>
      <c r="K754" s="345"/>
      <c r="L754" s="478"/>
      <c r="M754" s="345"/>
      <c r="N754" s="345"/>
      <c r="O754" s="345"/>
      <c r="P754" s="414"/>
      <c r="Q754" s="414"/>
      <c r="R754" s="414"/>
      <c r="S754" s="445"/>
      <c r="T754" s="445"/>
      <c r="U754" s="445"/>
      <c r="V754" s="345"/>
      <c r="W754" s="441"/>
      <c r="X754" s="345"/>
      <c r="Y754" s="345"/>
      <c r="Z754" s="345"/>
      <c r="AA754" s="345"/>
      <c r="AB754" s="345"/>
      <c r="AC754" s="345"/>
      <c r="AD754" s="345"/>
      <c r="AE754" s="345"/>
      <c r="AF754" s="345"/>
      <c r="AG754" s="345"/>
      <c r="AH754" s="345"/>
      <c r="AI754" s="345"/>
      <c r="AJ754" s="345"/>
      <c r="AK754" s="345"/>
      <c r="AL754" s="345"/>
      <c r="AM754" s="345"/>
      <c r="AN754" s="345"/>
      <c r="AO754" s="345"/>
      <c r="AP754" s="345"/>
      <c r="AQ754" s="345"/>
      <c r="AR754" s="345"/>
      <c r="AS754" s="345"/>
    </row>
    <row r="755" ht="13.5" customHeight="1">
      <c r="A755" s="436" t="str">
        <f>'Membership Application List'!A984</f>
        <v/>
      </c>
      <c r="B755" s="437" t="str">
        <f t="shared" si="6"/>
        <v/>
      </c>
      <c r="C755" s="437" t="str">
        <f t="shared" si="7"/>
        <v/>
      </c>
      <c r="D755" s="438" t="str">
        <f>'Membership Application List'!E984</f>
        <v/>
      </c>
      <c r="E755" s="438" t="str">
        <f>IF('Membership Application List'!J984 = "Food/Litter Donation", 0, IF('Membership Application List'!J984 = "$15 Donation, Discord Verification", IF('Membership Application List'!N984 = TRUE, 15, 0)))</f>
        <v>#N/A</v>
      </c>
      <c r="F755" s="438">
        <f>if('Membership Application List'!K984=TRUE, 5,0)</f>
        <v>0</v>
      </c>
      <c r="G755" s="438" t="str">
        <f t="shared" si="8"/>
        <v>#N/A</v>
      </c>
      <c r="H755" s="439" t="str">
        <f>'Membership Application List'!L984</f>
        <v/>
      </c>
      <c r="I755" s="345"/>
      <c r="J755" s="441"/>
      <c r="K755" s="345"/>
      <c r="L755" s="478"/>
      <c r="M755" s="345"/>
      <c r="N755" s="345"/>
      <c r="O755" s="345"/>
      <c r="P755" s="414"/>
      <c r="Q755" s="414"/>
      <c r="R755" s="414"/>
      <c r="S755" s="445"/>
      <c r="T755" s="445"/>
      <c r="U755" s="445"/>
      <c r="V755" s="345"/>
      <c r="W755" s="441"/>
      <c r="X755" s="345"/>
      <c r="Y755" s="345"/>
      <c r="Z755" s="345"/>
      <c r="AA755" s="345"/>
      <c r="AB755" s="345"/>
      <c r="AC755" s="345"/>
      <c r="AD755" s="345"/>
      <c r="AE755" s="345"/>
      <c r="AF755" s="345"/>
      <c r="AG755" s="345"/>
      <c r="AH755" s="345"/>
      <c r="AI755" s="345"/>
      <c r="AJ755" s="345"/>
      <c r="AK755" s="345"/>
      <c r="AL755" s="345"/>
      <c r="AM755" s="345"/>
      <c r="AN755" s="345"/>
      <c r="AO755" s="345"/>
      <c r="AP755" s="345"/>
      <c r="AQ755" s="345"/>
      <c r="AR755" s="345"/>
      <c r="AS755" s="345"/>
    </row>
    <row r="756" ht="13.5" customHeight="1">
      <c r="A756" s="424" t="str">
        <f>'Membership Application List'!A985</f>
        <v/>
      </c>
      <c r="B756" s="443" t="str">
        <f t="shared" si="6"/>
        <v/>
      </c>
      <c r="C756" s="443" t="str">
        <f t="shared" si="7"/>
        <v/>
      </c>
      <c r="D756" s="426" t="str">
        <f>'Membership Application List'!E985</f>
        <v/>
      </c>
      <c r="E756" s="426" t="str">
        <f>IF('Membership Application List'!J985 = "Food/Litter Donation", 0, IF('Membership Application List'!J985 = "$15 Donation, Discord Verification", IF('Membership Application List'!N985 = TRUE, 15, 0)))</f>
        <v>#N/A</v>
      </c>
      <c r="F756" s="426">
        <f>if('Membership Application List'!K985=TRUE, 5,0)</f>
        <v>0</v>
      </c>
      <c r="G756" s="426" t="str">
        <f t="shared" si="8"/>
        <v>#N/A</v>
      </c>
      <c r="H756" s="427" t="str">
        <f>'Membership Application List'!L985</f>
        <v/>
      </c>
      <c r="I756" s="345"/>
      <c r="J756" s="441"/>
      <c r="K756" s="345"/>
      <c r="L756" s="478"/>
      <c r="M756" s="345"/>
      <c r="N756" s="345"/>
      <c r="O756" s="345"/>
      <c r="P756" s="414"/>
      <c r="Q756" s="414"/>
      <c r="R756" s="414"/>
      <c r="S756" s="445"/>
      <c r="T756" s="445"/>
      <c r="U756" s="445"/>
      <c r="V756" s="345"/>
      <c r="W756" s="441"/>
      <c r="X756" s="345"/>
      <c r="Y756" s="345"/>
      <c r="Z756" s="345"/>
      <c r="AA756" s="345"/>
      <c r="AB756" s="345"/>
      <c r="AC756" s="345"/>
      <c r="AD756" s="345"/>
      <c r="AE756" s="345"/>
      <c r="AF756" s="345"/>
      <c r="AG756" s="345"/>
      <c r="AH756" s="345"/>
      <c r="AI756" s="345"/>
      <c r="AJ756" s="345"/>
      <c r="AK756" s="345"/>
      <c r="AL756" s="345"/>
      <c r="AM756" s="345"/>
      <c r="AN756" s="345"/>
      <c r="AO756" s="345"/>
      <c r="AP756" s="345"/>
      <c r="AQ756" s="345"/>
      <c r="AR756" s="345"/>
      <c r="AS756" s="345"/>
    </row>
    <row r="757" ht="13.5" customHeight="1">
      <c r="A757" s="436" t="str">
        <f>'Membership Application List'!A986</f>
        <v/>
      </c>
      <c r="B757" s="437" t="str">
        <f t="shared" si="6"/>
        <v/>
      </c>
      <c r="C757" s="437" t="str">
        <f t="shared" si="7"/>
        <v/>
      </c>
      <c r="D757" s="438" t="str">
        <f>'Membership Application List'!E986</f>
        <v/>
      </c>
      <c r="E757" s="438" t="str">
        <f>IF('Membership Application List'!J986 = "Food/Litter Donation", 0, IF('Membership Application List'!J986 = "$15 Donation, Discord Verification", IF('Membership Application List'!N986 = TRUE, 15, 0)))</f>
        <v>#N/A</v>
      </c>
      <c r="F757" s="438">
        <f>if('Membership Application List'!K986=TRUE, 5,0)</f>
        <v>0</v>
      </c>
      <c r="G757" s="438" t="str">
        <f t="shared" si="8"/>
        <v>#N/A</v>
      </c>
      <c r="H757" s="439" t="str">
        <f>'Membership Application List'!L986</f>
        <v/>
      </c>
      <c r="I757" s="345"/>
      <c r="J757" s="441"/>
      <c r="K757" s="345"/>
      <c r="L757" s="478"/>
      <c r="M757" s="345"/>
      <c r="N757" s="345"/>
      <c r="O757" s="345"/>
      <c r="P757" s="414"/>
      <c r="Q757" s="414"/>
      <c r="R757" s="414"/>
      <c r="S757" s="445"/>
      <c r="T757" s="445"/>
      <c r="U757" s="445"/>
      <c r="V757" s="345"/>
      <c r="W757" s="441"/>
      <c r="X757" s="345"/>
      <c r="Y757" s="345"/>
      <c r="Z757" s="345"/>
      <c r="AA757" s="345"/>
      <c r="AB757" s="345"/>
      <c r="AC757" s="345"/>
      <c r="AD757" s="345"/>
      <c r="AE757" s="345"/>
      <c r="AF757" s="345"/>
      <c r="AG757" s="345"/>
      <c r="AH757" s="345"/>
      <c r="AI757" s="345"/>
      <c r="AJ757" s="345"/>
      <c r="AK757" s="345"/>
      <c r="AL757" s="345"/>
      <c r="AM757" s="345"/>
      <c r="AN757" s="345"/>
      <c r="AO757" s="345"/>
      <c r="AP757" s="345"/>
      <c r="AQ757" s="345"/>
      <c r="AR757" s="345"/>
      <c r="AS757" s="345"/>
    </row>
    <row r="758" ht="13.5" customHeight="1">
      <c r="A758" s="424" t="str">
        <f>'Membership Application List'!A987</f>
        <v/>
      </c>
      <c r="B758" s="443" t="str">
        <f t="shared" si="6"/>
        <v/>
      </c>
      <c r="C758" s="443" t="str">
        <f t="shared" si="7"/>
        <v/>
      </c>
      <c r="D758" s="426" t="str">
        <f>'Membership Application List'!E987</f>
        <v/>
      </c>
      <c r="E758" s="426" t="str">
        <f>IF('Membership Application List'!J987 = "Food/Litter Donation", 0, IF('Membership Application List'!J987 = "$15 Donation, Discord Verification", IF('Membership Application List'!N987 = TRUE, 15, 0)))</f>
        <v>#N/A</v>
      </c>
      <c r="F758" s="426">
        <f>if('Membership Application List'!K987=TRUE, 5,0)</f>
        <v>0</v>
      </c>
      <c r="G758" s="426" t="str">
        <f t="shared" si="8"/>
        <v>#N/A</v>
      </c>
      <c r="H758" s="427" t="str">
        <f>'Membership Application List'!L987</f>
        <v/>
      </c>
      <c r="I758" s="345"/>
      <c r="J758" s="441"/>
      <c r="K758" s="345"/>
      <c r="L758" s="478"/>
      <c r="M758" s="345"/>
      <c r="N758" s="345"/>
      <c r="O758" s="345"/>
      <c r="P758" s="414"/>
      <c r="Q758" s="414"/>
      <c r="R758" s="414"/>
      <c r="S758" s="445"/>
      <c r="T758" s="445"/>
      <c r="U758" s="445"/>
      <c r="V758" s="345"/>
      <c r="W758" s="441"/>
      <c r="X758" s="345"/>
      <c r="Y758" s="345"/>
      <c r="Z758" s="345"/>
      <c r="AA758" s="345"/>
      <c r="AB758" s="345"/>
      <c r="AC758" s="345"/>
      <c r="AD758" s="345"/>
      <c r="AE758" s="345"/>
      <c r="AF758" s="345"/>
      <c r="AG758" s="345"/>
      <c r="AH758" s="345"/>
      <c r="AI758" s="345"/>
      <c r="AJ758" s="345"/>
      <c r="AK758" s="345"/>
      <c r="AL758" s="345"/>
      <c r="AM758" s="345"/>
      <c r="AN758" s="345"/>
      <c r="AO758" s="345"/>
      <c r="AP758" s="345"/>
      <c r="AQ758" s="345"/>
      <c r="AR758" s="345"/>
      <c r="AS758" s="345"/>
    </row>
    <row r="759" ht="13.5" customHeight="1">
      <c r="A759" s="436" t="str">
        <f>'Membership Application List'!A988</f>
        <v/>
      </c>
      <c r="B759" s="437" t="str">
        <f t="shared" si="6"/>
        <v/>
      </c>
      <c r="C759" s="437" t="str">
        <f t="shared" si="7"/>
        <v/>
      </c>
      <c r="D759" s="438" t="str">
        <f>'Membership Application List'!E988</f>
        <v/>
      </c>
      <c r="E759" s="438" t="str">
        <f>IF('Membership Application List'!J988 = "Food/Litter Donation", 0, IF('Membership Application List'!J988 = "$15 Donation, Discord Verification", IF('Membership Application List'!N988 = TRUE, 15, 0)))</f>
        <v>#N/A</v>
      </c>
      <c r="F759" s="438">
        <f>if('Membership Application List'!K988=TRUE, 5,0)</f>
        <v>0</v>
      </c>
      <c r="G759" s="438" t="str">
        <f t="shared" si="8"/>
        <v>#N/A</v>
      </c>
      <c r="H759" s="439" t="str">
        <f>'Membership Application List'!L988</f>
        <v/>
      </c>
      <c r="I759" s="345"/>
      <c r="J759" s="441"/>
      <c r="K759" s="345"/>
      <c r="L759" s="478"/>
      <c r="M759" s="345"/>
      <c r="N759" s="345"/>
      <c r="O759" s="345"/>
      <c r="P759" s="414"/>
      <c r="Q759" s="414"/>
      <c r="R759" s="414"/>
      <c r="S759" s="445"/>
      <c r="T759" s="445"/>
      <c r="U759" s="445"/>
      <c r="V759" s="345"/>
      <c r="W759" s="441"/>
      <c r="X759" s="345"/>
      <c r="Y759" s="345"/>
      <c r="Z759" s="345"/>
      <c r="AA759" s="345"/>
      <c r="AB759" s="345"/>
      <c r="AC759" s="345"/>
      <c r="AD759" s="345"/>
      <c r="AE759" s="345"/>
      <c r="AF759" s="345"/>
      <c r="AG759" s="345"/>
      <c r="AH759" s="345"/>
      <c r="AI759" s="345"/>
      <c r="AJ759" s="345"/>
      <c r="AK759" s="345"/>
      <c r="AL759" s="345"/>
      <c r="AM759" s="345"/>
      <c r="AN759" s="345"/>
      <c r="AO759" s="345"/>
      <c r="AP759" s="345"/>
      <c r="AQ759" s="345"/>
      <c r="AR759" s="345"/>
      <c r="AS759" s="345"/>
    </row>
    <row r="760" ht="13.5" customHeight="1">
      <c r="A760" s="424" t="str">
        <f>'Membership Application List'!A989</f>
        <v/>
      </c>
      <c r="B760" s="443" t="str">
        <f t="shared" si="6"/>
        <v/>
      </c>
      <c r="C760" s="443" t="str">
        <f t="shared" si="7"/>
        <v/>
      </c>
      <c r="D760" s="426" t="str">
        <f>'Membership Application List'!E989</f>
        <v/>
      </c>
      <c r="E760" s="426" t="str">
        <f>IF('Membership Application List'!J989 = "Food/Litter Donation", 0, IF('Membership Application List'!J989 = "$15 Donation, Discord Verification", IF('Membership Application List'!N989 = TRUE, 15, 0)))</f>
        <v>#N/A</v>
      </c>
      <c r="F760" s="426">
        <f>if('Membership Application List'!K989=TRUE, 5,0)</f>
        <v>0</v>
      </c>
      <c r="G760" s="426" t="str">
        <f t="shared" si="8"/>
        <v>#N/A</v>
      </c>
      <c r="H760" s="427" t="str">
        <f>'Membership Application List'!L989</f>
        <v/>
      </c>
      <c r="I760" s="345"/>
      <c r="J760" s="441"/>
      <c r="K760" s="345"/>
      <c r="L760" s="478"/>
      <c r="M760" s="345"/>
      <c r="N760" s="345"/>
      <c r="O760" s="345"/>
      <c r="P760" s="414"/>
      <c r="Q760" s="414"/>
      <c r="R760" s="414"/>
      <c r="S760" s="445"/>
      <c r="T760" s="445"/>
      <c r="U760" s="445"/>
      <c r="V760" s="345"/>
      <c r="W760" s="441"/>
      <c r="X760" s="345"/>
      <c r="Y760" s="345"/>
      <c r="Z760" s="345"/>
      <c r="AA760" s="345"/>
      <c r="AB760" s="345"/>
      <c r="AC760" s="345"/>
      <c r="AD760" s="345"/>
      <c r="AE760" s="345"/>
      <c r="AF760" s="345"/>
      <c r="AG760" s="345"/>
      <c r="AH760" s="345"/>
      <c r="AI760" s="345"/>
      <c r="AJ760" s="345"/>
      <c r="AK760" s="345"/>
      <c r="AL760" s="345"/>
      <c r="AM760" s="345"/>
      <c r="AN760" s="345"/>
      <c r="AO760" s="345"/>
      <c r="AP760" s="345"/>
      <c r="AQ760" s="345"/>
      <c r="AR760" s="345"/>
      <c r="AS760" s="345"/>
    </row>
    <row r="761" ht="13.5" customHeight="1">
      <c r="A761" s="436" t="str">
        <f>'Membership Application List'!A990</f>
        <v/>
      </c>
      <c r="B761" s="437" t="str">
        <f t="shared" si="6"/>
        <v/>
      </c>
      <c r="C761" s="437" t="str">
        <f t="shared" si="7"/>
        <v/>
      </c>
      <c r="D761" s="438" t="str">
        <f>'Membership Application List'!E990</f>
        <v/>
      </c>
      <c r="E761" s="438" t="str">
        <f>IF('Membership Application List'!J990 = "Food/Litter Donation", 0, IF('Membership Application List'!J990 = "$15 Donation, Discord Verification", IF('Membership Application List'!N990 = TRUE, 15, 0)))</f>
        <v>#N/A</v>
      </c>
      <c r="F761" s="438">
        <f>if('Membership Application List'!K990=TRUE, 5,0)</f>
        <v>0</v>
      </c>
      <c r="G761" s="438" t="str">
        <f t="shared" si="8"/>
        <v>#N/A</v>
      </c>
      <c r="H761" s="439" t="str">
        <f>'Membership Application List'!L990</f>
        <v/>
      </c>
      <c r="I761" s="345"/>
      <c r="J761" s="441"/>
      <c r="K761" s="345"/>
      <c r="L761" s="478"/>
      <c r="M761" s="345"/>
      <c r="N761" s="345"/>
      <c r="O761" s="345"/>
      <c r="P761" s="414"/>
      <c r="Q761" s="414"/>
      <c r="R761" s="414"/>
      <c r="S761" s="445"/>
      <c r="T761" s="445"/>
      <c r="U761" s="445"/>
      <c r="V761" s="345"/>
      <c r="W761" s="441"/>
      <c r="X761" s="345"/>
      <c r="Y761" s="345"/>
      <c r="Z761" s="345"/>
      <c r="AA761" s="345"/>
      <c r="AB761" s="345"/>
      <c r="AC761" s="345"/>
      <c r="AD761" s="345"/>
      <c r="AE761" s="345"/>
      <c r="AF761" s="345"/>
      <c r="AG761" s="345"/>
      <c r="AH761" s="345"/>
      <c r="AI761" s="345"/>
      <c r="AJ761" s="345"/>
      <c r="AK761" s="345"/>
      <c r="AL761" s="345"/>
      <c r="AM761" s="345"/>
      <c r="AN761" s="345"/>
      <c r="AO761" s="345"/>
      <c r="AP761" s="345"/>
      <c r="AQ761" s="345"/>
      <c r="AR761" s="345"/>
      <c r="AS761" s="345"/>
    </row>
    <row r="762" ht="13.5" customHeight="1">
      <c r="A762" s="424" t="str">
        <f>'Membership Application List'!A991</f>
        <v/>
      </c>
      <c r="B762" s="443" t="str">
        <f t="shared" si="6"/>
        <v/>
      </c>
      <c r="C762" s="443" t="str">
        <f t="shared" si="7"/>
        <v/>
      </c>
      <c r="D762" s="426" t="str">
        <f>'Membership Application List'!E991</f>
        <v/>
      </c>
      <c r="E762" s="426" t="str">
        <f>IF('Membership Application List'!J991 = "Food/Litter Donation", 0, IF('Membership Application List'!J991 = "$15 Donation, Discord Verification", IF('Membership Application List'!N991 = TRUE, 15, 0)))</f>
        <v>#N/A</v>
      </c>
      <c r="F762" s="426">
        <f>if('Membership Application List'!K991=TRUE, 5,0)</f>
        <v>0</v>
      </c>
      <c r="G762" s="426" t="str">
        <f t="shared" si="8"/>
        <v>#N/A</v>
      </c>
      <c r="H762" s="427" t="str">
        <f>'Membership Application List'!L991</f>
        <v/>
      </c>
      <c r="I762" s="345"/>
      <c r="J762" s="441"/>
      <c r="K762" s="345"/>
      <c r="L762" s="478"/>
      <c r="M762" s="345"/>
      <c r="N762" s="345"/>
      <c r="O762" s="345"/>
      <c r="P762" s="414"/>
      <c r="Q762" s="414"/>
      <c r="R762" s="414"/>
      <c r="S762" s="445"/>
      <c r="T762" s="445"/>
      <c r="U762" s="445"/>
      <c r="V762" s="345"/>
      <c r="W762" s="441"/>
      <c r="X762" s="345"/>
      <c r="Y762" s="345"/>
      <c r="Z762" s="345"/>
      <c r="AA762" s="345"/>
      <c r="AB762" s="345"/>
      <c r="AC762" s="345"/>
      <c r="AD762" s="345"/>
      <c r="AE762" s="345"/>
      <c r="AF762" s="345"/>
      <c r="AG762" s="345"/>
      <c r="AH762" s="345"/>
      <c r="AI762" s="345"/>
      <c r="AJ762" s="345"/>
      <c r="AK762" s="345"/>
      <c r="AL762" s="345"/>
      <c r="AM762" s="345"/>
      <c r="AN762" s="345"/>
      <c r="AO762" s="345"/>
      <c r="AP762" s="345"/>
      <c r="AQ762" s="345"/>
      <c r="AR762" s="345"/>
      <c r="AS762" s="345"/>
    </row>
    <row r="763" ht="13.5" customHeight="1">
      <c r="A763" s="436" t="str">
        <f>'Membership Application List'!A992</f>
        <v/>
      </c>
      <c r="B763" s="437" t="str">
        <f t="shared" si="6"/>
        <v/>
      </c>
      <c r="C763" s="437" t="str">
        <f t="shared" si="7"/>
        <v/>
      </c>
      <c r="D763" s="438" t="str">
        <f>'Membership Application List'!E992</f>
        <v/>
      </c>
      <c r="E763" s="438" t="str">
        <f>IF('Membership Application List'!J992 = "Food/Litter Donation", 0, IF('Membership Application List'!J992 = "$15 Donation, Discord Verification", IF('Membership Application List'!N992 = TRUE, 15, 0)))</f>
        <v>#N/A</v>
      </c>
      <c r="F763" s="438">
        <f>if('Membership Application List'!K992=TRUE, 5,0)</f>
        <v>0</v>
      </c>
      <c r="G763" s="438" t="str">
        <f t="shared" si="8"/>
        <v>#N/A</v>
      </c>
      <c r="H763" s="439" t="str">
        <f>'Membership Application List'!L992</f>
        <v/>
      </c>
      <c r="I763" s="345"/>
      <c r="J763" s="441"/>
      <c r="K763" s="345"/>
      <c r="L763" s="478"/>
      <c r="M763" s="345"/>
      <c r="N763" s="345"/>
      <c r="O763" s="345"/>
      <c r="P763" s="414"/>
      <c r="Q763" s="414"/>
      <c r="R763" s="414"/>
      <c r="S763" s="445"/>
      <c r="T763" s="445"/>
      <c r="U763" s="445"/>
      <c r="V763" s="345"/>
      <c r="W763" s="441"/>
      <c r="X763" s="345"/>
      <c r="Y763" s="345"/>
      <c r="Z763" s="345"/>
      <c r="AA763" s="345"/>
      <c r="AB763" s="345"/>
      <c r="AC763" s="345"/>
      <c r="AD763" s="345"/>
      <c r="AE763" s="345"/>
      <c r="AF763" s="345"/>
      <c r="AG763" s="345"/>
      <c r="AH763" s="345"/>
      <c r="AI763" s="345"/>
      <c r="AJ763" s="345"/>
      <c r="AK763" s="345"/>
      <c r="AL763" s="345"/>
      <c r="AM763" s="345"/>
      <c r="AN763" s="345"/>
      <c r="AO763" s="345"/>
      <c r="AP763" s="345"/>
      <c r="AQ763" s="345"/>
      <c r="AR763" s="345"/>
      <c r="AS763" s="345"/>
    </row>
    <row r="764" ht="13.5" customHeight="1">
      <c r="A764" s="424" t="str">
        <f>'Membership Application List'!A993</f>
        <v/>
      </c>
      <c r="B764" s="443" t="str">
        <f t="shared" si="6"/>
        <v/>
      </c>
      <c r="C764" s="443" t="str">
        <f t="shared" si="7"/>
        <v/>
      </c>
      <c r="D764" s="426" t="str">
        <f>'Membership Application List'!E993</f>
        <v/>
      </c>
      <c r="E764" s="426" t="str">
        <f>IF('Membership Application List'!J993 = "Food/Litter Donation", 0, IF('Membership Application List'!J993 = "$15 Donation, Discord Verification", IF('Membership Application List'!N993 = TRUE, 15, 0)))</f>
        <v>#N/A</v>
      </c>
      <c r="F764" s="426">
        <f>if('Membership Application List'!K993=TRUE, 5,0)</f>
        <v>0</v>
      </c>
      <c r="G764" s="426" t="str">
        <f t="shared" si="8"/>
        <v>#N/A</v>
      </c>
      <c r="H764" s="427" t="str">
        <f>'Membership Application List'!L993</f>
        <v/>
      </c>
      <c r="I764" s="345"/>
      <c r="J764" s="441"/>
      <c r="K764" s="345"/>
      <c r="L764" s="478"/>
      <c r="M764" s="345"/>
      <c r="N764" s="345"/>
      <c r="O764" s="345"/>
      <c r="P764" s="414"/>
      <c r="Q764" s="414"/>
      <c r="R764" s="414"/>
      <c r="S764" s="445"/>
      <c r="T764" s="445"/>
      <c r="U764" s="445"/>
      <c r="V764" s="345"/>
      <c r="W764" s="441"/>
      <c r="X764" s="345"/>
      <c r="Y764" s="345"/>
      <c r="Z764" s="345"/>
      <c r="AA764" s="345"/>
      <c r="AB764" s="345"/>
      <c r="AC764" s="345"/>
      <c r="AD764" s="345"/>
      <c r="AE764" s="345"/>
      <c r="AF764" s="345"/>
      <c r="AG764" s="345"/>
      <c r="AH764" s="345"/>
      <c r="AI764" s="345"/>
      <c r="AJ764" s="345"/>
      <c r="AK764" s="345"/>
      <c r="AL764" s="345"/>
      <c r="AM764" s="345"/>
      <c r="AN764" s="345"/>
      <c r="AO764" s="345"/>
      <c r="AP764" s="345"/>
      <c r="AQ764" s="345"/>
      <c r="AR764" s="345"/>
      <c r="AS764" s="345"/>
    </row>
    <row r="765" ht="13.5" customHeight="1">
      <c r="A765" s="436" t="str">
        <f>'Membership Application List'!A994</f>
        <v/>
      </c>
      <c r="B765" s="437" t="str">
        <f t="shared" si="6"/>
        <v/>
      </c>
      <c r="C765" s="437" t="str">
        <f t="shared" si="7"/>
        <v/>
      </c>
      <c r="D765" s="438" t="str">
        <f>'Membership Application List'!E994</f>
        <v/>
      </c>
      <c r="E765" s="438" t="str">
        <f>IF('Membership Application List'!J994 = "Food/Litter Donation", 0, IF('Membership Application List'!J994 = "$15 Donation, Discord Verification", IF('Membership Application List'!N994 = TRUE, 15, 0)))</f>
        <v>#N/A</v>
      </c>
      <c r="F765" s="438">
        <f>if('Membership Application List'!K994=TRUE, 5,0)</f>
        <v>0</v>
      </c>
      <c r="G765" s="438" t="str">
        <f t="shared" si="8"/>
        <v>#N/A</v>
      </c>
      <c r="H765" s="439" t="str">
        <f>'Membership Application List'!L994</f>
        <v/>
      </c>
      <c r="I765" s="345"/>
      <c r="J765" s="441"/>
      <c r="K765" s="345"/>
      <c r="L765" s="478"/>
      <c r="M765" s="345"/>
      <c r="N765" s="345"/>
      <c r="O765" s="345"/>
      <c r="P765" s="414"/>
      <c r="Q765" s="414"/>
      <c r="R765" s="414"/>
      <c r="S765" s="445"/>
      <c r="T765" s="445"/>
      <c r="U765" s="445"/>
      <c r="V765" s="345"/>
      <c r="W765" s="441"/>
      <c r="X765" s="345"/>
      <c r="Y765" s="345"/>
      <c r="Z765" s="345"/>
      <c r="AA765" s="345"/>
      <c r="AB765" s="345"/>
      <c r="AC765" s="345"/>
      <c r="AD765" s="345"/>
      <c r="AE765" s="345"/>
      <c r="AF765" s="345"/>
      <c r="AG765" s="345"/>
      <c r="AH765" s="345"/>
      <c r="AI765" s="345"/>
      <c r="AJ765" s="345"/>
      <c r="AK765" s="345"/>
      <c r="AL765" s="345"/>
      <c r="AM765" s="345"/>
      <c r="AN765" s="345"/>
      <c r="AO765" s="345"/>
      <c r="AP765" s="345"/>
      <c r="AQ765" s="345"/>
      <c r="AR765" s="345"/>
      <c r="AS765" s="345"/>
    </row>
    <row r="766" ht="13.5" customHeight="1">
      <c r="A766" s="424" t="str">
        <f>'Membership Application List'!A995</f>
        <v/>
      </c>
      <c r="B766" s="443" t="str">
        <f t="shared" si="6"/>
        <v/>
      </c>
      <c r="C766" s="443" t="str">
        <f t="shared" si="7"/>
        <v/>
      </c>
      <c r="D766" s="426" t="str">
        <f>'Membership Application List'!E995</f>
        <v/>
      </c>
      <c r="E766" s="426" t="str">
        <f>IF('Membership Application List'!J995 = "Food/Litter Donation", 0, IF('Membership Application List'!J995 = "$15 Donation, Discord Verification", IF('Membership Application List'!N995 = TRUE, 15, 0)))</f>
        <v>#N/A</v>
      </c>
      <c r="F766" s="426">
        <f>if('Membership Application List'!K995=TRUE, 5,0)</f>
        <v>0</v>
      </c>
      <c r="G766" s="426" t="str">
        <f t="shared" si="8"/>
        <v>#N/A</v>
      </c>
      <c r="H766" s="427" t="str">
        <f>'Membership Application List'!L995</f>
        <v/>
      </c>
      <c r="I766" s="345"/>
      <c r="J766" s="441"/>
      <c r="K766" s="345"/>
      <c r="L766" s="478"/>
      <c r="M766" s="345"/>
      <c r="N766" s="345"/>
      <c r="O766" s="345"/>
      <c r="P766" s="414"/>
      <c r="Q766" s="414"/>
      <c r="R766" s="414"/>
      <c r="S766" s="445"/>
      <c r="T766" s="445"/>
      <c r="U766" s="445"/>
      <c r="V766" s="345"/>
      <c r="W766" s="441"/>
      <c r="X766" s="345"/>
      <c r="Y766" s="345"/>
      <c r="Z766" s="345"/>
      <c r="AA766" s="345"/>
      <c r="AB766" s="345"/>
      <c r="AC766" s="345"/>
      <c r="AD766" s="345"/>
      <c r="AE766" s="345"/>
      <c r="AF766" s="345"/>
      <c r="AG766" s="345"/>
      <c r="AH766" s="345"/>
      <c r="AI766" s="345"/>
      <c r="AJ766" s="345"/>
      <c r="AK766" s="345"/>
      <c r="AL766" s="345"/>
      <c r="AM766" s="345"/>
      <c r="AN766" s="345"/>
      <c r="AO766" s="345"/>
      <c r="AP766" s="345"/>
      <c r="AQ766" s="345"/>
      <c r="AR766" s="345"/>
      <c r="AS766" s="345"/>
    </row>
    <row r="767" ht="13.5" customHeight="1">
      <c r="A767" s="436" t="str">
        <f>'Membership Application List'!A996</f>
        <v/>
      </c>
      <c r="B767" s="437" t="str">
        <f t="shared" si="6"/>
        <v/>
      </c>
      <c r="C767" s="437" t="str">
        <f t="shared" si="7"/>
        <v/>
      </c>
      <c r="D767" s="438" t="str">
        <f>'Membership Application List'!E996</f>
        <v/>
      </c>
      <c r="E767" s="438" t="str">
        <f>IF('Membership Application List'!J996 = "Food/Litter Donation", 0, IF('Membership Application List'!J996 = "$15 Donation, Discord Verification", IF('Membership Application List'!N996 = TRUE, 15, 0)))</f>
        <v>#N/A</v>
      </c>
      <c r="F767" s="438">
        <f>if('Membership Application List'!K996=TRUE, 5,0)</f>
        <v>0</v>
      </c>
      <c r="G767" s="438" t="str">
        <f t="shared" si="8"/>
        <v>#N/A</v>
      </c>
      <c r="H767" s="439" t="str">
        <f>'Membership Application List'!L996</f>
        <v/>
      </c>
      <c r="I767" s="345"/>
      <c r="J767" s="441"/>
      <c r="K767" s="345"/>
      <c r="L767" s="478"/>
      <c r="M767" s="345"/>
      <c r="N767" s="345"/>
      <c r="O767" s="345"/>
      <c r="P767" s="414"/>
      <c r="Q767" s="414"/>
      <c r="R767" s="414"/>
      <c r="S767" s="445"/>
      <c r="T767" s="445"/>
      <c r="U767" s="445"/>
      <c r="V767" s="345"/>
      <c r="W767" s="441"/>
      <c r="X767" s="345"/>
      <c r="Y767" s="345"/>
      <c r="Z767" s="345"/>
      <c r="AA767" s="345"/>
      <c r="AB767" s="345"/>
      <c r="AC767" s="345"/>
      <c r="AD767" s="345"/>
      <c r="AE767" s="345"/>
      <c r="AF767" s="345"/>
      <c r="AG767" s="345"/>
      <c r="AH767" s="345"/>
      <c r="AI767" s="345"/>
      <c r="AJ767" s="345"/>
      <c r="AK767" s="345"/>
      <c r="AL767" s="345"/>
      <c r="AM767" s="345"/>
      <c r="AN767" s="345"/>
      <c r="AO767" s="345"/>
      <c r="AP767" s="345"/>
      <c r="AQ767" s="345"/>
      <c r="AR767" s="345"/>
      <c r="AS767" s="345"/>
    </row>
    <row r="768" ht="13.5" customHeight="1">
      <c r="A768" s="424" t="str">
        <f>'Membership Application List'!A997</f>
        <v/>
      </c>
      <c r="B768" s="443" t="str">
        <f t="shared" si="6"/>
        <v/>
      </c>
      <c r="C768" s="443" t="str">
        <f t="shared" si="7"/>
        <v/>
      </c>
      <c r="D768" s="426" t="str">
        <f>'Membership Application List'!E997</f>
        <v/>
      </c>
      <c r="E768" s="426" t="str">
        <f>IF('Membership Application List'!J997 = "Food/Litter Donation", 0, IF('Membership Application List'!J997 = "$15 Donation, Discord Verification", IF('Membership Application List'!N997 = TRUE, 15, 0)))</f>
        <v>#N/A</v>
      </c>
      <c r="F768" s="426">
        <f>if('Membership Application List'!K997=TRUE, 5,0)</f>
        <v>0</v>
      </c>
      <c r="G768" s="426" t="str">
        <f t="shared" si="8"/>
        <v>#N/A</v>
      </c>
      <c r="H768" s="427" t="str">
        <f>'Membership Application List'!L997</f>
        <v/>
      </c>
      <c r="I768" s="345"/>
      <c r="J768" s="441"/>
      <c r="K768" s="345"/>
      <c r="L768" s="478"/>
      <c r="M768" s="345"/>
      <c r="N768" s="345"/>
      <c r="O768" s="345"/>
      <c r="P768" s="414"/>
      <c r="Q768" s="414"/>
      <c r="R768" s="414"/>
      <c r="S768" s="445"/>
      <c r="T768" s="445"/>
      <c r="U768" s="445"/>
      <c r="V768" s="345"/>
      <c r="W768" s="441"/>
      <c r="X768" s="345"/>
      <c r="Y768" s="345"/>
      <c r="Z768" s="345"/>
      <c r="AA768" s="345"/>
      <c r="AB768" s="345"/>
      <c r="AC768" s="345"/>
      <c r="AD768" s="345"/>
      <c r="AE768" s="345"/>
      <c r="AF768" s="345"/>
      <c r="AG768" s="345"/>
      <c r="AH768" s="345"/>
      <c r="AI768" s="345"/>
      <c r="AJ768" s="345"/>
      <c r="AK768" s="345"/>
      <c r="AL768" s="345"/>
      <c r="AM768" s="345"/>
      <c r="AN768" s="345"/>
      <c r="AO768" s="345"/>
      <c r="AP768" s="345"/>
      <c r="AQ768" s="345"/>
      <c r="AR768" s="345"/>
      <c r="AS768" s="345"/>
    </row>
    <row r="769" ht="13.5" customHeight="1">
      <c r="A769" s="436" t="str">
        <f>'Membership Application List'!A998</f>
        <v/>
      </c>
      <c r="B769" s="437" t="str">
        <f t="shared" si="6"/>
        <v/>
      </c>
      <c r="C769" s="437" t="str">
        <f t="shared" si="7"/>
        <v/>
      </c>
      <c r="D769" s="438" t="str">
        <f>'Membership Application List'!E998</f>
        <v/>
      </c>
      <c r="E769" s="438" t="str">
        <f>IF('Membership Application List'!J998 = "Food/Litter Donation", 0, IF('Membership Application List'!J998 = "$15 Donation, Discord Verification", IF('Membership Application List'!N998 = TRUE, 15, 0)))</f>
        <v>#N/A</v>
      </c>
      <c r="F769" s="438">
        <f>if('Membership Application List'!K998=TRUE, 5,0)</f>
        <v>0</v>
      </c>
      <c r="G769" s="438" t="str">
        <f t="shared" si="8"/>
        <v>#N/A</v>
      </c>
      <c r="H769" s="439" t="str">
        <f>'Membership Application List'!L998</f>
        <v/>
      </c>
      <c r="I769" s="345"/>
      <c r="J769" s="441"/>
      <c r="K769" s="345"/>
      <c r="L769" s="478"/>
      <c r="M769" s="345"/>
      <c r="N769" s="345"/>
      <c r="O769" s="345"/>
      <c r="P769" s="414"/>
      <c r="Q769" s="414"/>
      <c r="R769" s="414"/>
      <c r="S769" s="445"/>
      <c r="T769" s="445"/>
      <c r="U769" s="445"/>
      <c r="V769" s="345"/>
      <c r="W769" s="441"/>
      <c r="X769" s="345"/>
      <c r="Y769" s="345"/>
      <c r="Z769" s="345"/>
      <c r="AA769" s="345"/>
      <c r="AB769" s="345"/>
      <c r="AC769" s="345"/>
      <c r="AD769" s="345"/>
      <c r="AE769" s="345"/>
      <c r="AF769" s="345"/>
      <c r="AG769" s="345"/>
      <c r="AH769" s="345"/>
      <c r="AI769" s="345"/>
      <c r="AJ769" s="345"/>
      <c r="AK769" s="345"/>
      <c r="AL769" s="345"/>
      <c r="AM769" s="345"/>
      <c r="AN769" s="345"/>
      <c r="AO769" s="345"/>
      <c r="AP769" s="345"/>
      <c r="AQ769" s="345"/>
      <c r="AR769" s="345"/>
      <c r="AS769" s="345"/>
    </row>
    <row r="770" ht="13.5" customHeight="1">
      <c r="A770" s="424" t="str">
        <f>'Membership Application List'!A999</f>
        <v/>
      </c>
      <c r="B770" s="443" t="str">
        <f t="shared" si="6"/>
        <v/>
      </c>
      <c r="C770" s="443" t="str">
        <f t="shared" si="7"/>
        <v/>
      </c>
      <c r="D770" s="426" t="str">
        <f>'Membership Application List'!E999</f>
        <v/>
      </c>
      <c r="E770" s="426" t="str">
        <f>IF('Membership Application List'!J999 = "Food/Litter Donation", 0, IF('Membership Application List'!J999 = "$15 Donation, Discord Verification", IF('Membership Application List'!N999 = TRUE, 15, 0)))</f>
        <v>#N/A</v>
      </c>
      <c r="F770" s="426">
        <f>if('Membership Application List'!K999=TRUE, 5,0)</f>
        <v>0</v>
      </c>
      <c r="G770" s="426" t="str">
        <f t="shared" si="8"/>
        <v>#N/A</v>
      </c>
      <c r="H770" s="427" t="str">
        <f>'Membership Application List'!L999</f>
        <v/>
      </c>
      <c r="I770" s="345"/>
      <c r="J770" s="441"/>
      <c r="K770" s="345"/>
      <c r="L770" s="478"/>
      <c r="M770" s="345"/>
      <c r="N770" s="345"/>
      <c r="O770" s="345"/>
      <c r="P770" s="414"/>
      <c r="Q770" s="414"/>
      <c r="R770" s="414"/>
      <c r="S770" s="445"/>
      <c r="T770" s="445"/>
      <c r="U770" s="445"/>
      <c r="V770" s="345"/>
      <c r="W770" s="441"/>
      <c r="X770" s="345"/>
      <c r="Y770" s="345"/>
      <c r="Z770" s="345"/>
      <c r="AA770" s="345"/>
      <c r="AB770" s="345"/>
      <c r="AC770" s="345"/>
      <c r="AD770" s="345"/>
      <c r="AE770" s="345"/>
      <c r="AF770" s="345"/>
      <c r="AG770" s="345"/>
      <c r="AH770" s="345"/>
      <c r="AI770" s="345"/>
      <c r="AJ770" s="345"/>
      <c r="AK770" s="345"/>
      <c r="AL770" s="345"/>
      <c r="AM770" s="345"/>
      <c r="AN770" s="345"/>
      <c r="AO770" s="345"/>
      <c r="AP770" s="345"/>
      <c r="AQ770" s="345"/>
      <c r="AR770" s="345"/>
      <c r="AS770" s="345"/>
    </row>
    <row r="771" ht="13.5" customHeight="1">
      <c r="A771" s="436" t="str">
        <f>'Membership Application List'!A1000</f>
        <v/>
      </c>
      <c r="B771" s="437" t="str">
        <f t="shared" si="6"/>
        <v/>
      </c>
      <c r="C771" s="437" t="str">
        <f t="shared" si="7"/>
        <v/>
      </c>
      <c r="D771" s="438" t="str">
        <f>'Membership Application List'!E1000</f>
        <v/>
      </c>
      <c r="E771" s="438" t="str">
        <f>IF('Membership Application List'!J1000 = "Food/Litter Donation", 0, IF('Membership Application List'!J1000 = "$15 Donation, Discord Verification", IF('Membership Application List'!N1000 = TRUE, 15, 0)))</f>
        <v>#N/A</v>
      </c>
      <c r="F771" s="438">
        <f>if('Membership Application List'!K1000=TRUE, 5,0)</f>
        <v>0</v>
      </c>
      <c r="G771" s="438" t="str">
        <f t="shared" si="8"/>
        <v>#N/A</v>
      </c>
      <c r="H771" s="439" t="str">
        <f>'Membership Application List'!L1000</f>
        <v/>
      </c>
      <c r="I771" s="345"/>
      <c r="J771" s="441"/>
      <c r="K771" s="345"/>
      <c r="L771" s="478"/>
      <c r="M771" s="345"/>
      <c r="N771" s="345"/>
      <c r="O771" s="345"/>
      <c r="P771" s="414"/>
      <c r="Q771" s="414"/>
      <c r="R771" s="414"/>
      <c r="S771" s="445"/>
      <c r="T771" s="445"/>
      <c r="U771" s="445"/>
      <c r="V771" s="345"/>
      <c r="W771" s="441"/>
      <c r="X771" s="345"/>
      <c r="Y771" s="345"/>
      <c r="Z771" s="345"/>
      <c r="AA771" s="345"/>
      <c r="AB771" s="345"/>
      <c r="AC771" s="345"/>
      <c r="AD771" s="345"/>
      <c r="AE771" s="345"/>
      <c r="AF771" s="345"/>
      <c r="AG771" s="345"/>
      <c r="AH771" s="345"/>
      <c r="AI771" s="345"/>
      <c r="AJ771" s="345"/>
      <c r="AK771" s="345"/>
      <c r="AL771" s="345"/>
      <c r="AM771" s="345"/>
      <c r="AN771" s="345"/>
      <c r="AO771" s="345"/>
      <c r="AP771" s="345"/>
      <c r="AQ771" s="345"/>
      <c r="AR771" s="345"/>
      <c r="AS771" s="345"/>
    </row>
    <row r="772" ht="13.5" customHeight="1">
      <c r="A772" s="424" t="str">
        <f>'Membership Application List'!A1001</f>
        <v/>
      </c>
      <c r="B772" s="443" t="str">
        <f t="shared" si="6"/>
        <v/>
      </c>
      <c r="C772" s="443" t="str">
        <f t="shared" si="7"/>
        <v/>
      </c>
      <c r="D772" s="426" t="str">
        <f>'Membership Application List'!E1001</f>
        <v/>
      </c>
      <c r="E772" s="426" t="str">
        <f>IF('Membership Application List'!J1001 = "Food/Litter Donation", 0, IF('Membership Application List'!J1001 = "$15 Donation, Discord Verification", IF('Membership Application List'!N1001 = TRUE, 15, 0)))</f>
        <v>#N/A</v>
      </c>
      <c r="F772" s="426">
        <f>if('Membership Application List'!K1001=TRUE, 5,0)</f>
        <v>0</v>
      </c>
      <c r="G772" s="426" t="str">
        <f t="shared" si="8"/>
        <v>#N/A</v>
      </c>
      <c r="H772" s="427" t="str">
        <f>'Membership Application List'!L1001</f>
        <v/>
      </c>
      <c r="I772" s="345"/>
      <c r="J772" s="441"/>
      <c r="K772" s="345"/>
      <c r="L772" s="478"/>
      <c r="M772" s="345"/>
      <c r="N772" s="345"/>
      <c r="O772" s="345"/>
      <c r="P772" s="414"/>
      <c r="Q772" s="414"/>
      <c r="R772" s="414"/>
      <c r="S772" s="445"/>
      <c r="T772" s="445"/>
      <c r="U772" s="445"/>
      <c r="V772" s="345"/>
      <c r="W772" s="441"/>
      <c r="X772" s="345"/>
      <c r="Y772" s="345"/>
      <c r="Z772" s="345"/>
      <c r="AA772" s="345"/>
      <c r="AB772" s="345"/>
      <c r="AC772" s="345"/>
      <c r="AD772" s="345"/>
      <c r="AE772" s="345"/>
      <c r="AF772" s="345"/>
      <c r="AG772" s="345"/>
      <c r="AH772" s="345"/>
      <c r="AI772" s="345"/>
      <c r="AJ772" s="345"/>
      <c r="AK772" s="345"/>
      <c r="AL772" s="345"/>
      <c r="AM772" s="345"/>
      <c r="AN772" s="345"/>
      <c r="AO772" s="345"/>
      <c r="AP772" s="345"/>
      <c r="AQ772" s="345"/>
      <c r="AR772" s="345"/>
      <c r="AS772" s="345"/>
    </row>
    <row r="773" ht="13.5" customHeight="1">
      <c r="A773" s="436" t="str">
        <f>'Membership Application List'!A1002</f>
        <v/>
      </c>
      <c r="B773" s="437" t="str">
        <f t="shared" si="6"/>
        <v/>
      </c>
      <c r="C773" s="437" t="str">
        <f t="shared" si="7"/>
        <v/>
      </c>
      <c r="D773" s="438" t="str">
        <f>'Membership Application List'!E1002</f>
        <v/>
      </c>
      <c r="E773" s="438" t="str">
        <f>IF('Membership Application List'!J1002 = "Food/Litter Donation", 0, IF('Membership Application List'!J1002 = "$15 Donation, Discord Verification", IF('Membership Application List'!N1002 = TRUE, 15, 0)))</f>
        <v>#N/A</v>
      </c>
      <c r="F773" s="438">
        <f>if('Membership Application List'!K1002=TRUE, 5,0)</f>
        <v>0</v>
      </c>
      <c r="G773" s="438" t="str">
        <f t="shared" si="8"/>
        <v>#N/A</v>
      </c>
      <c r="H773" s="439" t="str">
        <f>'Membership Application List'!L1002</f>
        <v/>
      </c>
      <c r="I773" s="345"/>
      <c r="J773" s="441"/>
      <c r="K773" s="345"/>
      <c r="L773" s="478"/>
      <c r="M773" s="345"/>
      <c r="N773" s="345"/>
      <c r="O773" s="345"/>
      <c r="P773" s="414"/>
      <c r="Q773" s="414"/>
      <c r="R773" s="414"/>
      <c r="S773" s="445"/>
      <c r="T773" s="445"/>
      <c r="U773" s="445"/>
      <c r="V773" s="345"/>
      <c r="W773" s="441"/>
      <c r="X773" s="345"/>
      <c r="Y773" s="345"/>
      <c r="Z773" s="345"/>
      <c r="AA773" s="345"/>
      <c r="AB773" s="345"/>
      <c r="AC773" s="345"/>
      <c r="AD773" s="345"/>
      <c r="AE773" s="345"/>
      <c r="AF773" s="345"/>
      <c r="AG773" s="345"/>
      <c r="AH773" s="345"/>
      <c r="AI773" s="345"/>
      <c r="AJ773" s="345"/>
      <c r="AK773" s="345"/>
      <c r="AL773" s="345"/>
      <c r="AM773" s="345"/>
      <c r="AN773" s="345"/>
      <c r="AO773" s="345"/>
      <c r="AP773" s="345"/>
      <c r="AQ773" s="345"/>
      <c r="AR773" s="345"/>
      <c r="AS773" s="345"/>
    </row>
    <row r="774" ht="13.5" customHeight="1">
      <c r="A774" s="424" t="str">
        <f>'Membership Application List'!A1003</f>
        <v/>
      </c>
      <c r="B774" s="443" t="str">
        <f t="shared" si="6"/>
        <v/>
      </c>
      <c r="C774" s="443" t="str">
        <f t="shared" si="7"/>
        <v/>
      </c>
      <c r="D774" s="426" t="str">
        <f>'Membership Application List'!E1003</f>
        <v/>
      </c>
      <c r="E774" s="426" t="str">
        <f>IF('Membership Application List'!J1003 = "Food/Litter Donation", 0, IF('Membership Application List'!J1003 = "$15 Donation, Discord Verification", IF('Membership Application List'!N1003 = TRUE, 15, 0)))</f>
        <v>#N/A</v>
      </c>
      <c r="F774" s="426">
        <f>if('Membership Application List'!K1003=TRUE, 5,0)</f>
        <v>0</v>
      </c>
      <c r="G774" s="426" t="str">
        <f t="shared" si="8"/>
        <v>#N/A</v>
      </c>
      <c r="H774" s="427" t="str">
        <f>'Membership Application List'!L1003</f>
        <v/>
      </c>
      <c r="I774" s="345"/>
      <c r="J774" s="441"/>
      <c r="K774" s="345"/>
      <c r="L774" s="478"/>
      <c r="M774" s="345"/>
      <c r="N774" s="345"/>
      <c r="O774" s="345"/>
      <c r="P774" s="414"/>
      <c r="Q774" s="414"/>
      <c r="R774" s="414"/>
      <c r="S774" s="445"/>
      <c r="T774" s="445"/>
      <c r="U774" s="445"/>
      <c r="V774" s="345"/>
      <c r="W774" s="441"/>
      <c r="X774" s="345"/>
      <c r="Y774" s="345"/>
      <c r="Z774" s="345"/>
      <c r="AA774" s="345"/>
      <c r="AB774" s="345"/>
      <c r="AC774" s="345"/>
      <c r="AD774" s="345"/>
      <c r="AE774" s="345"/>
      <c r="AF774" s="345"/>
      <c r="AG774" s="345"/>
      <c r="AH774" s="345"/>
      <c r="AI774" s="345"/>
      <c r="AJ774" s="345"/>
      <c r="AK774" s="345"/>
      <c r="AL774" s="345"/>
      <c r="AM774" s="345"/>
      <c r="AN774" s="345"/>
      <c r="AO774" s="345"/>
      <c r="AP774" s="345"/>
      <c r="AQ774" s="345"/>
      <c r="AR774" s="345"/>
      <c r="AS774" s="345"/>
    </row>
    <row r="775" ht="13.5" customHeight="1">
      <c r="A775" s="436" t="str">
        <f>'Membership Application List'!A1004</f>
        <v/>
      </c>
      <c r="B775" s="437" t="str">
        <f t="shared" si="6"/>
        <v/>
      </c>
      <c r="C775" s="437" t="str">
        <f t="shared" si="7"/>
        <v/>
      </c>
      <c r="D775" s="438" t="str">
        <f>'Membership Application List'!E1004</f>
        <v/>
      </c>
      <c r="E775" s="438" t="b">
        <f>IF('Membership Application List'!J1004 = "Food/Litter Donation", 0, IF('Membership Application List'!J1004 = "$15 Donation, Discord Verification", IF('Membership Application List'!N1004 = TRUE, 15, 0)))</f>
        <v>0</v>
      </c>
      <c r="F775" s="438">
        <f>if('Membership Application List'!K1004=TRUE, 5,0)</f>
        <v>0</v>
      </c>
      <c r="G775" s="438">
        <f t="shared" si="8"/>
        <v>0</v>
      </c>
      <c r="H775" s="479" t="str">
        <f>'Membership Application List'!L1004</f>
        <v/>
      </c>
      <c r="I775" s="345"/>
      <c r="J775" s="441"/>
      <c r="K775" s="345"/>
      <c r="L775" s="478"/>
      <c r="M775" s="345"/>
      <c r="N775" s="345"/>
      <c r="O775" s="345"/>
      <c r="P775" s="414"/>
      <c r="Q775" s="414"/>
      <c r="R775" s="414"/>
      <c r="S775" s="445"/>
      <c r="T775" s="445"/>
      <c r="U775" s="445"/>
      <c r="V775" s="345"/>
      <c r="W775" s="441"/>
      <c r="X775" s="345"/>
      <c r="Y775" s="345"/>
      <c r="Z775" s="345"/>
      <c r="AA775" s="345"/>
      <c r="AB775" s="345"/>
      <c r="AC775" s="345"/>
      <c r="AD775" s="345"/>
      <c r="AE775" s="345"/>
      <c r="AF775" s="345"/>
      <c r="AG775" s="345"/>
      <c r="AH775" s="345"/>
      <c r="AI775" s="345"/>
      <c r="AJ775" s="345"/>
      <c r="AK775" s="345"/>
      <c r="AL775" s="345"/>
      <c r="AM775" s="345"/>
      <c r="AN775" s="345"/>
      <c r="AO775" s="345"/>
      <c r="AP775" s="345"/>
      <c r="AQ775" s="345"/>
      <c r="AR775" s="345"/>
      <c r="AS775" s="345"/>
    </row>
    <row r="776" ht="13.5" customHeight="1">
      <c r="A776" s="424" t="str">
        <f>'Membership Application List'!A1005</f>
        <v/>
      </c>
      <c r="B776" s="443" t="str">
        <f t="shared" si="6"/>
        <v/>
      </c>
      <c r="C776" s="443" t="str">
        <f t="shared" si="7"/>
        <v/>
      </c>
      <c r="D776" s="426" t="str">
        <f>'Membership Application List'!E1005</f>
        <v/>
      </c>
      <c r="E776" s="426" t="b">
        <f>IF('Membership Application List'!J1005 = "Food/Litter Donation", 0, IF('Membership Application List'!J1005 = "$15 Donation, Discord Verification", IF('Membership Application List'!N1005 = TRUE, 15, 0)))</f>
        <v>0</v>
      </c>
      <c r="F776" s="426">
        <f>if('Membership Application List'!K1005=TRUE, 5,0)</f>
        <v>0</v>
      </c>
      <c r="G776" s="426">
        <f t="shared" si="8"/>
        <v>0</v>
      </c>
      <c r="H776" s="480" t="str">
        <f>'Membership Application List'!L1005</f>
        <v/>
      </c>
      <c r="I776" s="345"/>
      <c r="J776" s="441"/>
      <c r="K776" s="345"/>
      <c r="L776" s="478"/>
      <c r="M776" s="345"/>
      <c r="N776" s="345"/>
      <c r="O776" s="345"/>
      <c r="P776" s="414"/>
      <c r="Q776" s="414"/>
      <c r="R776" s="414"/>
      <c r="S776" s="445"/>
      <c r="T776" s="445"/>
      <c r="U776" s="445"/>
      <c r="V776" s="345"/>
      <c r="W776" s="441"/>
      <c r="X776" s="345"/>
      <c r="Y776" s="345"/>
      <c r="Z776" s="345"/>
      <c r="AA776" s="345"/>
      <c r="AB776" s="345"/>
      <c r="AC776" s="345"/>
      <c r="AD776" s="345"/>
      <c r="AE776" s="345"/>
      <c r="AF776" s="345"/>
      <c r="AG776" s="345"/>
      <c r="AH776" s="345"/>
      <c r="AI776" s="345"/>
      <c r="AJ776" s="345"/>
      <c r="AK776" s="345"/>
      <c r="AL776" s="345"/>
      <c r="AM776" s="345"/>
      <c r="AN776" s="345"/>
      <c r="AO776" s="345"/>
      <c r="AP776" s="345"/>
      <c r="AQ776" s="345"/>
      <c r="AR776" s="345"/>
      <c r="AS776" s="345"/>
    </row>
    <row r="777" ht="13.5" customHeight="1">
      <c r="A777" s="436" t="str">
        <f>'Membership Application List'!A1006</f>
        <v/>
      </c>
      <c r="B777" s="437" t="str">
        <f t="shared" si="6"/>
        <v/>
      </c>
      <c r="C777" s="437" t="str">
        <f t="shared" si="7"/>
        <v/>
      </c>
      <c r="D777" s="438" t="str">
        <f>'Membership Application List'!E1006</f>
        <v/>
      </c>
      <c r="E777" s="438" t="b">
        <f>IF('Membership Application List'!J1006 = "Food/Litter Donation", 0, IF('Membership Application List'!J1006 = "$15 Donation, Discord Verification", IF('Membership Application List'!N1006 = TRUE, 15, 0)))</f>
        <v>0</v>
      </c>
      <c r="F777" s="438">
        <f>if('Membership Application List'!K1006=TRUE, 5,0)</f>
        <v>0</v>
      </c>
      <c r="G777" s="438">
        <f t="shared" si="8"/>
        <v>0</v>
      </c>
      <c r="H777" s="479" t="str">
        <f>'Membership Application List'!L1006</f>
        <v/>
      </c>
      <c r="I777" s="345"/>
      <c r="J777" s="441"/>
      <c r="K777" s="345"/>
      <c r="L777" s="478"/>
      <c r="M777" s="345"/>
      <c r="N777" s="345"/>
      <c r="O777" s="345"/>
      <c r="P777" s="414"/>
      <c r="Q777" s="414"/>
      <c r="R777" s="414"/>
      <c r="S777" s="445"/>
      <c r="T777" s="445"/>
      <c r="U777" s="445"/>
      <c r="V777" s="345"/>
      <c r="W777" s="441"/>
      <c r="X777" s="345"/>
      <c r="Y777" s="345"/>
      <c r="Z777" s="345"/>
      <c r="AA777" s="345"/>
      <c r="AB777" s="345"/>
      <c r="AC777" s="345"/>
      <c r="AD777" s="345"/>
      <c r="AE777" s="345"/>
      <c r="AF777" s="345"/>
      <c r="AG777" s="345"/>
      <c r="AH777" s="345"/>
      <c r="AI777" s="345"/>
      <c r="AJ777" s="345"/>
      <c r="AK777" s="345"/>
      <c r="AL777" s="345"/>
      <c r="AM777" s="345"/>
      <c r="AN777" s="345"/>
      <c r="AO777" s="345"/>
      <c r="AP777" s="345"/>
      <c r="AQ777" s="345"/>
      <c r="AR777" s="345"/>
      <c r="AS777" s="345"/>
    </row>
    <row r="778" ht="13.5" customHeight="1">
      <c r="A778" s="424" t="str">
        <f>'Membership Application List'!A1007</f>
        <v/>
      </c>
      <c r="B778" s="443" t="str">
        <f t="shared" si="6"/>
        <v/>
      </c>
      <c r="C778" s="443" t="str">
        <f t="shared" si="7"/>
        <v/>
      </c>
      <c r="D778" s="426" t="str">
        <f>'Membership Application List'!E1007</f>
        <v/>
      </c>
      <c r="E778" s="426" t="b">
        <f>IF('Membership Application List'!J1007 = "Food/Litter Donation", 0, IF('Membership Application List'!J1007 = "$15 Donation, Discord Verification", IF('Membership Application List'!N1007 = TRUE, 15, 0)))</f>
        <v>0</v>
      </c>
      <c r="F778" s="426">
        <f>if('Membership Application List'!K1007=TRUE, 5,0)</f>
        <v>0</v>
      </c>
      <c r="G778" s="426">
        <f t="shared" si="8"/>
        <v>0</v>
      </c>
      <c r="H778" s="480" t="str">
        <f>'Membership Application List'!L1007</f>
        <v/>
      </c>
      <c r="I778" s="345"/>
      <c r="J778" s="441"/>
      <c r="K778" s="345"/>
      <c r="L778" s="478"/>
      <c r="M778" s="345"/>
      <c r="N778" s="345"/>
      <c r="O778" s="345"/>
      <c r="P778" s="414"/>
      <c r="Q778" s="414"/>
      <c r="R778" s="414"/>
      <c r="S778" s="445"/>
      <c r="T778" s="445"/>
      <c r="U778" s="445"/>
      <c r="V778" s="345"/>
      <c r="W778" s="441"/>
      <c r="X778" s="345"/>
      <c r="Y778" s="345"/>
      <c r="Z778" s="345"/>
      <c r="AA778" s="345"/>
      <c r="AB778" s="345"/>
      <c r="AC778" s="345"/>
      <c r="AD778" s="345"/>
      <c r="AE778" s="345"/>
      <c r="AF778" s="345"/>
      <c r="AG778" s="345"/>
      <c r="AH778" s="345"/>
      <c r="AI778" s="345"/>
      <c r="AJ778" s="345"/>
      <c r="AK778" s="345"/>
      <c r="AL778" s="345"/>
      <c r="AM778" s="345"/>
      <c r="AN778" s="345"/>
      <c r="AO778" s="345"/>
      <c r="AP778" s="345"/>
      <c r="AQ778" s="345"/>
      <c r="AR778" s="345"/>
      <c r="AS778" s="345"/>
    </row>
    <row r="779" ht="13.5" customHeight="1">
      <c r="A779" s="436" t="str">
        <f>'Membership Application List'!A1008</f>
        <v/>
      </c>
      <c r="B779" s="437" t="str">
        <f t="shared" si="6"/>
        <v/>
      </c>
      <c r="C779" s="437" t="str">
        <f t="shared" si="7"/>
        <v/>
      </c>
      <c r="D779" s="438" t="str">
        <f>'Membership Application List'!E1008</f>
        <v/>
      </c>
      <c r="E779" s="438" t="b">
        <f>IF('Membership Application List'!J1008 = "Food/Litter Donation", 0, IF('Membership Application List'!J1008 = "$15 Donation, Discord Verification", IF('Membership Application List'!N1008 = TRUE, 15, 0)))</f>
        <v>0</v>
      </c>
      <c r="F779" s="438">
        <f>if('Membership Application List'!K1008=TRUE, 5,0)</f>
        <v>0</v>
      </c>
      <c r="G779" s="438">
        <f t="shared" si="8"/>
        <v>0</v>
      </c>
      <c r="H779" s="479" t="str">
        <f>'Membership Application List'!L1008</f>
        <v/>
      </c>
      <c r="I779" s="345"/>
      <c r="J779" s="441"/>
      <c r="K779" s="345"/>
      <c r="L779" s="478"/>
      <c r="M779" s="345"/>
      <c r="N779" s="345"/>
      <c r="O779" s="345"/>
      <c r="P779" s="414"/>
      <c r="Q779" s="414"/>
      <c r="R779" s="414"/>
      <c r="S779" s="445"/>
      <c r="T779" s="445"/>
      <c r="U779" s="445"/>
      <c r="V779" s="345"/>
      <c r="W779" s="441"/>
      <c r="X779" s="345"/>
      <c r="Y779" s="345"/>
      <c r="Z779" s="345"/>
      <c r="AA779" s="345"/>
      <c r="AB779" s="345"/>
      <c r="AC779" s="345"/>
      <c r="AD779" s="345"/>
      <c r="AE779" s="345"/>
      <c r="AF779" s="345"/>
      <c r="AG779" s="345"/>
      <c r="AH779" s="345"/>
      <c r="AI779" s="345"/>
      <c r="AJ779" s="345"/>
      <c r="AK779" s="345"/>
      <c r="AL779" s="345"/>
      <c r="AM779" s="345"/>
      <c r="AN779" s="345"/>
      <c r="AO779" s="345"/>
      <c r="AP779" s="345"/>
      <c r="AQ779" s="345"/>
      <c r="AR779" s="345"/>
      <c r="AS779" s="345"/>
    </row>
    <row r="780" ht="13.5" customHeight="1">
      <c r="A780" s="424" t="str">
        <f>'Membership Application List'!A1009</f>
        <v/>
      </c>
      <c r="B780" s="443" t="str">
        <f t="shared" si="6"/>
        <v/>
      </c>
      <c r="C780" s="443" t="str">
        <f t="shared" si="7"/>
        <v/>
      </c>
      <c r="D780" s="426" t="str">
        <f>'Membership Application List'!E1009</f>
        <v/>
      </c>
      <c r="E780" s="426" t="b">
        <f>IF('Membership Application List'!J1009 = "Food/Litter Donation", 0, IF('Membership Application List'!J1009 = "$15 Donation, Discord Verification", IF('Membership Application List'!N1009 = TRUE, 15, 0)))</f>
        <v>0</v>
      </c>
      <c r="F780" s="426">
        <f>if('Membership Application List'!K1009=TRUE, 5,0)</f>
        <v>0</v>
      </c>
      <c r="G780" s="426">
        <f t="shared" si="8"/>
        <v>0</v>
      </c>
      <c r="H780" s="480" t="str">
        <f>'Membership Application List'!L1009</f>
        <v/>
      </c>
      <c r="I780" s="345"/>
      <c r="J780" s="441"/>
      <c r="K780" s="345"/>
      <c r="L780" s="478"/>
      <c r="M780" s="345"/>
      <c r="N780" s="345"/>
      <c r="O780" s="345"/>
      <c r="P780" s="414"/>
      <c r="Q780" s="414"/>
      <c r="R780" s="414"/>
      <c r="S780" s="445"/>
      <c r="T780" s="445"/>
      <c r="U780" s="445"/>
      <c r="V780" s="345"/>
      <c r="W780" s="441"/>
      <c r="X780" s="345"/>
      <c r="Y780" s="345"/>
      <c r="Z780" s="345"/>
      <c r="AA780" s="345"/>
      <c r="AB780" s="345"/>
      <c r="AC780" s="345"/>
      <c r="AD780" s="345"/>
      <c r="AE780" s="345"/>
      <c r="AF780" s="345"/>
      <c r="AG780" s="345"/>
      <c r="AH780" s="345"/>
      <c r="AI780" s="345"/>
      <c r="AJ780" s="345"/>
      <c r="AK780" s="345"/>
      <c r="AL780" s="345"/>
      <c r="AM780" s="345"/>
      <c r="AN780" s="345"/>
      <c r="AO780" s="345"/>
      <c r="AP780" s="345"/>
      <c r="AQ780" s="345"/>
      <c r="AR780" s="345"/>
      <c r="AS780" s="345"/>
    </row>
    <row r="781" ht="13.5" customHeight="1">
      <c r="A781" s="436" t="str">
        <f>'Membership Application List'!A1010</f>
        <v/>
      </c>
      <c r="B781" s="437" t="str">
        <f t="shared" si="6"/>
        <v/>
      </c>
      <c r="C781" s="437" t="str">
        <f t="shared" si="7"/>
        <v/>
      </c>
      <c r="D781" s="438" t="str">
        <f>'Membership Application List'!E1010</f>
        <v/>
      </c>
      <c r="E781" s="438" t="b">
        <f>IF('Membership Application List'!J1010 = "Food/Litter Donation", 0, IF('Membership Application List'!J1010 = "$15 Donation, Discord Verification", IF('Membership Application List'!N1010 = TRUE, 15, 0)))</f>
        <v>0</v>
      </c>
      <c r="F781" s="438">
        <f>if('Membership Application List'!K1010=TRUE, 5,0)</f>
        <v>0</v>
      </c>
      <c r="G781" s="438">
        <f t="shared" si="8"/>
        <v>0</v>
      </c>
      <c r="H781" s="479" t="str">
        <f>'Membership Application List'!L1010</f>
        <v/>
      </c>
      <c r="I781" s="345"/>
      <c r="J781" s="441"/>
      <c r="K781" s="345"/>
      <c r="L781" s="478"/>
      <c r="M781" s="345"/>
      <c r="N781" s="345"/>
      <c r="O781" s="345"/>
      <c r="P781" s="414"/>
      <c r="Q781" s="414"/>
      <c r="R781" s="414"/>
      <c r="S781" s="445"/>
      <c r="T781" s="445"/>
      <c r="U781" s="445"/>
      <c r="V781" s="345"/>
      <c r="W781" s="441"/>
      <c r="X781" s="345"/>
      <c r="Y781" s="345"/>
      <c r="Z781" s="345"/>
      <c r="AA781" s="345"/>
      <c r="AB781" s="345"/>
      <c r="AC781" s="345"/>
      <c r="AD781" s="345"/>
      <c r="AE781" s="345"/>
      <c r="AF781" s="345"/>
      <c r="AG781" s="345"/>
      <c r="AH781" s="345"/>
      <c r="AI781" s="345"/>
      <c r="AJ781" s="345"/>
      <c r="AK781" s="345"/>
      <c r="AL781" s="345"/>
      <c r="AM781" s="345"/>
      <c r="AN781" s="345"/>
      <c r="AO781" s="345"/>
      <c r="AP781" s="345"/>
      <c r="AQ781" s="345"/>
      <c r="AR781" s="345"/>
      <c r="AS781" s="345"/>
    </row>
    <row r="782" ht="13.5" customHeight="1">
      <c r="A782" s="424" t="str">
        <f>'Membership Application List'!A1011</f>
        <v/>
      </c>
      <c r="B782" s="443" t="str">
        <f t="shared" si="6"/>
        <v/>
      </c>
      <c r="C782" s="443" t="str">
        <f t="shared" si="7"/>
        <v/>
      </c>
      <c r="D782" s="426" t="str">
        <f>'Membership Application List'!E1011</f>
        <v/>
      </c>
      <c r="E782" s="426" t="b">
        <f>IF('Membership Application List'!J1011 = "Food/Litter Donation", 0, IF('Membership Application List'!J1011 = "$15 Donation, Discord Verification", IF('Membership Application List'!N1011 = TRUE, 15, 0)))</f>
        <v>0</v>
      </c>
      <c r="F782" s="426">
        <f>if('Membership Application List'!K1011=TRUE, 5,0)</f>
        <v>0</v>
      </c>
      <c r="G782" s="426">
        <f t="shared" si="8"/>
        <v>0</v>
      </c>
      <c r="H782" s="480" t="str">
        <f>'Membership Application List'!L1011</f>
        <v/>
      </c>
      <c r="I782" s="345"/>
      <c r="J782" s="441"/>
      <c r="K782" s="345"/>
      <c r="L782" s="478"/>
      <c r="M782" s="345"/>
      <c r="N782" s="345"/>
      <c r="O782" s="345"/>
      <c r="P782" s="414"/>
      <c r="Q782" s="414"/>
      <c r="R782" s="414"/>
      <c r="S782" s="445"/>
      <c r="T782" s="445"/>
      <c r="U782" s="445"/>
      <c r="V782" s="345"/>
      <c r="W782" s="441"/>
      <c r="X782" s="345"/>
      <c r="Y782" s="345"/>
      <c r="Z782" s="345"/>
      <c r="AA782" s="345"/>
      <c r="AB782" s="345"/>
      <c r="AC782" s="345"/>
      <c r="AD782" s="345"/>
      <c r="AE782" s="345"/>
      <c r="AF782" s="345"/>
      <c r="AG782" s="345"/>
      <c r="AH782" s="345"/>
      <c r="AI782" s="345"/>
      <c r="AJ782" s="345"/>
      <c r="AK782" s="345"/>
      <c r="AL782" s="345"/>
      <c r="AM782" s="345"/>
      <c r="AN782" s="345"/>
      <c r="AO782" s="345"/>
      <c r="AP782" s="345"/>
      <c r="AQ782" s="345"/>
      <c r="AR782" s="345"/>
      <c r="AS782" s="345"/>
    </row>
    <row r="783" ht="13.5" customHeight="1">
      <c r="A783" s="436" t="str">
        <f>'Membership Application List'!A1012</f>
        <v/>
      </c>
      <c r="B783" s="437" t="str">
        <f t="shared" si="6"/>
        <v/>
      </c>
      <c r="C783" s="437" t="str">
        <f t="shared" si="7"/>
        <v/>
      </c>
      <c r="D783" s="438" t="str">
        <f>'Membership Application List'!E1012</f>
        <v/>
      </c>
      <c r="E783" s="438" t="b">
        <f>IF('Membership Application List'!J1012 = "Food/Litter Donation", 0, IF('Membership Application List'!J1012 = "$15 Donation, Discord Verification", IF('Membership Application List'!N1012 = TRUE, 15, 0)))</f>
        <v>0</v>
      </c>
      <c r="F783" s="438">
        <f>if('Membership Application List'!K1012=TRUE, 5,0)</f>
        <v>0</v>
      </c>
      <c r="G783" s="438">
        <f t="shared" si="8"/>
        <v>0</v>
      </c>
      <c r="H783" s="479" t="str">
        <f>'Membership Application List'!L1012</f>
        <v/>
      </c>
      <c r="I783" s="345"/>
      <c r="J783" s="441"/>
      <c r="K783" s="345"/>
      <c r="L783" s="478"/>
      <c r="M783" s="345"/>
      <c r="N783" s="345"/>
      <c r="O783" s="345"/>
      <c r="P783" s="414"/>
      <c r="Q783" s="414"/>
      <c r="R783" s="414"/>
      <c r="S783" s="445"/>
      <c r="T783" s="445"/>
      <c r="U783" s="445"/>
      <c r="V783" s="345"/>
      <c r="W783" s="441"/>
      <c r="X783" s="345"/>
      <c r="Y783" s="345"/>
      <c r="Z783" s="345"/>
      <c r="AA783" s="345"/>
      <c r="AB783" s="345"/>
      <c r="AC783" s="345"/>
      <c r="AD783" s="345"/>
      <c r="AE783" s="345"/>
      <c r="AF783" s="345"/>
      <c r="AG783" s="345"/>
      <c r="AH783" s="345"/>
      <c r="AI783" s="345"/>
      <c r="AJ783" s="345"/>
      <c r="AK783" s="345"/>
      <c r="AL783" s="345"/>
      <c r="AM783" s="345"/>
      <c r="AN783" s="345"/>
      <c r="AO783" s="345"/>
      <c r="AP783" s="345"/>
      <c r="AQ783" s="345"/>
      <c r="AR783" s="345"/>
      <c r="AS783" s="345"/>
    </row>
    <row r="784" ht="13.5" customHeight="1">
      <c r="A784" s="424" t="str">
        <f>'Membership Application List'!A1013</f>
        <v/>
      </c>
      <c r="B784" s="443" t="str">
        <f t="shared" si="6"/>
        <v/>
      </c>
      <c r="C784" s="443" t="str">
        <f t="shared" si="7"/>
        <v/>
      </c>
      <c r="D784" s="426" t="str">
        <f>'Membership Application List'!E1013</f>
        <v/>
      </c>
      <c r="E784" s="426" t="b">
        <f>IF('Membership Application List'!J1013 = "Food/Litter Donation", 0, IF('Membership Application List'!J1013 = "$15 Donation, Discord Verification", IF('Membership Application List'!N1013 = TRUE, 15, 0)))</f>
        <v>0</v>
      </c>
      <c r="F784" s="426">
        <f>if('Membership Application List'!K1013=TRUE, 5,0)</f>
        <v>0</v>
      </c>
      <c r="G784" s="426">
        <f t="shared" si="8"/>
        <v>0</v>
      </c>
      <c r="H784" s="480" t="str">
        <f>'Membership Application List'!L1013</f>
        <v/>
      </c>
      <c r="I784" s="345"/>
      <c r="J784" s="441"/>
      <c r="K784" s="345"/>
      <c r="L784" s="478"/>
      <c r="M784" s="345"/>
      <c r="N784" s="345"/>
      <c r="O784" s="345"/>
      <c r="P784" s="414"/>
      <c r="Q784" s="414"/>
      <c r="R784" s="414"/>
      <c r="S784" s="445"/>
      <c r="T784" s="445"/>
      <c r="U784" s="445"/>
      <c r="V784" s="345"/>
      <c r="W784" s="441"/>
      <c r="X784" s="345"/>
      <c r="Y784" s="345"/>
      <c r="Z784" s="345"/>
      <c r="AA784" s="345"/>
      <c r="AB784" s="345"/>
      <c r="AC784" s="345"/>
      <c r="AD784" s="345"/>
      <c r="AE784" s="345"/>
      <c r="AF784" s="345"/>
      <c r="AG784" s="345"/>
      <c r="AH784" s="345"/>
      <c r="AI784" s="345"/>
      <c r="AJ784" s="345"/>
      <c r="AK784" s="345"/>
      <c r="AL784" s="345"/>
      <c r="AM784" s="345"/>
      <c r="AN784" s="345"/>
      <c r="AO784" s="345"/>
      <c r="AP784" s="345"/>
      <c r="AQ784" s="345"/>
      <c r="AR784" s="345"/>
      <c r="AS784" s="345"/>
    </row>
    <row r="785" ht="13.5" customHeight="1">
      <c r="A785" s="436" t="str">
        <f>'Membership Application List'!A1014</f>
        <v/>
      </c>
      <c r="B785" s="437" t="str">
        <f t="shared" si="6"/>
        <v/>
      </c>
      <c r="C785" s="437" t="str">
        <f t="shared" si="7"/>
        <v/>
      </c>
      <c r="D785" s="438" t="str">
        <f>'Membership Application List'!E1014</f>
        <v/>
      </c>
      <c r="E785" s="438" t="b">
        <f>IF('Membership Application List'!J1014 = "Food/Litter Donation", 0, IF('Membership Application List'!J1014 = "$15 Donation, Discord Verification", IF('Membership Application List'!N1014 = TRUE, 15, 0)))</f>
        <v>0</v>
      </c>
      <c r="F785" s="438">
        <f>if('Membership Application List'!K1014=TRUE, 5,0)</f>
        <v>0</v>
      </c>
      <c r="G785" s="438">
        <f t="shared" si="8"/>
        <v>0</v>
      </c>
      <c r="H785" s="479" t="str">
        <f>'Membership Application List'!L1014</f>
        <v/>
      </c>
      <c r="I785" s="345"/>
      <c r="J785" s="441"/>
      <c r="K785" s="345"/>
      <c r="L785" s="478"/>
      <c r="M785" s="345"/>
      <c r="N785" s="345"/>
      <c r="O785" s="345"/>
      <c r="P785" s="414"/>
      <c r="Q785" s="414"/>
      <c r="R785" s="414"/>
      <c r="S785" s="445"/>
      <c r="T785" s="445"/>
      <c r="U785" s="445"/>
      <c r="V785" s="345"/>
      <c r="W785" s="441"/>
      <c r="X785" s="345"/>
      <c r="Y785" s="345"/>
      <c r="Z785" s="345"/>
      <c r="AA785" s="345"/>
      <c r="AB785" s="345"/>
      <c r="AC785" s="345"/>
      <c r="AD785" s="345"/>
      <c r="AE785" s="345"/>
      <c r="AF785" s="345"/>
      <c r="AG785" s="345"/>
      <c r="AH785" s="345"/>
      <c r="AI785" s="345"/>
      <c r="AJ785" s="345"/>
      <c r="AK785" s="345"/>
      <c r="AL785" s="345"/>
      <c r="AM785" s="345"/>
      <c r="AN785" s="345"/>
      <c r="AO785" s="345"/>
      <c r="AP785" s="345"/>
      <c r="AQ785" s="345"/>
      <c r="AR785" s="345"/>
      <c r="AS785" s="345"/>
    </row>
    <row r="786" ht="13.5" customHeight="1">
      <c r="A786" s="424" t="str">
        <f>'Membership Application List'!A1015</f>
        <v/>
      </c>
      <c r="B786" s="443" t="str">
        <f t="shared" si="6"/>
        <v/>
      </c>
      <c r="C786" s="443" t="str">
        <f t="shared" si="7"/>
        <v/>
      </c>
      <c r="D786" s="426" t="str">
        <f>'Membership Application List'!E1015</f>
        <v/>
      </c>
      <c r="E786" s="426" t="b">
        <f>IF('Membership Application List'!J1015 = "Food/Litter Donation", 0, IF('Membership Application List'!J1015 = "$15 Donation, Discord Verification", IF('Membership Application List'!N1015 = TRUE, 15, 0)))</f>
        <v>0</v>
      </c>
      <c r="F786" s="426">
        <f>if('Membership Application List'!K1015=TRUE, 5,0)</f>
        <v>0</v>
      </c>
      <c r="G786" s="426">
        <f t="shared" si="8"/>
        <v>0</v>
      </c>
      <c r="H786" s="480" t="str">
        <f>'Membership Application List'!L1015</f>
        <v/>
      </c>
      <c r="I786" s="345"/>
      <c r="J786" s="441"/>
      <c r="K786" s="345"/>
      <c r="L786" s="478"/>
      <c r="M786" s="345"/>
      <c r="N786" s="345"/>
      <c r="O786" s="345"/>
      <c r="P786" s="414"/>
      <c r="Q786" s="414"/>
      <c r="R786" s="414"/>
      <c r="S786" s="445"/>
      <c r="T786" s="445"/>
      <c r="U786" s="445"/>
      <c r="V786" s="345"/>
      <c r="W786" s="441"/>
      <c r="X786" s="345"/>
      <c r="Y786" s="345"/>
      <c r="Z786" s="345"/>
      <c r="AA786" s="345"/>
      <c r="AB786" s="345"/>
      <c r="AC786" s="345"/>
      <c r="AD786" s="345"/>
      <c r="AE786" s="345"/>
      <c r="AF786" s="345"/>
      <c r="AG786" s="345"/>
      <c r="AH786" s="345"/>
      <c r="AI786" s="345"/>
      <c r="AJ786" s="345"/>
      <c r="AK786" s="345"/>
      <c r="AL786" s="345"/>
      <c r="AM786" s="345"/>
      <c r="AN786" s="345"/>
      <c r="AO786" s="345"/>
      <c r="AP786" s="345"/>
      <c r="AQ786" s="345"/>
      <c r="AR786" s="345"/>
      <c r="AS786" s="345"/>
    </row>
    <row r="787" ht="13.5" customHeight="1">
      <c r="A787" s="436" t="str">
        <f>'Membership Application List'!A1016</f>
        <v/>
      </c>
      <c r="B787" s="437" t="str">
        <f t="shared" si="6"/>
        <v/>
      </c>
      <c r="C787" s="437" t="str">
        <f t="shared" si="7"/>
        <v/>
      </c>
      <c r="D787" s="438" t="str">
        <f>'Membership Application List'!E1016</f>
        <v/>
      </c>
      <c r="E787" s="438" t="b">
        <f>IF('Membership Application List'!J1016 = "Food/Litter Donation", 0, IF('Membership Application List'!J1016 = "$15 Donation, Discord Verification", IF('Membership Application List'!N1016 = TRUE, 15, 0)))</f>
        <v>0</v>
      </c>
      <c r="F787" s="438">
        <f>if('Membership Application List'!K1016=TRUE, 5,0)</f>
        <v>0</v>
      </c>
      <c r="G787" s="438">
        <f t="shared" si="8"/>
        <v>0</v>
      </c>
      <c r="H787" s="479" t="str">
        <f>'Membership Application List'!L1016</f>
        <v/>
      </c>
      <c r="I787" s="345"/>
      <c r="J787" s="441"/>
      <c r="K787" s="345"/>
      <c r="L787" s="478"/>
      <c r="M787" s="345"/>
      <c r="N787" s="345"/>
      <c r="O787" s="345"/>
      <c r="P787" s="414"/>
      <c r="Q787" s="414"/>
      <c r="R787" s="414"/>
      <c r="S787" s="445"/>
      <c r="T787" s="445"/>
      <c r="U787" s="445"/>
      <c r="V787" s="345"/>
      <c r="W787" s="441"/>
      <c r="X787" s="345"/>
      <c r="Y787" s="345"/>
      <c r="Z787" s="345"/>
      <c r="AA787" s="345"/>
      <c r="AB787" s="345"/>
      <c r="AC787" s="345"/>
      <c r="AD787" s="345"/>
      <c r="AE787" s="345"/>
      <c r="AF787" s="345"/>
      <c r="AG787" s="345"/>
      <c r="AH787" s="345"/>
      <c r="AI787" s="345"/>
      <c r="AJ787" s="345"/>
      <c r="AK787" s="345"/>
      <c r="AL787" s="345"/>
      <c r="AM787" s="345"/>
      <c r="AN787" s="345"/>
      <c r="AO787" s="345"/>
      <c r="AP787" s="345"/>
      <c r="AQ787" s="345"/>
      <c r="AR787" s="345"/>
      <c r="AS787" s="345"/>
    </row>
    <row r="788" ht="13.5" customHeight="1">
      <c r="A788" s="424" t="str">
        <f>'Membership Application List'!A1017</f>
        <v/>
      </c>
      <c r="B788" s="443" t="str">
        <f t="shared" si="6"/>
        <v/>
      </c>
      <c r="C788" s="443" t="str">
        <f t="shared" si="7"/>
        <v/>
      </c>
      <c r="D788" s="426" t="str">
        <f>'Membership Application List'!E1017</f>
        <v/>
      </c>
      <c r="E788" s="426" t="b">
        <f>IF('Membership Application List'!J1017 = "Food/Litter Donation", 0, IF('Membership Application List'!J1017 = "$15 Donation, Discord Verification", IF('Membership Application List'!N1017 = TRUE, 15, 0)))</f>
        <v>0</v>
      </c>
      <c r="F788" s="426">
        <f>if('Membership Application List'!K1017=TRUE, 5,0)</f>
        <v>0</v>
      </c>
      <c r="G788" s="426">
        <f t="shared" si="8"/>
        <v>0</v>
      </c>
      <c r="H788" s="480" t="str">
        <f>'Membership Application List'!L1017</f>
        <v/>
      </c>
      <c r="I788" s="345"/>
      <c r="J788" s="441"/>
      <c r="K788" s="345"/>
      <c r="L788" s="478"/>
      <c r="M788" s="345"/>
      <c r="N788" s="345"/>
      <c r="O788" s="345"/>
      <c r="P788" s="414"/>
      <c r="Q788" s="414"/>
      <c r="R788" s="414"/>
      <c r="S788" s="445"/>
      <c r="T788" s="445"/>
      <c r="U788" s="445"/>
      <c r="V788" s="345"/>
      <c r="W788" s="441"/>
      <c r="X788" s="345"/>
      <c r="Y788" s="345"/>
      <c r="Z788" s="345"/>
      <c r="AA788" s="345"/>
      <c r="AB788" s="345"/>
      <c r="AC788" s="345"/>
      <c r="AD788" s="345"/>
      <c r="AE788" s="345"/>
      <c r="AF788" s="345"/>
      <c r="AG788" s="345"/>
      <c r="AH788" s="345"/>
      <c r="AI788" s="345"/>
      <c r="AJ788" s="345"/>
      <c r="AK788" s="345"/>
      <c r="AL788" s="345"/>
      <c r="AM788" s="345"/>
      <c r="AN788" s="345"/>
      <c r="AO788" s="345"/>
      <c r="AP788" s="345"/>
      <c r="AQ788" s="345"/>
      <c r="AR788" s="345"/>
      <c r="AS788" s="345"/>
    </row>
    <row r="789" ht="13.5" customHeight="1">
      <c r="A789" s="436" t="str">
        <f>'Membership Application List'!A1018</f>
        <v/>
      </c>
      <c r="B789" s="437" t="str">
        <f t="shared" si="6"/>
        <v/>
      </c>
      <c r="C789" s="437" t="str">
        <f t="shared" si="7"/>
        <v/>
      </c>
      <c r="D789" s="438" t="str">
        <f>'Membership Application List'!E1018</f>
        <v/>
      </c>
      <c r="E789" s="438" t="b">
        <f>IF('Membership Application List'!J1018 = "Food/Litter Donation", 0, IF('Membership Application List'!J1018 = "$15 Donation, Discord Verification", IF('Membership Application List'!N1018 = TRUE, 15, 0)))</f>
        <v>0</v>
      </c>
      <c r="F789" s="438">
        <f>if('Membership Application List'!K1018=TRUE, 5,0)</f>
        <v>0</v>
      </c>
      <c r="G789" s="438">
        <f t="shared" si="8"/>
        <v>0</v>
      </c>
      <c r="H789" s="479" t="str">
        <f>'Membership Application List'!L1018</f>
        <v/>
      </c>
      <c r="I789" s="345"/>
      <c r="J789" s="441"/>
      <c r="K789" s="345"/>
      <c r="L789" s="478"/>
      <c r="M789" s="345"/>
      <c r="N789" s="345"/>
      <c r="O789" s="345"/>
      <c r="P789" s="414"/>
      <c r="Q789" s="414"/>
      <c r="R789" s="414"/>
      <c r="S789" s="445"/>
      <c r="T789" s="445"/>
      <c r="U789" s="445"/>
      <c r="V789" s="345"/>
      <c r="W789" s="441"/>
      <c r="X789" s="345"/>
      <c r="Y789" s="345"/>
      <c r="Z789" s="345"/>
      <c r="AA789" s="345"/>
      <c r="AB789" s="345"/>
      <c r="AC789" s="345"/>
      <c r="AD789" s="345"/>
      <c r="AE789" s="345"/>
      <c r="AF789" s="345"/>
      <c r="AG789" s="345"/>
      <c r="AH789" s="345"/>
      <c r="AI789" s="345"/>
      <c r="AJ789" s="345"/>
      <c r="AK789" s="345"/>
      <c r="AL789" s="345"/>
      <c r="AM789" s="345"/>
      <c r="AN789" s="345"/>
      <c r="AO789" s="345"/>
      <c r="AP789" s="345"/>
      <c r="AQ789" s="345"/>
      <c r="AR789" s="345"/>
      <c r="AS789" s="345"/>
    </row>
    <row r="790" ht="13.5" customHeight="1">
      <c r="A790" s="424" t="str">
        <f>'Membership Application List'!A1019</f>
        <v/>
      </c>
      <c r="B790" s="443" t="str">
        <f t="shared" si="6"/>
        <v/>
      </c>
      <c r="C790" s="443" t="str">
        <f t="shared" si="7"/>
        <v/>
      </c>
      <c r="D790" s="426" t="str">
        <f>'Membership Application List'!E1019</f>
        <v/>
      </c>
      <c r="E790" s="426" t="b">
        <f>IF('Membership Application List'!J1019 = "Food/Litter Donation", 0, IF('Membership Application List'!J1019 = "$15 Donation, Discord Verification", IF('Membership Application List'!N1019 = TRUE, 15, 0)))</f>
        <v>0</v>
      </c>
      <c r="F790" s="426">
        <f>if('Membership Application List'!K1019=TRUE, 5,0)</f>
        <v>0</v>
      </c>
      <c r="G790" s="426">
        <f t="shared" si="8"/>
        <v>0</v>
      </c>
      <c r="H790" s="480" t="str">
        <f>'Membership Application List'!L1019</f>
        <v/>
      </c>
      <c r="I790" s="345"/>
      <c r="J790" s="441"/>
      <c r="K790" s="345"/>
      <c r="L790" s="478"/>
      <c r="M790" s="345"/>
      <c r="N790" s="345"/>
      <c r="O790" s="345"/>
      <c r="P790" s="414"/>
      <c r="Q790" s="414"/>
      <c r="R790" s="414"/>
      <c r="S790" s="445"/>
      <c r="T790" s="445"/>
      <c r="U790" s="445"/>
      <c r="V790" s="345"/>
      <c r="W790" s="441"/>
      <c r="X790" s="345"/>
      <c r="Y790" s="345"/>
      <c r="Z790" s="345"/>
      <c r="AA790" s="345"/>
      <c r="AB790" s="345"/>
      <c r="AC790" s="345"/>
      <c r="AD790" s="345"/>
      <c r="AE790" s="345"/>
      <c r="AF790" s="345"/>
      <c r="AG790" s="345"/>
      <c r="AH790" s="345"/>
      <c r="AI790" s="345"/>
      <c r="AJ790" s="345"/>
      <c r="AK790" s="345"/>
      <c r="AL790" s="345"/>
      <c r="AM790" s="345"/>
      <c r="AN790" s="345"/>
      <c r="AO790" s="345"/>
      <c r="AP790" s="345"/>
      <c r="AQ790" s="345"/>
      <c r="AR790" s="345"/>
      <c r="AS790" s="345"/>
    </row>
    <row r="791" ht="13.5" customHeight="1">
      <c r="A791" s="436" t="str">
        <f>'Membership Application List'!A1020</f>
        <v/>
      </c>
      <c r="B791" s="437" t="str">
        <f t="shared" si="6"/>
        <v/>
      </c>
      <c r="C791" s="437" t="str">
        <f t="shared" si="7"/>
        <v/>
      </c>
      <c r="D791" s="438" t="str">
        <f>'Membership Application List'!E1020</f>
        <v/>
      </c>
      <c r="E791" s="438" t="b">
        <f>IF('Membership Application List'!J1020 = "Food/Litter Donation", 0, IF('Membership Application List'!J1020 = "$15 Donation, Discord Verification", IF('Membership Application List'!N1020 = TRUE, 15, 0)))</f>
        <v>0</v>
      </c>
      <c r="F791" s="438">
        <f>if('Membership Application List'!K1020=TRUE, 5,0)</f>
        <v>0</v>
      </c>
      <c r="G791" s="438">
        <f t="shared" si="8"/>
        <v>0</v>
      </c>
      <c r="H791" s="479" t="str">
        <f>'Membership Application List'!L1020</f>
        <v/>
      </c>
      <c r="I791" s="345"/>
      <c r="J791" s="441"/>
      <c r="K791" s="345"/>
      <c r="L791" s="478"/>
      <c r="M791" s="345"/>
      <c r="N791" s="345"/>
      <c r="O791" s="345"/>
      <c r="P791" s="414"/>
      <c r="Q791" s="414"/>
      <c r="R791" s="414"/>
      <c r="S791" s="445"/>
      <c r="T791" s="445"/>
      <c r="U791" s="445"/>
      <c r="V791" s="345"/>
      <c r="W791" s="441"/>
      <c r="X791" s="345"/>
      <c r="Y791" s="345"/>
      <c r="Z791" s="345"/>
      <c r="AA791" s="345"/>
      <c r="AB791" s="345"/>
      <c r="AC791" s="345"/>
      <c r="AD791" s="345"/>
      <c r="AE791" s="345"/>
      <c r="AF791" s="345"/>
      <c r="AG791" s="345"/>
      <c r="AH791" s="345"/>
      <c r="AI791" s="345"/>
      <c r="AJ791" s="345"/>
      <c r="AK791" s="345"/>
      <c r="AL791" s="345"/>
      <c r="AM791" s="345"/>
      <c r="AN791" s="345"/>
      <c r="AO791" s="345"/>
      <c r="AP791" s="345"/>
      <c r="AQ791" s="345"/>
      <c r="AR791" s="345"/>
      <c r="AS791" s="345"/>
    </row>
    <row r="792" ht="13.5" customHeight="1">
      <c r="A792" s="424" t="str">
        <f>'Membership Application List'!A1021</f>
        <v/>
      </c>
      <c r="B792" s="443" t="str">
        <f t="shared" si="6"/>
        <v/>
      </c>
      <c r="C792" s="443" t="str">
        <f t="shared" si="7"/>
        <v/>
      </c>
      <c r="D792" s="426" t="str">
        <f>'Membership Application List'!E1021</f>
        <v/>
      </c>
      <c r="E792" s="426" t="b">
        <f>IF('Membership Application List'!J1021 = "Food/Litter Donation", 0, IF('Membership Application List'!J1021 = "$15 Donation, Discord Verification", IF('Membership Application List'!N1021 = TRUE, 15, 0)))</f>
        <v>0</v>
      </c>
      <c r="F792" s="426">
        <f>if('Membership Application List'!K1021=TRUE, 5,0)</f>
        <v>0</v>
      </c>
      <c r="G792" s="426">
        <f t="shared" si="8"/>
        <v>0</v>
      </c>
      <c r="H792" s="480" t="str">
        <f>'Membership Application List'!L1021</f>
        <v/>
      </c>
      <c r="I792" s="345"/>
      <c r="J792" s="441"/>
      <c r="K792" s="345"/>
      <c r="L792" s="478"/>
      <c r="M792" s="345"/>
      <c r="N792" s="345"/>
      <c r="O792" s="345"/>
      <c r="P792" s="414"/>
      <c r="Q792" s="414"/>
      <c r="R792" s="414"/>
      <c r="S792" s="445"/>
      <c r="T792" s="445"/>
      <c r="U792" s="445"/>
      <c r="V792" s="345"/>
      <c r="W792" s="441"/>
      <c r="X792" s="345"/>
      <c r="Y792" s="345"/>
      <c r="Z792" s="345"/>
      <c r="AA792" s="345"/>
      <c r="AB792" s="345"/>
      <c r="AC792" s="345"/>
      <c r="AD792" s="345"/>
      <c r="AE792" s="345"/>
      <c r="AF792" s="345"/>
      <c r="AG792" s="345"/>
      <c r="AH792" s="345"/>
      <c r="AI792" s="345"/>
      <c r="AJ792" s="345"/>
      <c r="AK792" s="345"/>
      <c r="AL792" s="345"/>
      <c r="AM792" s="345"/>
      <c r="AN792" s="345"/>
      <c r="AO792" s="345"/>
      <c r="AP792" s="345"/>
      <c r="AQ792" s="345"/>
      <c r="AR792" s="345"/>
      <c r="AS792" s="345"/>
    </row>
    <row r="793" ht="13.5" customHeight="1">
      <c r="A793" s="436" t="str">
        <f>'Membership Application List'!A1022</f>
        <v/>
      </c>
      <c r="B793" s="437" t="str">
        <f t="shared" si="6"/>
        <v/>
      </c>
      <c r="C793" s="437" t="str">
        <f t="shared" si="7"/>
        <v/>
      </c>
      <c r="D793" s="438" t="str">
        <f>'Membership Application List'!E1022</f>
        <v/>
      </c>
      <c r="E793" s="438" t="b">
        <f>IF('Membership Application List'!J1022 = "Food/Litter Donation", 0, IF('Membership Application List'!J1022 = "$15 Donation, Discord Verification", IF('Membership Application List'!N1022 = TRUE, 15, 0)))</f>
        <v>0</v>
      </c>
      <c r="F793" s="438">
        <f>if('Membership Application List'!K1022=TRUE, 5,0)</f>
        <v>0</v>
      </c>
      <c r="G793" s="438">
        <f t="shared" si="8"/>
        <v>0</v>
      </c>
      <c r="H793" s="479" t="str">
        <f>'Membership Application List'!L1022</f>
        <v/>
      </c>
      <c r="I793" s="345"/>
      <c r="J793" s="441"/>
      <c r="K793" s="345"/>
      <c r="L793" s="478"/>
      <c r="M793" s="345"/>
      <c r="N793" s="345"/>
      <c r="O793" s="345"/>
      <c r="P793" s="414"/>
      <c r="Q793" s="414"/>
      <c r="R793" s="414"/>
      <c r="S793" s="445"/>
      <c r="T793" s="445"/>
      <c r="U793" s="445"/>
      <c r="V793" s="345"/>
      <c r="W793" s="441"/>
      <c r="X793" s="345"/>
      <c r="Y793" s="345"/>
      <c r="Z793" s="345"/>
      <c r="AA793" s="345"/>
      <c r="AB793" s="345"/>
      <c r="AC793" s="345"/>
      <c r="AD793" s="345"/>
      <c r="AE793" s="345"/>
      <c r="AF793" s="345"/>
      <c r="AG793" s="345"/>
      <c r="AH793" s="345"/>
      <c r="AI793" s="345"/>
      <c r="AJ793" s="345"/>
      <c r="AK793" s="345"/>
      <c r="AL793" s="345"/>
      <c r="AM793" s="345"/>
      <c r="AN793" s="345"/>
      <c r="AO793" s="345"/>
      <c r="AP793" s="345"/>
      <c r="AQ793" s="345"/>
      <c r="AR793" s="345"/>
      <c r="AS793" s="345"/>
    </row>
    <row r="794" ht="13.5" customHeight="1">
      <c r="A794" s="424" t="str">
        <f>'Membership Application List'!A1023</f>
        <v/>
      </c>
      <c r="B794" s="443" t="str">
        <f t="shared" si="6"/>
        <v/>
      </c>
      <c r="C794" s="443" t="str">
        <f t="shared" si="7"/>
        <v/>
      </c>
      <c r="D794" s="426" t="str">
        <f>'Membership Application List'!E1023</f>
        <v/>
      </c>
      <c r="E794" s="426" t="b">
        <f>IF('Membership Application List'!J1023 = "Food/Litter Donation", 0, IF('Membership Application List'!J1023 = "$15 Donation, Discord Verification", IF('Membership Application List'!N1023 = TRUE, 15, 0)))</f>
        <v>0</v>
      </c>
      <c r="F794" s="426">
        <f>if('Membership Application List'!K1023=TRUE, 5,0)</f>
        <v>0</v>
      </c>
      <c r="G794" s="426">
        <f t="shared" si="8"/>
        <v>0</v>
      </c>
      <c r="H794" s="480" t="str">
        <f>'Membership Application List'!L1023</f>
        <v/>
      </c>
      <c r="I794" s="345"/>
      <c r="J794" s="441"/>
      <c r="K794" s="345"/>
      <c r="L794" s="478"/>
      <c r="M794" s="345"/>
      <c r="N794" s="345"/>
      <c r="O794" s="345"/>
      <c r="P794" s="414"/>
      <c r="Q794" s="414"/>
      <c r="R794" s="414"/>
      <c r="S794" s="445"/>
      <c r="T794" s="445"/>
      <c r="U794" s="445"/>
      <c r="V794" s="345"/>
      <c r="W794" s="441"/>
      <c r="X794" s="345"/>
      <c r="Y794" s="345"/>
      <c r="Z794" s="345"/>
      <c r="AA794" s="345"/>
      <c r="AB794" s="345"/>
      <c r="AC794" s="345"/>
      <c r="AD794" s="345"/>
      <c r="AE794" s="345"/>
      <c r="AF794" s="345"/>
      <c r="AG794" s="345"/>
      <c r="AH794" s="345"/>
      <c r="AI794" s="345"/>
      <c r="AJ794" s="345"/>
      <c r="AK794" s="345"/>
      <c r="AL794" s="345"/>
      <c r="AM794" s="345"/>
      <c r="AN794" s="345"/>
      <c r="AO794" s="345"/>
      <c r="AP794" s="345"/>
      <c r="AQ794" s="345"/>
      <c r="AR794" s="345"/>
      <c r="AS794" s="345"/>
    </row>
    <row r="795" ht="13.5" customHeight="1">
      <c r="A795" s="436" t="str">
        <f>'Membership Application List'!A1024</f>
        <v/>
      </c>
      <c r="B795" s="437" t="str">
        <f t="shared" si="6"/>
        <v/>
      </c>
      <c r="C795" s="437" t="str">
        <f t="shared" si="7"/>
        <v/>
      </c>
      <c r="D795" s="438" t="str">
        <f>'Membership Application List'!E1024</f>
        <v/>
      </c>
      <c r="E795" s="438" t="b">
        <f>IF('Membership Application List'!J1024 = "Food/Litter Donation", 0, IF('Membership Application List'!J1024 = "$15 Donation, Discord Verification", IF('Membership Application List'!N1024 = TRUE, 15, 0)))</f>
        <v>0</v>
      </c>
      <c r="F795" s="438">
        <f>if('Membership Application List'!K1024=TRUE, 5,0)</f>
        <v>0</v>
      </c>
      <c r="G795" s="438">
        <f t="shared" si="8"/>
        <v>0</v>
      </c>
      <c r="H795" s="479" t="str">
        <f>'Membership Application List'!L1024</f>
        <v/>
      </c>
      <c r="I795" s="345"/>
      <c r="J795" s="441"/>
      <c r="K795" s="345"/>
      <c r="L795" s="478"/>
      <c r="M795" s="345"/>
      <c r="N795" s="345"/>
      <c r="O795" s="345"/>
      <c r="P795" s="414"/>
      <c r="Q795" s="414"/>
      <c r="R795" s="414"/>
      <c r="S795" s="445"/>
      <c r="T795" s="445"/>
      <c r="U795" s="445"/>
      <c r="V795" s="345"/>
      <c r="W795" s="441"/>
      <c r="X795" s="345"/>
      <c r="Y795" s="345"/>
      <c r="Z795" s="345"/>
      <c r="AA795" s="345"/>
      <c r="AB795" s="345"/>
      <c r="AC795" s="345"/>
      <c r="AD795" s="345"/>
      <c r="AE795" s="345"/>
      <c r="AF795" s="345"/>
      <c r="AG795" s="345"/>
      <c r="AH795" s="345"/>
      <c r="AI795" s="345"/>
      <c r="AJ795" s="345"/>
      <c r="AK795" s="345"/>
      <c r="AL795" s="345"/>
      <c r="AM795" s="345"/>
      <c r="AN795" s="345"/>
      <c r="AO795" s="345"/>
      <c r="AP795" s="345"/>
      <c r="AQ795" s="345"/>
      <c r="AR795" s="345"/>
      <c r="AS795" s="345"/>
    </row>
    <row r="796" ht="13.5" customHeight="1">
      <c r="A796" s="424" t="str">
        <f>'Membership Application List'!A1025</f>
        <v/>
      </c>
      <c r="B796" s="443" t="str">
        <f t="shared" si="6"/>
        <v/>
      </c>
      <c r="C796" s="443" t="str">
        <f t="shared" si="7"/>
        <v/>
      </c>
      <c r="D796" s="426" t="str">
        <f>'Membership Application List'!E1025</f>
        <v/>
      </c>
      <c r="E796" s="426" t="b">
        <f>IF('Membership Application List'!J1025 = "Food/Litter Donation", 0, IF('Membership Application List'!J1025 = "$15 Donation, Discord Verification", IF('Membership Application List'!N1025 = TRUE, 15, 0)))</f>
        <v>0</v>
      </c>
      <c r="F796" s="426">
        <f>if('Membership Application List'!K1025=TRUE, 5,0)</f>
        <v>0</v>
      </c>
      <c r="G796" s="426">
        <f t="shared" si="8"/>
        <v>0</v>
      </c>
      <c r="H796" s="480" t="str">
        <f>'Membership Application List'!L1025</f>
        <v/>
      </c>
      <c r="I796" s="345"/>
      <c r="J796" s="441"/>
      <c r="K796" s="345"/>
      <c r="L796" s="478"/>
      <c r="M796" s="345"/>
      <c r="N796" s="345"/>
      <c r="O796" s="345"/>
      <c r="P796" s="414"/>
      <c r="Q796" s="414"/>
      <c r="R796" s="414"/>
      <c r="S796" s="445"/>
      <c r="T796" s="445"/>
      <c r="U796" s="445"/>
      <c r="V796" s="345"/>
      <c r="W796" s="441"/>
      <c r="X796" s="345"/>
      <c r="Y796" s="345"/>
      <c r="Z796" s="345"/>
      <c r="AA796" s="345"/>
      <c r="AB796" s="345"/>
      <c r="AC796" s="345"/>
      <c r="AD796" s="345"/>
      <c r="AE796" s="345"/>
      <c r="AF796" s="345"/>
      <c r="AG796" s="345"/>
      <c r="AH796" s="345"/>
      <c r="AI796" s="345"/>
      <c r="AJ796" s="345"/>
      <c r="AK796" s="345"/>
      <c r="AL796" s="345"/>
      <c r="AM796" s="345"/>
      <c r="AN796" s="345"/>
      <c r="AO796" s="345"/>
      <c r="AP796" s="345"/>
      <c r="AQ796" s="345"/>
      <c r="AR796" s="345"/>
      <c r="AS796" s="345"/>
    </row>
    <row r="797" ht="13.5" customHeight="1">
      <c r="A797" s="436" t="str">
        <f>'Membership Application List'!A1026</f>
        <v/>
      </c>
      <c r="B797" s="437" t="str">
        <f t="shared" si="6"/>
        <v/>
      </c>
      <c r="C797" s="437" t="str">
        <f t="shared" si="7"/>
        <v/>
      </c>
      <c r="D797" s="438" t="str">
        <f>'Membership Application List'!E1026</f>
        <v/>
      </c>
      <c r="E797" s="438" t="b">
        <f>IF('Membership Application List'!J1026 = "Food/Litter Donation", 0, IF('Membership Application List'!J1026 = "$15 Donation, Discord Verification", IF('Membership Application List'!N1026 = TRUE, 15, 0)))</f>
        <v>0</v>
      </c>
      <c r="F797" s="438">
        <f>if('Membership Application List'!K1026=TRUE, 5,0)</f>
        <v>0</v>
      </c>
      <c r="G797" s="438">
        <f t="shared" si="8"/>
        <v>0</v>
      </c>
      <c r="H797" s="479" t="str">
        <f>'Membership Application List'!L1026</f>
        <v/>
      </c>
      <c r="I797" s="345"/>
      <c r="J797" s="441"/>
      <c r="K797" s="345"/>
      <c r="L797" s="478"/>
      <c r="M797" s="345"/>
      <c r="N797" s="345"/>
      <c r="O797" s="345"/>
      <c r="P797" s="414"/>
      <c r="Q797" s="414"/>
      <c r="R797" s="414"/>
      <c r="S797" s="445"/>
      <c r="T797" s="445"/>
      <c r="U797" s="445"/>
      <c r="V797" s="345"/>
      <c r="W797" s="441"/>
      <c r="X797" s="345"/>
      <c r="Y797" s="345"/>
      <c r="Z797" s="345"/>
      <c r="AA797" s="345"/>
      <c r="AB797" s="345"/>
      <c r="AC797" s="345"/>
      <c r="AD797" s="345"/>
      <c r="AE797" s="345"/>
      <c r="AF797" s="345"/>
      <c r="AG797" s="345"/>
      <c r="AH797" s="345"/>
      <c r="AI797" s="345"/>
      <c r="AJ797" s="345"/>
      <c r="AK797" s="345"/>
      <c r="AL797" s="345"/>
      <c r="AM797" s="345"/>
      <c r="AN797" s="345"/>
      <c r="AO797" s="345"/>
      <c r="AP797" s="345"/>
      <c r="AQ797" s="345"/>
      <c r="AR797" s="345"/>
      <c r="AS797" s="345"/>
    </row>
    <row r="798" ht="13.5" customHeight="1">
      <c r="A798" s="424" t="str">
        <f>'Membership Application List'!A1027</f>
        <v/>
      </c>
      <c r="B798" s="443" t="str">
        <f t="shared" si="6"/>
        <v/>
      </c>
      <c r="C798" s="443" t="str">
        <f t="shared" si="7"/>
        <v/>
      </c>
      <c r="D798" s="426" t="str">
        <f>'Membership Application List'!E1027</f>
        <v/>
      </c>
      <c r="E798" s="426" t="b">
        <f>IF('Membership Application List'!J1027 = "Food/Litter Donation", 0, IF('Membership Application List'!J1027 = "$15 Donation, Discord Verification", IF('Membership Application List'!N1027 = TRUE, 15, 0)))</f>
        <v>0</v>
      </c>
      <c r="F798" s="426">
        <f>if('Membership Application List'!K1027=TRUE, 5,0)</f>
        <v>0</v>
      </c>
      <c r="G798" s="426">
        <f t="shared" si="8"/>
        <v>0</v>
      </c>
      <c r="H798" s="480" t="str">
        <f>'Membership Application List'!L1027</f>
        <v/>
      </c>
      <c r="I798" s="345"/>
      <c r="J798" s="441"/>
      <c r="K798" s="345"/>
      <c r="L798" s="478"/>
      <c r="M798" s="345"/>
      <c r="N798" s="345"/>
      <c r="O798" s="345"/>
      <c r="P798" s="414"/>
      <c r="Q798" s="414"/>
      <c r="R798" s="414"/>
      <c r="S798" s="445"/>
      <c r="T798" s="445"/>
      <c r="U798" s="445"/>
      <c r="V798" s="345"/>
      <c r="W798" s="441"/>
      <c r="X798" s="345"/>
      <c r="Y798" s="345"/>
      <c r="Z798" s="345"/>
      <c r="AA798" s="345"/>
      <c r="AB798" s="345"/>
      <c r="AC798" s="345"/>
      <c r="AD798" s="345"/>
      <c r="AE798" s="345"/>
      <c r="AF798" s="345"/>
      <c r="AG798" s="345"/>
      <c r="AH798" s="345"/>
      <c r="AI798" s="345"/>
      <c r="AJ798" s="345"/>
      <c r="AK798" s="345"/>
      <c r="AL798" s="345"/>
      <c r="AM798" s="345"/>
      <c r="AN798" s="345"/>
      <c r="AO798" s="345"/>
      <c r="AP798" s="345"/>
      <c r="AQ798" s="345"/>
      <c r="AR798" s="345"/>
      <c r="AS798" s="345"/>
    </row>
    <row r="799" ht="13.5" customHeight="1">
      <c r="A799" s="436" t="str">
        <f>'Membership Application List'!A1028</f>
        <v/>
      </c>
      <c r="B799" s="437" t="str">
        <f t="shared" si="6"/>
        <v/>
      </c>
      <c r="C799" s="437" t="str">
        <f t="shared" si="7"/>
        <v/>
      </c>
      <c r="D799" s="438" t="str">
        <f>'Membership Application List'!E1028</f>
        <v/>
      </c>
      <c r="E799" s="438" t="b">
        <f>IF('Membership Application List'!J1028 = "Food/Litter Donation", 0, IF('Membership Application List'!J1028 = "$15 Donation, Discord Verification", IF('Membership Application List'!N1028 = TRUE, 15, 0)))</f>
        <v>0</v>
      </c>
      <c r="F799" s="438">
        <f>if('Membership Application List'!K1028=TRUE, 5,0)</f>
        <v>0</v>
      </c>
      <c r="G799" s="438">
        <f t="shared" si="8"/>
        <v>0</v>
      </c>
      <c r="H799" s="479" t="str">
        <f>'Membership Application List'!L1028</f>
        <v/>
      </c>
      <c r="I799" s="345"/>
      <c r="J799" s="441"/>
      <c r="K799" s="345"/>
      <c r="L799" s="478"/>
      <c r="M799" s="345"/>
      <c r="N799" s="345"/>
      <c r="O799" s="345"/>
      <c r="P799" s="414"/>
      <c r="Q799" s="414"/>
      <c r="R799" s="414"/>
      <c r="S799" s="445"/>
      <c r="T799" s="445"/>
      <c r="U799" s="445"/>
      <c r="V799" s="345"/>
      <c r="W799" s="441"/>
      <c r="X799" s="345"/>
      <c r="Y799" s="345"/>
      <c r="Z799" s="345"/>
      <c r="AA799" s="345"/>
      <c r="AB799" s="345"/>
      <c r="AC799" s="345"/>
      <c r="AD799" s="345"/>
      <c r="AE799" s="345"/>
      <c r="AF799" s="345"/>
      <c r="AG799" s="345"/>
      <c r="AH799" s="345"/>
      <c r="AI799" s="345"/>
      <c r="AJ799" s="345"/>
      <c r="AK799" s="345"/>
      <c r="AL799" s="345"/>
      <c r="AM799" s="345"/>
      <c r="AN799" s="345"/>
      <c r="AO799" s="345"/>
      <c r="AP799" s="345"/>
      <c r="AQ799" s="345"/>
      <c r="AR799" s="345"/>
      <c r="AS799" s="345"/>
    </row>
    <row r="800" ht="13.5" customHeight="1">
      <c r="A800" s="424" t="str">
        <f>'Membership Application List'!A1029</f>
        <v/>
      </c>
      <c r="B800" s="443" t="str">
        <f t="shared" si="6"/>
        <v/>
      </c>
      <c r="C800" s="443" t="str">
        <f t="shared" si="7"/>
        <v/>
      </c>
      <c r="D800" s="426" t="str">
        <f>'Membership Application List'!E1029</f>
        <v/>
      </c>
      <c r="E800" s="426" t="b">
        <f>IF('Membership Application List'!J1029 = "Food/Litter Donation", 0, IF('Membership Application List'!J1029 = "$15 Donation, Discord Verification", IF('Membership Application List'!N1029 = TRUE, 15, 0)))</f>
        <v>0</v>
      </c>
      <c r="F800" s="426">
        <f>if('Membership Application List'!K1029=TRUE, 5,0)</f>
        <v>0</v>
      </c>
      <c r="G800" s="426">
        <f t="shared" si="8"/>
        <v>0</v>
      </c>
      <c r="H800" s="480" t="str">
        <f>'Membership Application List'!L1029</f>
        <v/>
      </c>
      <c r="I800" s="345"/>
      <c r="J800" s="441"/>
      <c r="K800" s="345"/>
      <c r="L800" s="478"/>
      <c r="M800" s="345"/>
      <c r="N800" s="345"/>
      <c r="O800" s="345"/>
      <c r="P800" s="414"/>
      <c r="Q800" s="414"/>
      <c r="R800" s="414"/>
      <c r="S800" s="445"/>
      <c r="T800" s="445"/>
      <c r="U800" s="445"/>
      <c r="V800" s="345"/>
      <c r="W800" s="441"/>
      <c r="X800" s="345"/>
      <c r="Y800" s="345"/>
      <c r="Z800" s="345"/>
      <c r="AA800" s="345"/>
      <c r="AB800" s="345"/>
      <c r="AC800" s="345"/>
      <c r="AD800" s="345"/>
      <c r="AE800" s="345"/>
      <c r="AF800" s="345"/>
      <c r="AG800" s="345"/>
      <c r="AH800" s="345"/>
      <c r="AI800" s="345"/>
      <c r="AJ800" s="345"/>
      <c r="AK800" s="345"/>
      <c r="AL800" s="345"/>
      <c r="AM800" s="345"/>
      <c r="AN800" s="345"/>
      <c r="AO800" s="345"/>
      <c r="AP800" s="345"/>
      <c r="AQ800" s="345"/>
      <c r="AR800" s="345"/>
      <c r="AS800" s="345"/>
    </row>
    <row r="801" ht="13.5" customHeight="1">
      <c r="A801" s="436" t="str">
        <f>'Membership Application List'!A1030</f>
        <v/>
      </c>
      <c r="B801" s="437" t="str">
        <f t="shared" si="6"/>
        <v/>
      </c>
      <c r="C801" s="437" t="str">
        <f t="shared" si="7"/>
        <v/>
      </c>
      <c r="D801" s="438" t="str">
        <f>'Membership Application List'!E1030</f>
        <v/>
      </c>
      <c r="E801" s="438" t="b">
        <f>IF('Membership Application List'!J1030 = "Food/Litter Donation", 0, IF('Membership Application List'!J1030 = "$15 Donation, Discord Verification", IF('Membership Application List'!N1030 = TRUE, 15, 0)))</f>
        <v>0</v>
      </c>
      <c r="F801" s="438">
        <f>if('Membership Application List'!K1030=TRUE, 5,0)</f>
        <v>0</v>
      </c>
      <c r="G801" s="438">
        <f t="shared" si="8"/>
        <v>0</v>
      </c>
      <c r="H801" s="479" t="str">
        <f>'Membership Application List'!L1030</f>
        <v/>
      </c>
      <c r="I801" s="345"/>
      <c r="J801" s="441"/>
      <c r="K801" s="345"/>
      <c r="L801" s="478"/>
      <c r="M801" s="345"/>
      <c r="N801" s="345"/>
      <c r="O801" s="345"/>
      <c r="P801" s="414"/>
      <c r="Q801" s="414"/>
      <c r="R801" s="414"/>
      <c r="S801" s="445"/>
      <c r="T801" s="445"/>
      <c r="U801" s="445"/>
      <c r="V801" s="345"/>
      <c r="W801" s="441"/>
      <c r="X801" s="345"/>
      <c r="Y801" s="345"/>
      <c r="Z801" s="345"/>
      <c r="AA801" s="345"/>
      <c r="AB801" s="345"/>
      <c r="AC801" s="345"/>
      <c r="AD801" s="345"/>
      <c r="AE801" s="345"/>
      <c r="AF801" s="345"/>
      <c r="AG801" s="345"/>
      <c r="AH801" s="345"/>
      <c r="AI801" s="345"/>
      <c r="AJ801" s="345"/>
      <c r="AK801" s="345"/>
      <c r="AL801" s="345"/>
      <c r="AM801" s="345"/>
      <c r="AN801" s="345"/>
      <c r="AO801" s="345"/>
      <c r="AP801" s="345"/>
      <c r="AQ801" s="345"/>
      <c r="AR801" s="345"/>
      <c r="AS801" s="345"/>
    </row>
    <row r="802" ht="13.5" customHeight="1">
      <c r="A802" s="424" t="str">
        <f>'Membership Application List'!A1031</f>
        <v/>
      </c>
      <c r="B802" s="443" t="str">
        <f t="shared" si="6"/>
        <v/>
      </c>
      <c r="C802" s="443" t="str">
        <f t="shared" si="7"/>
        <v/>
      </c>
      <c r="D802" s="426" t="str">
        <f>'Membership Application List'!E1031</f>
        <v/>
      </c>
      <c r="E802" s="426" t="b">
        <f>IF('Membership Application List'!J1031 = "Food/Litter Donation", 0, IF('Membership Application List'!J1031 = "$15 Donation, Discord Verification", IF('Membership Application List'!N1031 = TRUE, 15, 0)))</f>
        <v>0</v>
      </c>
      <c r="F802" s="426">
        <f>if('Membership Application List'!K1031=TRUE, 5,0)</f>
        <v>0</v>
      </c>
      <c r="G802" s="426">
        <f t="shared" si="8"/>
        <v>0</v>
      </c>
      <c r="H802" s="480" t="str">
        <f>'Membership Application List'!L1031</f>
        <v/>
      </c>
      <c r="I802" s="345"/>
      <c r="J802" s="441"/>
      <c r="K802" s="345"/>
      <c r="L802" s="478"/>
      <c r="M802" s="345"/>
      <c r="N802" s="345"/>
      <c r="O802" s="345"/>
      <c r="P802" s="414"/>
      <c r="Q802" s="414"/>
      <c r="R802" s="414"/>
      <c r="S802" s="445"/>
      <c r="T802" s="445"/>
      <c r="U802" s="445"/>
      <c r="V802" s="345"/>
      <c r="W802" s="441"/>
      <c r="X802" s="345"/>
      <c r="Y802" s="345"/>
      <c r="Z802" s="345"/>
      <c r="AA802" s="345"/>
      <c r="AB802" s="345"/>
      <c r="AC802" s="345"/>
      <c r="AD802" s="345"/>
      <c r="AE802" s="345"/>
      <c r="AF802" s="345"/>
      <c r="AG802" s="345"/>
      <c r="AH802" s="345"/>
      <c r="AI802" s="345"/>
      <c r="AJ802" s="345"/>
      <c r="AK802" s="345"/>
      <c r="AL802" s="345"/>
      <c r="AM802" s="345"/>
      <c r="AN802" s="345"/>
      <c r="AO802" s="345"/>
      <c r="AP802" s="345"/>
      <c r="AQ802" s="345"/>
      <c r="AR802" s="345"/>
      <c r="AS802" s="345"/>
    </row>
    <row r="803" ht="13.5" customHeight="1">
      <c r="A803" s="436" t="str">
        <f>'Membership Application List'!A1032</f>
        <v/>
      </c>
      <c r="B803" s="437" t="str">
        <f t="shared" si="6"/>
        <v/>
      </c>
      <c r="C803" s="437" t="str">
        <f t="shared" si="7"/>
        <v/>
      </c>
      <c r="D803" s="438" t="str">
        <f>'Membership Application List'!E1032</f>
        <v/>
      </c>
      <c r="E803" s="438" t="b">
        <f>IF('Membership Application List'!J1032 = "Food/Litter Donation", 0, IF('Membership Application List'!J1032 = "$15 Donation, Discord Verification", IF('Membership Application List'!N1032 = TRUE, 15, 0)))</f>
        <v>0</v>
      </c>
      <c r="F803" s="438">
        <f>if('Membership Application List'!K1032=TRUE, 5,0)</f>
        <v>0</v>
      </c>
      <c r="G803" s="438">
        <f t="shared" si="8"/>
        <v>0</v>
      </c>
      <c r="H803" s="479" t="str">
        <f>'Membership Application List'!L1032</f>
        <v/>
      </c>
      <c r="I803" s="345"/>
      <c r="J803" s="441"/>
      <c r="K803" s="345"/>
      <c r="L803" s="478"/>
      <c r="M803" s="345"/>
      <c r="N803" s="345"/>
      <c r="O803" s="345"/>
      <c r="P803" s="414"/>
      <c r="Q803" s="414"/>
      <c r="R803" s="414"/>
      <c r="S803" s="445"/>
      <c r="T803" s="445"/>
      <c r="U803" s="445"/>
      <c r="V803" s="345"/>
      <c r="W803" s="441"/>
      <c r="X803" s="345"/>
      <c r="Y803" s="345"/>
      <c r="Z803" s="345"/>
      <c r="AA803" s="345"/>
      <c r="AB803" s="345"/>
      <c r="AC803" s="345"/>
      <c r="AD803" s="345"/>
      <c r="AE803" s="345"/>
      <c r="AF803" s="345"/>
      <c r="AG803" s="345"/>
      <c r="AH803" s="345"/>
      <c r="AI803" s="345"/>
      <c r="AJ803" s="345"/>
      <c r="AK803" s="345"/>
      <c r="AL803" s="345"/>
      <c r="AM803" s="345"/>
      <c r="AN803" s="345"/>
      <c r="AO803" s="345"/>
      <c r="AP803" s="345"/>
      <c r="AQ803" s="345"/>
      <c r="AR803" s="345"/>
      <c r="AS803" s="345"/>
    </row>
    <row r="804" ht="13.5" customHeight="1">
      <c r="A804" s="424" t="str">
        <f>'Membership Application List'!A1033</f>
        <v/>
      </c>
      <c r="B804" s="443" t="str">
        <f t="shared" si="6"/>
        <v/>
      </c>
      <c r="C804" s="443" t="str">
        <f t="shared" si="7"/>
        <v/>
      </c>
      <c r="D804" s="426" t="str">
        <f>'Membership Application List'!E1033</f>
        <v/>
      </c>
      <c r="E804" s="426" t="b">
        <f>IF('Membership Application List'!J1033 = "Food/Litter Donation", 0, IF('Membership Application List'!J1033 = "$15 Donation, Discord Verification", IF('Membership Application List'!N1033 = TRUE, 15, 0)))</f>
        <v>0</v>
      </c>
      <c r="F804" s="426">
        <f>if('Membership Application List'!K1033=TRUE, 5,0)</f>
        <v>0</v>
      </c>
      <c r="G804" s="426">
        <f t="shared" si="8"/>
        <v>0</v>
      </c>
      <c r="H804" s="480" t="str">
        <f>'Membership Application List'!L1033</f>
        <v/>
      </c>
      <c r="I804" s="345"/>
      <c r="J804" s="441"/>
      <c r="K804" s="345"/>
      <c r="L804" s="478"/>
      <c r="M804" s="345"/>
      <c r="N804" s="345"/>
      <c r="O804" s="345"/>
      <c r="P804" s="414"/>
      <c r="Q804" s="414"/>
      <c r="R804" s="414"/>
      <c r="S804" s="445"/>
      <c r="T804" s="445"/>
      <c r="U804" s="445"/>
      <c r="V804" s="345"/>
      <c r="W804" s="441"/>
      <c r="X804" s="345"/>
      <c r="Y804" s="345"/>
      <c r="Z804" s="345"/>
      <c r="AA804" s="345"/>
      <c r="AB804" s="345"/>
      <c r="AC804" s="345"/>
      <c r="AD804" s="345"/>
      <c r="AE804" s="345"/>
      <c r="AF804" s="345"/>
      <c r="AG804" s="345"/>
      <c r="AH804" s="345"/>
      <c r="AI804" s="345"/>
      <c r="AJ804" s="345"/>
      <c r="AK804" s="345"/>
      <c r="AL804" s="345"/>
      <c r="AM804" s="345"/>
      <c r="AN804" s="345"/>
      <c r="AO804" s="345"/>
      <c r="AP804" s="345"/>
      <c r="AQ804" s="345"/>
      <c r="AR804" s="345"/>
      <c r="AS804" s="345"/>
    </row>
    <row r="805" ht="13.5" customHeight="1">
      <c r="A805" s="436" t="str">
        <f>'Membership Application List'!A1034</f>
        <v/>
      </c>
      <c r="B805" s="437" t="str">
        <f t="shared" si="6"/>
        <v/>
      </c>
      <c r="C805" s="437" t="str">
        <f t="shared" si="7"/>
        <v/>
      </c>
      <c r="D805" s="438" t="str">
        <f>'Membership Application List'!E1034</f>
        <v/>
      </c>
      <c r="E805" s="438" t="b">
        <f>IF('Membership Application List'!J1034 = "Food/Litter Donation", 0, IF('Membership Application List'!J1034 = "$15 Donation, Discord Verification", IF('Membership Application List'!N1034 = TRUE, 15, 0)))</f>
        <v>0</v>
      </c>
      <c r="F805" s="438">
        <f>if('Membership Application List'!K1034=TRUE, 5,0)</f>
        <v>0</v>
      </c>
      <c r="G805" s="438">
        <f t="shared" si="8"/>
        <v>0</v>
      </c>
      <c r="H805" s="479" t="str">
        <f>'Membership Application List'!L1034</f>
        <v/>
      </c>
      <c r="I805" s="345"/>
      <c r="J805" s="441"/>
      <c r="K805" s="345"/>
      <c r="L805" s="478"/>
      <c r="M805" s="345"/>
      <c r="N805" s="345"/>
      <c r="O805" s="345"/>
      <c r="P805" s="414"/>
      <c r="Q805" s="414"/>
      <c r="R805" s="414"/>
      <c r="S805" s="445"/>
      <c r="T805" s="445"/>
      <c r="U805" s="445"/>
      <c r="V805" s="345"/>
      <c r="W805" s="441"/>
      <c r="X805" s="345"/>
      <c r="Y805" s="345"/>
      <c r="Z805" s="345"/>
      <c r="AA805" s="345"/>
      <c r="AB805" s="345"/>
      <c r="AC805" s="345"/>
      <c r="AD805" s="345"/>
      <c r="AE805" s="345"/>
      <c r="AF805" s="345"/>
      <c r="AG805" s="345"/>
      <c r="AH805" s="345"/>
      <c r="AI805" s="345"/>
      <c r="AJ805" s="345"/>
      <c r="AK805" s="345"/>
      <c r="AL805" s="345"/>
      <c r="AM805" s="345"/>
      <c r="AN805" s="345"/>
      <c r="AO805" s="345"/>
      <c r="AP805" s="345"/>
      <c r="AQ805" s="345"/>
      <c r="AR805" s="345"/>
      <c r="AS805" s="345"/>
    </row>
    <row r="806" ht="13.5" customHeight="1">
      <c r="A806" s="424" t="str">
        <f>'Membership Application List'!A1035</f>
        <v/>
      </c>
      <c r="B806" s="443" t="str">
        <f t="shared" si="6"/>
        <v/>
      </c>
      <c r="C806" s="443" t="str">
        <f t="shared" si="7"/>
        <v/>
      </c>
      <c r="D806" s="426" t="str">
        <f>'Membership Application List'!E1035</f>
        <v/>
      </c>
      <c r="E806" s="426" t="b">
        <f>IF('Membership Application List'!J1035 = "Food/Litter Donation", 0, IF('Membership Application List'!J1035 = "$15 Donation, Discord Verification", IF('Membership Application List'!N1035 = TRUE, 15, 0)))</f>
        <v>0</v>
      </c>
      <c r="F806" s="426">
        <f>if('Membership Application List'!K1035=TRUE, 5,0)</f>
        <v>0</v>
      </c>
      <c r="G806" s="426">
        <f t="shared" si="8"/>
        <v>0</v>
      </c>
      <c r="H806" s="480" t="str">
        <f>'Membership Application List'!L1035</f>
        <v/>
      </c>
      <c r="I806" s="345"/>
      <c r="J806" s="441"/>
      <c r="K806" s="345"/>
      <c r="L806" s="478"/>
      <c r="M806" s="345"/>
      <c r="N806" s="345"/>
      <c r="O806" s="345"/>
      <c r="P806" s="414"/>
      <c r="Q806" s="414"/>
      <c r="R806" s="414"/>
      <c r="S806" s="445"/>
      <c r="T806" s="445"/>
      <c r="U806" s="445"/>
      <c r="V806" s="345"/>
      <c r="W806" s="441"/>
      <c r="X806" s="345"/>
      <c r="Y806" s="345"/>
      <c r="Z806" s="345"/>
      <c r="AA806" s="345"/>
      <c r="AB806" s="345"/>
      <c r="AC806" s="345"/>
      <c r="AD806" s="345"/>
      <c r="AE806" s="345"/>
      <c r="AF806" s="345"/>
      <c r="AG806" s="345"/>
      <c r="AH806" s="345"/>
      <c r="AI806" s="345"/>
      <c r="AJ806" s="345"/>
      <c r="AK806" s="345"/>
      <c r="AL806" s="345"/>
      <c r="AM806" s="345"/>
      <c r="AN806" s="345"/>
      <c r="AO806" s="345"/>
      <c r="AP806" s="345"/>
      <c r="AQ806" s="345"/>
      <c r="AR806" s="345"/>
      <c r="AS806" s="345"/>
    </row>
    <row r="807" ht="13.5" customHeight="1">
      <c r="A807" s="436" t="str">
        <f>'Membership Application List'!A1036</f>
        <v/>
      </c>
      <c r="B807" s="437" t="str">
        <f t="shared" si="6"/>
        <v/>
      </c>
      <c r="C807" s="437" t="str">
        <f t="shared" si="7"/>
        <v/>
      </c>
      <c r="D807" s="438" t="str">
        <f>'Membership Application List'!E1036</f>
        <v/>
      </c>
      <c r="E807" s="438" t="b">
        <f>IF('Membership Application List'!J1036 = "Food/Litter Donation", 0, IF('Membership Application List'!J1036 = "$15 Donation, Discord Verification", IF('Membership Application List'!N1036 = TRUE, 15, 0)))</f>
        <v>0</v>
      </c>
      <c r="F807" s="438">
        <f>if('Membership Application List'!K1036=TRUE, 5,0)</f>
        <v>0</v>
      </c>
      <c r="G807" s="438">
        <f t="shared" si="8"/>
        <v>0</v>
      </c>
      <c r="H807" s="479" t="str">
        <f>'Membership Application List'!L1036</f>
        <v/>
      </c>
      <c r="I807" s="345"/>
      <c r="J807" s="441"/>
      <c r="K807" s="345"/>
      <c r="L807" s="478"/>
      <c r="M807" s="345"/>
      <c r="N807" s="345"/>
      <c r="O807" s="345"/>
      <c r="P807" s="414"/>
      <c r="Q807" s="414"/>
      <c r="R807" s="414"/>
      <c r="S807" s="445"/>
      <c r="T807" s="445"/>
      <c r="U807" s="445"/>
      <c r="V807" s="345"/>
      <c r="W807" s="441"/>
      <c r="X807" s="345"/>
      <c r="Y807" s="345"/>
      <c r="Z807" s="345"/>
      <c r="AA807" s="345"/>
      <c r="AB807" s="345"/>
      <c r="AC807" s="345"/>
      <c r="AD807" s="345"/>
      <c r="AE807" s="345"/>
      <c r="AF807" s="345"/>
      <c r="AG807" s="345"/>
      <c r="AH807" s="345"/>
      <c r="AI807" s="345"/>
      <c r="AJ807" s="345"/>
      <c r="AK807" s="345"/>
      <c r="AL807" s="345"/>
      <c r="AM807" s="345"/>
      <c r="AN807" s="345"/>
      <c r="AO807" s="345"/>
      <c r="AP807" s="345"/>
      <c r="AQ807" s="345"/>
      <c r="AR807" s="345"/>
      <c r="AS807" s="345"/>
    </row>
    <row r="808" ht="13.5" customHeight="1">
      <c r="A808" s="424" t="str">
        <f>'Membership Application List'!A1037</f>
        <v/>
      </c>
      <c r="B808" s="443" t="str">
        <f t="shared" si="6"/>
        <v/>
      </c>
      <c r="C808" s="443" t="str">
        <f t="shared" si="7"/>
        <v/>
      </c>
      <c r="D808" s="426" t="str">
        <f>'Membership Application List'!E1037</f>
        <v/>
      </c>
      <c r="E808" s="426" t="b">
        <f>IF('Membership Application List'!J1037 = "Food/Litter Donation", 0, IF('Membership Application List'!J1037 = "$15 Donation, Discord Verification", IF('Membership Application List'!N1037 = TRUE, 15, 0)))</f>
        <v>0</v>
      </c>
      <c r="F808" s="426">
        <f>if('Membership Application List'!K1037=TRUE, 5,0)</f>
        <v>0</v>
      </c>
      <c r="G808" s="426">
        <f t="shared" si="8"/>
        <v>0</v>
      </c>
      <c r="H808" s="480" t="str">
        <f>'Membership Application List'!L1037</f>
        <v/>
      </c>
      <c r="I808" s="345"/>
      <c r="J808" s="441"/>
      <c r="K808" s="345"/>
      <c r="L808" s="478"/>
      <c r="M808" s="345"/>
      <c r="N808" s="345"/>
      <c r="O808" s="345"/>
      <c r="P808" s="414"/>
      <c r="Q808" s="414"/>
      <c r="R808" s="414"/>
      <c r="S808" s="445"/>
      <c r="T808" s="445"/>
      <c r="U808" s="445"/>
      <c r="V808" s="345"/>
      <c r="W808" s="441"/>
      <c r="X808" s="345"/>
      <c r="Y808" s="345"/>
      <c r="Z808" s="345"/>
      <c r="AA808" s="345"/>
      <c r="AB808" s="345"/>
      <c r="AC808" s="345"/>
      <c r="AD808" s="345"/>
      <c r="AE808" s="345"/>
      <c r="AF808" s="345"/>
      <c r="AG808" s="345"/>
      <c r="AH808" s="345"/>
      <c r="AI808" s="345"/>
      <c r="AJ808" s="345"/>
      <c r="AK808" s="345"/>
      <c r="AL808" s="345"/>
      <c r="AM808" s="345"/>
      <c r="AN808" s="345"/>
      <c r="AO808" s="345"/>
      <c r="AP808" s="345"/>
      <c r="AQ808" s="345"/>
      <c r="AR808" s="345"/>
      <c r="AS808" s="345"/>
    </row>
    <row r="809" ht="13.5" customHeight="1">
      <c r="A809" s="436" t="str">
        <f>'Membership Application List'!A1038</f>
        <v/>
      </c>
      <c r="B809" s="437" t="str">
        <f t="shared" si="6"/>
        <v/>
      </c>
      <c r="C809" s="437" t="str">
        <f t="shared" si="7"/>
        <v/>
      </c>
      <c r="D809" s="438" t="str">
        <f>'Membership Application List'!E1038</f>
        <v/>
      </c>
      <c r="E809" s="438" t="b">
        <f>IF('Membership Application List'!J1038 = "Food/Litter Donation", 0, IF('Membership Application List'!J1038 = "$15 Donation, Discord Verification", IF('Membership Application List'!N1038 = TRUE, 15, 0)))</f>
        <v>0</v>
      </c>
      <c r="F809" s="438">
        <f>if('Membership Application List'!K1038=TRUE, 5,0)</f>
        <v>0</v>
      </c>
      <c r="G809" s="438">
        <f t="shared" si="8"/>
        <v>0</v>
      </c>
      <c r="H809" s="479" t="str">
        <f>'Membership Application List'!L1038</f>
        <v/>
      </c>
      <c r="I809" s="345"/>
      <c r="J809" s="441"/>
      <c r="K809" s="345"/>
      <c r="L809" s="478"/>
      <c r="M809" s="345"/>
      <c r="N809" s="345"/>
      <c r="O809" s="345"/>
      <c r="P809" s="414"/>
      <c r="Q809" s="414"/>
      <c r="R809" s="414"/>
      <c r="S809" s="445"/>
      <c r="T809" s="445"/>
      <c r="U809" s="445"/>
      <c r="V809" s="345"/>
      <c r="W809" s="441"/>
      <c r="X809" s="345"/>
      <c r="Y809" s="345"/>
      <c r="Z809" s="345"/>
      <c r="AA809" s="345"/>
      <c r="AB809" s="345"/>
      <c r="AC809" s="345"/>
      <c r="AD809" s="345"/>
      <c r="AE809" s="345"/>
      <c r="AF809" s="345"/>
      <c r="AG809" s="345"/>
      <c r="AH809" s="345"/>
      <c r="AI809" s="345"/>
      <c r="AJ809" s="345"/>
      <c r="AK809" s="345"/>
      <c r="AL809" s="345"/>
      <c r="AM809" s="345"/>
      <c r="AN809" s="345"/>
      <c r="AO809" s="345"/>
      <c r="AP809" s="345"/>
      <c r="AQ809" s="345"/>
      <c r="AR809" s="345"/>
      <c r="AS809" s="345"/>
    </row>
    <row r="810" ht="13.5" customHeight="1">
      <c r="A810" s="424" t="str">
        <f>'Membership Application List'!A1039</f>
        <v/>
      </c>
      <c r="B810" s="443" t="str">
        <f t="shared" si="6"/>
        <v/>
      </c>
      <c r="C810" s="443" t="str">
        <f t="shared" si="7"/>
        <v/>
      </c>
      <c r="D810" s="426" t="str">
        <f>'Membership Application List'!E1039</f>
        <v/>
      </c>
      <c r="E810" s="426" t="b">
        <f>IF('Membership Application List'!J1039 = "Food/Litter Donation", 0, IF('Membership Application List'!J1039 = "$15 Donation, Discord Verification", IF('Membership Application List'!N1039 = TRUE, 15, 0)))</f>
        <v>0</v>
      </c>
      <c r="F810" s="426">
        <f>if('Membership Application List'!K1039=TRUE, 5,0)</f>
        <v>0</v>
      </c>
      <c r="G810" s="426">
        <f t="shared" si="8"/>
        <v>0</v>
      </c>
      <c r="H810" s="480" t="str">
        <f>'Membership Application List'!L1039</f>
        <v/>
      </c>
      <c r="I810" s="345"/>
      <c r="J810" s="441"/>
      <c r="K810" s="345"/>
      <c r="L810" s="478"/>
      <c r="M810" s="345"/>
      <c r="N810" s="345"/>
      <c r="O810" s="345"/>
      <c r="P810" s="414"/>
      <c r="Q810" s="414"/>
      <c r="R810" s="414"/>
      <c r="S810" s="445"/>
      <c r="T810" s="445"/>
      <c r="U810" s="445"/>
      <c r="V810" s="345"/>
      <c r="W810" s="441"/>
      <c r="X810" s="345"/>
      <c r="Y810" s="345"/>
      <c r="Z810" s="345"/>
      <c r="AA810" s="345"/>
      <c r="AB810" s="345"/>
      <c r="AC810" s="345"/>
      <c r="AD810" s="345"/>
      <c r="AE810" s="345"/>
      <c r="AF810" s="345"/>
      <c r="AG810" s="345"/>
      <c r="AH810" s="345"/>
      <c r="AI810" s="345"/>
      <c r="AJ810" s="345"/>
      <c r="AK810" s="345"/>
      <c r="AL810" s="345"/>
      <c r="AM810" s="345"/>
      <c r="AN810" s="345"/>
      <c r="AO810" s="345"/>
      <c r="AP810" s="345"/>
      <c r="AQ810" s="345"/>
      <c r="AR810" s="345"/>
      <c r="AS810" s="345"/>
    </row>
    <row r="811" ht="13.5" customHeight="1">
      <c r="A811" s="436" t="str">
        <f>'Membership Application List'!A1040</f>
        <v/>
      </c>
      <c r="B811" s="437" t="str">
        <f t="shared" si="6"/>
        <v/>
      </c>
      <c r="C811" s="437" t="str">
        <f t="shared" si="7"/>
        <v/>
      </c>
      <c r="D811" s="438" t="str">
        <f>'Membership Application List'!E1040</f>
        <v/>
      </c>
      <c r="E811" s="438" t="b">
        <f>IF('Membership Application List'!J1040 = "Food/Litter Donation", 0, IF('Membership Application List'!J1040 = "$15 Donation, Discord Verification", IF('Membership Application List'!N1040 = TRUE, 15, 0)))</f>
        <v>0</v>
      </c>
      <c r="F811" s="438">
        <f>if('Membership Application List'!K1040=TRUE, 5,0)</f>
        <v>0</v>
      </c>
      <c r="G811" s="438">
        <f t="shared" si="8"/>
        <v>0</v>
      </c>
      <c r="H811" s="479" t="str">
        <f>'Membership Application List'!L1040</f>
        <v/>
      </c>
      <c r="I811" s="345"/>
      <c r="J811" s="441"/>
      <c r="K811" s="345"/>
      <c r="L811" s="478"/>
      <c r="M811" s="345"/>
      <c r="N811" s="345"/>
      <c r="O811" s="345"/>
      <c r="P811" s="414"/>
      <c r="Q811" s="414"/>
      <c r="R811" s="414"/>
      <c r="S811" s="445"/>
      <c r="T811" s="445"/>
      <c r="U811" s="445"/>
      <c r="V811" s="345"/>
      <c r="W811" s="441"/>
      <c r="X811" s="345"/>
      <c r="Y811" s="345"/>
      <c r="Z811" s="345"/>
      <c r="AA811" s="345"/>
      <c r="AB811" s="345"/>
      <c r="AC811" s="345"/>
      <c r="AD811" s="345"/>
      <c r="AE811" s="345"/>
      <c r="AF811" s="345"/>
      <c r="AG811" s="345"/>
      <c r="AH811" s="345"/>
      <c r="AI811" s="345"/>
      <c r="AJ811" s="345"/>
      <c r="AK811" s="345"/>
      <c r="AL811" s="345"/>
      <c r="AM811" s="345"/>
      <c r="AN811" s="345"/>
      <c r="AO811" s="345"/>
      <c r="AP811" s="345"/>
      <c r="AQ811" s="345"/>
      <c r="AR811" s="345"/>
      <c r="AS811" s="345"/>
    </row>
    <row r="812" ht="13.5" customHeight="1">
      <c r="A812" s="424" t="str">
        <f>'Membership Application List'!A1041</f>
        <v/>
      </c>
      <c r="B812" s="443" t="str">
        <f t="shared" si="6"/>
        <v/>
      </c>
      <c r="C812" s="443" t="str">
        <f t="shared" si="7"/>
        <v/>
      </c>
      <c r="D812" s="426" t="str">
        <f>'Membership Application List'!E1041</f>
        <v/>
      </c>
      <c r="E812" s="426" t="b">
        <f>IF('Membership Application List'!J1041 = "Food/Litter Donation", 0, IF('Membership Application List'!J1041 = "$15 Donation, Discord Verification", IF('Membership Application List'!N1041 = TRUE, 15, 0)))</f>
        <v>0</v>
      </c>
      <c r="F812" s="426">
        <f>if('Membership Application List'!K1041=TRUE, 5,0)</f>
        <v>0</v>
      </c>
      <c r="G812" s="426">
        <f t="shared" si="8"/>
        <v>0</v>
      </c>
      <c r="H812" s="480" t="str">
        <f>'Membership Application List'!L1041</f>
        <v/>
      </c>
      <c r="I812" s="345"/>
      <c r="J812" s="441"/>
      <c r="K812" s="345"/>
      <c r="L812" s="478"/>
      <c r="M812" s="345"/>
      <c r="N812" s="345"/>
      <c r="O812" s="345"/>
      <c r="P812" s="414"/>
      <c r="Q812" s="414"/>
      <c r="R812" s="414"/>
      <c r="S812" s="445"/>
      <c r="T812" s="445"/>
      <c r="U812" s="445"/>
      <c r="V812" s="345"/>
      <c r="W812" s="441"/>
      <c r="X812" s="345"/>
      <c r="Y812" s="345"/>
      <c r="Z812" s="345"/>
      <c r="AA812" s="345"/>
      <c r="AB812" s="345"/>
      <c r="AC812" s="345"/>
      <c r="AD812" s="345"/>
      <c r="AE812" s="345"/>
      <c r="AF812" s="345"/>
      <c r="AG812" s="345"/>
      <c r="AH812" s="345"/>
      <c r="AI812" s="345"/>
      <c r="AJ812" s="345"/>
      <c r="AK812" s="345"/>
      <c r="AL812" s="345"/>
      <c r="AM812" s="345"/>
      <c r="AN812" s="345"/>
      <c r="AO812" s="345"/>
      <c r="AP812" s="345"/>
      <c r="AQ812" s="345"/>
      <c r="AR812" s="345"/>
      <c r="AS812" s="345"/>
    </row>
    <row r="813" ht="13.5" customHeight="1">
      <c r="A813" s="436" t="str">
        <f>'Membership Application List'!A1042</f>
        <v/>
      </c>
      <c r="B813" s="437" t="str">
        <f t="shared" si="6"/>
        <v/>
      </c>
      <c r="C813" s="437" t="str">
        <f t="shared" si="7"/>
        <v/>
      </c>
      <c r="D813" s="438" t="str">
        <f>'Membership Application List'!E1042</f>
        <v/>
      </c>
      <c r="E813" s="438" t="b">
        <f>IF('Membership Application List'!J1042 = "Food/Litter Donation", 0, IF('Membership Application List'!J1042 = "$15 Donation, Discord Verification", IF('Membership Application List'!N1042 = TRUE, 15, 0)))</f>
        <v>0</v>
      </c>
      <c r="F813" s="438">
        <f>if('Membership Application List'!K1042=TRUE, 5,0)</f>
        <v>0</v>
      </c>
      <c r="G813" s="438">
        <f t="shared" si="8"/>
        <v>0</v>
      </c>
      <c r="H813" s="479" t="str">
        <f>'Membership Application List'!L1042</f>
        <v/>
      </c>
      <c r="I813" s="345"/>
      <c r="J813" s="441"/>
      <c r="K813" s="345"/>
      <c r="L813" s="478"/>
      <c r="M813" s="345"/>
      <c r="N813" s="345"/>
      <c r="O813" s="345"/>
      <c r="P813" s="414"/>
      <c r="Q813" s="414"/>
      <c r="R813" s="414"/>
      <c r="S813" s="445"/>
      <c r="T813" s="445"/>
      <c r="U813" s="445"/>
      <c r="V813" s="345"/>
      <c r="W813" s="441"/>
      <c r="X813" s="345"/>
      <c r="Y813" s="345"/>
      <c r="Z813" s="345"/>
      <c r="AA813" s="345"/>
      <c r="AB813" s="345"/>
      <c r="AC813" s="345"/>
      <c r="AD813" s="345"/>
      <c r="AE813" s="345"/>
      <c r="AF813" s="345"/>
      <c r="AG813" s="345"/>
      <c r="AH813" s="345"/>
      <c r="AI813" s="345"/>
      <c r="AJ813" s="345"/>
      <c r="AK813" s="345"/>
      <c r="AL813" s="345"/>
      <c r="AM813" s="345"/>
      <c r="AN813" s="345"/>
      <c r="AO813" s="345"/>
      <c r="AP813" s="345"/>
      <c r="AQ813" s="345"/>
      <c r="AR813" s="345"/>
      <c r="AS813" s="345"/>
    </row>
    <row r="814" ht="13.5" customHeight="1">
      <c r="A814" s="424" t="str">
        <f>'Membership Application List'!A1043</f>
        <v/>
      </c>
      <c r="B814" s="443" t="str">
        <f t="shared" si="6"/>
        <v/>
      </c>
      <c r="C814" s="443" t="str">
        <f t="shared" si="7"/>
        <v/>
      </c>
      <c r="D814" s="426" t="str">
        <f>'Membership Application List'!E1043</f>
        <v/>
      </c>
      <c r="E814" s="426" t="b">
        <f>IF('Membership Application List'!J1043 = "Food/Litter Donation", 0, IF('Membership Application List'!J1043 = "$15 Donation, Discord Verification", IF('Membership Application List'!N1043 = TRUE, 15, 0)))</f>
        <v>0</v>
      </c>
      <c r="F814" s="426">
        <f>if('Membership Application List'!K1043=TRUE, 5,0)</f>
        <v>0</v>
      </c>
      <c r="G814" s="426">
        <f t="shared" si="8"/>
        <v>0</v>
      </c>
      <c r="H814" s="480" t="str">
        <f>'Membership Application List'!L1043</f>
        <v/>
      </c>
      <c r="I814" s="345"/>
      <c r="J814" s="441"/>
      <c r="K814" s="345"/>
      <c r="L814" s="478"/>
      <c r="M814" s="345"/>
      <c r="N814" s="345"/>
      <c r="O814" s="345"/>
      <c r="P814" s="414"/>
      <c r="Q814" s="414"/>
      <c r="R814" s="414"/>
      <c r="S814" s="445"/>
      <c r="T814" s="445"/>
      <c r="U814" s="445"/>
      <c r="V814" s="345"/>
      <c r="W814" s="441"/>
      <c r="X814" s="345"/>
      <c r="Y814" s="345"/>
      <c r="Z814" s="345"/>
      <c r="AA814" s="345"/>
      <c r="AB814" s="345"/>
      <c r="AC814" s="345"/>
      <c r="AD814" s="345"/>
      <c r="AE814" s="345"/>
      <c r="AF814" s="345"/>
      <c r="AG814" s="345"/>
      <c r="AH814" s="345"/>
      <c r="AI814" s="345"/>
      <c r="AJ814" s="345"/>
      <c r="AK814" s="345"/>
      <c r="AL814" s="345"/>
      <c r="AM814" s="345"/>
      <c r="AN814" s="345"/>
      <c r="AO814" s="345"/>
      <c r="AP814" s="345"/>
      <c r="AQ814" s="345"/>
      <c r="AR814" s="345"/>
      <c r="AS814" s="345"/>
    </row>
    <row r="815" ht="13.5" customHeight="1">
      <c r="A815" s="436" t="str">
        <f>'Membership Application List'!A1044</f>
        <v/>
      </c>
      <c r="B815" s="437" t="str">
        <f t="shared" si="6"/>
        <v/>
      </c>
      <c r="C815" s="437" t="str">
        <f t="shared" si="7"/>
        <v/>
      </c>
      <c r="D815" s="438" t="str">
        <f>'Membership Application List'!E1044</f>
        <v/>
      </c>
      <c r="E815" s="438" t="b">
        <f>IF('Membership Application List'!J1044 = "Food/Litter Donation", 0, IF('Membership Application List'!J1044 = "$15 Donation, Discord Verification", IF('Membership Application List'!N1044 = TRUE, 15, 0)))</f>
        <v>0</v>
      </c>
      <c r="F815" s="438">
        <f>if('Membership Application List'!K1044=TRUE, 5,0)</f>
        <v>0</v>
      </c>
      <c r="G815" s="438">
        <f t="shared" si="8"/>
        <v>0</v>
      </c>
      <c r="H815" s="479" t="str">
        <f>'Membership Application List'!L1044</f>
        <v/>
      </c>
      <c r="I815" s="345"/>
      <c r="J815" s="441"/>
      <c r="K815" s="345"/>
      <c r="L815" s="478"/>
      <c r="M815" s="345"/>
      <c r="N815" s="345"/>
      <c r="O815" s="345"/>
      <c r="P815" s="414"/>
      <c r="Q815" s="414"/>
      <c r="R815" s="414"/>
      <c r="S815" s="445"/>
      <c r="T815" s="445"/>
      <c r="U815" s="445"/>
      <c r="V815" s="345"/>
      <c r="W815" s="441"/>
      <c r="X815" s="345"/>
      <c r="Y815" s="345"/>
      <c r="Z815" s="345"/>
      <c r="AA815" s="345"/>
      <c r="AB815" s="345"/>
      <c r="AC815" s="345"/>
      <c r="AD815" s="345"/>
      <c r="AE815" s="345"/>
      <c r="AF815" s="345"/>
      <c r="AG815" s="345"/>
      <c r="AH815" s="345"/>
      <c r="AI815" s="345"/>
      <c r="AJ815" s="345"/>
      <c r="AK815" s="345"/>
      <c r="AL815" s="345"/>
      <c r="AM815" s="345"/>
      <c r="AN815" s="345"/>
      <c r="AO815" s="345"/>
      <c r="AP815" s="345"/>
      <c r="AQ815" s="345"/>
      <c r="AR815" s="345"/>
      <c r="AS815" s="345"/>
    </row>
    <row r="816" ht="13.5" customHeight="1">
      <c r="A816" s="424" t="str">
        <f>'Membership Application List'!A1045</f>
        <v/>
      </c>
      <c r="B816" s="443" t="str">
        <f t="shared" si="6"/>
        <v/>
      </c>
      <c r="C816" s="443" t="str">
        <f t="shared" si="7"/>
        <v/>
      </c>
      <c r="D816" s="426" t="str">
        <f>'Membership Application List'!E1045</f>
        <v/>
      </c>
      <c r="E816" s="426" t="b">
        <f>IF('Membership Application List'!J1045 = "Food/Litter Donation", 0, IF('Membership Application List'!J1045 = "$15 Donation, Discord Verification", IF('Membership Application List'!N1045 = TRUE, 15, 0)))</f>
        <v>0</v>
      </c>
      <c r="F816" s="426">
        <f>if('Membership Application List'!K1045=TRUE, 5,0)</f>
        <v>0</v>
      </c>
      <c r="G816" s="426">
        <f t="shared" si="8"/>
        <v>0</v>
      </c>
      <c r="H816" s="480" t="str">
        <f>'Membership Application List'!L1045</f>
        <v/>
      </c>
      <c r="I816" s="345"/>
      <c r="J816" s="441"/>
      <c r="K816" s="345"/>
      <c r="L816" s="478"/>
      <c r="M816" s="345"/>
      <c r="N816" s="345"/>
      <c r="O816" s="345"/>
      <c r="P816" s="414"/>
      <c r="Q816" s="414"/>
      <c r="R816" s="414"/>
      <c r="S816" s="445"/>
      <c r="T816" s="445"/>
      <c r="U816" s="445"/>
      <c r="V816" s="345"/>
      <c r="W816" s="441"/>
      <c r="X816" s="345"/>
      <c r="Y816" s="345"/>
      <c r="Z816" s="345"/>
      <c r="AA816" s="345"/>
      <c r="AB816" s="345"/>
      <c r="AC816" s="345"/>
      <c r="AD816" s="345"/>
      <c r="AE816" s="345"/>
      <c r="AF816" s="345"/>
      <c r="AG816" s="345"/>
      <c r="AH816" s="345"/>
      <c r="AI816" s="345"/>
      <c r="AJ816" s="345"/>
      <c r="AK816" s="345"/>
      <c r="AL816" s="345"/>
      <c r="AM816" s="345"/>
      <c r="AN816" s="345"/>
      <c r="AO816" s="345"/>
      <c r="AP816" s="345"/>
      <c r="AQ816" s="345"/>
      <c r="AR816" s="345"/>
      <c r="AS816" s="345"/>
    </row>
    <row r="817" ht="13.5" customHeight="1">
      <c r="A817" s="436" t="str">
        <f>'Membership Application List'!A1046</f>
        <v/>
      </c>
      <c r="B817" s="437" t="str">
        <f t="shared" si="6"/>
        <v/>
      </c>
      <c r="C817" s="437" t="str">
        <f t="shared" si="7"/>
        <v/>
      </c>
      <c r="D817" s="438" t="str">
        <f>'Membership Application List'!E1046</f>
        <v/>
      </c>
      <c r="E817" s="438" t="b">
        <f>IF('Membership Application List'!J1046 = "Food/Litter Donation", 0, IF('Membership Application List'!J1046 = "$15 Donation, Discord Verification", IF('Membership Application List'!N1046 = TRUE, 15, 0)))</f>
        <v>0</v>
      </c>
      <c r="F817" s="438">
        <f>if('Membership Application List'!K1046=TRUE, 5,0)</f>
        <v>0</v>
      </c>
      <c r="G817" s="438">
        <f t="shared" si="8"/>
        <v>0</v>
      </c>
      <c r="H817" s="479" t="str">
        <f>'Membership Application List'!L1046</f>
        <v/>
      </c>
      <c r="I817" s="345"/>
      <c r="J817" s="441"/>
      <c r="K817" s="345"/>
      <c r="L817" s="478"/>
      <c r="M817" s="345"/>
      <c r="N817" s="345"/>
      <c r="O817" s="345"/>
      <c r="P817" s="414"/>
      <c r="Q817" s="414"/>
      <c r="R817" s="414"/>
      <c r="S817" s="445"/>
      <c r="T817" s="445"/>
      <c r="U817" s="445"/>
      <c r="V817" s="345"/>
      <c r="W817" s="441"/>
      <c r="X817" s="345"/>
      <c r="Y817" s="345"/>
      <c r="Z817" s="345"/>
      <c r="AA817" s="345"/>
      <c r="AB817" s="345"/>
      <c r="AC817" s="345"/>
      <c r="AD817" s="345"/>
      <c r="AE817" s="345"/>
      <c r="AF817" s="345"/>
      <c r="AG817" s="345"/>
      <c r="AH817" s="345"/>
      <c r="AI817" s="345"/>
      <c r="AJ817" s="345"/>
      <c r="AK817" s="345"/>
      <c r="AL817" s="345"/>
      <c r="AM817" s="345"/>
      <c r="AN817" s="345"/>
      <c r="AO817" s="345"/>
      <c r="AP817" s="345"/>
      <c r="AQ817" s="345"/>
      <c r="AR817" s="345"/>
      <c r="AS817" s="345"/>
    </row>
    <row r="818" ht="13.5" customHeight="1">
      <c r="A818" s="424" t="str">
        <f>'Membership Application List'!A1047</f>
        <v/>
      </c>
      <c r="B818" s="443" t="str">
        <f t="shared" si="6"/>
        <v/>
      </c>
      <c r="C818" s="443" t="str">
        <f t="shared" si="7"/>
        <v/>
      </c>
      <c r="D818" s="426" t="str">
        <f>'Membership Application List'!E1047</f>
        <v/>
      </c>
      <c r="E818" s="426" t="b">
        <f>IF('Membership Application List'!J1047 = "Food/Litter Donation", 0, IF('Membership Application List'!J1047 = "$15 Donation, Discord Verification", IF('Membership Application List'!N1047 = TRUE, 15, 0)))</f>
        <v>0</v>
      </c>
      <c r="F818" s="426">
        <f>if('Membership Application List'!K1047=TRUE, 5,0)</f>
        <v>0</v>
      </c>
      <c r="G818" s="426">
        <f t="shared" si="8"/>
        <v>0</v>
      </c>
      <c r="H818" s="480" t="str">
        <f>'Membership Application List'!L1047</f>
        <v/>
      </c>
      <c r="I818" s="345"/>
      <c r="J818" s="441"/>
      <c r="K818" s="345"/>
      <c r="L818" s="478"/>
      <c r="M818" s="345"/>
      <c r="N818" s="345"/>
      <c r="O818" s="345"/>
      <c r="P818" s="414"/>
      <c r="Q818" s="414"/>
      <c r="R818" s="414"/>
      <c r="S818" s="445"/>
      <c r="T818" s="445"/>
      <c r="U818" s="445"/>
      <c r="V818" s="345"/>
      <c r="W818" s="441"/>
      <c r="X818" s="345"/>
      <c r="Y818" s="345"/>
      <c r="Z818" s="345"/>
      <c r="AA818" s="345"/>
      <c r="AB818" s="345"/>
      <c r="AC818" s="345"/>
      <c r="AD818" s="345"/>
      <c r="AE818" s="345"/>
      <c r="AF818" s="345"/>
      <c r="AG818" s="345"/>
      <c r="AH818" s="345"/>
      <c r="AI818" s="345"/>
      <c r="AJ818" s="345"/>
      <c r="AK818" s="345"/>
      <c r="AL818" s="345"/>
      <c r="AM818" s="345"/>
      <c r="AN818" s="345"/>
      <c r="AO818" s="345"/>
      <c r="AP818" s="345"/>
      <c r="AQ818" s="345"/>
      <c r="AR818" s="345"/>
      <c r="AS818" s="345"/>
    </row>
    <row r="819" ht="13.5" customHeight="1">
      <c r="A819" s="436" t="str">
        <f>'Membership Application List'!A1048</f>
        <v/>
      </c>
      <c r="B819" s="437" t="str">
        <f t="shared" si="6"/>
        <v/>
      </c>
      <c r="C819" s="437" t="str">
        <f t="shared" si="7"/>
        <v/>
      </c>
      <c r="D819" s="438" t="str">
        <f>'Membership Application List'!E1048</f>
        <v/>
      </c>
      <c r="E819" s="438" t="b">
        <f>IF('Membership Application List'!J1048 = "Food/Litter Donation", 0, IF('Membership Application List'!J1048 = "$15 Donation, Discord Verification", IF('Membership Application List'!N1048 = TRUE, 15, 0)))</f>
        <v>0</v>
      </c>
      <c r="F819" s="438">
        <f>if('Membership Application List'!K1048=TRUE, 5,0)</f>
        <v>0</v>
      </c>
      <c r="G819" s="438">
        <f t="shared" si="8"/>
        <v>0</v>
      </c>
      <c r="H819" s="479" t="str">
        <f>'Membership Application List'!L1048</f>
        <v/>
      </c>
      <c r="I819" s="345"/>
      <c r="J819" s="441"/>
      <c r="K819" s="345"/>
      <c r="L819" s="478"/>
      <c r="M819" s="345"/>
      <c r="N819" s="345"/>
      <c r="O819" s="345"/>
      <c r="P819" s="414"/>
      <c r="Q819" s="414"/>
      <c r="R819" s="414"/>
      <c r="S819" s="445"/>
      <c r="T819" s="445"/>
      <c r="U819" s="445"/>
      <c r="V819" s="345"/>
      <c r="W819" s="441"/>
      <c r="X819" s="345"/>
      <c r="Y819" s="345"/>
      <c r="Z819" s="345"/>
      <c r="AA819" s="345"/>
      <c r="AB819" s="345"/>
      <c r="AC819" s="345"/>
      <c r="AD819" s="345"/>
      <c r="AE819" s="345"/>
      <c r="AF819" s="345"/>
      <c r="AG819" s="345"/>
      <c r="AH819" s="345"/>
      <c r="AI819" s="345"/>
      <c r="AJ819" s="345"/>
      <c r="AK819" s="345"/>
      <c r="AL819" s="345"/>
      <c r="AM819" s="345"/>
      <c r="AN819" s="345"/>
      <c r="AO819" s="345"/>
      <c r="AP819" s="345"/>
      <c r="AQ819" s="345"/>
      <c r="AR819" s="345"/>
      <c r="AS819" s="345"/>
    </row>
    <row r="820" ht="13.5" customHeight="1">
      <c r="A820" s="424" t="str">
        <f>'Membership Application List'!A1049</f>
        <v/>
      </c>
      <c r="B820" s="443" t="str">
        <f t="shared" si="6"/>
        <v/>
      </c>
      <c r="C820" s="443" t="str">
        <f t="shared" si="7"/>
        <v/>
      </c>
      <c r="D820" s="426" t="str">
        <f>'Membership Application List'!E1049</f>
        <v/>
      </c>
      <c r="E820" s="426" t="b">
        <f>IF('Membership Application List'!J1049 = "Food/Litter Donation", 0, IF('Membership Application List'!J1049 = "$15 Donation, Discord Verification", IF('Membership Application List'!N1049 = TRUE, 15, 0)))</f>
        <v>0</v>
      </c>
      <c r="F820" s="426">
        <f>if('Membership Application List'!K1049=TRUE, 5,0)</f>
        <v>0</v>
      </c>
      <c r="G820" s="426">
        <f t="shared" si="8"/>
        <v>0</v>
      </c>
      <c r="H820" s="480" t="str">
        <f>'Membership Application List'!L1049</f>
        <v/>
      </c>
      <c r="I820" s="345"/>
      <c r="J820" s="441"/>
      <c r="K820" s="345"/>
      <c r="L820" s="478"/>
      <c r="M820" s="345"/>
      <c r="N820" s="345"/>
      <c r="O820" s="345"/>
      <c r="P820" s="414"/>
      <c r="Q820" s="414"/>
      <c r="R820" s="414"/>
      <c r="S820" s="445"/>
      <c r="T820" s="445"/>
      <c r="U820" s="445"/>
      <c r="V820" s="345"/>
      <c r="W820" s="441"/>
      <c r="X820" s="345"/>
      <c r="Y820" s="345"/>
      <c r="Z820" s="345"/>
      <c r="AA820" s="345"/>
      <c r="AB820" s="345"/>
      <c r="AC820" s="345"/>
      <c r="AD820" s="345"/>
      <c r="AE820" s="345"/>
      <c r="AF820" s="345"/>
      <c r="AG820" s="345"/>
      <c r="AH820" s="345"/>
      <c r="AI820" s="345"/>
      <c r="AJ820" s="345"/>
      <c r="AK820" s="345"/>
      <c r="AL820" s="345"/>
      <c r="AM820" s="345"/>
      <c r="AN820" s="345"/>
      <c r="AO820" s="345"/>
      <c r="AP820" s="345"/>
      <c r="AQ820" s="345"/>
      <c r="AR820" s="345"/>
      <c r="AS820" s="345"/>
    </row>
    <row r="821" ht="13.5" customHeight="1">
      <c r="A821" s="436" t="str">
        <f>'Membership Application List'!A1050</f>
        <v/>
      </c>
      <c r="B821" s="437" t="str">
        <f t="shared" si="6"/>
        <v/>
      </c>
      <c r="C821" s="437" t="str">
        <f t="shared" si="7"/>
        <v/>
      </c>
      <c r="D821" s="438" t="str">
        <f>'Membership Application List'!E1050</f>
        <v/>
      </c>
      <c r="E821" s="438" t="b">
        <f>IF('Membership Application List'!J1050 = "Food/Litter Donation", 0, IF('Membership Application List'!J1050 = "$15 Donation, Discord Verification", IF('Membership Application List'!N1050 = TRUE, 15, 0)))</f>
        <v>0</v>
      </c>
      <c r="F821" s="438">
        <f>if('Membership Application List'!K1050=TRUE, 5,0)</f>
        <v>0</v>
      </c>
      <c r="G821" s="438">
        <f t="shared" si="8"/>
        <v>0</v>
      </c>
      <c r="H821" s="479" t="str">
        <f>'Membership Application List'!L1050</f>
        <v/>
      </c>
      <c r="I821" s="345"/>
      <c r="J821" s="441"/>
      <c r="K821" s="345"/>
      <c r="L821" s="478"/>
      <c r="M821" s="345"/>
      <c r="N821" s="345"/>
      <c r="O821" s="345"/>
      <c r="P821" s="414"/>
      <c r="Q821" s="414"/>
      <c r="R821" s="414"/>
      <c r="S821" s="445"/>
      <c r="T821" s="445"/>
      <c r="U821" s="445"/>
      <c r="V821" s="345"/>
      <c r="W821" s="441"/>
      <c r="X821" s="345"/>
      <c r="Y821" s="345"/>
      <c r="Z821" s="345"/>
      <c r="AA821" s="345"/>
      <c r="AB821" s="345"/>
      <c r="AC821" s="345"/>
      <c r="AD821" s="345"/>
      <c r="AE821" s="345"/>
      <c r="AF821" s="345"/>
      <c r="AG821" s="345"/>
      <c r="AH821" s="345"/>
      <c r="AI821" s="345"/>
      <c r="AJ821" s="345"/>
      <c r="AK821" s="345"/>
      <c r="AL821" s="345"/>
      <c r="AM821" s="345"/>
      <c r="AN821" s="345"/>
      <c r="AO821" s="345"/>
      <c r="AP821" s="345"/>
      <c r="AQ821" s="345"/>
      <c r="AR821" s="345"/>
      <c r="AS821" s="345"/>
    </row>
    <row r="822" ht="13.5" customHeight="1">
      <c r="A822" s="424" t="str">
        <f>'Membership Application List'!A1051</f>
        <v/>
      </c>
      <c r="B822" s="443" t="str">
        <f t="shared" si="6"/>
        <v/>
      </c>
      <c r="C822" s="443" t="str">
        <f t="shared" si="7"/>
        <v/>
      </c>
      <c r="D822" s="426" t="str">
        <f>'Membership Application List'!E1051</f>
        <v/>
      </c>
      <c r="E822" s="426" t="b">
        <f>IF('Membership Application List'!J1051 = "Food/Litter Donation", 0, IF('Membership Application List'!J1051 = "$15 Donation, Discord Verification", IF('Membership Application List'!N1051 = TRUE, 15, 0)))</f>
        <v>0</v>
      </c>
      <c r="F822" s="426">
        <f>if('Membership Application List'!K1051=TRUE, 5,0)</f>
        <v>0</v>
      </c>
      <c r="G822" s="426">
        <f t="shared" si="8"/>
        <v>0</v>
      </c>
      <c r="H822" s="480" t="str">
        <f>'Membership Application List'!L1051</f>
        <v/>
      </c>
      <c r="I822" s="345"/>
      <c r="J822" s="441"/>
      <c r="K822" s="345"/>
      <c r="L822" s="478"/>
      <c r="M822" s="345"/>
      <c r="N822" s="345"/>
      <c r="O822" s="345"/>
      <c r="P822" s="414"/>
      <c r="Q822" s="414"/>
      <c r="R822" s="414"/>
      <c r="S822" s="445"/>
      <c r="T822" s="445"/>
      <c r="U822" s="445"/>
      <c r="V822" s="345"/>
      <c r="W822" s="441"/>
      <c r="X822" s="345"/>
      <c r="Y822" s="345"/>
      <c r="Z822" s="345"/>
      <c r="AA822" s="345"/>
      <c r="AB822" s="345"/>
      <c r="AC822" s="345"/>
      <c r="AD822" s="345"/>
      <c r="AE822" s="345"/>
      <c r="AF822" s="345"/>
      <c r="AG822" s="345"/>
      <c r="AH822" s="345"/>
      <c r="AI822" s="345"/>
      <c r="AJ822" s="345"/>
      <c r="AK822" s="345"/>
      <c r="AL822" s="345"/>
      <c r="AM822" s="345"/>
      <c r="AN822" s="345"/>
      <c r="AO822" s="345"/>
      <c r="AP822" s="345"/>
      <c r="AQ822" s="345"/>
      <c r="AR822" s="345"/>
      <c r="AS822" s="345"/>
    </row>
    <row r="823" ht="13.5" customHeight="1">
      <c r="A823" s="436" t="str">
        <f>'Membership Application List'!A1052</f>
        <v/>
      </c>
      <c r="B823" s="437" t="str">
        <f t="shared" si="6"/>
        <v/>
      </c>
      <c r="C823" s="437" t="str">
        <f t="shared" si="7"/>
        <v/>
      </c>
      <c r="D823" s="438" t="str">
        <f>'Membership Application List'!E1052</f>
        <v/>
      </c>
      <c r="E823" s="438" t="b">
        <f>IF('Membership Application List'!J1052 = "Food/Litter Donation", 0, IF('Membership Application List'!J1052 = "$15 Donation, Discord Verification", IF('Membership Application List'!N1052 = TRUE, 15, 0)))</f>
        <v>0</v>
      </c>
      <c r="F823" s="438">
        <f>if('Membership Application List'!K1052=TRUE, 5,0)</f>
        <v>0</v>
      </c>
      <c r="G823" s="438">
        <f t="shared" si="8"/>
        <v>0</v>
      </c>
      <c r="H823" s="479" t="str">
        <f>'Membership Application List'!L1052</f>
        <v/>
      </c>
      <c r="I823" s="345"/>
      <c r="J823" s="441"/>
      <c r="K823" s="345"/>
      <c r="L823" s="478"/>
      <c r="M823" s="345"/>
      <c r="N823" s="345"/>
      <c r="O823" s="345"/>
      <c r="P823" s="414"/>
      <c r="Q823" s="414"/>
      <c r="R823" s="414"/>
      <c r="S823" s="445"/>
      <c r="T823" s="445"/>
      <c r="U823" s="445"/>
      <c r="V823" s="345"/>
      <c r="W823" s="441"/>
      <c r="X823" s="345"/>
      <c r="Y823" s="345"/>
      <c r="Z823" s="345"/>
      <c r="AA823" s="345"/>
      <c r="AB823" s="345"/>
      <c r="AC823" s="345"/>
      <c r="AD823" s="345"/>
      <c r="AE823" s="345"/>
      <c r="AF823" s="345"/>
      <c r="AG823" s="345"/>
      <c r="AH823" s="345"/>
      <c r="AI823" s="345"/>
      <c r="AJ823" s="345"/>
      <c r="AK823" s="345"/>
      <c r="AL823" s="345"/>
      <c r="AM823" s="345"/>
      <c r="AN823" s="345"/>
      <c r="AO823" s="345"/>
      <c r="AP823" s="345"/>
      <c r="AQ823" s="345"/>
      <c r="AR823" s="345"/>
      <c r="AS823" s="345"/>
    </row>
    <row r="824" ht="13.5" customHeight="1">
      <c r="A824" s="424" t="str">
        <f>'Membership Application List'!A1053</f>
        <v/>
      </c>
      <c r="B824" s="443" t="str">
        <f t="shared" si="6"/>
        <v/>
      </c>
      <c r="C824" s="443" t="str">
        <f t="shared" si="7"/>
        <v/>
      </c>
      <c r="D824" s="426" t="str">
        <f>'Membership Application List'!E1053</f>
        <v/>
      </c>
      <c r="E824" s="426" t="b">
        <f>IF('Membership Application List'!J1053 = "Food/Litter Donation", 0, IF('Membership Application List'!J1053 = "$15 Donation, Discord Verification", IF('Membership Application List'!N1053 = TRUE, 15, 0)))</f>
        <v>0</v>
      </c>
      <c r="F824" s="426">
        <f>if('Membership Application List'!K1053=TRUE, 5,0)</f>
        <v>0</v>
      </c>
      <c r="G824" s="426">
        <f t="shared" si="8"/>
        <v>0</v>
      </c>
      <c r="H824" s="480" t="str">
        <f>'Membership Application List'!L1053</f>
        <v/>
      </c>
      <c r="I824" s="345"/>
      <c r="J824" s="441"/>
      <c r="K824" s="345"/>
      <c r="L824" s="478"/>
      <c r="M824" s="345"/>
      <c r="N824" s="345"/>
      <c r="O824" s="345"/>
      <c r="P824" s="414"/>
      <c r="Q824" s="414"/>
      <c r="R824" s="414"/>
      <c r="S824" s="445"/>
      <c r="T824" s="445"/>
      <c r="U824" s="445"/>
      <c r="V824" s="345"/>
      <c r="W824" s="441"/>
      <c r="X824" s="345"/>
      <c r="Y824" s="345"/>
      <c r="Z824" s="345"/>
      <c r="AA824" s="345"/>
      <c r="AB824" s="345"/>
      <c r="AC824" s="345"/>
      <c r="AD824" s="345"/>
      <c r="AE824" s="345"/>
      <c r="AF824" s="345"/>
      <c r="AG824" s="345"/>
      <c r="AH824" s="345"/>
      <c r="AI824" s="345"/>
      <c r="AJ824" s="345"/>
      <c r="AK824" s="345"/>
      <c r="AL824" s="345"/>
      <c r="AM824" s="345"/>
      <c r="AN824" s="345"/>
      <c r="AO824" s="345"/>
      <c r="AP824" s="345"/>
      <c r="AQ824" s="345"/>
      <c r="AR824" s="345"/>
      <c r="AS824" s="345"/>
    </row>
    <row r="825" ht="13.5" customHeight="1">
      <c r="A825" s="436" t="str">
        <f>'Membership Application List'!A1054</f>
        <v/>
      </c>
      <c r="B825" s="437" t="str">
        <f t="shared" si="6"/>
        <v/>
      </c>
      <c r="C825" s="437" t="str">
        <f t="shared" si="7"/>
        <v/>
      </c>
      <c r="D825" s="438" t="str">
        <f>'Membership Application List'!E1054</f>
        <v/>
      </c>
      <c r="E825" s="438" t="b">
        <f>IF('Membership Application List'!J1054 = "Food/Litter Donation", 0, IF('Membership Application List'!J1054 = "$15 Donation, Discord Verification", IF('Membership Application List'!N1054 = TRUE, 15, 0)))</f>
        <v>0</v>
      </c>
      <c r="F825" s="438">
        <f>if('Membership Application List'!K1054=TRUE, 5,0)</f>
        <v>0</v>
      </c>
      <c r="G825" s="438">
        <f t="shared" si="8"/>
        <v>0</v>
      </c>
      <c r="H825" s="479" t="str">
        <f>'Membership Application List'!L1054</f>
        <v/>
      </c>
      <c r="I825" s="345"/>
      <c r="J825" s="441"/>
      <c r="K825" s="345"/>
      <c r="L825" s="478"/>
      <c r="M825" s="345"/>
      <c r="N825" s="345"/>
      <c r="O825" s="345"/>
      <c r="P825" s="414"/>
      <c r="Q825" s="414"/>
      <c r="R825" s="414"/>
      <c r="S825" s="445"/>
      <c r="T825" s="445"/>
      <c r="U825" s="445"/>
      <c r="V825" s="345"/>
      <c r="W825" s="441"/>
      <c r="X825" s="345"/>
      <c r="Y825" s="345"/>
      <c r="Z825" s="345"/>
      <c r="AA825" s="345"/>
      <c r="AB825" s="345"/>
      <c r="AC825" s="345"/>
      <c r="AD825" s="345"/>
      <c r="AE825" s="345"/>
      <c r="AF825" s="345"/>
      <c r="AG825" s="345"/>
      <c r="AH825" s="345"/>
      <c r="AI825" s="345"/>
      <c r="AJ825" s="345"/>
      <c r="AK825" s="345"/>
      <c r="AL825" s="345"/>
      <c r="AM825" s="345"/>
      <c r="AN825" s="345"/>
      <c r="AO825" s="345"/>
      <c r="AP825" s="345"/>
      <c r="AQ825" s="345"/>
      <c r="AR825" s="345"/>
      <c r="AS825" s="345"/>
    </row>
    <row r="826" ht="13.5" customHeight="1">
      <c r="A826" s="424" t="str">
        <f>'Membership Application List'!A1055</f>
        <v/>
      </c>
      <c r="B826" s="443" t="str">
        <f t="shared" si="6"/>
        <v/>
      </c>
      <c r="C826" s="443" t="str">
        <f t="shared" si="7"/>
        <v/>
      </c>
      <c r="D826" s="426" t="str">
        <f>'Membership Application List'!E1055</f>
        <v/>
      </c>
      <c r="E826" s="426" t="b">
        <f>IF('Membership Application List'!J1055 = "Food/Litter Donation", 0, IF('Membership Application List'!J1055 = "$15 Donation, Discord Verification", IF('Membership Application List'!N1055 = TRUE, 15, 0)))</f>
        <v>0</v>
      </c>
      <c r="F826" s="426">
        <f>if('Membership Application List'!K1055=TRUE, 5,0)</f>
        <v>0</v>
      </c>
      <c r="G826" s="426">
        <f t="shared" si="8"/>
        <v>0</v>
      </c>
      <c r="H826" s="480" t="str">
        <f>'Membership Application List'!L1055</f>
        <v/>
      </c>
      <c r="I826" s="345"/>
      <c r="J826" s="441"/>
      <c r="K826" s="345"/>
      <c r="L826" s="478"/>
      <c r="M826" s="345"/>
      <c r="N826" s="345"/>
      <c r="O826" s="345"/>
      <c r="P826" s="414"/>
      <c r="Q826" s="414"/>
      <c r="R826" s="414"/>
      <c r="S826" s="445"/>
      <c r="T826" s="445"/>
      <c r="U826" s="445"/>
      <c r="V826" s="345"/>
      <c r="W826" s="441"/>
      <c r="X826" s="345"/>
      <c r="Y826" s="345"/>
      <c r="Z826" s="345"/>
      <c r="AA826" s="345"/>
      <c r="AB826" s="345"/>
      <c r="AC826" s="345"/>
      <c r="AD826" s="345"/>
      <c r="AE826" s="345"/>
      <c r="AF826" s="345"/>
      <c r="AG826" s="345"/>
      <c r="AH826" s="345"/>
      <c r="AI826" s="345"/>
      <c r="AJ826" s="345"/>
      <c r="AK826" s="345"/>
      <c r="AL826" s="345"/>
      <c r="AM826" s="345"/>
      <c r="AN826" s="345"/>
      <c r="AO826" s="345"/>
      <c r="AP826" s="345"/>
      <c r="AQ826" s="345"/>
      <c r="AR826" s="345"/>
      <c r="AS826" s="345"/>
    </row>
    <row r="827" ht="13.5" customHeight="1">
      <c r="A827" s="436" t="str">
        <f>'Membership Application List'!A1056</f>
        <v/>
      </c>
      <c r="B827" s="437" t="str">
        <f t="shared" si="6"/>
        <v/>
      </c>
      <c r="C827" s="437" t="str">
        <f t="shared" si="7"/>
        <v/>
      </c>
      <c r="D827" s="438" t="str">
        <f>'Membership Application List'!E1056</f>
        <v/>
      </c>
      <c r="E827" s="438" t="b">
        <f>IF('Membership Application List'!J1056 = "Food/Litter Donation", 0, IF('Membership Application List'!J1056 = "$15 Donation, Discord Verification", IF('Membership Application List'!N1056 = TRUE, 15, 0)))</f>
        <v>0</v>
      </c>
      <c r="F827" s="438">
        <f>if('Membership Application List'!K1056=TRUE, 5,0)</f>
        <v>0</v>
      </c>
      <c r="G827" s="438">
        <f t="shared" si="8"/>
        <v>0</v>
      </c>
      <c r="H827" s="479" t="str">
        <f>'Membership Application List'!L1056</f>
        <v/>
      </c>
      <c r="I827" s="345"/>
      <c r="J827" s="441"/>
      <c r="K827" s="345"/>
      <c r="L827" s="478"/>
      <c r="M827" s="345"/>
      <c r="N827" s="345"/>
      <c r="O827" s="345"/>
      <c r="P827" s="414"/>
      <c r="Q827" s="414"/>
      <c r="R827" s="414"/>
      <c r="S827" s="445"/>
      <c r="T827" s="445"/>
      <c r="U827" s="445"/>
      <c r="V827" s="345"/>
      <c r="W827" s="441"/>
      <c r="X827" s="345"/>
      <c r="Y827" s="345"/>
      <c r="Z827" s="345"/>
      <c r="AA827" s="345"/>
      <c r="AB827" s="345"/>
      <c r="AC827" s="345"/>
      <c r="AD827" s="345"/>
      <c r="AE827" s="345"/>
      <c r="AF827" s="345"/>
      <c r="AG827" s="345"/>
      <c r="AH827" s="345"/>
      <c r="AI827" s="345"/>
      <c r="AJ827" s="345"/>
      <c r="AK827" s="345"/>
      <c r="AL827" s="345"/>
      <c r="AM827" s="345"/>
      <c r="AN827" s="345"/>
      <c r="AO827" s="345"/>
      <c r="AP827" s="345"/>
      <c r="AQ827" s="345"/>
      <c r="AR827" s="345"/>
      <c r="AS827" s="345"/>
    </row>
    <row r="828" ht="13.5" customHeight="1">
      <c r="A828" s="424" t="str">
        <f>'Membership Application List'!A1057</f>
        <v/>
      </c>
      <c r="B828" s="443" t="str">
        <f t="shared" si="6"/>
        <v/>
      </c>
      <c r="C828" s="443" t="str">
        <f t="shared" si="7"/>
        <v/>
      </c>
      <c r="D828" s="426" t="str">
        <f>'Membership Application List'!E1057</f>
        <v/>
      </c>
      <c r="E828" s="426" t="b">
        <f>IF('Membership Application List'!J1057 = "Food/Litter Donation", 0, IF('Membership Application List'!J1057 = "$15 Donation, Discord Verification", IF('Membership Application List'!N1057 = TRUE, 15, 0)))</f>
        <v>0</v>
      </c>
      <c r="F828" s="426">
        <f>if('Membership Application List'!K1057=TRUE, 5,0)</f>
        <v>0</v>
      </c>
      <c r="G828" s="426">
        <f t="shared" si="8"/>
        <v>0</v>
      </c>
      <c r="H828" s="480" t="str">
        <f>'Membership Application List'!L1057</f>
        <v/>
      </c>
      <c r="I828" s="345"/>
      <c r="J828" s="441"/>
      <c r="K828" s="345"/>
      <c r="L828" s="478"/>
      <c r="M828" s="345"/>
      <c r="N828" s="345"/>
      <c r="O828" s="345"/>
      <c r="P828" s="414"/>
      <c r="Q828" s="414"/>
      <c r="R828" s="414"/>
      <c r="S828" s="445"/>
      <c r="T828" s="445"/>
      <c r="U828" s="445"/>
      <c r="V828" s="345"/>
      <c r="W828" s="441"/>
      <c r="X828" s="345"/>
      <c r="Y828" s="345"/>
      <c r="Z828" s="345"/>
      <c r="AA828" s="345"/>
      <c r="AB828" s="345"/>
      <c r="AC828" s="345"/>
      <c r="AD828" s="345"/>
      <c r="AE828" s="345"/>
      <c r="AF828" s="345"/>
      <c r="AG828" s="345"/>
      <c r="AH828" s="345"/>
      <c r="AI828" s="345"/>
      <c r="AJ828" s="345"/>
      <c r="AK828" s="345"/>
      <c r="AL828" s="345"/>
      <c r="AM828" s="345"/>
      <c r="AN828" s="345"/>
      <c r="AO828" s="345"/>
      <c r="AP828" s="345"/>
      <c r="AQ828" s="345"/>
      <c r="AR828" s="345"/>
      <c r="AS828" s="345"/>
    </row>
    <row r="829" ht="13.5" customHeight="1">
      <c r="A829" s="436" t="str">
        <f>'Membership Application List'!A1058</f>
        <v/>
      </c>
      <c r="B829" s="437" t="str">
        <f t="shared" si="6"/>
        <v/>
      </c>
      <c r="C829" s="437" t="str">
        <f t="shared" si="7"/>
        <v/>
      </c>
      <c r="D829" s="438" t="str">
        <f>'Membership Application List'!E1058</f>
        <v/>
      </c>
      <c r="E829" s="438" t="b">
        <f>IF('Membership Application List'!J1058 = "Food/Litter Donation", 0, IF('Membership Application List'!J1058 = "$15 Donation, Discord Verification", IF('Membership Application List'!N1058 = TRUE, 15, 0)))</f>
        <v>0</v>
      </c>
      <c r="F829" s="438">
        <f>if('Membership Application List'!K1058=TRUE, 5,0)</f>
        <v>0</v>
      </c>
      <c r="G829" s="438">
        <f t="shared" si="8"/>
        <v>0</v>
      </c>
      <c r="H829" s="479" t="str">
        <f>'Membership Application List'!L1058</f>
        <v/>
      </c>
      <c r="I829" s="345"/>
      <c r="J829" s="441"/>
      <c r="K829" s="345"/>
      <c r="L829" s="478"/>
      <c r="M829" s="345"/>
      <c r="N829" s="345"/>
      <c r="O829" s="345"/>
      <c r="P829" s="414"/>
      <c r="Q829" s="414"/>
      <c r="R829" s="414"/>
      <c r="S829" s="445"/>
      <c r="T829" s="445"/>
      <c r="U829" s="445"/>
      <c r="V829" s="345"/>
      <c r="W829" s="441"/>
      <c r="X829" s="345"/>
      <c r="Y829" s="345"/>
      <c r="Z829" s="345"/>
      <c r="AA829" s="345"/>
      <c r="AB829" s="345"/>
      <c r="AC829" s="345"/>
      <c r="AD829" s="345"/>
      <c r="AE829" s="345"/>
      <c r="AF829" s="345"/>
      <c r="AG829" s="345"/>
      <c r="AH829" s="345"/>
      <c r="AI829" s="345"/>
      <c r="AJ829" s="345"/>
      <c r="AK829" s="345"/>
      <c r="AL829" s="345"/>
      <c r="AM829" s="345"/>
      <c r="AN829" s="345"/>
      <c r="AO829" s="345"/>
      <c r="AP829" s="345"/>
      <c r="AQ829" s="345"/>
      <c r="AR829" s="345"/>
      <c r="AS829" s="345"/>
    </row>
    <row r="830" ht="13.5" customHeight="1">
      <c r="A830" s="424" t="str">
        <f>'Membership Application List'!A1059</f>
        <v/>
      </c>
      <c r="B830" s="443" t="str">
        <f t="shared" si="6"/>
        <v/>
      </c>
      <c r="C830" s="443" t="str">
        <f t="shared" si="7"/>
        <v/>
      </c>
      <c r="D830" s="426" t="str">
        <f>'Membership Application List'!E1059</f>
        <v/>
      </c>
      <c r="E830" s="426" t="b">
        <f>IF('Membership Application List'!J1059 = "Food/Litter Donation", 0, IF('Membership Application List'!J1059 = "$15 Donation, Discord Verification", IF('Membership Application List'!N1059 = TRUE, 15, 0)))</f>
        <v>0</v>
      </c>
      <c r="F830" s="426">
        <f>if('Membership Application List'!K1059=TRUE, 5,0)</f>
        <v>0</v>
      </c>
      <c r="G830" s="426">
        <f t="shared" si="8"/>
        <v>0</v>
      </c>
      <c r="H830" s="480" t="str">
        <f>'Membership Application List'!L1059</f>
        <v/>
      </c>
      <c r="I830" s="345"/>
      <c r="J830" s="441"/>
      <c r="K830" s="345"/>
      <c r="L830" s="478"/>
      <c r="M830" s="345"/>
      <c r="N830" s="345"/>
      <c r="O830" s="345"/>
      <c r="P830" s="414"/>
      <c r="Q830" s="414"/>
      <c r="R830" s="414"/>
      <c r="S830" s="445"/>
      <c r="T830" s="445"/>
      <c r="U830" s="445"/>
      <c r="V830" s="345"/>
      <c r="W830" s="441"/>
      <c r="X830" s="345"/>
      <c r="Y830" s="345"/>
      <c r="Z830" s="345"/>
      <c r="AA830" s="345"/>
      <c r="AB830" s="345"/>
      <c r="AC830" s="345"/>
      <c r="AD830" s="345"/>
      <c r="AE830" s="345"/>
      <c r="AF830" s="345"/>
      <c r="AG830" s="345"/>
      <c r="AH830" s="345"/>
      <c r="AI830" s="345"/>
      <c r="AJ830" s="345"/>
      <c r="AK830" s="345"/>
      <c r="AL830" s="345"/>
      <c r="AM830" s="345"/>
      <c r="AN830" s="345"/>
      <c r="AO830" s="345"/>
      <c r="AP830" s="345"/>
      <c r="AQ830" s="345"/>
      <c r="AR830" s="345"/>
      <c r="AS830" s="345"/>
    </row>
    <row r="831" ht="13.5" customHeight="1">
      <c r="A831" s="436" t="str">
        <f>'Membership Application List'!A1060</f>
        <v/>
      </c>
      <c r="B831" s="437" t="str">
        <f t="shared" si="6"/>
        <v/>
      </c>
      <c r="C831" s="437" t="str">
        <f t="shared" si="7"/>
        <v/>
      </c>
      <c r="D831" s="438" t="str">
        <f>'Membership Application List'!E1060</f>
        <v/>
      </c>
      <c r="E831" s="438" t="b">
        <f>IF('Membership Application List'!J1060 = "Food/Litter Donation", 0, IF('Membership Application List'!J1060 = "$15 Donation, Discord Verification", IF('Membership Application List'!N1060 = TRUE, 15, 0)))</f>
        <v>0</v>
      </c>
      <c r="F831" s="438">
        <f>if('Membership Application List'!K1060=TRUE, 5,0)</f>
        <v>0</v>
      </c>
      <c r="G831" s="438">
        <f t="shared" si="8"/>
        <v>0</v>
      </c>
      <c r="H831" s="479" t="str">
        <f>'Membership Application List'!L1060</f>
        <v/>
      </c>
      <c r="I831" s="345"/>
      <c r="J831" s="441"/>
      <c r="K831" s="345"/>
      <c r="L831" s="478"/>
      <c r="M831" s="345"/>
      <c r="N831" s="345"/>
      <c r="O831" s="345"/>
      <c r="P831" s="414"/>
      <c r="Q831" s="414"/>
      <c r="R831" s="414"/>
      <c r="S831" s="445"/>
      <c r="T831" s="445"/>
      <c r="U831" s="445"/>
      <c r="V831" s="345"/>
      <c r="W831" s="441"/>
      <c r="X831" s="345"/>
      <c r="Y831" s="345"/>
      <c r="Z831" s="345"/>
      <c r="AA831" s="345"/>
      <c r="AB831" s="345"/>
      <c r="AC831" s="345"/>
      <c r="AD831" s="345"/>
      <c r="AE831" s="345"/>
      <c r="AF831" s="345"/>
      <c r="AG831" s="345"/>
      <c r="AH831" s="345"/>
      <c r="AI831" s="345"/>
      <c r="AJ831" s="345"/>
      <c r="AK831" s="345"/>
      <c r="AL831" s="345"/>
      <c r="AM831" s="345"/>
      <c r="AN831" s="345"/>
      <c r="AO831" s="345"/>
      <c r="AP831" s="345"/>
      <c r="AQ831" s="345"/>
      <c r="AR831" s="345"/>
      <c r="AS831" s="345"/>
    </row>
    <row r="832" ht="13.5" customHeight="1">
      <c r="A832" s="424" t="str">
        <f>'Membership Application List'!A1061</f>
        <v/>
      </c>
      <c r="B832" s="443" t="str">
        <f t="shared" si="6"/>
        <v/>
      </c>
      <c r="C832" s="443" t="str">
        <f t="shared" si="7"/>
        <v/>
      </c>
      <c r="D832" s="426" t="str">
        <f>'Membership Application List'!E1061</f>
        <v/>
      </c>
      <c r="E832" s="426" t="b">
        <f>IF('Membership Application List'!J1061 = "Food/Litter Donation", 0, IF('Membership Application List'!J1061 = "$15 Donation, Discord Verification", IF('Membership Application List'!N1061 = TRUE, 15, 0)))</f>
        <v>0</v>
      </c>
      <c r="F832" s="426">
        <f>if('Membership Application List'!K1061=TRUE, 5,0)</f>
        <v>0</v>
      </c>
      <c r="G832" s="426">
        <f t="shared" si="8"/>
        <v>0</v>
      </c>
      <c r="H832" s="480" t="str">
        <f>'Membership Application List'!L1061</f>
        <v/>
      </c>
      <c r="I832" s="345"/>
      <c r="J832" s="441"/>
      <c r="K832" s="345"/>
      <c r="L832" s="478"/>
      <c r="M832" s="345"/>
      <c r="N832" s="345"/>
      <c r="O832" s="345"/>
      <c r="P832" s="414"/>
      <c r="Q832" s="414"/>
      <c r="R832" s="414"/>
      <c r="S832" s="445"/>
      <c r="T832" s="445"/>
      <c r="U832" s="445"/>
      <c r="V832" s="345"/>
      <c r="W832" s="441"/>
      <c r="X832" s="345"/>
      <c r="Y832" s="345"/>
      <c r="Z832" s="345"/>
      <c r="AA832" s="345"/>
      <c r="AB832" s="345"/>
      <c r="AC832" s="345"/>
      <c r="AD832" s="345"/>
      <c r="AE832" s="345"/>
      <c r="AF832" s="345"/>
      <c r="AG832" s="345"/>
      <c r="AH832" s="345"/>
      <c r="AI832" s="345"/>
      <c r="AJ832" s="345"/>
      <c r="AK832" s="345"/>
      <c r="AL832" s="345"/>
      <c r="AM832" s="345"/>
      <c r="AN832" s="345"/>
      <c r="AO832" s="345"/>
      <c r="AP832" s="345"/>
      <c r="AQ832" s="345"/>
      <c r="AR832" s="345"/>
      <c r="AS832" s="345"/>
    </row>
    <row r="833" ht="13.5" customHeight="1">
      <c r="A833" s="436" t="str">
        <f>'Membership Application List'!A1062</f>
        <v/>
      </c>
      <c r="B833" s="437" t="str">
        <f t="shared" si="6"/>
        <v/>
      </c>
      <c r="C833" s="437" t="str">
        <f t="shared" si="7"/>
        <v/>
      </c>
      <c r="D833" s="438" t="str">
        <f>'Membership Application List'!E1062</f>
        <v/>
      </c>
      <c r="E833" s="438" t="b">
        <f>IF('Membership Application List'!J1062 = "Food/Litter Donation", 0, IF('Membership Application List'!J1062 = "$15 Donation, Discord Verification", IF('Membership Application List'!N1062 = TRUE, 15, 0)))</f>
        <v>0</v>
      </c>
      <c r="F833" s="438">
        <f>if('Membership Application List'!K1062=TRUE, 5,0)</f>
        <v>0</v>
      </c>
      <c r="G833" s="438">
        <f t="shared" si="8"/>
        <v>0</v>
      </c>
      <c r="H833" s="479" t="str">
        <f>'Membership Application List'!L1062</f>
        <v/>
      </c>
      <c r="I833" s="345"/>
      <c r="J833" s="441"/>
      <c r="K833" s="345"/>
      <c r="L833" s="478"/>
      <c r="M833" s="345"/>
      <c r="N833" s="345"/>
      <c r="O833" s="345"/>
      <c r="P833" s="414"/>
      <c r="Q833" s="414"/>
      <c r="R833" s="414"/>
      <c r="S833" s="445"/>
      <c r="T833" s="445"/>
      <c r="U833" s="445"/>
      <c r="V833" s="345"/>
      <c r="W833" s="441"/>
      <c r="X833" s="345"/>
      <c r="Y833" s="345"/>
      <c r="Z833" s="345"/>
      <c r="AA833" s="345"/>
      <c r="AB833" s="345"/>
      <c r="AC833" s="345"/>
      <c r="AD833" s="345"/>
      <c r="AE833" s="345"/>
      <c r="AF833" s="345"/>
      <c r="AG833" s="345"/>
      <c r="AH833" s="345"/>
      <c r="AI833" s="345"/>
      <c r="AJ833" s="345"/>
      <c r="AK833" s="345"/>
      <c r="AL833" s="345"/>
      <c r="AM833" s="345"/>
      <c r="AN833" s="345"/>
      <c r="AO833" s="345"/>
      <c r="AP833" s="345"/>
      <c r="AQ833" s="345"/>
      <c r="AR833" s="345"/>
      <c r="AS833" s="345"/>
    </row>
    <row r="834" ht="13.5" customHeight="1">
      <c r="A834" s="424" t="str">
        <f>'Membership Application List'!A1063</f>
        <v/>
      </c>
      <c r="B834" s="443" t="str">
        <f t="shared" si="6"/>
        <v/>
      </c>
      <c r="C834" s="443" t="str">
        <f t="shared" si="7"/>
        <v/>
      </c>
      <c r="D834" s="426" t="str">
        <f>'Membership Application List'!E1063</f>
        <v/>
      </c>
      <c r="E834" s="426" t="b">
        <f>IF('Membership Application List'!J1063 = "Food/Litter Donation", 0, IF('Membership Application List'!J1063 = "$15 Donation, Discord Verification", IF('Membership Application List'!N1063 = TRUE, 15, 0)))</f>
        <v>0</v>
      </c>
      <c r="F834" s="426">
        <f>if('Membership Application List'!K1063=TRUE, 5,0)</f>
        <v>0</v>
      </c>
      <c r="G834" s="426">
        <f t="shared" si="8"/>
        <v>0</v>
      </c>
      <c r="H834" s="480" t="str">
        <f>'Membership Application List'!L1063</f>
        <v/>
      </c>
      <c r="I834" s="345"/>
      <c r="J834" s="441"/>
      <c r="K834" s="345"/>
      <c r="L834" s="478"/>
      <c r="M834" s="345"/>
      <c r="N834" s="345"/>
      <c r="O834" s="345"/>
      <c r="P834" s="414"/>
      <c r="Q834" s="414"/>
      <c r="R834" s="414"/>
      <c r="S834" s="445"/>
      <c r="T834" s="445"/>
      <c r="U834" s="445"/>
      <c r="V834" s="345"/>
      <c r="W834" s="441"/>
      <c r="X834" s="345"/>
      <c r="Y834" s="345"/>
      <c r="Z834" s="345"/>
      <c r="AA834" s="345"/>
      <c r="AB834" s="345"/>
      <c r="AC834" s="345"/>
      <c r="AD834" s="345"/>
      <c r="AE834" s="345"/>
      <c r="AF834" s="345"/>
      <c r="AG834" s="345"/>
      <c r="AH834" s="345"/>
      <c r="AI834" s="345"/>
      <c r="AJ834" s="345"/>
      <c r="AK834" s="345"/>
      <c r="AL834" s="345"/>
      <c r="AM834" s="345"/>
      <c r="AN834" s="345"/>
      <c r="AO834" s="345"/>
      <c r="AP834" s="345"/>
      <c r="AQ834" s="345"/>
      <c r="AR834" s="345"/>
      <c r="AS834" s="345"/>
    </row>
    <row r="835" ht="13.5" customHeight="1">
      <c r="A835" s="436" t="str">
        <f>'Membership Application List'!A1064</f>
        <v/>
      </c>
      <c r="B835" s="437" t="str">
        <f t="shared" si="6"/>
        <v/>
      </c>
      <c r="C835" s="437" t="str">
        <f t="shared" si="7"/>
        <v/>
      </c>
      <c r="D835" s="438" t="str">
        <f>'Membership Application List'!E1064</f>
        <v/>
      </c>
      <c r="E835" s="438" t="b">
        <f>IF('Membership Application List'!J1064 = "Food/Litter Donation", 0, IF('Membership Application List'!J1064 = "$15 Donation, Discord Verification", IF('Membership Application List'!N1064 = TRUE, 15, 0)))</f>
        <v>0</v>
      </c>
      <c r="F835" s="438">
        <f>if('Membership Application List'!K1064=TRUE, 5,0)</f>
        <v>0</v>
      </c>
      <c r="G835" s="438">
        <f t="shared" si="8"/>
        <v>0</v>
      </c>
      <c r="H835" s="479" t="str">
        <f>'Membership Application List'!L1064</f>
        <v/>
      </c>
      <c r="I835" s="345"/>
      <c r="J835" s="441"/>
      <c r="K835" s="345"/>
      <c r="L835" s="478"/>
      <c r="M835" s="345"/>
      <c r="N835" s="345"/>
      <c r="O835" s="345"/>
      <c r="P835" s="414"/>
      <c r="Q835" s="414"/>
      <c r="R835" s="414"/>
      <c r="S835" s="445"/>
      <c r="T835" s="445"/>
      <c r="U835" s="445"/>
      <c r="V835" s="345"/>
      <c r="W835" s="441"/>
      <c r="X835" s="345"/>
      <c r="Y835" s="345"/>
      <c r="Z835" s="345"/>
      <c r="AA835" s="345"/>
      <c r="AB835" s="345"/>
      <c r="AC835" s="345"/>
      <c r="AD835" s="345"/>
      <c r="AE835" s="345"/>
      <c r="AF835" s="345"/>
      <c r="AG835" s="345"/>
      <c r="AH835" s="345"/>
      <c r="AI835" s="345"/>
      <c r="AJ835" s="345"/>
      <c r="AK835" s="345"/>
      <c r="AL835" s="345"/>
      <c r="AM835" s="345"/>
      <c r="AN835" s="345"/>
      <c r="AO835" s="345"/>
      <c r="AP835" s="345"/>
      <c r="AQ835" s="345"/>
      <c r="AR835" s="345"/>
      <c r="AS835" s="345"/>
    </row>
    <row r="836" ht="13.5" customHeight="1">
      <c r="A836" s="424" t="str">
        <f>'Membership Application List'!A1065</f>
        <v/>
      </c>
      <c r="B836" s="443" t="str">
        <f t="shared" si="6"/>
        <v/>
      </c>
      <c r="C836" s="443" t="str">
        <f t="shared" si="7"/>
        <v/>
      </c>
      <c r="D836" s="426" t="str">
        <f>'Membership Application List'!E1065</f>
        <v/>
      </c>
      <c r="E836" s="426" t="b">
        <f>IF('Membership Application List'!J1065 = "Food/Litter Donation", 0, IF('Membership Application List'!J1065 = "$15 Donation, Discord Verification", IF('Membership Application List'!N1065 = TRUE, 15, 0)))</f>
        <v>0</v>
      </c>
      <c r="F836" s="426">
        <f>if('Membership Application List'!K1065=TRUE, 5,0)</f>
        <v>0</v>
      </c>
      <c r="G836" s="426">
        <f t="shared" si="8"/>
        <v>0</v>
      </c>
      <c r="H836" s="480" t="str">
        <f>'Membership Application List'!L1065</f>
        <v/>
      </c>
      <c r="I836" s="345"/>
      <c r="J836" s="441"/>
      <c r="K836" s="345"/>
      <c r="L836" s="478"/>
      <c r="M836" s="345"/>
      <c r="N836" s="345"/>
      <c r="O836" s="345"/>
      <c r="P836" s="414"/>
      <c r="Q836" s="414"/>
      <c r="R836" s="414"/>
      <c r="S836" s="445"/>
      <c r="T836" s="445"/>
      <c r="U836" s="445"/>
      <c r="V836" s="345"/>
      <c r="W836" s="441"/>
      <c r="X836" s="345"/>
      <c r="Y836" s="345"/>
      <c r="Z836" s="345"/>
      <c r="AA836" s="345"/>
      <c r="AB836" s="345"/>
      <c r="AC836" s="345"/>
      <c r="AD836" s="345"/>
      <c r="AE836" s="345"/>
      <c r="AF836" s="345"/>
      <c r="AG836" s="345"/>
      <c r="AH836" s="345"/>
      <c r="AI836" s="345"/>
      <c r="AJ836" s="345"/>
      <c r="AK836" s="345"/>
      <c r="AL836" s="345"/>
      <c r="AM836" s="345"/>
      <c r="AN836" s="345"/>
      <c r="AO836" s="345"/>
      <c r="AP836" s="345"/>
      <c r="AQ836" s="345"/>
      <c r="AR836" s="345"/>
      <c r="AS836" s="345"/>
    </row>
    <row r="837" ht="13.5" customHeight="1">
      <c r="A837" s="436" t="str">
        <f>'Membership Application List'!A1066</f>
        <v/>
      </c>
      <c r="B837" s="437" t="str">
        <f t="shared" si="6"/>
        <v/>
      </c>
      <c r="C837" s="437" t="str">
        <f t="shared" si="7"/>
        <v/>
      </c>
      <c r="D837" s="438" t="str">
        <f>'Membership Application List'!E1066</f>
        <v/>
      </c>
      <c r="E837" s="438" t="b">
        <f>IF('Membership Application List'!J1066 = "Food/Litter Donation", 0, IF('Membership Application List'!J1066 = "$15 Donation, Discord Verification", IF('Membership Application List'!N1066 = TRUE, 15, 0)))</f>
        <v>0</v>
      </c>
      <c r="F837" s="438">
        <f>if('Membership Application List'!K1066=TRUE, 5,0)</f>
        <v>0</v>
      </c>
      <c r="G837" s="438">
        <f t="shared" si="8"/>
        <v>0</v>
      </c>
      <c r="H837" s="479" t="str">
        <f>'Membership Application List'!L1066</f>
        <v/>
      </c>
      <c r="I837" s="345"/>
      <c r="J837" s="441"/>
      <c r="K837" s="345"/>
      <c r="L837" s="478"/>
      <c r="M837" s="345"/>
      <c r="N837" s="345"/>
      <c r="O837" s="345"/>
      <c r="P837" s="414"/>
      <c r="Q837" s="414"/>
      <c r="R837" s="414"/>
      <c r="S837" s="445"/>
      <c r="T837" s="445"/>
      <c r="U837" s="445"/>
      <c r="V837" s="345"/>
      <c r="W837" s="441"/>
      <c r="X837" s="345"/>
      <c r="Y837" s="345"/>
      <c r="Z837" s="345"/>
      <c r="AA837" s="345"/>
      <c r="AB837" s="345"/>
      <c r="AC837" s="345"/>
      <c r="AD837" s="345"/>
      <c r="AE837" s="345"/>
      <c r="AF837" s="345"/>
      <c r="AG837" s="345"/>
      <c r="AH837" s="345"/>
      <c r="AI837" s="345"/>
      <c r="AJ837" s="345"/>
      <c r="AK837" s="345"/>
      <c r="AL837" s="345"/>
      <c r="AM837" s="345"/>
      <c r="AN837" s="345"/>
      <c r="AO837" s="345"/>
      <c r="AP837" s="345"/>
      <c r="AQ837" s="345"/>
      <c r="AR837" s="345"/>
      <c r="AS837" s="345"/>
    </row>
    <row r="838" ht="13.5" customHeight="1">
      <c r="A838" s="424" t="str">
        <f>'Membership Application List'!A1067</f>
        <v/>
      </c>
      <c r="B838" s="443" t="str">
        <f t="shared" si="6"/>
        <v/>
      </c>
      <c r="C838" s="443" t="str">
        <f t="shared" si="7"/>
        <v/>
      </c>
      <c r="D838" s="426" t="str">
        <f>'Membership Application List'!E1067</f>
        <v/>
      </c>
      <c r="E838" s="426" t="b">
        <f>IF('Membership Application List'!J1067 = "Food/Litter Donation", 0, IF('Membership Application List'!J1067 = "$15 Donation, Discord Verification", IF('Membership Application List'!N1067 = TRUE, 15, 0)))</f>
        <v>0</v>
      </c>
      <c r="F838" s="426">
        <f>if('Membership Application List'!K1067=TRUE, 5,0)</f>
        <v>0</v>
      </c>
      <c r="G838" s="426">
        <f t="shared" si="8"/>
        <v>0</v>
      </c>
      <c r="H838" s="480" t="str">
        <f>'Membership Application List'!L1067</f>
        <v/>
      </c>
      <c r="I838" s="345"/>
      <c r="J838" s="441"/>
      <c r="K838" s="345"/>
      <c r="L838" s="478"/>
      <c r="M838" s="345"/>
      <c r="N838" s="345"/>
      <c r="O838" s="345"/>
      <c r="P838" s="414"/>
      <c r="Q838" s="414"/>
      <c r="R838" s="414"/>
      <c r="S838" s="445"/>
      <c r="T838" s="445"/>
      <c r="U838" s="445"/>
      <c r="V838" s="345"/>
      <c r="W838" s="441"/>
      <c r="X838" s="345"/>
      <c r="Y838" s="345"/>
      <c r="Z838" s="345"/>
      <c r="AA838" s="345"/>
      <c r="AB838" s="345"/>
      <c r="AC838" s="345"/>
      <c r="AD838" s="345"/>
      <c r="AE838" s="345"/>
      <c r="AF838" s="345"/>
      <c r="AG838" s="345"/>
      <c r="AH838" s="345"/>
      <c r="AI838" s="345"/>
      <c r="AJ838" s="345"/>
      <c r="AK838" s="345"/>
      <c r="AL838" s="345"/>
      <c r="AM838" s="345"/>
      <c r="AN838" s="345"/>
      <c r="AO838" s="345"/>
      <c r="AP838" s="345"/>
      <c r="AQ838" s="345"/>
      <c r="AR838" s="345"/>
      <c r="AS838" s="345"/>
    </row>
    <row r="839" ht="13.5" customHeight="1">
      <c r="A839" s="436" t="str">
        <f>'Membership Application List'!A1068</f>
        <v/>
      </c>
      <c r="B839" s="437" t="str">
        <f t="shared" si="6"/>
        <v/>
      </c>
      <c r="C839" s="437" t="str">
        <f t="shared" si="7"/>
        <v/>
      </c>
      <c r="D839" s="438" t="str">
        <f>'Membership Application List'!E1068</f>
        <v/>
      </c>
      <c r="E839" s="438" t="b">
        <f>IF('Membership Application List'!J1068 = "Food/Litter Donation", 0, IF('Membership Application List'!J1068 = "$15 Donation, Discord Verification", IF('Membership Application List'!N1068 = TRUE, 15, 0)))</f>
        <v>0</v>
      </c>
      <c r="F839" s="438">
        <f>if('Membership Application List'!K1068=TRUE, 5,0)</f>
        <v>0</v>
      </c>
      <c r="G839" s="438">
        <f t="shared" si="8"/>
        <v>0</v>
      </c>
      <c r="H839" s="479" t="str">
        <f>'Membership Application List'!L1068</f>
        <v/>
      </c>
      <c r="I839" s="345"/>
      <c r="J839" s="441"/>
      <c r="K839" s="345"/>
      <c r="L839" s="478"/>
      <c r="M839" s="345"/>
      <c r="N839" s="345"/>
      <c r="O839" s="345"/>
      <c r="P839" s="414"/>
      <c r="Q839" s="414"/>
      <c r="R839" s="414"/>
      <c r="S839" s="445"/>
      <c r="T839" s="445"/>
      <c r="U839" s="445"/>
      <c r="V839" s="345"/>
      <c r="W839" s="441"/>
      <c r="X839" s="345"/>
      <c r="Y839" s="345"/>
      <c r="Z839" s="345"/>
      <c r="AA839" s="345"/>
      <c r="AB839" s="345"/>
      <c r="AC839" s="345"/>
      <c r="AD839" s="345"/>
      <c r="AE839" s="345"/>
      <c r="AF839" s="345"/>
      <c r="AG839" s="345"/>
      <c r="AH839" s="345"/>
      <c r="AI839" s="345"/>
      <c r="AJ839" s="345"/>
      <c r="AK839" s="345"/>
      <c r="AL839" s="345"/>
      <c r="AM839" s="345"/>
      <c r="AN839" s="345"/>
      <c r="AO839" s="345"/>
      <c r="AP839" s="345"/>
      <c r="AQ839" s="345"/>
      <c r="AR839" s="345"/>
      <c r="AS839" s="345"/>
    </row>
    <row r="840" ht="13.5" customHeight="1">
      <c r="A840" s="424" t="str">
        <f>'Membership Application List'!A1069</f>
        <v/>
      </c>
      <c r="B840" s="443" t="str">
        <f t="shared" si="6"/>
        <v/>
      </c>
      <c r="C840" s="443" t="str">
        <f t="shared" si="7"/>
        <v/>
      </c>
      <c r="D840" s="426" t="str">
        <f>'Membership Application List'!E1069</f>
        <v/>
      </c>
      <c r="E840" s="426" t="b">
        <f>IF('Membership Application List'!J1069 = "Food/Litter Donation", 0, IF('Membership Application List'!J1069 = "$15 Donation, Discord Verification", IF('Membership Application List'!N1069 = TRUE, 15, 0)))</f>
        <v>0</v>
      </c>
      <c r="F840" s="426">
        <f>if('Membership Application List'!K1069=TRUE, 5,0)</f>
        <v>0</v>
      </c>
      <c r="G840" s="426">
        <f t="shared" si="8"/>
        <v>0</v>
      </c>
      <c r="H840" s="480" t="str">
        <f>'Membership Application List'!L1069</f>
        <v/>
      </c>
      <c r="I840" s="345"/>
      <c r="J840" s="441"/>
      <c r="K840" s="345"/>
      <c r="L840" s="478"/>
      <c r="M840" s="345"/>
      <c r="N840" s="345"/>
      <c r="O840" s="345"/>
      <c r="P840" s="414"/>
      <c r="Q840" s="414"/>
      <c r="R840" s="414"/>
      <c r="S840" s="445"/>
      <c r="T840" s="445"/>
      <c r="U840" s="445"/>
      <c r="V840" s="345"/>
      <c r="W840" s="441"/>
      <c r="X840" s="345"/>
      <c r="Y840" s="345"/>
      <c r="Z840" s="345"/>
      <c r="AA840" s="345"/>
      <c r="AB840" s="345"/>
      <c r="AC840" s="345"/>
      <c r="AD840" s="345"/>
      <c r="AE840" s="345"/>
      <c r="AF840" s="345"/>
      <c r="AG840" s="345"/>
      <c r="AH840" s="345"/>
      <c r="AI840" s="345"/>
      <c r="AJ840" s="345"/>
      <c r="AK840" s="345"/>
      <c r="AL840" s="345"/>
      <c r="AM840" s="345"/>
      <c r="AN840" s="345"/>
      <c r="AO840" s="345"/>
      <c r="AP840" s="345"/>
      <c r="AQ840" s="345"/>
      <c r="AR840" s="345"/>
      <c r="AS840" s="345"/>
    </row>
    <row r="841" ht="13.5" customHeight="1">
      <c r="A841" s="436" t="str">
        <f>'Membership Application List'!A1070</f>
        <v/>
      </c>
      <c r="B841" s="437" t="str">
        <f t="shared" si="6"/>
        <v/>
      </c>
      <c r="C841" s="437" t="str">
        <f t="shared" si="7"/>
        <v/>
      </c>
      <c r="D841" s="438" t="str">
        <f>'Membership Application List'!E1070</f>
        <v/>
      </c>
      <c r="E841" s="438" t="b">
        <f>IF('Membership Application List'!J1070 = "Food/Litter Donation", 0, IF('Membership Application List'!J1070 = "$15 Donation, Discord Verification", IF('Membership Application List'!N1070 = TRUE, 15, 0)))</f>
        <v>0</v>
      </c>
      <c r="F841" s="438">
        <f>if('Membership Application List'!K1070=TRUE, 5,0)</f>
        <v>0</v>
      </c>
      <c r="G841" s="438">
        <f t="shared" si="8"/>
        <v>0</v>
      </c>
      <c r="H841" s="479" t="str">
        <f>'Membership Application List'!L1070</f>
        <v/>
      </c>
      <c r="I841" s="345"/>
      <c r="J841" s="441"/>
      <c r="K841" s="345"/>
      <c r="L841" s="478"/>
      <c r="M841" s="345"/>
      <c r="N841" s="345"/>
      <c r="O841" s="345"/>
      <c r="P841" s="414"/>
      <c r="Q841" s="414"/>
      <c r="R841" s="414"/>
      <c r="S841" s="445"/>
      <c r="T841" s="445"/>
      <c r="U841" s="445"/>
      <c r="V841" s="345"/>
      <c r="W841" s="441"/>
      <c r="X841" s="345"/>
      <c r="Y841" s="345"/>
      <c r="Z841" s="345"/>
      <c r="AA841" s="345"/>
      <c r="AB841" s="345"/>
      <c r="AC841" s="345"/>
      <c r="AD841" s="345"/>
      <c r="AE841" s="345"/>
      <c r="AF841" s="345"/>
      <c r="AG841" s="345"/>
      <c r="AH841" s="345"/>
      <c r="AI841" s="345"/>
      <c r="AJ841" s="345"/>
      <c r="AK841" s="345"/>
      <c r="AL841" s="345"/>
      <c r="AM841" s="345"/>
      <c r="AN841" s="345"/>
      <c r="AO841" s="345"/>
      <c r="AP841" s="345"/>
      <c r="AQ841" s="345"/>
      <c r="AR841" s="345"/>
      <c r="AS841" s="345"/>
    </row>
    <row r="842" ht="13.5" customHeight="1">
      <c r="A842" s="424" t="str">
        <f>'Membership Application List'!A1071</f>
        <v/>
      </c>
      <c r="B842" s="443" t="str">
        <f t="shared" si="6"/>
        <v/>
      </c>
      <c r="C842" s="443" t="str">
        <f t="shared" si="7"/>
        <v/>
      </c>
      <c r="D842" s="426" t="str">
        <f>'Membership Application List'!E1071</f>
        <v/>
      </c>
      <c r="E842" s="426" t="b">
        <f>IF('Membership Application List'!J1071 = "Food/Litter Donation", 0, IF('Membership Application List'!J1071 = "$15 Donation, Discord Verification", IF('Membership Application List'!N1071 = TRUE, 15, 0)))</f>
        <v>0</v>
      </c>
      <c r="F842" s="426">
        <f>if('Membership Application List'!K1071=TRUE, 5,0)</f>
        <v>0</v>
      </c>
      <c r="G842" s="426">
        <f t="shared" si="8"/>
        <v>0</v>
      </c>
      <c r="H842" s="480" t="str">
        <f>'Membership Application List'!L1071</f>
        <v/>
      </c>
      <c r="I842" s="345"/>
      <c r="J842" s="441"/>
      <c r="K842" s="345"/>
      <c r="L842" s="478"/>
      <c r="M842" s="345"/>
      <c r="N842" s="345"/>
      <c r="O842" s="345"/>
      <c r="P842" s="414"/>
      <c r="Q842" s="414"/>
      <c r="R842" s="414"/>
      <c r="S842" s="445"/>
      <c r="T842" s="445"/>
      <c r="U842" s="445"/>
      <c r="V842" s="345"/>
      <c r="W842" s="441"/>
      <c r="X842" s="345"/>
      <c r="Y842" s="345"/>
      <c r="Z842" s="345"/>
      <c r="AA842" s="345"/>
      <c r="AB842" s="345"/>
      <c r="AC842" s="345"/>
      <c r="AD842" s="345"/>
      <c r="AE842" s="345"/>
      <c r="AF842" s="345"/>
      <c r="AG842" s="345"/>
      <c r="AH842" s="345"/>
      <c r="AI842" s="345"/>
      <c r="AJ842" s="345"/>
      <c r="AK842" s="345"/>
      <c r="AL842" s="345"/>
      <c r="AM842" s="345"/>
      <c r="AN842" s="345"/>
      <c r="AO842" s="345"/>
      <c r="AP842" s="345"/>
      <c r="AQ842" s="345"/>
      <c r="AR842" s="345"/>
      <c r="AS842" s="345"/>
    </row>
    <row r="843" ht="13.5" customHeight="1">
      <c r="A843" s="436" t="str">
        <f>'Membership Application List'!A1072</f>
        <v/>
      </c>
      <c r="B843" s="437" t="str">
        <f t="shared" si="6"/>
        <v/>
      </c>
      <c r="C843" s="437" t="str">
        <f t="shared" si="7"/>
        <v/>
      </c>
      <c r="D843" s="438" t="str">
        <f>'Membership Application List'!E1072</f>
        <v/>
      </c>
      <c r="E843" s="438" t="b">
        <f>IF('Membership Application List'!J1072 = "Food/Litter Donation", 0, IF('Membership Application List'!J1072 = "$15 Donation, Discord Verification", IF('Membership Application List'!N1072 = TRUE, 15, 0)))</f>
        <v>0</v>
      </c>
      <c r="F843" s="438">
        <f>if('Membership Application List'!K1072=TRUE, 5,0)</f>
        <v>0</v>
      </c>
      <c r="G843" s="438">
        <f t="shared" si="8"/>
        <v>0</v>
      </c>
      <c r="H843" s="479" t="str">
        <f>'Membership Application List'!L1072</f>
        <v/>
      </c>
      <c r="I843" s="345"/>
      <c r="J843" s="441"/>
      <c r="K843" s="345"/>
      <c r="L843" s="478"/>
      <c r="M843" s="345"/>
      <c r="N843" s="345"/>
      <c r="O843" s="345"/>
      <c r="P843" s="414"/>
      <c r="Q843" s="414"/>
      <c r="R843" s="414"/>
      <c r="S843" s="445"/>
      <c r="T843" s="445"/>
      <c r="U843" s="445"/>
      <c r="V843" s="345"/>
      <c r="W843" s="441"/>
      <c r="X843" s="345"/>
      <c r="Y843" s="345"/>
      <c r="Z843" s="345"/>
      <c r="AA843" s="345"/>
      <c r="AB843" s="345"/>
      <c r="AC843" s="345"/>
      <c r="AD843" s="345"/>
      <c r="AE843" s="345"/>
      <c r="AF843" s="345"/>
      <c r="AG843" s="345"/>
      <c r="AH843" s="345"/>
      <c r="AI843" s="345"/>
      <c r="AJ843" s="345"/>
      <c r="AK843" s="345"/>
      <c r="AL843" s="345"/>
      <c r="AM843" s="345"/>
      <c r="AN843" s="345"/>
      <c r="AO843" s="345"/>
      <c r="AP843" s="345"/>
      <c r="AQ843" s="345"/>
      <c r="AR843" s="345"/>
      <c r="AS843" s="345"/>
    </row>
    <row r="844" ht="13.5" customHeight="1">
      <c r="A844" s="424" t="str">
        <f>'Membership Application List'!A1073</f>
        <v/>
      </c>
      <c r="B844" s="443" t="str">
        <f t="shared" si="6"/>
        <v/>
      </c>
      <c r="C844" s="443" t="str">
        <f t="shared" si="7"/>
        <v/>
      </c>
      <c r="D844" s="426" t="str">
        <f>'Membership Application List'!E1073</f>
        <v/>
      </c>
      <c r="E844" s="426" t="b">
        <f>IF('Membership Application List'!J1073 = "Food/Litter Donation", 0, IF('Membership Application List'!J1073 = "$15 Donation, Discord Verification", IF('Membership Application List'!N1073 = TRUE, 15, 0)))</f>
        <v>0</v>
      </c>
      <c r="F844" s="426">
        <f>if('Membership Application List'!K1073=TRUE, 5,0)</f>
        <v>0</v>
      </c>
      <c r="G844" s="426">
        <f t="shared" si="8"/>
        <v>0</v>
      </c>
      <c r="H844" s="480" t="str">
        <f>'Membership Application List'!L1073</f>
        <v/>
      </c>
      <c r="I844" s="345"/>
      <c r="J844" s="441"/>
      <c r="K844" s="345"/>
      <c r="L844" s="478"/>
      <c r="M844" s="345"/>
      <c r="N844" s="345"/>
      <c r="O844" s="345"/>
      <c r="P844" s="414"/>
      <c r="Q844" s="414"/>
      <c r="R844" s="414"/>
      <c r="S844" s="445"/>
      <c r="T844" s="445"/>
      <c r="U844" s="445"/>
      <c r="V844" s="345"/>
      <c r="W844" s="441"/>
      <c r="X844" s="345"/>
      <c r="Y844" s="345"/>
      <c r="Z844" s="345"/>
      <c r="AA844" s="345"/>
      <c r="AB844" s="345"/>
      <c r="AC844" s="345"/>
      <c r="AD844" s="345"/>
      <c r="AE844" s="345"/>
      <c r="AF844" s="345"/>
      <c r="AG844" s="345"/>
      <c r="AH844" s="345"/>
      <c r="AI844" s="345"/>
      <c r="AJ844" s="345"/>
      <c r="AK844" s="345"/>
      <c r="AL844" s="345"/>
      <c r="AM844" s="345"/>
      <c r="AN844" s="345"/>
      <c r="AO844" s="345"/>
      <c r="AP844" s="345"/>
      <c r="AQ844" s="345"/>
      <c r="AR844" s="345"/>
      <c r="AS844" s="345"/>
    </row>
    <row r="845" ht="13.5" customHeight="1">
      <c r="A845" s="436" t="str">
        <f>'Membership Application List'!A1074</f>
        <v/>
      </c>
      <c r="B845" s="437" t="str">
        <f t="shared" si="6"/>
        <v/>
      </c>
      <c r="C845" s="437" t="str">
        <f t="shared" si="7"/>
        <v/>
      </c>
      <c r="D845" s="438" t="str">
        <f>'Membership Application List'!E1074</f>
        <v/>
      </c>
      <c r="E845" s="438" t="b">
        <f>IF('Membership Application List'!J1074 = "Food/Litter Donation", 0, IF('Membership Application List'!J1074 = "$15 Donation, Discord Verification", IF('Membership Application List'!N1074 = TRUE, 15, 0)))</f>
        <v>0</v>
      </c>
      <c r="F845" s="438">
        <f>if('Membership Application List'!K1074=TRUE, 5,0)</f>
        <v>0</v>
      </c>
      <c r="G845" s="438">
        <f t="shared" si="8"/>
        <v>0</v>
      </c>
      <c r="H845" s="479" t="str">
        <f>'Membership Application List'!L1074</f>
        <v/>
      </c>
      <c r="I845" s="345"/>
      <c r="J845" s="441"/>
      <c r="K845" s="345"/>
      <c r="L845" s="478"/>
      <c r="M845" s="345"/>
      <c r="N845" s="345"/>
      <c r="O845" s="345"/>
      <c r="P845" s="414"/>
      <c r="Q845" s="414"/>
      <c r="R845" s="414"/>
      <c r="S845" s="445"/>
      <c r="T845" s="445"/>
      <c r="U845" s="445"/>
      <c r="V845" s="345"/>
      <c r="W845" s="441"/>
      <c r="X845" s="345"/>
      <c r="Y845" s="345"/>
      <c r="Z845" s="345"/>
      <c r="AA845" s="345"/>
      <c r="AB845" s="345"/>
      <c r="AC845" s="345"/>
      <c r="AD845" s="345"/>
      <c r="AE845" s="345"/>
      <c r="AF845" s="345"/>
      <c r="AG845" s="345"/>
      <c r="AH845" s="345"/>
      <c r="AI845" s="345"/>
      <c r="AJ845" s="345"/>
      <c r="AK845" s="345"/>
      <c r="AL845" s="345"/>
      <c r="AM845" s="345"/>
      <c r="AN845" s="345"/>
      <c r="AO845" s="345"/>
      <c r="AP845" s="345"/>
      <c r="AQ845" s="345"/>
      <c r="AR845" s="345"/>
      <c r="AS845" s="345"/>
    </row>
    <row r="846" ht="13.5" customHeight="1">
      <c r="A846" s="424" t="str">
        <f>'Membership Application List'!A1075</f>
        <v/>
      </c>
      <c r="B846" s="443" t="str">
        <f t="shared" si="6"/>
        <v/>
      </c>
      <c r="C846" s="443" t="str">
        <f t="shared" si="7"/>
        <v/>
      </c>
      <c r="D846" s="426" t="str">
        <f>'Membership Application List'!E1075</f>
        <v/>
      </c>
      <c r="E846" s="426" t="b">
        <f>IF('Membership Application List'!J1075 = "Food/Litter Donation", 0, IF('Membership Application List'!J1075 = "$15 Donation, Discord Verification", IF('Membership Application List'!N1075 = TRUE, 15, 0)))</f>
        <v>0</v>
      </c>
      <c r="F846" s="426">
        <f>if('Membership Application List'!K1075=TRUE, 5,0)</f>
        <v>0</v>
      </c>
      <c r="G846" s="426">
        <f t="shared" si="8"/>
        <v>0</v>
      </c>
      <c r="H846" s="480" t="str">
        <f>'Membership Application List'!L1075</f>
        <v/>
      </c>
      <c r="I846" s="345"/>
      <c r="J846" s="441"/>
      <c r="K846" s="345"/>
      <c r="L846" s="478"/>
      <c r="M846" s="345"/>
      <c r="N846" s="345"/>
      <c r="O846" s="345"/>
      <c r="P846" s="414"/>
      <c r="Q846" s="414"/>
      <c r="R846" s="414"/>
      <c r="S846" s="445"/>
      <c r="T846" s="445"/>
      <c r="U846" s="445"/>
      <c r="V846" s="345"/>
      <c r="W846" s="441"/>
      <c r="X846" s="345"/>
      <c r="Y846" s="345"/>
      <c r="Z846" s="345"/>
      <c r="AA846" s="345"/>
      <c r="AB846" s="345"/>
      <c r="AC846" s="345"/>
      <c r="AD846" s="345"/>
      <c r="AE846" s="345"/>
      <c r="AF846" s="345"/>
      <c r="AG846" s="345"/>
      <c r="AH846" s="345"/>
      <c r="AI846" s="345"/>
      <c r="AJ846" s="345"/>
      <c r="AK846" s="345"/>
      <c r="AL846" s="345"/>
      <c r="AM846" s="345"/>
      <c r="AN846" s="345"/>
      <c r="AO846" s="345"/>
      <c r="AP846" s="345"/>
      <c r="AQ846" s="345"/>
      <c r="AR846" s="345"/>
      <c r="AS846" s="345"/>
    </row>
    <row r="847" ht="13.5" customHeight="1">
      <c r="A847" s="436" t="str">
        <f>'Membership Application List'!A1076</f>
        <v/>
      </c>
      <c r="B847" s="437" t="str">
        <f t="shared" si="6"/>
        <v/>
      </c>
      <c r="C847" s="437" t="str">
        <f t="shared" si="7"/>
        <v/>
      </c>
      <c r="D847" s="438" t="str">
        <f>'Membership Application List'!E1076</f>
        <v/>
      </c>
      <c r="E847" s="438" t="b">
        <f>IF('Membership Application List'!J1076 = "Food/Litter Donation", 0, IF('Membership Application List'!J1076 = "$15 Donation, Discord Verification", IF('Membership Application List'!N1076 = TRUE, 15, 0)))</f>
        <v>0</v>
      </c>
      <c r="F847" s="438">
        <f>if('Membership Application List'!K1076=TRUE, 5,0)</f>
        <v>0</v>
      </c>
      <c r="G847" s="438">
        <f t="shared" si="8"/>
        <v>0</v>
      </c>
      <c r="H847" s="479" t="str">
        <f>'Membership Application List'!L1076</f>
        <v/>
      </c>
      <c r="I847" s="345"/>
      <c r="J847" s="441"/>
      <c r="K847" s="345"/>
      <c r="L847" s="478"/>
      <c r="M847" s="345"/>
      <c r="N847" s="345"/>
      <c r="O847" s="345"/>
      <c r="P847" s="414"/>
      <c r="Q847" s="414"/>
      <c r="R847" s="414"/>
      <c r="S847" s="445"/>
      <c r="T847" s="445"/>
      <c r="U847" s="445"/>
      <c r="V847" s="345"/>
      <c r="W847" s="441"/>
      <c r="X847" s="345"/>
      <c r="Y847" s="345"/>
      <c r="Z847" s="345"/>
      <c r="AA847" s="345"/>
      <c r="AB847" s="345"/>
      <c r="AC847" s="345"/>
      <c r="AD847" s="345"/>
      <c r="AE847" s="345"/>
      <c r="AF847" s="345"/>
      <c r="AG847" s="345"/>
      <c r="AH847" s="345"/>
      <c r="AI847" s="345"/>
      <c r="AJ847" s="345"/>
      <c r="AK847" s="345"/>
      <c r="AL847" s="345"/>
      <c r="AM847" s="345"/>
      <c r="AN847" s="345"/>
      <c r="AO847" s="345"/>
      <c r="AP847" s="345"/>
      <c r="AQ847" s="345"/>
      <c r="AR847" s="345"/>
      <c r="AS847" s="345"/>
    </row>
    <row r="848" ht="13.5" customHeight="1">
      <c r="A848" s="424" t="str">
        <f>'Membership Application List'!A1077</f>
        <v/>
      </c>
      <c r="B848" s="443" t="str">
        <f t="shared" si="6"/>
        <v/>
      </c>
      <c r="C848" s="443" t="str">
        <f t="shared" si="7"/>
        <v/>
      </c>
      <c r="D848" s="426" t="str">
        <f>'Membership Application List'!E1077</f>
        <v/>
      </c>
      <c r="E848" s="426" t="b">
        <f>IF('Membership Application List'!J1077 = "Food/Litter Donation", 0, IF('Membership Application List'!J1077 = "$15 Donation, Discord Verification", IF('Membership Application List'!N1077 = TRUE, 15, 0)))</f>
        <v>0</v>
      </c>
      <c r="F848" s="426">
        <f>if('Membership Application List'!K1077=TRUE, 5,0)</f>
        <v>0</v>
      </c>
      <c r="G848" s="426">
        <f t="shared" si="8"/>
        <v>0</v>
      </c>
      <c r="H848" s="480" t="str">
        <f>'Membership Application List'!L1077</f>
        <v/>
      </c>
      <c r="I848" s="345"/>
      <c r="J848" s="441"/>
      <c r="K848" s="345"/>
      <c r="L848" s="478"/>
      <c r="M848" s="345"/>
      <c r="N848" s="345"/>
      <c r="O848" s="345"/>
      <c r="P848" s="414"/>
      <c r="Q848" s="414"/>
      <c r="R848" s="414"/>
      <c r="S848" s="445"/>
      <c r="T848" s="445"/>
      <c r="U848" s="445"/>
      <c r="V848" s="345"/>
      <c r="W848" s="441"/>
      <c r="X848" s="345"/>
      <c r="Y848" s="345"/>
      <c r="Z848" s="345"/>
      <c r="AA848" s="345"/>
      <c r="AB848" s="345"/>
      <c r="AC848" s="345"/>
      <c r="AD848" s="345"/>
      <c r="AE848" s="345"/>
      <c r="AF848" s="345"/>
      <c r="AG848" s="345"/>
      <c r="AH848" s="345"/>
      <c r="AI848" s="345"/>
      <c r="AJ848" s="345"/>
      <c r="AK848" s="345"/>
      <c r="AL848" s="345"/>
      <c r="AM848" s="345"/>
      <c r="AN848" s="345"/>
      <c r="AO848" s="345"/>
      <c r="AP848" s="345"/>
      <c r="AQ848" s="345"/>
      <c r="AR848" s="345"/>
      <c r="AS848" s="345"/>
    </row>
    <row r="849" ht="13.5" customHeight="1">
      <c r="A849" s="436" t="str">
        <f>'Membership Application List'!A1078</f>
        <v/>
      </c>
      <c r="B849" s="437" t="str">
        <f t="shared" si="6"/>
        <v/>
      </c>
      <c r="C849" s="437" t="str">
        <f t="shared" si="7"/>
        <v/>
      </c>
      <c r="D849" s="438" t="str">
        <f>'Membership Application List'!E1078</f>
        <v/>
      </c>
      <c r="E849" s="438" t="b">
        <f>IF('Membership Application List'!J1078 = "Food/Litter Donation", 0, IF('Membership Application List'!J1078 = "$15 Donation, Discord Verification", IF('Membership Application List'!N1078 = TRUE, 15, 0)))</f>
        <v>0</v>
      </c>
      <c r="F849" s="438">
        <f>if('Membership Application List'!K1078=TRUE, 5,0)</f>
        <v>0</v>
      </c>
      <c r="G849" s="438">
        <f t="shared" si="8"/>
        <v>0</v>
      </c>
      <c r="H849" s="479" t="str">
        <f>'Membership Application List'!L1078</f>
        <v/>
      </c>
      <c r="I849" s="345"/>
      <c r="J849" s="441"/>
      <c r="K849" s="345"/>
      <c r="L849" s="478"/>
      <c r="M849" s="345"/>
      <c r="N849" s="345"/>
      <c r="O849" s="345"/>
      <c r="P849" s="414"/>
      <c r="Q849" s="414"/>
      <c r="R849" s="414"/>
      <c r="S849" s="445"/>
      <c r="T849" s="445"/>
      <c r="U849" s="445"/>
      <c r="V849" s="345"/>
      <c r="W849" s="441"/>
      <c r="X849" s="345"/>
      <c r="Y849" s="345"/>
      <c r="Z849" s="345"/>
      <c r="AA849" s="345"/>
      <c r="AB849" s="345"/>
      <c r="AC849" s="345"/>
      <c r="AD849" s="345"/>
      <c r="AE849" s="345"/>
      <c r="AF849" s="345"/>
      <c r="AG849" s="345"/>
      <c r="AH849" s="345"/>
      <c r="AI849" s="345"/>
      <c r="AJ849" s="345"/>
      <c r="AK849" s="345"/>
      <c r="AL849" s="345"/>
      <c r="AM849" s="345"/>
      <c r="AN849" s="345"/>
      <c r="AO849" s="345"/>
      <c r="AP849" s="345"/>
      <c r="AQ849" s="345"/>
      <c r="AR849" s="345"/>
      <c r="AS849" s="345"/>
    </row>
    <row r="850" ht="13.5" customHeight="1">
      <c r="A850" s="424" t="str">
        <f>'Membership Application List'!A1079</f>
        <v/>
      </c>
      <c r="B850" s="443" t="str">
        <f t="shared" si="6"/>
        <v/>
      </c>
      <c r="C850" s="443" t="str">
        <f t="shared" si="7"/>
        <v/>
      </c>
      <c r="D850" s="426" t="str">
        <f>'Membership Application List'!E1079</f>
        <v/>
      </c>
      <c r="E850" s="426" t="b">
        <f>IF('Membership Application List'!J1079 = "Food/Litter Donation", 0, IF('Membership Application List'!J1079 = "$15 Donation, Discord Verification", IF('Membership Application List'!N1079 = TRUE, 15, 0)))</f>
        <v>0</v>
      </c>
      <c r="F850" s="426">
        <f>if('Membership Application List'!K1079=TRUE, 5,0)</f>
        <v>0</v>
      </c>
      <c r="G850" s="426">
        <f t="shared" si="8"/>
        <v>0</v>
      </c>
      <c r="H850" s="480" t="str">
        <f>'Membership Application List'!L1079</f>
        <v/>
      </c>
      <c r="I850" s="345"/>
      <c r="J850" s="441"/>
      <c r="K850" s="345"/>
      <c r="L850" s="478"/>
      <c r="M850" s="345"/>
      <c r="N850" s="345"/>
      <c r="O850" s="345"/>
      <c r="P850" s="414"/>
      <c r="Q850" s="414"/>
      <c r="R850" s="414"/>
      <c r="S850" s="445"/>
      <c r="T850" s="445"/>
      <c r="U850" s="445"/>
      <c r="V850" s="345"/>
      <c r="W850" s="441"/>
      <c r="X850" s="345"/>
      <c r="Y850" s="345"/>
      <c r="Z850" s="345"/>
      <c r="AA850" s="345"/>
      <c r="AB850" s="345"/>
      <c r="AC850" s="345"/>
      <c r="AD850" s="345"/>
      <c r="AE850" s="345"/>
      <c r="AF850" s="345"/>
      <c r="AG850" s="345"/>
      <c r="AH850" s="345"/>
      <c r="AI850" s="345"/>
      <c r="AJ850" s="345"/>
      <c r="AK850" s="345"/>
      <c r="AL850" s="345"/>
      <c r="AM850" s="345"/>
      <c r="AN850" s="345"/>
      <c r="AO850" s="345"/>
      <c r="AP850" s="345"/>
      <c r="AQ850" s="345"/>
      <c r="AR850" s="345"/>
      <c r="AS850" s="345"/>
    </row>
    <row r="851" ht="13.5" customHeight="1">
      <c r="A851" s="436" t="str">
        <f>'Membership Application List'!A1080</f>
        <v/>
      </c>
      <c r="B851" s="437" t="str">
        <f t="shared" si="6"/>
        <v/>
      </c>
      <c r="C851" s="437" t="str">
        <f t="shared" si="7"/>
        <v/>
      </c>
      <c r="D851" s="438" t="str">
        <f>'Membership Application List'!E1080</f>
        <v/>
      </c>
      <c r="E851" s="438" t="b">
        <f>IF('Membership Application List'!J1080 = "Food/Litter Donation", 0, IF('Membership Application List'!J1080 = "$15 Donation, Discord Verification", IF('Membership Application List'!N1080 = TRUE, 15, 0)))</f>
        <v>0</v>
      </c>
      <c r="F851" s="438">
        <f>if('Membership Application List'!K1080=TRUE, 5,0)</f>
        <v>0</v>
      </c>
      <c r="G851" s="438">
        <f t="shared" si="8"/>
        <v>0</v>
      </c>
      <c r="H851" s="479" t="str">
        <f>'Membership Application List'!L1080</f>
        <v/>
      </c>
      <c r="I851" s="345"/>
      <c r="J851" s="441"/>
      <c r="K851" s="345"/>
      <c r="L851" s="478"/>
      <c r="M851" s="345"/>
      <c r="N851" s="345"/>
      <c r="O851" s="345"/>
      <c r="P851" s="414"/>
      <c r="Q851" s="414"/>
      <c r="R851" s="414"/>
      <c r="S851" s="445"/>
      <c r="T851" s="445"/>
      <c r="U851" s="445"/>
      <c r="V851" s="345"/>
      <c r="W851" s="441"/>
      <c r="X851" s="345"/>
      <c r="Y851" s="345"/>
      <c r="Z851" s="345"/>
      <c r="AA851" s="345"/>
      <c r="AB851" s="345"/>
      <c r="AC851" s="345"/>
      <c r="AD851" s="345"/>
      <c r="AE851" s="345"/>
      <c r="AF851" s="345"/>
      <c r="AG851" s="345"/>
      <c r="AH851" s="345"/>
      <c r="AI851" s="345"/>
      <c r="AJ851" s="345"/>
      <c r="AK851" s="345"/>
      <c r="AL851" s="345"/>
      <c r="AM851" s="345"/>
      <c r="AN851" s="345"/>
      <c r="AO851" s="345"/>
      <c r="AP851" s="345"/>
      <c r="AQ851" s="345"/>
      <c r="AR851" s="345"/>
      <c r="AS851" s="345"/>
    </row>
    <row r="852" ht="13.5" customHeight="1">
      <c r="A852" s="424" t="str">
        <f>'Membership Application List'!A1081</f>
        <v/>
      </c>
      <c r="B852" s="443" t="str">
        <f t="shared" si="6"/>
        <v/>
      </c>
      <c r="C852" s="443" t="str">
        <f t="shared" si="7"/>
        <v/>
      </c>
      <c r="D852" s="426" t="str">
        <f>'Membership Application List'!E1081</f>
        <v/>
      </c>
      <c r="E852" s="426" t="b">
        <f>IF('Membership Application List'!J1081 = "Food/Litter Donation", 0, IF('Membership Application List'!J1081 = "$15 Donation, Discord Verification", IF('Membership Application List'!N1081 = TRUE, 15, 0)))</f>
        <v>0</v>
      </c>
      <c r="F852" s="426">
        <f>if('Membership Application List'!K1081=TRUE, 5,0)</f>
        <v>0</v>
      </c>
      <c r="G852" s="426">
        <f t="shared" si="8"/>
        <v>0</v>
      </c>
      <c r="H852" s="480" t="str">
        <f>'Membership Application List'!L1081</f>
        <v/>
      </c>
      <c r="I852" s="345"/>
      <c r="J852" s="441"/>
      <c r="K852" s="345"/>
      <c r="L852" s="478"/>
      <c r="M852" s="345"/>
      <c r="N852" s="345"/>
      <c r="O852" s="345"/>
      <c r="P852" s="414"/>
      <c r="Q852" s="414"/>
      <c r="R852" s="414"/>
      <c r="S852" s="445"/>
      <c r="T852" s="445"/>
      <c r="U852" s="445"/>
      <c r="V852" s="345"/>
      <c r="W852" s="441"/>
      <c r="X852" s="345"/>
      <c r="Y852" s="345"/>
      <c r="Z852" s="345"/>
      <c r="AA852" s="345"/>
      <c r="AB852" s="345"/>
      <c r="AC852" s="345"/>
      <c r="AD852" s="345"/>
      <c r="AE852" s="345"/>
      <c r="AF852" s="345"/>
      <c r="AG852" s="345"/>
      <c r="AH852" s="345"/>
      <c r="AI852" s="345"/>
      <c r="AJ852" s="345"/>
      <c r="AK852" s="345"/>
      <c r="AL852" s="345"/>
      <c r="AM852" s="345"/>
      <c r="AN852" s="345"/>
      <c r="AO852" s="345"/>
      <c r="AP852" s="345"/>
      <c r="AQ852" s="345"/>
      <c r="AR852" s="345"/>
      <c r="AS852" s="345"/>
    </row>
    <row r="853" ht="13.5" customHeight="1">
      <c r="A853" s="436" t="str">
        <f>'Membership Application List'!A1082</f>
        <v/>
      </c>
      <c r="B853" s="437" t="str">
        <f t="shared" si="6"/>
        <v/>
      </c>
      <c r="C853" s="437" t="str">
        <f t="shared" si="7"/>
        <v/>
      </c>
      <c r="D853" s="438" t="str">
        <f>'Membership Application List'!E1082</f>
        <v/>
      </c>
      <c r="E853" s="438" t="b">
        <f>IF('Membership Application List'!J1082 = "Food/Litter Donation", 0, IF('Membership Application List'!J1082 = "$15 Donation, Discord Verification", IF('Membership Application List'!N1082 = TRUE, 15, 0)))</f>
        <v>0</v>
      </c>
      <c r="F853" s="438">
        <f>if('Membership Application List'!K1082=TRUE, 5,0)</f>
        <v>0</v>
      </c>
      <c r="G853" s="438">
        <f t="shared" si="8"/>
        <v>0</v>
      </c>
      <c r="H853" s="479" t="str">
        <f>'Membership Application List'!L1082</f>
        <v/>
      </c>
      <c r="I853" s="345"/>
      <c r="J853" s="441"/>
      <c r="K853" s="345"/>
      <c r="L853" s="478"/>
      <c r="M853" s="345"/>
      <c r="N853" s="345"/>
      <c r="O853" s="345"/>
      <c r="P853" s="414"/>
      <c r="Q853" s="414"/>
      <c r="R853" s="414"/>
      <c r="S853" s="445"/>
      <c r="T853" s="445"/>
      <c r="U853" s="445"/>
      <c r="V853" s="345"/>
      <c r="W853" s="441"/>
      <c r="X853" s="345"/>
      <c r="Y853" s="345"/>
      <c r="Z853" s="345"/>
      <c r="AA853" s="345"/>
      <c r="AB853" s="345"/>
      <c r="AC853" s="345"/>
      <c r="AD853" s="345"/>
      <c r="AE853" s="345"/>
      <c r="AF853" s="345"/>
      <c r="AG853" s="345"/>
      <c r="AH853" s="345"/>
      <c r="AI853" s="345"/>
      <c r="AJ853" s="345"/>
      <c r="AK853" s="345"/>
      <c r="AL853" s="345"/>
      <c r="AM853" s="345"/>
      <c r="AN853" s="345"/>
      <c r="AO853" s="345"/>
      <c r="AP853" s="345"/>
      <c r="AQ853" s="345"/>
      <c r="AR853" s="345"/>
      <c r="AS853" s="345"/>
    </row>
    <row r="854" ht="13.5" customHeight="1">
      <c r="A854" s="424" t="str">
        <f>'Membership Application List'!A1083</f>
        <v/>
      </c>
      <c r="B854" s="443" t="str">
        <f t="shared" si="6"/>
        <v/>
      </c>
      <c r="C854" s="443" t="str">
        <f t="shared" si="7"/>
        <v/>
      </c>
      <c r="D854" s="426" t="str">
        <f>'Membership Application List'!E1083</f>
        <v/>
      </c>
      <c r="E854" s="426" t="b">
        <f>IF('Membership Application List'!J1083 = "Food/Litter Donation", 0, IF('Membership Application List'!J1083 = "$15 Donation, Discord Verification", IF('Membership Application List'!N1083 = TRUE, 15, 0)))</f>
        <v>0</v>
      </c>
      <c r="F854" s="426">
        <f>if('Membership Application List'!K1083=TRUE, 5,0)</f>
        <v>0</v>
      </c>
      <c r="G854" s="426">
        <f t="shared" si="8"/>
        <v>0</v>
      </c>
      <c r="H854" s="480" t="str">
        <f>'Membership Application List'!L1083</f>
        <v/>
      </c>
      <c r="I854" s="345"/>
      <c r="J854" s="441"/>
      <c r="K854" s="345"/>
      <c r="L854" s="478"/>
      <c r="M854" s="345"/>
      <c r="N854" s="345"/>
      <c r="O854" s="345"/>
      <c r="P854" s="414"/>
      <c r="Q854" s="414"/>
      <c r="R854" s="414"/>
      <c r="S854" s="445"/>
      <c r="T854" s="445"/>
      <c r="U854" s="445"/>
      <c r="V854" s="345"/>
      <c r="W854" s="441"/>
      <c r="X854" s="345"/>
      <c r="Y854" s="345"/>
      <c r="Z854" s="345"/>
      <c r="AA854" s="345"/>
      <c r="AB854" s="345"/>
      <c r="AC854" s="345"/>
      <c r="AD854" s="345"/>
      <c r="AE854" s="345"/>
      <c r="AF854" s="345"/>
      <c r="AG854" s="345"/>
      <c r="AH854" s="345"/>
      <c r="AI854" s="345"/>
      <c r="AJ854" s="345"/>
      <c r="AK854" s="345"/>
      <c r="AL854" s="345"/>
      <c r="AM854" s="345"/>
      <c r="AN854" s="345"/>
      <c r="AO854" s="345"/>
      <c r="AP854" s="345"/>
      <c r="AQ854" s="345"/>
      <c r="AR854" s="345"/>
      <c r="AS854" s="345"/>
    </row>
    <row r="855" ht="13.5" customHeight="1">
      <c r="A855" s="436" t="str">
        <f>'Membership Application List'!A1084</f>
        <v/>
      </c>
      <c r="B855" s="437" t="str">
        <f t="shared" si="6"/>
        <v/>
      </c>
      <c r="C855" s="437" t="str">
        <f t="shared" si="7"/>
        <v/>
      </c>
      <c r="D855" s="438" t="str">
        <f>'Membership Application List'!E1084</f>
        <v/>
      </c>
      <c r="E855" s="438" t="b">
        <f>IF('Membership Application List'!J1084 = "Food/Litter Donation", 0, IF('Membership Application List'!J1084 = "$15 Donation, Discord Verification", IF('Membership Application List'!N1084 = TRUE, 15, 0)))</f>
        <v>0</v>
      </c>
      <c r="F855" s="438">
        <f>if('Membership Application List'!K1084=TRUE, 5,0)</f>
        <v>0</v>
      </c>
      <c r="G855" s="438">
        <f t="shared" si="8"/>
        <v>0</v>
      </c>
      <c r="H855" s="479" t="str">
        <f>'Membership Application List'!L1084</f>
        <v/>
      </c>
      <c r="I855" s="345"/>
      <c r="J855" s="441"/>
      <c r="K855" s="345"/>
      <c r="L855" s="478"/>
      <c r="M855" s="345"/>
      <c r="N855" s="345"/>
      <c r="O855" s="345"/>
      <c r="P855" s="414"/>
      <c r="Q855" s="414"/>
      <c r="R855" s="414"/>
      <c r="S855" s="445"/>
      <c r="T855" s="445"/>
      <c r="U855" s="445"/>
      <c r="V855" s="345"/>
      <c r="W855" s="441"/>
      <c r="X855" s="345"/>
      <c r="Y855" s="345"/>
      <c r="Z855" s="345"/>
      <c r="AA855" s="345"/>
      <c r="AB855" s="345"/>
      <c r="AC855" s="345"/>
      <c r="AD855" s="345"/>
      <c r="AE855" s="345"/>
      <c r="AF855" s="345"/>
      <c r="AG855" s="345"/>
      <c r="AH855" s="345"/>
      <c r="AI855" s="345"/>
      <c r="AJ855" s="345"/>
      <c r="AK855" s="345"/>
      <c r="AL855" s="345"/>
      <c r="AM855" s="345"/>
      <c r="AN855" s="345"/>
      <c r="AO855" s="345"/>
      <c r="AP855" s="345"/>
      <c r="AQ855" s="345"/>
      <c r="AR855" s="345"/>
      <c r="AS855" s="345"/>
    </row>
    <row r="856" ht="13.5" customHeight="1">
      <c r="A856" s="424" t="str">
        <f>'Membership Application List'!A1085</f>
        <v/>
      </c>
      <c r="B856" s="443" t="str">
        <f t="shared" si="6"/>
        <v/>
      </c>
      <c r="C856" s="443" t="str">
        <f t="shared" si="7"/>
        <v/>
      </c>
      <c r="D856" s="426" t="str">
        <f>'Membership Application List'!E1085</f>
        <v/>
      </c>
      <c r="E856" s="426" t="b">
        <f>IF('Membership Application List'!J1085 = "Food/Litter Donation", 0, IF('Membership Application List'!J1085 = "$15 Donation, Discord Verification", IF('Membership Application List'!N1085 = TRUE, 15, 0)))</f>
        <v>0</v>
      </c>
      <c r="F856" s="426">
        <f>if('Membership Application List'!K1085=TRUE, 5,0)</f>
        <v>0</v>
      </c>
      <c r="G856" s="426">
        <f t="shared" si="8"/>
        <v>0</v>
      </c>
      <c r="H856" s="480" t="str">
        <f>'Membership Application List'!L1085</f>
        <v/>
      </c>
      <c r="I856" s="345"/>
      <c r="J856" s="441"/>
      <c r="K856" s="345"/>
      <c r="L856" s="478"/>
      <c r="M856" s="345"/>
      <c r="N856" s="345"/>
      <c r="O856" s="345"/>
      <c r="P856" s="414"/>
      <c r="Q856" s="414"/>
      <c r="R856" s="414"/>
      <c r="S856" s="445"/>
      <c r="T856" s="445"/>
      <c r="U856" s="445"/>
      <c r="V856" s="345"/>
      <c r="W856" s="441"/>
      <c r="X856" s="345"/>
      <c r="Y856" s="345"/>
      <c r="Z856" s="345"/>
      <c r="AA856" s="345"/>
      <c r="AB856" s="345"/>
      <c r="AC856" s="345"/>
      <c r="AD856" s="345"/>
      <c r="AE856" s="345"/>
      <c r="AF856" s="345"/>
      <c r="AG856" s="345"/>
      <c r="AH856" s="345"/>
      <c r="AI856" s="345"/>
      <c r="AJ856" s="345"/>
      <c r="AK856" s="345"/>
      <c r="AL856" s="345"/>
      <c r="AM856" s="345"/>
      <c r="AN856" s="345"/>
      <c r="AO856" s="345"/>
      <c r="AP856" s="345"/>
      <c r="AQ856" s="345"/>
      <c r="AR856" s="345"/>
      <c r="AS856" s="345"/>
    </row>
    <row r="857" ht="13.5" customHeight="1">
      <c r="A857" s="436" t="str">
        <f>'Membership Application List'!A1086</f>
        <v/>
      </c>
      <c r="B857" s="437" t="str">
        <f t="shared" si="6"/>
        <v/>
      </c>
      <c r="C857" s="437" t="str">
        <f t="shared" si="7"/>
        <v/>
      </c>
      <c r="D857" s="438" t="str">
        <f>'Membership Application List'!E1086</f>
        <v/>
      </c>
      <c r="E857" s="438" t="b">
        <f>IF('Membership Application List'!J1086 = "Food/Litter Donation", 0, IF('Membership Application List'!J1086 = "$15 Donation, Discord Verification", IF('Membership Application List'!N1086 = TRUE, 15, 0)))</f>
        <v>0</v>
      </c>
      <c r="F857" s="438">
        <f>if('Membership Application List'!K1086=TRUE, 5,0)</f>
        <v>0</v>
      </c>
      <c r="G857" s="438">
        <f t="shared" si="8"/>
        <v>0</v>
      </c>
      <c r="H857" s="479" t="str">
        <f>'Membership Application List'!L1086</f>
        <v/>
      </c>
      <c r="I857" s="345"/>
      <c r="J857" s="441"/>
      <c r="K857" s="345"/>
      <c r="L857" s="478"/>
      <c r="M857" s="345"/>
      <c r="N857" s="345"/>
      <c r="O857" s="345"/>
      <c r="P857" s="414"/>
      <c r="Q857" s="414"/>
      <c r="R857" s="414"/>
      <c r="S857" s="445"/>
      <c r="T857" s="445"/>
      <c r="U857" s="445"/>
      <c r="V857" s="345"/>
      <c r="W857" s="441"/>
      <c r="X857" s="345"/>
      <c r="Y857" s="345"/>
      <c r="Z857" s="345"/>
      <c r="AA857" s="345"/>
      <c r="AB857" s="345"/>
      <c r="AC857" s="345"/>
      <c r="AD857" s="345"/>
      <c r="AE857" s="345"/>
      <c r="AF857" s="345"/>
      <c r="AG857" s="345"/>
      <c r="AH857" s="345"/>
      <c r="AI857" s="345"/>
      <c r="AJ857" s="345"/>
      <c r="AK857" s="345"/>
      <c r="AL857" s="345"/>
      <c r="AM857" s="345"/>
      <c r="AN857" s="345"/>
      <c r="AO857" s="345"/>
      <c r="AP857" s="345"/>
      <c r="AQ857" s="345"/>
      <c r="AR857" s="345"/>
      <c r="AS857" s="345"/>
    </row>
    <row r="858" ht="13.5" customHeight="1">
      <c r="A858" s="424" t="str">
        <f>'Membership Application List'!A1087</f>
        <v/>
      </c>
      <c r="B858" s="443" t="str">
        <f t="shared" si="6"/>
        <v/>
      </c>
      <c r="C858" s="443" t="str">
        <f t="shared" si="7"/>
        <v/>
      </c>
      <c r="D858" s="426" t="str">
        <f>'Membership Application List'!E1087</f>
        <v/>
      </c>
      <c r="E858" s="426" t="b">
        <f>IF('Membership Application List'!J1087 = "Food/Litter Donation", 0, IF('Membership Application List'!J1087 = "$15 Donation, Discord Verification", IF('Membership Application List'!N1087 = TRUE, 15, 0)))</f>
        <v>0</v>
      </c>
      <c r="F858" s="426">
        <f>if('Membership Application List'!K1087=TRUE, 5,0)</f>
        <v>0</v>
      </c>
      <c r="G858" s="426">
        <f t="shared" si="8"/>
        <v>0</v>
      </c>
      <c r="H858" s="480" t="str">
        <f>'Membership Application List'!L1087</f>
        <v/>
      </c>
      <c r="I858" s="345"/>
      <c r="J858" s="441"/>
      <c r="K858" s="345"/>
      <c r="L858" s="478"/>
      <c r="M858" s="345"/>
      <c r="N858" s="345"/>
      <c r="O858" s="345"/>
      <c r="P858" s="414"/>
      <c r="Q858" s="414"/>
      <c r="R858" s="414"/>
      <c r="S858" s="445"/>
      <c r="T858" s="445"/>
      <c r="U858" s="445"/>
      <c r="V858" s="345"/>
      <c r="W858" s="441"/>
      <c r="X858" s="345"/>
      <c r="Y858" s="345"/>
      <c r="Z858" s="345"/>
      <c r="AA858" s="345"/>
      <c r="AB858" s="345"/>
      <c r="AC858" s="345"/>
      <c r="AD858" s="345"/>
      <c r="AE858" s="345"/>
      <c r="AF858" s="345"/>
      <c r="AG858" s="345"/>
      <c r="AH858" s="345"/>
      <c r="AI858" s="345"/>
      <c r="AJ858" s="345"/>
      <c r="AK858" s="345"/>
      <c r="AL858" s="345"/>
      <c r="AM858" s="345"/>
      <c r="AN858" s="345"/>
      <c r="AO858" s="345"/>
      <c r="AP858" s="345"/>
      <c r="AQ858" s="345"/>
      <c r="AR858" s="345"/>
      <c r="AS858" s="345"/>
    </row>
    <row r="859" ht="13.5" customHeight="1">
      <c r="A859" s="436" t="str">
        <f>'Membership Application List'!A1088</f>
        <v/>
      </c>
      <c r="B859" s="437" t="str">
        <f t="shared" si="6"/>
        <v/>
      </c>
      <c r="C859" s="437" t="str">
        <f t="shared" si="7"/>
        <v/>
      </c>
      <c r="D859" s="438" t="str">
        <f>'Membership Application List'!E1088</f>
        <v/>
      </c>
      <c r="E859" s="438" t="b">
        <f>IF('Membership Application List'!J1088 = "Food/Litter Donation", 0, IF('Membership Application List'!J1088 = "$15 Donation, Discord Verification", IF('Membership Application List'!N1088 = TRUE, 15, 0)))</f>
        <v>0</v>
      </c>
      <c r="F859" s="438">
        <f>if('Membership Application List'!K1088=TRUE, 5,0)</f>
        <v>0</v>
      </c>
      <c r="G859" s="438">
        <f t="shared" si="8"/>
        <v>0</v>
      </c>
      <c r="H859" s="479" t="str">
        <f>'Membership Application List'!L1088</f>
        <v/>
      </c>
      <c r="I859" s="345"/>
      <c r="J859" s="441"/>
      <c r="K859" s="345"/>
      <c r="L859" s="478"/>
      <c r="M859" s="345"/>
      <c r="N859" s="345"/>
      <c r="O859" s="345"/>
      <c r="P859" s="414"/>
      <c r="Q859" s="414"/>
      <c r="R859" s="414"/>
      <c r="S859" s="445"/>
      <c r="T859" s="445"/>
      <c r="U859" s="445"/>
      <c r="V859" s="345"/>
      <c r="W859" s="441"/>
      <c r="X859" s="345"/>
      <c r="Y859" s="345"/>
      <c r="Z859" s="345"/>
      <c r="AA859" s="345"/>
      <c r="AB859" s="345"/>
      <c r="AC859" s="345"/>
      <c r="AD859" s="345"/>
      <c r="AE859" s="345"/>
      <c r="AF859" s="345"/>
      <c r="AG859" s="345"/>
      <c r="AH859" s="345"/>
      <c r="AI859" s="345"/>
      <c r="AJ859" s="345"/>
      <c r="AK859" s="345"/>
      <c r="AL859" s="345"/>
      <c r="AM859" s="345"/>
      <c r="AN859" s="345"/>
      <c r="AO859" s="345"/>
      <c r="AP859" s="345"/>
      <c r="AQ859" s="345"/>
      <c r="AR859" s="345"/>
      <c r="AS859" s="345"/>
    </row>
    <row r="860" ht="13.5" customHeight="1">
      <c r="A860" s="424" t="str">
        <f>'Membership Application List'!A1089</f>
        <v/>
      </c>
      <c r="B860" s="443" t="str">
        <f t="shared" si="6"/>
        <v/>
      </c>
      <c r="C860" s="443" t="str">
        <f t="shared" si="7"/>
        <v/>
      </c>
      <c r="D860" s="426" t="str">
        <f>'Membership Application List'!E1089</f>
        <v/>
      </c>
      <c r="E860" s="426" t="b">
        <f>IF('Membership Application List'!J1089 = "Food/Litter Donation", 0, IF('Membership Application List'!J1089 = "$15 Donation, Discord Verification", IF('Membership Application List'!N1089 = TRUE, 15, 0)))</f>
        <v>0</v>
      </c>
      <c r="F860" s="426">
        <f>if('Membership Application List'!K1089=TRUE, 5,0)</f>
        <v>0</v>
      </c>
      <c r="G860" s="426">
        <f t="shared" si="8"/>
        <v>0</v>
      </c>
      <c r="H860" s="480" t="str">
        <f>'Membership Application List'!L1089</f>
        <v/>
      </c>
      <c r="I860" s="345"/>
      <c r="J860" s="441"/>
      <c r="K860" s="345"/>
      <c r="L860" s="478"/>
      <c r="M860" s="345"/>
      <c r="N860" s="345"/>
      <c r="O860" s="345"/>
      <c r="P860" s="414"/>
      <c r="Q860" s="414"/>
      <c r="R860" s="414"/>
      <c r="S860" s="445"/>
      <c r="T860" s="445"/>
      <c r="U860" s="445"/>
      <c r="V860" s="345"/>
      <c r="W860" s="441"/>
      <c r="X860" s="345"/>
      <c r="Y860" s="345"/>
      <c r="Z860" s="345"/>
      <c r="AA860" s="345"/>
      <c r="AB860" s="345"/>
      <c r="AC860" s="345"/>
      <c r="AD860" s="345"/>
      <c r="AE860" s="345"/>
      <c r="AF860" s="345"/>
      <c r="AG860" s="345"/>
      <c r="AH860" s="345"/>
      <c r="AI860" s="345"/>
      <c r="AJ860" s="345"/>
      <c r="AK860" s="345"/>
      <c r="AL860" s="345"/>
      <c r="AM860" s="345"/>
      <c r="AN860" s="345"/>
      <c r="AO860" s="345"/>
      <c r="AP860" s="345"/>
      <c r="AQ860" s="345"/>
      <c r="AR860" s="345"/>
      <c r="AS860" s="345"/>
    </row>
    <row r="861" ht="13.5" customHeight="1">
      <c r="A861" s="436" t="str">
        <f>'Membership Application List'!A1090</f>
        <v/>
      </c>
      <c r="B861" s="437" t="str">
        <f t="shared" si="6"/>
        <v/>
      </c>
      <c r="C861" s="437" t="str">
        <f t="shared" si="7"/>
        <v/>
      </c>
      <c r="D861" s="438" t="str">
        <f>'Membership Application List'!E1090</f>
        <v/>
      </c>
      <c r="E861" s="438" t="b">
        <f>IF('Membership Application List'!J1090 = "Food/Litter Donation", 0, IF('Membership Application List'!J1090 = "$15 Donation, Discord Verification", IF('Membership Application List'!N1090 = TRUE, 15, 0)))</f>
        <v>0</v>
      </c>
      <c r="F861" s="438">
        <f>if('Membership Application List'!K1090=TRUE, 5,0)</f>
        <v>0</v>
      </c>
      <c r="G861" s="438">
        <f t="shared" si="8"/>
        <v>0</v>
      </c>
      <c r="H861" s="479" t="str">
        <f>'Membership Application List'!L1090</f>
        <v/>
      </c>
      <c r="I861" s="345"/>
      <c r="J861" s="441"/>
      <c r="K861" s="345"/>
      <c r="L861" s="478"/>
      <c r="M861" s="345"/>
      <c r="N861" s="345"/>
      <c r="O861" s="345"/>
      <c r="P861" s="414"/>
      <c r="Q861" s="414"/>
      <c r="R861" s="414"/>
      <c r="S861" s="445"/>
      <c r="T861" s="445"/>
      <c r="U861" s="445"/>
      <c r="V861" s="345"/>
      <c r="W861" s="441"/>
      <c r="X861" s="345"/>
      <c r="Y861" s="345"/>
      <c r="Z861" s="345"/>
      <c r="AA861" s="345"/>
      <c r="AB861" s="345"/>
      <c r="AC861" s="345"/>
      <c r="AD861" s="345"/>
      <c r="AE861" s="345"/>
      <c r="AF861" s="345"/>
      <c r="AG861" s="345"/>
      <c r="AH861" s="345"/>
      <c r="AI861" s="345"/>
      <c r="AJ861" s="345"/>
      <c r="AK861" s="345"/>
      <c r="AL861" s="345"/>
      <c r="AM861" s="345"/>
      <c r="AN861" s="345"/>
      <c r="AO861" s="345"/>
      <c r="AP861" s="345"/>
      <c r="AQ861" s="345"/>
      <c r="AR861" s="345"/>
      <c r="AS861" s="345"/>
    </row>
    <row r="862" ht="13.5" customHeight="1">
      <c r="A862" s="424" t="str">
        <f>'Membership Application List'!A1091</f>
        <v/>
      </c>
      <c r="B862" s="443" t="str">
        <f t="shared" si="6"/>
        <v/>
      </c>
      <c r="C862" s="443" t="str">
        <f t="shared" si="7"/>
        <v/>
      </c>
      <c r="D862" s="426" t="str">
        <f>'Membership Application List'!E1091</f>
        <v/>
      </c>
      <c r="E862" s="426" t="b">
        <f>IF('Membership Application List'!J1091 = "Food/Litter Donation", 0, IF('Membership Application List'!J1091 = "$15 Donation, Discord Verification", IF('Membership Application List'!N1091 = TRUE, 15, 0)))</f>
        <v>0</v>
      </c>
      <c r="F862" s="426">
        <f>if('Membership Application List'!K1091=TRUE, 5,0)</f>
        <v>0</v>
      </c>
      <c r="G862" s="426">
        <f t="shared" si="8"/>
        <v>0</v>
      </c>
      <c r="H862" s="480" t="str">
        <f>'Membership Application List'!L1091</f>
        <v/>
      </c>
      <c r="I862" s="345"/>
      <c r="J862" s="441"/>
      <c r="K862" s="345"/>
      <c r="L862" s="478"/>
      <c r="M862" s="345"/>
      <c r="N862" s="345"/>
      <c r="O862" s="345"/>
      <c r="P862" s="414"/>
      <c r="Q862" s="414"/>
      <c r="R862" s="414"/>
      <c r="S862" s="445"/>
      <c r="T862" s="445"/>
      <c r="U862" s="445"/>
      <c r="V862" s="345"/>
      <c r="W862" s="441"/>
      <c r="X862" s="345"/>
      <c r="Y862" s="345"/>
      <c r="Z862" s="345"/>
      <c r="AA862" s="345"/>
      <c r="AB862" s="345"/>
      <c r="AC862" s="345"/>
      <c r="AD862" s="345"/>
      <c r="AE862" s="345"/>
      <c r="AF862" s="345"/>
      <c r="AG862" s="345"/>
      <c r="AH862" s="345"/>
      <c r="AI862" s="345"/>
      <c r="AJ862" s="345"/>
      <c r="AK862" s="345"/>
      <c r="AL862" s="345"/>
      <c r="AM862" s="345"/>
      <c r="AN862" s="345"/>
      <c r="AO862" s="345"/>
      <c r="AP862" s="345"/>
      <c r="AQ862" s="345"/>
      <c r="AR862" s="345"/>
      <c r="AS862" s="345"/>
    </row>
    <row r="863" ht="13.5" customHeight="1">
      <c r="A863" s="436" t="str">
        <f>'Membership Application List'!A1092</f>
        <v/>
      </c>
      <c r="B863" s="437" t="str">
        <f t="shared" si="6"/>
        <v/>
      </c>
      <c r="C863" s="437" t="str">
        <f t="shared" si="7"/>
        <v/>
      </c>
      <c r="D863" s="438" t="str">
        <f>'Membership Application List'!E1092</f>
        <v/>
      </c>
      <c r="E863" s="438" t="b">
        <f>IF('Membership Application List'!J1092 = "Food/Litter Donation", 0, IF('Membership Application List'!J1092 = "$15 Donation, Discord Verification", IF('Membership Application List'!N1092 = TRUE, 15, 0)))</f>
        <v>0</v>
      </c>
      <c r="F863" s="438">
        <f>if('Membership Application List'!K1092=TRUE, 5,0)</f>
        <v>0</v>
      </c>
      <c r="G863" s="438">
        <f t="shared" si="8"/>
        <v>0</v>
      </c>
      <c r="H863" s="479" t="str">
        <f>'Membership Application List'!L1092</f>
        <v/>
      </c>
      <c r="I863" s="345"/>
      <c r="J863" s="441"/>
      <c r="K863" s="345"/>
      <c r="L863" s="478"/>
      <c r="M863" s="345"/>
      <c r="N863" s="345"/>
      <c r="O863" s="345"/>
      <c r="P863" s="414"/>
      <c r="Q863" s="414"/>
      <c r="R863" s="414"/>
      <c r="S863" s="445"/>
      <c r="T863" s="445"/>
      <c r="U863" s="445"/>
      <c r="V863" s="345"/>
      <c r="W863" s="441"/>
      <c r="X863" s="345"/>
      <c r="Y863" s="345"/>
      <c r="Z863" s="345"/>
      <c r="AA863" s="345"/>
      <c r="AB863" s="345"/>
      <c r="AC863" s="345"/>
      <c r="AD863" s="345"/>
      <c r="AE863" s="345"/>
      <c r="AF863" s="345"/>
      <c r="AG863" s="345"/>
      <c r="AH863" s="345"/>
      <c r="AI863" s="345"/>
      <c r="AJ863" s="345"/>
      <c r="AK863" s="345"/>
      <c r="AL863" s="345"/>
      <c r="AM863" s="345"/>
      <c r="AN863" s="345"/>
      <c r="AO863" s="345"/>
      <c r="AP863" s="345"/>
      <c r="AQ863" s="345"/>
      <c r="AR863" s="345"/>
      <c r="AS863" s="345"/>
    </row>
    <row r="864" ht="13.5" customHeight="1">
      <c r="A864" s="424" t="str">
        <f>'Membership Application List'!A1093</f>
        <v/>
      </c>
      <c r="B864" s="443" t="str">
        <f t="shared" si="6"/>
        <v/>
      </c>
      <c r="C864" s="443" t="str">
        <f t="shared" si="7"/>
        <v/>
      </c>
      <c r="D864" s="426" t="str">
        <f>'Membership Application List'!E1093</f>
        <v/>
      </c>
      <c r="E864" s="426" t="b">
        <f>IF('Membership Application List'!J1093 = "Food/Litter Donation", 0, IF('Membership Application List'!J1093 = "$15 Donation, Discord Verification", IF('Membership Application List'!N1093 = TRUE, 15, 0)))</f>
        <v>0</v>
      </c>
      <c r="F864" s="426">
        <f>if('Membership Application List'!K1093=TRUE, 5,0)</f>
        <v>0</v>
      </c>
      <c r="G864" s="426">
        <f t="shared" si="8"/>
        <v>0</v>
      </c>
      <c r="H864" s="480" t="str">
        <f>'Membership Application List'!L1093</f>
        <v/>
      </c>
      <c r="I864" s="345"/>
      <c r="J864" s="441"/>
      <c r="K864" s="345"/>
      <c r="L864" s="478"/>
      <c r="M864" s="345"/>
      <c r="N864" s="345"/>
      <c r="O864" s="345"/>
      <c r="P864" s="414"/>
      <c r="Q864" s="414"/>
      <c r="R864" s="414"/>
      <c r="S864" s="445"/>
      <c r="T864" s="445"/>
      <c r="U864" s="445"/>
      <c r="V864" s="345"/>
      <c r="W864" s="441"/>
      <c r="X864" s="345"/>
      <c r="Y864" s="345"/>
      <c r="Z864" s="345"/>
      <c r="AA864" s="345"/>
      <c r="AB864" s="345"/>
      <c r="AC864" s="345"/>
      <c r="AD864" s="345"/>
      <c r="AE864" s="345"/>
      <c r="AF864" s="345"/>
      <c r="AG864" s="345"/>
      <c r="AH864" s="345"/>
      <c r="AI864" s="345"/>
      <c r="AJ864" s="345"/>
      <c r="AK864" s="345"/>
      <c r="AL864" s="345"/>
      <c r="AM864" s="345"/>
      <c r="AN864" s="345"/>
      <c r="AO864" s="345"/>
      <c r="AP864" s="345"/>
      <c r="AQ864" s="345"/>
      <c r="AR864" s="345"/>
      <c r="AS864" s="345"/>
    </row>
    <row r="865" ht="13.5" customHeight="1">
      <c r="A865" s="436" t="str">
        <f>'Membership Application List'!A1094</f>
        <v/>
      </c>
      <c r="B865" s="437" t="str">
        <f t="shared" si="6"/>
        <v/>
      </c>
      <c r="C865" s="437" t="str">
        <f t="shared" si="7"/>
        <v/>
      </c>
      <c r="D865" s="438" t="str">
        <f>'Membership Application List'!E1094</f>
        <v/>
      </c>
      <c r="E865" s="438" t="b">
        <f>IF('Membership Application List'!J1094 = "Food/Litter Donation", 0, IF('Membership Application List'!J1094 = "$15 Donation, Discord Verification", IF('Membership Application List'!N1094 = TRUE, 15, 0)))</f>
        <v>0</v>
      </c>
      <c r="F865" s="438">
        <f>if('Membership Application List'!K1094=TRUE, 5,0)</f>
        <v>0</v>
      </c>
      <c r="G865" s="438">
        <f t="shared" si="8"/>
        <v>0</v>
      </c>
      <c r="H865" s="479" t="str">
        <f>'Membership Application List'!L1094</f>
        <v/>
      </c>
      <c r="I865" s="345"/>
      <c r="J865" s="441"/>
      <c r="K865" s="345"/>
      <c r="L865" s="478"/>
      <c r="M865" s="345"/>
      <c r="N865" s="345"/>
      <c r="O865" s="345"/>
      <c r="P865" s="414"/>
      <c r="Q865" s="414"/>
      <c r="R865" s="414"/>
      <c r="S865" s="445"/>
      <c r="T865" s="445"/>
      <c r="U865" s="445"/>
      <c r="V865" s="345"/>
      <c r="W865" s="441"/>
      <c r="X865" s="345"/>
      <c r="Y865" s="345"/>
      <c r="Z865" s="345"/>
      <c r="AA865" s="345"/>
      <c r="AB865" s="345"/>
      <c r="AC865" s="345"/>
      <c r="AD865" s="345"/>
      <c r="AE865" s="345"/>
      <c r="AF865" s="345"/>
      <c r="AG865" s="345"/>
      <c r="AH865" s="345"/>
      <c r="AI865" s="345"/>
      <c r="AJ865" s="345"/>
      <c r="AK865" s="345"/>
      <c r="AL865" s="345"/>
      <c r="AM865" s="345"/>
      <c r="AN865" s="345"/>
      <c r="AO865" s="345"/>
      <c r="AP865" s="345"/>
      <c r="AQ865" s="345"/>
      <c r="AR865" s="345"/>
      <c r="AS865" s="345"/>
    </row>
    <row r="866" ht="13.5" customHeight="1">
      <c r="A866" s="424" t="str">
        <f>'Membership Application List'!A1095</f>
        <v/>
      </c>
      <c r="B866" s="443" t="str">
        <f t="shared" si="6"/>
        <v/>
      </c>
      <c r="C866" s="443" t="str">
        <f t="shared" si="7"/>
        <v/>
      </c>
      <c r="D866" s="426" t="str">
        <f>'Membership Application List'!E1095</f>
        <v/>
      </c>
      <c r="E866" s="426" t="b">
        <f>IF('Membership Application List'!J1095 = "Food/Litter Donation", 0, IF('Membership Application List'!J1095 = "$15 Donation, Discord Verification", IF('Membership Application List'!N1095 = TRUE, 15, 0)))</f>
        <v>0</v>
      </c>
      <c r="F866" s="426">
        <f>if('Membership Application List'!K1095=TRUE, 5,0)</f>
        <v>0</v>
      </c>
      <c r="G866" s="426">
        <f t="shared" si="8"/>
        <v>0</v>
      </c>
      <c r="H866" s="480" t="str">
        <f>'Membership Application List'!L1095</f>
        <v/>
      </c>
      <c r="I866" s="345"/>
      <c r="J866" s="441"/>
      <c r="K866" s="345"/>
      <c r="L866" s="478"/>
      <c r="M866" s="345"/>
      <c r="N866" s="345"/>
      <c r="O866" s="345"/>
      <c r="P866" s="414"/>
      <c r="Q866" s="414"/>
      <c r="R866" s="414"/>
      <c r="S866" s="445"/>
      <c r="T866" s="445"/>
      <c r="U866" s="445"/>
      <c r="V866" s="345"/>
      <c r="W866" s="441"/>
      <c r="X866" s="345"/>
      <c r="Y866" s="345"/>
      <c r="Z866" s="345"/>
      <c r="AA866" s="345"/>
      <c r="AB866" s="345"/>
      <c r="AC866" s="345"/>
      <c r="AD866" s="345"/>
      <c r="AE866" s="345"/>
      <c r="AF866" s="345"/>
      <c r="AG866" s="345"/>
      <c r="AH866" s="345"/>
      <c r="AI866" s="345"/>
      <c r="AJ866" s="345"/>
      <c r="AK866" s="345"/>
      <c r="AL866" s="345"/>
      <c r="AM866" s="345"/>
      <c r="AN866" s="345"/>
      <c r="AO866" s="345"/>
      <c r="AP866" s="345"/>
      <c r="AQ866" s="345"/>
      <c r="AR866" s="345"/>
      <c r="AS866" s="345"/>
    </row>
    <row r="867" ht="13.5" customHeight="1">
      <c r="A867" s="436" t="str">
        <f>'Membership Application List'!A1096</f>
        <v/>
      </c>
      <c r="B867" s="437" t="str">
        <f t="shared" si="6"/>
        <v/>
      </c>
      <c r="C867" s="437" t="str">
        <f t="shared" si="7"/>
        <v/>
      </c>
      <c r="D867" s="438" t="str">
        <f>'Membership Application List'!E1096</f>
        <v/>
      </c>
      <c r="E867" s="438" t="b">
        <f>IF('Membership Application List'!J1096 = "Food/Litter Donation", 0, IF('Membership Application List'!J1096 = "$15 Donation, Discord Verification", IF('Membership Application List'!N1096 = TRUE, 15, 0)))</f>
        <v>0</v>
      </c>
      <c r="F867" s="438">
        <f>if('Membership Application List'!K1096=TRUE, 5,0)</f>
        <v>0</v>
      </c>
      <c r="G867" s="438">
        <f t="shared" si="8"/>
        <v>0</v>
      </c>
      <c r="H867" s="479" t="str">
        <f>'Membership Application List'!L1096</f>
        <v/>
      </c>
      <c r="I867" s="345"/>
      <c r="J867" s="441"/>
      <c r="K867" s="345"/>
      <c r="L867" s="478"/>
      <c r="M867" s="345"/>
      <c r="N867" s="345"/>
      <c r="O867" s="345"/>
      <c r="P867" s="414"/>
      <c r="Q867" s="414"/>
      <c r="R867" s="414"/>
      <c r="S867" s="445"/>
      <c r="T867" s="445"/>
      <c r="U867" s="445"/>
      <c r="V867" s="345"/>
      <c r="W867" s="441"/>
      <c r="X867" s="345"/>
      <c r="Y867" s="345"/>
      <c r="Z867" s="345"/>
      <c r="AA867" s="345"/>
      <c r="AB867" s="345"/>
      <c r="AC867" s="345"/>
      <c r="AD867" s="345"/>
      <c r="AE867" s="345"/>
      <c r="AF867" s="345"/>
      <c r="AG867" s="345"/>
      <c r="AH867" s="345"/>
      <c r="AI867" s="345"/>
      <c r="AJ867" s="345"/>
      <c r="AK867" s="345"/>
      <c r="AL867" s="345"/>
      <c r="AM867" s="345"/>
      <c r="AN867" s="345"/>
      <c r="AO867" s="345"/>
      <c r="AP867" s="345"/>
      <c r="AQ867" s="345"/>
      <c r="AR867" s="345"/>
      <c r="AS867" s="345"/>
    </row>
    <row r="868" ht="13.5" customHeight="1">
      <c r="A868" s="424" t="str">
        <f>'Membership Application List'!A1097</f>
        <v/>
      </c>
      <c r="B868" s="443" t="str">
        <f t="shared" si="6"/>
        <v/>
      </c>
      <c r="C868" s="443" t="str">
        <f t="shared" si="7"/>
        <v/>
      </c>
      <c r="D868" s="426" t="str">
        <f>'Membership Application List'!E1097</f>
        <v/>
      </c>
      <c r="E868" s="426" t="b">
        <f>IF('Membership Application List'!J1097 = "Food/Litter Donation", 0, IF('Membership Application List'!J1097 = "$15 Donation, Discord Verification", IF('Membership Application List'!N1097 = TRUE, 15, 0)))</f>
        <v>0</v>
      </c>
      <c r="F868" s="426">
        <f>if('Membership Application List'!K1097=TRUE, 5,0)</f>
        <v>0</v>
      </c>
      <c r="G868" s="426">
        <f t="shared" si="8"/>
        <v>0</v>
      </c>
      <c r="H868" s="480" t="str">
        <f>'Membership Application List'!L1097</f>
        <v/>
      </c>
      <c r="I868" s="345"/>
      <c r="J868" s="441"/>
      <c r="K868" s="345"/>
      <c r="L868" s="478"/>
      <c r="M868" s="345"/>
      <c r="N868" s="345"/>
      <c r="O868" s="345"/>
      <c r="P868" s="414"/>
      <c r="Q868" s="414"/>
      <c r="R868" s="414"/>
      <c r="S868" s="445"/>
      <c r="T868" s="445"/>
      <c r="U868" s="445"/>
      <c r="V868" s="345"/>
      <c r="W868" s="441"/>
      <c r="X868" s="345"/>
      <c r="Y868" s="345"/>
      <c r="Z868" s="345"/>
      <c r="AA868" s="345"/>
      <c r="AB868" s="345"/>
      <c r="AC868" s="345"/>
      <c r="AD868" s="345"/>
      <c r="AE868" s="345"/>
      <c r="AF868" s="345"/>
      <c r="AG868" s="345"/>
      <c r="AH868" s="345"/>
      <c r="AI868" s="345"/>
      <c r="AJ868" s="345"/>
      <c r="AK868" s="345"/>
      <c r="AL868" s="345"/>
      <c r="AM868" s="345"/>
      <c r="AN868" s="345"/>
      <c r="AO868" s="345"/>
      <c r="AP868" s="345"/>
      <c r="AQ868" s="345"/>
      <c r="AR868" s="345"/>
      <c r="AS868" s="345"/>
    </row>
    <row r="869" ht="13.5" customHeight="1">
      <c r="A869" s="436" t="str">
        <f>'Membership Application List'!A1098</f>
        <v/>
      </c>
      <c r="B869" s="437" t="str">
        <f t="shared" si="6"/>
        <v/>
      </c>
      <c r="C869" s="437" t="str">
        <f t="shared" si="7"/>
        <v/>
      </c>
      <c r="D869" s="438" t="str">
        <f>'Membership Application List'!E1098</f>
        <v/>
      </c>
      <c r="E869" s="438" t="b">
        <f>IF('Membership Application List'!J1098 = "Food/Litter Donation", 0, IF('Membership Application List'!J1098 = "$15 Donation, Discord Verification", IF('Membership Application List'!N1098 = TRUE, 15, 0)))</f>
        <v>0</v>
      </c>
      <c r="F869" s="438">
        <f>if('Membership Application List'!K1098=TRUE, 5,0)</f>
        <v>0</v>
      </c>
      <c r="G869" s="438">
        <f t="shared" si="8"/>
        <v>0</v>
      </c>
      <c r="H869" s="479" t="str">
        <f>'Membership Application List'!L1098</f>
        <v/>
      </c>
      <c r="I869" s="345"/>
      <c r="J869" s="441"/>
      <c r="K869" s="345"/>
      <c r="L869" s="478"/>
      <c r="M869" s="345"/>
      <c r="N869" s="345"/>
      <c r="O869" s="345"/>
      <c r="P869" s="414"/>
      <c r="Q869" s="414"/>
      <c r="R869" s="414"/>
      <c r="S869" s="445"/>
      <c r="T869" s="445"/>
      <c r="U869" s="445"/>
      <c r="V869" s="345"/>
      <c r="W869" s="441"/>
      <c r="X869" s="345"/>
      <c r="Y869" s="345"/>
      <c r="Z869" s="345"/>
      <c r="AA869" s="345"/>
      <c r="AB869" s="345"/>
      <c r="AC869" s="345"/>
      <c r="AD869" s="345"/>
      <c r="AE869" s="345"/>
      <c r="AF869" s="345"/>
      <c r="AG869" s="345"/>
      <c r="AH869" s="345"/>
      <c r="AI869" s="345"/>
      <c r="AJ869" s="345"/>
      <c r="AK869" s="345"/>
      <c r="AL869" s="345"/>
      <c r="AM869" s="345"/>
      <c r="AN869" s="345"/>
      <c r="AO869" s="345"/>
      <c r="AP869" s="345"/>
      <c r="AQ869" s="345"/>
      <c r="AR869" s="345"/>
      <c r="AS869" s="345"/>
    </row>
    <row r="870" ht="13.5" customHeight="1">
      <c r="A870" s="424" t="str">
        <f>'Membership Application List'!A1099</f>
        <v/>
      </c>
      <c r="B870" s="443" t="str">
        <f t="shared" si="6"/>
        <v/>
      </c>
      <c r="C870" s="443" t="str">
        <f t="shared" si="7"/>
        <v/>
      </c>
      <c r="D870" s="426" t="str">
        <f>'Membership Application List'!E1099</f>
        <v/>
      </c>
      <c r="E870" s="426" t="b">
        <f>IF('Membership Application List'!J1099 = "Food/Litter Donation", 0, IF('Membership Application List'!J1099 = "$15 Donation, Discord Verification", IF('Membership Application List'!N1099 = TRUE, 15, 0)))</f>
        <v>0</v>
      </c>
      <c r="F870" s="426">
        <f>if('Membership Application List'!K1099=TRUE, 5,0)</f>
        <v>0</v>
      </c>
      <c r="G870" s="426">
        <f t="shared" si="8"/>
        <v>0</v>
      </c>
      <c r="H870" s="480" t="str">
        <f>'Membership Application List'!L1099</f>
        <v/>
      </c>
      <c r="I870" s="345"/>
      <c r="J870" s="441"/>
      <c r="K870" s="345"/>
      <c r="L870" s="478"/>
      <c r="M870" s="345"/>
      <c r="N870" s="345"/>
      <c r="O870" s="345"/>
      <c r="P870" s="414"/>
      <c r="Q870" s="414"/>
      <c r="R870" s="414"/>
      <c r="S870" s="445"/>
      <c r="T870" s="445"/>
      <c r="U870" s="445"/>
      <c r="V870" s="345"/>
      <c r="W870" s="441"/>
      <c r="X870" s="345"/>
      <c r="Y870" s="345"/>
      <c r="Z870" s="345"/>
      <c r="AA870" s="345"/>
      <c r="AB870" s="345"/>
      <c r="AC870" s="345"/>
      <c r="AD870" s="345"/>
      <c r="AE870" s="345"/>
      <c r="AF870" s="345"/>
      <c r="AG870" s="345"/>
      <c r="AH870" s="345"/>
      <c r="AI870" s="345"/>
      <c r="AJ870" s="345"/>
      <c r="AK870" s="345"/>
      <c r="AL870" s="345"/>
      <c r="AM870" s="345"/>
      <c r="AN870" s="345"/>
      <c r="AO870" s="345"/>
      <c r="AP870" s="345"/>
      <c r="AQ870" s="345"/>
      <c r="AR870" s="345"/>
      <c r="AS870" s="345"/>
    </row>
    <row r="871" ht="13.5" customHeight="1">
      <c r="A871" s="436" t="str">
        <f>'Membership Application List'!A1100</f>
        <v/>
      </c>
      <c r="B871" s="437" t="str">
        <f t="shared" si="6"/>
        <v/>
      </c>
      <c r="C871" s="437" t="str">
        <f t="shared" si="7"/>
        <v/>
      </c>
      <c r="D871" s="438" t="str">
        <f>'Membership Application List'!E1100</f>
        <v/>
      </c>
      <c r="E871" s="438" t="b">
        <f>IF('Membership Application List'!J1100 = "Food/Litter Donation", 0, IF('Membership Application List'!J1100 = "$15 Donation, Discord Verification", IF('Membership Application List'!N1100 = TRUE, 15, 0)))</f>
        <v>0</v>
      </c>
      <c r="F871" s="438">
        <f>if('Membership Application List'!K1100=TRUE, 5,0)</f>
        <v>0</v>
      </c>
      <c r="G871" s="438">
        <f t="shared" si="8"/>
        <v>0</v>
      </c>
      <c r="H871" s="479" t="str">
        <f>'Membership Application List'!L1100</f>
        <v/>
      </c>
      <c r="I871" s="345"/>
      <c r="J871" s="441"/>
      <c r="K871" s="345"/>
      <c r="L871" s="478"/>
      <c r="M871" s="345"/>
      <c r="N871" s="345"/>
      <c r="O871" s="345"/>
      <c r="P871" s="414"/>
      <c r="Q871" s="414"/>
      <c r="R871" s="414"/>
      <c r="S871" s="445"/>
      <c r="T871" s="445"/>
      <c r="U871" s="445"/>
      <c r="V871" s="345"/>
      <c r="W871" s="441"/>
      <c r="X871" s="345"/>
      <c r="Y871" s="345"/>
      <c r="Z871" s="345"/>
      <c r="AA871" s="345"/>
      <c r="AB871" s="345"/>
      <c r="AC871" s="345"/>
      <c r="AD871" s="345"/>
      <c r="AE871" s="345"/>
      <c r="AF871" s="345"/>
      <c r="AG871" s="345"/>
      <c r="AH871" s="345"/>
      <c r="AI871" s="345"/>
      <c r="AJ871" s="345"/>
      <c r="AK871" s="345"/>
      <c r="AL871" s="345"/>
      <c r="AM871" s="345"/>
      <c r="AN871" s="345"/>
      <c r="AO871" s="345"/>
      <c r="AP871" s="345"/>
      <c r="AQ871" s="345"/>
      <c r="AR871" s="345"/>
      <c r="AS871" s="345"/>
    </row>
    <row r="872" ht="13.5" customHeight="1">
      <c r="A872" s="424" t="str">
        <f>'Membership Application List'!A1101</f>
        <v/>
      </c>
      <c r="B872" s="443" t="str">
        <f t="shared" si="6"/>
        <v/>
      </c>
      <c r="C872" s="443" t="str">
        <f t="shared" si="7"/>
        <v/>
      </c>
      <c r="D872" s="426" t="str">
        <f>'Membership Application List'!E1101</f>
        <v/>
      </c>
      <c r="E872" s="426" t="b">
        <f>IF('Membership Application List'!J1101 = "Food/Litter Donation", 0, IF('Membership Application List'!J1101 = "$15 Donation, Discord Verification", IF('Membership Application List'!N1101 = TRUE, 15, 0)))</f>
        <v>0</v>
      </c>
      <c r="F872" s="426">
        <f>if('Membership Application List'!K1101=TRUE, 5,0)</f>
        <v>0</v>
      </c>
      <c r="G872" s="426">
        <f t="shared" si="8"/>
        <v>0</v>
      </c>
      <c r="H872" s="480" t="str">
        <f>'Membership Application List'!L1101</f>
        <v/>
      </c>
      <c r="I872" s="345"/>
      <c r="J872" s="441"/>
      <c r="K872" s="345"/>
      <c r="L872" s="478"/>
      <c r="M872" s="345"/>
      <c r="N872" s="345"/>
      <c r="O872" s="345"/>
      <c r="P872" s="414"/>
      <c r="Q872" s="414"/>
      <c r="R872" s="414"/>
      <c r="S872" s="445"/>
      <c r="T872" s="445"/>
      <c r="U872" s="445"/>
      <c r="V872" s="345"/>
      <c r="W872" s="441"/>
      <c r="X872" s="345"/>
      <c r="Y872" s="345"/>
      <c r="Z872" s="345"/>
      <c r="AA872" s="345"/>
      <c r="AB872" s="345"/>
      <c r="AC872" s="345"/>
      <c r="AD872" s="345"/>
      <c r="AE872" s="345"/>
      <c r="AF872" s="345"/>
      <c r="AG872" s="345"/>
      <c r="AH872" s="345"/>
      <c r="AI872" s="345"/>
      <c r="AJ872" s="345"/>
      <c r="AK872" s="345"/>
      <c r="AL872" s="345"/>
      <c r="AM872" s="345"/>
      <c r="AN872" s="345"/>
      <c r="AO872" s="345"/>
      <c r="AP872" s="345"/>
      <c r="AQ872" s="345"/>
      <c r="AR872" s="345"/>
      <c r="AS872" s="345"/>
    </row>
    <row r="873" ht="13.5" customHeight="1">
      <c r="A873" s="436" t="str">
        <f>'Membership Application List'!A1102</f>
        <v/>
      </c>
      <c r="B873" s="437" t="str">
        <f t="shared" si="6"/>
        <v/>
      </c>
      <c r="C873" s="437" t="str">
        <f t="shared" si="7"/>
        <v/>
      </c>
      <c r="D873" s="438" t="str">
        <f>'Membership Application List'!E1102</f>
        <v/>
      </c>
      <c r="E873" s="438" t="b">
        <f>IF('Membership Application List'!J1102 = "Food/Litter Donation", 0, IF('Membership Application List'!J1102 = "$15 Donation, Discord Verification", IF('Membership Application List'!N1102 = TRUE, 15, 0)))</f>
        <v>0</v>
      </c>
      <c r="F873" s="438">
        <f>if('Membership Application List'!K1102=TRUE, 5,0)</f>
        <v>0</v>
      </c>
      <c r="G873" s="438">
        <f t="shared" si="8"/>
        <v>0</v>
      </c>
      <c r="H873" s="479" t="str">
        <f>'Membership Application List'!L1102</f>
        <v/>
      </c>
      <c r="I873" s="345"/>
      <c r="J873" s="441"/>
      <c r="K873" s="345"/>
      <c r="L873" s="478"/>
      <c r="M873" s="345"/>
      <c r="N873" s="345"/>
      <c r="O873" s="345"/>
      <c r="P873" s="414"/>
      <c r="Q873" s="414"/>
      <c r="R873" s="414"/>
      <c r="S873" s="445"/>
      <c r="T873" s="445"/>
      <c r="U873" s="445"/>
      <c r="V873" s="345"/>
      <c r="W873" s="441"/>
      <c r="X873" s="345"/>
      <c r="Y873" s="345"/>
      <c r="Z873" s="345"/>
      <c r="AA873" s="345"/>
      <c r="AB873" s="345"/>
      <c r="AC873" s="345"/>
      <c r="AD873" s="345"/>
      <c r="AE873" s="345"/>
      <c r="AF873" s="345"/>
      <c r="AG873" s="345"/>
      <c r="AH873" s="345"/>
      <c r="AI873" s="345"/>
      <c r="AJ873" s="345"/>
      <c r="AK873" s="345"/>
      <c r="AL873" s="345"/>
      <c r="AM873" s="345"/>
      <c r="AN873" s="345"/>
      <c r="AO873" s="345"/>
      <c r="AP873" s="345"/>
      <c r="AQ873" s="345"/>
      <c r="AR873" s="345"/>
      <c r="AS873" s="345"/>
    </row>
    <row r="874" ht="13.5" customHeight="1">
      <c r="A874" s="424" t="str">
        <f>'Membership Application List'!A1103</f>
        <v/>
      </c>
      <c r="B874" s="443" t="str">
        <f t="shared" si="6"/>
        <v/>
      </c>
      <c r="C874" s="443" t="str">
        <f t="shared" si="7"/>
        <v/>
      </c>
      <c r="D874" s="426" t="str">
        <f>'Membership Application List'!E1103</f>
        <v/>
      </c>
      <c r="E874" s="426" t="b">
        <f>IF('Membership Application List'!J1103 = "Food/Litter Donation", 0, IF('Membership Application List'!J1103 = "$15 Donation, Discord Verification", IF('Membership Application List'!N1103 = TRUE, 15, 0)))</f>
        <v>0</v>
      </c>
      <c r="F874" s="426">
        <f>if('Membership Application List'!K1103=TRUE, 5,0)</f>
        <v>0</v>
      </c>
      <c r="G874" s="426">
        <f t="shared" si="8"/>
        <v>0</v>
      </c>
      <c r="H874" s="480" t="str">
        <f>'Membership Application List'!L1103</f>
        <v/>
      </c>
      <c r="I874" s="345"/>
      <c r="J874" s="441"/>
      <c r="K874" s="345"/>
      <c r="L874" s="478"/>
      <c r="M874" s="345"/>
      <c r="N874" s="345"/>
      <c r="O874" s="345"/>
      <c r="P874" s="414"/>
      <c r="Q874" s="414"/>
      <c r="R874" s="414"/>
      <c r="S874" s="445"/>
      <c r="T874" s="445"/>
      <c r="U874" s="445"/>
      <c r="V874" s="345"/>
      <c r="W874" s="441"/>
      <c r="X874" s="345"/>
      <c r="Y874" s="345"/>
      <c r="Z874" s="345"/>
      <c r="AA874" s="345"/>
      <c r="AB874" s="345"/>
      <c r="AC874" s="345"/>
      <c r="AD874" s="345"/>
      <c r="AE874" s="345"/>
      <c r="AF874" s="345"/>
      <c r="AG874" s="345"/>
      <c r="AH874" s="345"/>
      <c r="AI874" s="345"/>
      <c r="AJ874" s="345"/>
      <c r="AK874" s="345"/>
      <c r="AL874" s="345"/>
      <c r="AM874" s="345"/>
      <c r="AN874" s="345"/>
      <c r="AO874" s="345"/>
      <c r="AP874" s="345"/>
      <c r="AQ874" s="345"/>
      <c r="AR874" s="345"/>
      <c r="AS874" s="345"/>
    </row>
    <row r="875" ht="13.5" customHeight="1">
      <c r="A875" s="436" t="str">
        <f>'Membership Application List'!A1104</f>
        <v/>
      </c>
      <c r="B875" s="437" t="str">
        <f t="shared" si="6"/>
        <v/>
      </c>
      <c r="C875" s="437" t="str">
        <f t="shared" si="7"/>
        <v/>
      </c>
      <c r="D875" s="438" t="str">
        <f>'Membership Application List'!E1104</f>
        <v/>
      </c>
      <c r="E875" s="438" t="b">
        <f>IF('Membership Application List'!J1104 = "Food/Litter Donation", 0, IF('Membership Application List'!J1104 = "$15 Donation, Discord Verification", IF('Membership Application List'!N1104 = TRUE, 15, 0)))</f>
        <v>0</v>
      </c>
      <c r="F875" s="438">
        <f>if('Membership Application List'!K1104=TRUE, 5,0)</f>
        <v>0</v>
      </c>
      <c r="G875" s="438">
        <f t="shared" si="8"/>
        <v>0</v>
      </c>
      <c r="H875" s="479" t="str">
        <f>'Membership Application List'!L1104</f>
        <v/>
      </c>
      <c r="I875" s="345"/>
      <c r="J875" s="441"/>
      <c r="K875" s="345"/>
      <c r="L875" s="478"/>
      <c r="M875" s="345"/>
      <c r="N875" s="345"/>
      <c r="O875" s="345"/>
      <c r="P875" s="414"/>
      <c r="Q875" s="414"/>
      <c r="R875" s="414"/>
      <c r="S875" s="445"/>
      <c r="T875" s="445"/>
      <c r="U875" s="445"/>
      <c r="V875" s="345"/>
      <c r="W875" s="441"/>
      <c r="X875" s="345"/>
      <c r="Y875" s="345"/>
      <c r="Z875" s="345"/>
      <c r="AA875" s="345"/>
      <c r="AB875" s="345"/>
      <c r="AC875" s="345"/>
      <c r="AD875" s="345"/>
      <c r="AE875" s="345"/>
      <c r="AF875" s="345"/>
      <c r="AG875" s="345"/>
      <c r="AH875" s="345"/>
      <c r="AI875" s="345"/>
      <c r="AJ875" s="345"/>
      <c r="AK875" s="345"/>
      <c r="AL875" s="345"/>
      <c r="AM875" s="345"/>
      <c r="AN875" s="345"/>
      <c r="AO875" s="345"/>
      <c r="AP875" s="345"/>
      <c r="AQ875" s="345"/>
      <c r="AR875" s="345"/>
      <c r="AS875" s="345"/>
    </row>
    <row r="876" ht="13.5" customHeight="1">
      <c r="A876" s="424" t="str">
        <f>'Membership Application List'!A1105</f>
        <v/>
      </c>
      <c r="B876" s="443" t="str">
        <f t="shared" si="6"/>
        <v/>
      </c>
      <c r="C876" s="443" t="str">
        <f t="shared" si="7"/>
        <v/>
      </c>
      <c r="D876" s="426" t="str">
        <f>'Membership Application List'!E1105</f>
        <v/>
      </c>
      <c r="E876" s="426" t="b">
        <f>IF('Membership Application List'!J1105 = "Food/Litter Donation", 0, IF('Membership Application List'!J1105 = "$15 Donation, Discord Verification", IF('Membership Application List'!N1105 = TRUE, 15, 0)))</f>
        <v>0</v>
      </c>
      <c r="F876" s="426">
        <f>if('Membership Application List'!K1105=TRUE, 5,0)</f>
        <v>0</v>
      </c>
      <c r="G876" s="426">
        <f t="shared" si="8"/>
        <v>0</v>
      </c>
      <c r="H876" s="480" t="str">
        <f>'Membership Application List'!L1105</f>
        <v/>
      </c>
      <c r="I876" s="345"/>
      <c r="J876" s="441"/>
      <c r="K876" s="345"/>
      <c r="L876" s="478"/>
      <c r="M876" s="345"/>
      <c r="N876" s="345"/>
      <c r="O876" s="345"/>
      <c r="P876" s="414"/>
      <c r="Q876" s="414"/>
      <c r="R876" s="414"/>
      <c r="S876" s="445"/>
      <c r="T876" s="445"/>
      <c r="U876" s="445"/>
      <c r="V876" s="345"/>
      <c r="W876" s="441"/>
      <c r="X876" s="345"/>
      <c r="Y876" s="345"/>
      <c r="Z876" s="345"/>
      <c r="AA876" s="345"/>
      <c r="AB876" s="345"/>
      <c r="AC876" s="345"/>
      <c r="AD876" s="345"/>
      <c r="AE876" s="345"/>
      <c r="AF876" s="345"/>
      <c r="AG876" s="345"/>
      <c r="AH876" s="345"/>
      <c r="AI876" s="345"/>
      <c r="AJ876" s="345"/>
      <c r="AK876" s="345"/>
      <c r="AL876" s="345"/>
      <c r="AM876" s="345"/>
      <c r="AN876" s="345"/>
      <c r="AO876" s="345"/>
      <c r="AP876" s="345"/>
      <c r="AQ876" s="345"/>
      <c r="AR876" s="345"/>
      <c r="AS876" s="345"/>
    </row>
    <row r="877" ht="13.5" customHeight="1">
      <c r="A877" s="436" t="str">
        <f>'Membership Application List'!A1106</f>
        <v/>
      </c>
      <c r="B877" s="437" t="str">
        <f t="shared" si="6"/>
        <v/>
      </c>
      <c r="C877" s="437" t="str">
        <f t="shared" si="7"/>
        <v/>
      </c>
      <c r="D877" s="438" t="str">
        <f>'Membership Application List'!E1106</f>
        <v/>
      </c>
      <c r="E877" s="438" t="b">
        <f>IF('Membership Application List'!J1106 = "Food/Litter Donation", 0, IF('Membership Application List'!J1106 = "$15 Donation, Discord Verification", IF('Membership Application List'!N1106 = TRUE, 15, 0)))</f>
        <v>0</v>
      </c>
      <c r="F877" s="438">
        <f>if('Membership Application List'!K1106=TRUE, 5,0)</f>
        <v>0</v>
      </c>
      <c r="G877" s="438">
        <f t="shared" si="8"/>
        <v>0</v>
      </c>
      <c r="H877" s="479" t="str">
        <f>'Membership Application List'!L1106</f>
        <v/>
      </c>
      <c r="I877" s="345"/>
      <c r="J877" s="441"/>
      <c r="K877" s="345"/>
      <c r="L877" s="478"/>
      <c r="M877" s="345"/>
      <c r="N877" s="345"/>
      <c r="O877" s="345"/>
      <c r="P877" s="414"/>
      <c r="Q877" s="414"/>
      <c r="R877" s="414"/>
      <c r="S877" s="445"/>
      <c r="T877" s="445"/>
      <c r="U877" s="445"/>
      <c r="V877" s="345"/>
      <c r="W877" s="441"/>
      <c r="X877" s="345"/>
      <c r="Y877" s="345"/>
      <c r="Z877" s="345"/>
      <c r="AA877" s="345"/>
      <c r="AB877" s="345"/>
      <c r="AC877" s="345"/>
      <c r="AD877" s="345"/>
      <c r="AE877" s="345"/>
      <c r="AF877" s="345"/>
      <c r="AG877" s="345"/>
      <c r="AH877" s="345"/>
      <c r="AI877" s="345"/>
      <c r="AJ877" s="345"/>
      <c r="AK877" s="345"/>
      <c r="AL877" s="345"/>
      <c r="AM877" s="345"/>
      <c r="AN877" s="345"/>
      <c r="AO877" s="345"/>
      <c r="AP877" s="345"/>
      <c r="AQ877" s="345"/>
      <c r="AR877" s="345"/>
      <c r="AS877" s="345"/>
    </row>
    <row r="878" ht="13.5" customHeight="1">
      <c r="A878" s="424" t="str">
        <f>'Membership Application List'!A1107</f>
        <v/>
      </c>
      <c r="B878" s="443" t="str">
        <f t="shared" si="6"/>
        <v/>
      </c>
      <c r="C878" s="443" t="str">
        <f t="shared" si="7"/>
        <v/>
      </c>
      <c r="D878" s="426" t="str">
        <f>'Membership Application List'!E1107</f>
        <v/>
      </c>
      <c r="E878" s="426" t="b">
        <f>IF('Membership Application List'!J1107 = "Food/Litter Donation", 0, IF('Membership Application List'!J1107 = "$15 Donation, Discord Verification", IF('Membership Application List'!N1107 = TRUE, 15, 0)))</f>
        <v>0</v>
      </c>
      <c r="F878" s="426">
        <f>if('Membership Application List'!K1107=TRUE, 5,0)</f>
        <v>0</v>
      </c>
      <c r="G878" s="426">
        <f t="shared" si="8"/>
        <v>0</v>
      </c>
      <c r="H878" s="480" t="str">
        <f>'Membership Application List'!L1107</f>
        <v/>
      </c>
      <c r="I878" s="345"/>
      <c r="J878" s="441"/>
      <c r="K878" s="345"/>
      <c r="L878" s="478"/>
      <c r="M878" s="345"/>
      <c r="N878" s="345"/>
      <c r="O878" s="345"/>
      <c r="P878" s="414"/>
      <c r="Q878" s="414"/>
      <c r="R878" s="414"/>
      <c r="S878" s="445"/>
      <c r="T878" s="445"/>
      <c r="U878" s="445"/>
      <c r="V878" s="345"/>
      <c r="W878" s="441"/>
      <c r="X878" s="345"/>
      <c r="Y878" s="345"/>
      <c r="Z878" s="345"/>
      <c r="AA878" s="345"/>
      <c r="AB878" s="345"/>
      <c r="AC878" s="345"/>
      <c r="AD878" s="345"/>
      <c r="AE878" s="345"/>
      <c r="AF878" s="345"/>
      <c r="AG878" s="345"/>
      <c r="AH878" s="345"/>
      <c r="AI878" s="345"/>
      <c r="AJ878" s="345"/>
      <c r="AK878" s="345"/>
      <c r="AL878" s="345"/>
      <c r="AM878" s="345"/>
      <c r="AN878" s="345"/>
      <c r="AO878" s="345"/>
      <c r="AP878" s="345"/>
      <c r="AQ878" s="345"/>
      <c r="AR878" s="345"/>
      <c r="AS878" s="345"/>
    </row>
    <row r="879" ht="13.5" customHeight="1">
      <c r="A879" s="436" t="str">
        <f>'Membership Application List'!A1108</f>
        <v/>
      </c>
      <c r="B879" s="437" t="str">
        <f t="shared" si="6"/>
        <v/>
      </c>
      <c r="C879" s="437" t="str">
        <f t="shared" si="7"/>
        <v/>
      </c>
      <c r="D879" s="438" t="str">
        <f>'Membership Application List'!E1108</f>
        <v/>
      </c>
      <c r="E879" s="438" t="b">
        <f>IF('Membership Application List'!J1108 = "Food/Litter Donation", 0, IF('Membership Application List'!J1108 = "$15 Donation, Discord Verification", IF('Membership Application List'!N1108 = TRUE, 15, 0)))</f>
        <v>0</v>
      </c>
      <c r="F879" s="438">
        <f>if('Membership Application List'!K1108=TRUE, 5,0)</f>
        <v>0</v>
      </c>
      <c r="G879" s="438">
        <f t="shared" si="8"/>
        <v>0</v>
      </c>
      <c r="H879" s="479" t="str">
        <f>'Membership Application List'!L1108</f>
        <v/>
      </c>
      <c r="I879" s="345"/>
      <c r="J879" s="441"/>
      <c r="K879" s="345"/>
      <c r="L879" s="478"/>
      <c r="M879" s="345"/>
      <c r="N879" s="345"/>
      <c r="O879" s="345"/>
      <c r="P879" s="414"/>
      <c r="Q879" s="414"/>
      <c r="R879" s="414"/>
      <c r="S879" s="445"/>
      <c r="T879" s="445"/>
      <c r="U879" s="445"/>
      <c r="V879" s="345"/>
      <c r="W879" s="441"/>
      <c r="X879" s="345"/>
      <c r="Y879" s="345"/>
      <c r="Z879" s="345"/>
      <c r="AA879" s="345"/>
      <c r="AB879" s="345"/>
      <c r="AC879" s="345"/>
      <c r="AD879" s="345"/>
      <c r="AE879" s="345"/>
      <c r="AF879" s="345"/>
      <c r="AG879" s="345"/>
      <c r="AH879" s="345"/>
      <c r="AI879" s="345"/>
      <c r="AJ879" s="345"/>
      <c r="AK879" s="345"/>
      <c r="AL879" s="345"/>
      <c r="AM879" s="345"/>
      <c r="AN879" s="345"/>
      <c r="AO879" s="345"/>
      <c r="AP879" s="345"/>
      <c r="AQ879" s="345"/>
      <c r="AR879" s="345"/>
      <c r="AS879" s="345"/>
    </row>
    <row r="880" ht="13.5" customHeight="1">
      <c r="A880" s="424" t="str">
        <f>'Membership Application List'!A1109</f>
        <v/>
      </c>
      <c r="B880" s="443" t="str">
        <f t="shared" si="6"/>
        <v/>
      </c>
      <c r="C880" s="443" t="str">
        <f t="shared" si="7"/>
        <v/>
      </c>
      <c r="D880" s="426" t="str">
        <f>'Membership Application List'!E1109</f>
        <v/>
      </c>
      <c r="E880" s="426" t="b">
        <f>IF('Membership Application List'!J1109 = "Food/Litter Donation", 0, IF('Membership Application List'!J1109 = "$15 Donation, Discord Verification", IF('Membership Application List'!N1109 = TRUE, 15, 0)))</f>
        <v>0</v>
      </c>
      <c r="F880" s="426">
        <f>if('Membership Application List'!K1109=TRUE, 5,0)</f>
        <v>0</v>
      </c>
      <c r="G880" s="426">
        <f t="shared" si="8"/>
        <v>0</v>
      </c>
      <c r="H880" s="480" t="str">
        <f>'Membership Application List'!L1109</f>
        <v/>
      </c>
      <c r="I880" s="345"/>
      <c r="J880" s="441"/>
      <c r="K880" s="345"/>
      <c r="L880" s="478"/>
      <c r="M880" s="345"/>
      <c r="N880" s="345"/>
      <c r="O880" s="345"/>
      <c r="P880" s="414"/>
      <c r="Q880" s="414"/>
      <c r="R880" s="414"/>
      <c r="S880" s="445"/>
      <c r="T880" s="445"/>
      <c r="U880" s="445"/>
      <c r="V880" s="345"/>
      <c r="W880" s="441"/>
      <c r="X880" s="345"/>
      <c r="Y880" s="345"/>
      <c r="Z880" s="345"/>
      <c r="AA880" s="345"/>
      <c r="AB880" s="345"/>
      <c r="AC880" s="345"/>
      <c r="AD880" s="345"/>
      <c r="AE880" s="345"/>
      <c r="AF880" s="345"/>
      <c r="AG880" s="345"/>
      <c r="AH880" s="345"/>
      <c r="AI880" s="345"/>
      <c r="AJ880" s="345"/>
      <c r="AK880" s="345"/>
      <c r="AL880" s="345"/>
      <c r="AM880" s="345"/>
      <c r="AN880" s="345"/>
      <c r="AO880" s="345"/>
      <c r="AP880" s="345"/>
      <c r="AQ880" s="345"/>
      <c r="AR880" s="345"/>
      <c r="AS880" s="345"/>
    </row>
    <row r="881" ht="13.5" customHeight="1">
      <c r="A881" s="436" t="str">
        <f>'Membership Application List'!A1110</f>
        <v/>
      </c>
      <c r="B881" s="437" t="str">
        <f t="shared" si="6"/>
        <v/>
      </c>
      <c r="C881" s="437" t="str">
        <f t="shared" si="7"/>
        <v/>
      </c>
      <c r="D881" s="438" t="str">
        <f>'Membership Application List'!E1110</f>
        <v/>
      </c>
      <c r="E881" s="438" t="b">
        <f>IF('Membership Application List'!J1110 = "Food/Litter Donation", 0, IF('Membership Application List'!J1110 = "$15 Donation, Discord Verification", IF('Membership Application List'!N1110 = TRUE, 15, 0)))</f>
        <v>0</v>
      </c>
      <c r="F881" s="438">
        <f>if('Membership Application List'!K1110=TRUE, 5,0)</f>
        <v>0</v>
      </c>
      <c r="G881" s="438">
        <f t="shared" si="8"/>
        <v>0</v>
      </c>
      <c r="H881" s="479" t="str">
        <f>'Membership Application List'!L1110</f>
        <v/>
      </c>
      <c r="I881" s="345"/>
      <c r="J881" s="441"/>
      <c r="K881" s="345"/>
      <c r="L881" s="478"/>
      <c r="M881" s="345"/>
      <c r="N881" s="345"/>
      <c r="O881" s="345"/>
      <c r="P881" s="414"/>
      <c r="Q881" s="414"/>
      <c r="R881" s="414"/>
      <c r="S881" s="445"/>
      <c r="T881" s="445"/>
      <c r="U881" s="445"/>
      <c r="V881" s="345"/>
      <c r="W881" s="441"/>
      <c r="X881" s="345"/>
      <c r="Y881" s="345"/>
      <c r="Z881" s="345"/>
      <c r="AA881" s="345"/>
      <c r="AB881" s="345"/>
      <c r="AC881" s="345"/>
      <c r="AD881" s="345"/>
      <c r="AE881" s="345"/>
      <c r="AF881" s="345"/>
      <c r="AG881" s="345"/>
      <c r="AH881" s="345"/>
      <c r="AI881" s="345"/>
      <c r="AJ881" s="345"/>
      <c r="AK881" s="345"/>
      <c r="AL881" s="345"/>
      <c r="AM881" s="345"/>
      <c r="AN881" s="345"/>
      <c r="AO881" s="345"/>
      <c r="AP881" s="345"/>
      <c r="AQ881" s="345"/>
      <c r="AR881" s="345"/>
      <c r="AS881" s="345"/>
    </row>
    <row r="882" ht="13.5" customHeight="1">
      <c r="A882" s="424" t="str">
        <f>'Membership Application List'!A1111</f>
        <v/>
      </c>
      <c r="B882" s="443" t="str">
        <f t="shared" si="6"/>
        <v/>
      </c>
      <c r="C882" s="443" t="str">
        <f t="shared" si="7"/>
        <v/>
      </c>
      <c r="D882" s="426" t="str">
        <f>'Membership Application List'!E1111</f>
        <v/>
      </c>
      <c r="E882" s="426" t="b">
        <f>IF('Membership Application List'!J1111 = "Food/Litter Donation", 0, IF('Membership Application List'!J1111 = "$15 Donation, Discord Verification", IF('Membership Application List'!N1111 = TRUE, 15, 0)))</f>
        <v>0</v>
      </c>
      <c r="F882" s="426">
        <f>if('Membership Application List'!K1111=TRUE, 5,0)</f>
        <v>0</v>
      </c>
      <c r="G882" s="426">
        <f t="shared" si="8"/>
        <v>0</v>
      </c>
      <c r="H882" s="480" t="str">
        <f>'Membership Application List'!L1111</f>
        <v/>
      </c>
      <c r="I882" s="345"/>
      <c r="J882" s="441"/>
      <c r="K882" s="345"/>
      <c r="L882" s="478"/>
      <c r="M882" s="345"/>
      <c r="N882" s="345"/>
      <c r="O882" s="345"/>
      <c r="P882" s="414"/>
      <c r="Q882" s="414"/>
      <c r="R882" s="414"/>
      <c r="S882" s="445"/>
      <c r="T882" s="445"/>
      <c r="U882" s="445"/>
      <c r="V882" s="345"/>
      <c r="W882" s="441"/>
      <c r="X882" s="345"/>
      <c r="Y882" s="345"/>
      <c r="Z882" s="345"/>
      <c r="AA882" s="345"/>
      <c r="AB882" s="345"/>
      <c r="AC882" s="345"/>
      <c r="AD882" s="345"/>
      <c r="AE882" s="345"/>
      <c r="AF882" s="345"/>
      <c r="AG882" s="345"/>
      <c r="AH882" s="345"/>
      <c r="AI882" s="345"/>
      <c r="AJ882" s="345"/>
      <c r="AK882" s="345"/>
      <c r="AL882" s="345"/>
      <c r="AM882" s="345"/>
      <c r="AN882" s="345"/>
      <c r="AO882" s="345"/>
      <c r="AP882" s="345"/>
      <c r="AQ882" s="345"/>
      <c r="AR882" s="345"/>
      <c r="AS882" s="345"/>
    </row>
    <row r="883" ht="13.5" customHeight="1">
      <c r="A883" s="436" t="str">
        <f>'Membership Application List'!A1112</f>
        <v/>
      </c>
      <c r="B883" s="437" t="str">
        <f t="shared" si="6"/>
        <v/>
      </c>
      <c r="C883" s="437" t="str">
        <f t="shared" si="7"/>
        <v/>
      </c>
      <c r="D883" s="438" t="str">
        <f>'Membership Application List'!E1112</f>
        <v/>
      </c>
      <c r="E883" s="438" t="b">
        <f>IF('Membership Application List'!J1112 = "Food/Litter Donation", 0, IF('Membership Application List'!J1112 = "$15 Donation, Discord Verification", IF('Membership Application List'!N1112 = TRUE, 15, 0)))</f>
        <v>0</v>
      </c>
      <c r="F883" s="438">
        <f>if('Membership Application List'!K1112=TRUE, 5,0)</f>
        <v>0</v>
      </c>
      <c r="G883" s="438">
        <f t="shared" si="8"/>
        <v>0</v>
      </c>
      <c r="H883" s="479" t="str">
        <f>'Membership Application List'!L1112</f>
        <v/>
      </c>
      <c r="I883" s="345"/>
      <c r="J883" s="441"/>
      <c r="K883" s="345"/>
      <c r="L883" s="478"/>
      <c r="M883" s="345"/>
      <c r="N883" s="345"/>
      <c r="O883" s="345"/>
      <c r="P883" s="414"/>
      <c r="Q883" s="414"/>
      <c r="R883" s="414"/>
      <c r="S883" s="445"/>
      <c r="T883" s="445"/>
      <c r="U883" s="445"/>
      <c r="V883" s="345"/>
      <c r="W883" s="441"/>
      <c r="X883" s="345"/>
      <c r="Y883" s="345"/>
      <c r="Z883" s="345"/>
      <c r="AA883" s="345"/>
      <c r="AB883" s="345"/>
      <c r="AC883" s="345"/>
      <c r="AD883" s="345"/>
      <c r="AE883" s="345"/>
      <c r="AF883" s="345"/>
      <c r="AG883" s="345"/>
      <c r="AH883" s="345"/>
      <c r="AI883" s="345"/>
      <c r="AJ883" s="345"/>
      <c r="AK883" s="345"/>
      <c r="AL883" s="345"/>
      <c r="AM883" s="345"/>
      <c r="AN883" s="345"/>
      <c r="AO883" s="345"/>
      <c r="AP883" s="345"/>
      <c r="AQ883" s="345"/>
      <c r="AR883" s="345"/>
      <c r="AS883" s="345"/>
    </row>
    <row r="884" ht="13.5" customHeight="1">
      <c r="A884" s="424" t="str">
        <f>'Membership Application List'!A1113</f>
        <v/>
      </c>
      <c r="B884" s="443" t="str">
        <f t="shared" si="6"/>
        <v/>
      </c>
      <c r="C884" s="443" t="str">
        <f t="shared" si="7"/>
        <v/>
      </c>
      <c r="D884" s="426" t="str">
        <f>'Membership Application List'!E1113</f>
        <v/>
      </c>
      <c r="E884" s="426" t="b">
        <f>IF('Membership Application List'!J1113 = "Food/Litter Donation", 0, IF('Membership Application List'!J1113 = "$15 Donation, Discord Verification", IF('Membership Application List'!N1113 = TRUE, 15, 0)))</f>
        <v>0</v>
      </c>
      <c r="F884" s="426">
        <f>if('Membership Application List'!K1113=TRUE, 5,0)</f>
        <v>0</v>
      </c>
      <c r="G884" s="426">
        <f t="shared" si="8"/>
        <v>0</v>
      </c>
      <c r="H884" s="480" t="str">
        <f>'Membership Application List'!L1113</f>
        <v/>
      </c>
      <c r="I884" s="345"/>
      <c r="J884" s="441"/>
      <c r="K884" s="345"/>
      <c r="L884" s="478"/>
      <c r="M884" s="345"/>
      <c r="N884" s="345"/>
      <c r="O884" s="345"/>
      <c r="P884" s="414"/>
      <c r="Q884" s="414"/>
      <c r="R884" s="414"/>
      <c r="S884" s="445"/>
      <c r="T884" s="445"/>
      <c r="U884" s="445"/>
      <c r="V884" s="345"/>
      <c r="W884" s="441"/>
      <c r="X884" s="345"/>
      <c r="Y884" s="345"/>
      <c r="Z884" s="345"/>
      <c r="AA884" s="345"/>
      <c r="AB884" s="345"/>
      <c r="AC884" s="345"/>
      <c r="AD884" s="345"/>
      <c r="AE884" s="345"/>
      <c r="AF884" s="345"/>
      <c r="AG884" s="345"/>
      <c r="AH884" s="345"/>
      <c r="AI884" s="345"/>
      <c r="AJ884" s="345"/>
      <c r="AK884" s="345"/>
      <c r="AL884" s="345"/>
      <c r="AM884" s="345"/>
      <c r="AN884" s="345"/>
      <c r="AO884" s="345"/>
      <c r="AP884" s="345"/>
      <c r="AQ884" s="345"/>
      <c r="AR884" s="345"/>
      <c r="AS884" s="345"/>
    </row>
    <row r="885" ht="13.5" customHeight="1">
      <c r="A885" s="436" t="str">
        <f>'Membership Application List'!A1114</f>
        <v/>
      </c>
      <c r="B885" s="437" t="str">
        <f t="shared" si="6"/>
        <v/>
      </c>
      <c r="C885" s="437" t="str">
        <f t="shared" si="7"/>
        <v/>
      </c>
      <c r="D885" s="438" t="str">
        <f>'Membership Application List'!E1114</f>
        <v/>
      </c>
      <c r="E885" s="438" t="b">
        <f>IF('Membership Application List'!J1114 = "Food/Litter Donation", 0, IF('Membership Application List'!J1114 = "$15 Donation, Discord Verification", IF('Membership Application List'!N1114 = TRUE, 15, 0)))</f>
        <v>0</v>
      </c>
      <c r="F885" s="438">
        <f>if('Membership Application List'!K1114=TRUE, 5,0)</f>
        <v>0</v>
      </c>
      <c r="G885" s="438">
        <f t="shared" si="8"/>
        <v>0</v>
      </c>
      <c r="H885" s="479" t="str">
        <f>'Membership Application List'!L1114</f>
        <v/>
      </c>
      <c r="I885" s="345"/>
      <c r="J885" s="441"/>
      <c r="K885" s="345"/>
      <c r="L885" s="478"/>
      <c r="M885" s="345"/>
      <c r="N885" s="345"/>
      <c r="O885" s="345"/>
      <c r="P885" s="414"/>
      <c r="Q885" s="414"/>
      <c r="R885" s="414"/>
      <c r="S885" s="445"/>
      <c r="T885" s="445"/>
      <c r="U885" s="445"/>
      <c r="V885" s="345"/>
      <c r="W885" s="441"/>
      <c r="X885" s="345"/>
      <c r="Y885" s="345"/>
      <c r="Z885" s="345"/>
      <c r="AA885" s="345"/>
      <c r="AB885" s="345"/>
      <c r="AC885" s="345"/>
      <c r="AD885" s="345"/>
      <c r="AE885" s="345"/>
      <c r="AF885" s="345"/>
      <c r="AG885" s="345"/>
      <c r="AH885" s="345"/>
      <c r="AI885" s="345"/>
      <c r="AJ885" s="345"/>
      <c r="AK885" s="345"/>
      <c r="AL885" s="345"/>
      <c r="AM885" s="345"/>
      <c r="AN885" s="345"/>
      <c r="AO885" s="345"/>
      <c r="AP885" s="345"/>
      <c r="AQ885" s="345"/>
      <c r="AR885" s="345"/>
      <c r="AS885" s="345"/>
    </row>
    <row r="886" ht="13.5" customHeight="1">
      <c r="A886" s="424" t="str">
        <f>'Membership Application List'!A1115</f>
        <v/>
      </c>
      <c r="B886" s="443" t="str">
        <f t="shared" si="6"/>
        <v/>
      </c>
      <c r="C886" s="443" t="str">
        <f t="shared" si="7"/>
        <v/>
      </c>
      <c r="D886" s="426" t="str">
        <f>'Membership Application List'!E1115</f>
        <v/>
      </c>
      <c r="E886" s="426" t="b">
        <f>IF('Membership Application List'!J1115 = "Food/Litter Donation", 0, IF('Membership Application List'!J1115 = "$15 Donation, Discord Verification", IF('Membership Application List'!N1115 = TRUE, 15, 0)))</f>
        <v>0</v>
      </c>
      <c r="F886" s="426">
        <f>if('Membership Application List'!K1115=TRUE, 5,0)</f>
        <v>0</v>
      </c>
      <c r="G886" s="426">
        <f t="shared" si="8"/>
        <v>0</v>
      </c>
      <c r="H886" s="480" t="str">
        <f>'Membership Application List'!L1115</f>
        <v/>
      </c>
      <c r="I886" s="345"/>
      <c r="J886" s="441"/>
      <c r="K886" s="345"/>
      <c r="L886" s="478"/>
      <c r="M886" s="345"/>
      <c r="N886" s="345"/>
      <c r="O886" s="345"/>
      <c r="P886" s="414"/>
      <c r="Q886" s="414"/>
      <c r="R886" s="414"/>
      <c r="S886" s="445"/>
      <c r="T886" s="445"/>
      <c r="U886" s="445"/>
      <c r="V886" s="345"/>
      <c r="W886" s="441"/>
      <c r="X886" s="345"/>
      <c r="Y886" s="345"/>
      <c r="Z886" s="345"/>
      <c r="AA886" s="345"/>
      <c r="AB886" s="345"/>
      <c r="AC886" s="345"/>
      <c r="AD886" s="345"/>
      <c r="AE886" s="345"/>
      <c r="AF886" s="345"/>
      <c r="AG886" s="345"/>
      <c r="AH886" s="345"/>
      <c r="AI886" s="345"/>
      <c r="AJ886" s="345"/>
      <c r="AK886" s="345"/>
      <c r="AL886" s="345"/>
      <c r="AM886" s="345"/>
      <c r="AN886" s="345"/>
      <c r="AO886" s="345"/>
      <c r="AP886" s="345"/>
      <c r="AQ886" s="345"/>
      <c r="AR886" s="345"/>
      <c r="AS886" s="345"/>
    </row>
    <row r="887" ht="13.5" customHeight="1">
      <c r="A887" s="436" t="str">
        <f>'Membership Application List'!A1116</f>
        <v/>
      </c>
      <c r="B887" s="437" t="str">
        <f t="shared" si="6"/>
        <v/>
      </c>
      <c r="C887" s="437" t="str">
        <f t="shared" si="7"/>
        <v/>
      </c>
      <c r="D887" s="438" t="str">
        <f>'Membership Application List'!E1116</f>
        <v/>
      </c>
      <c r="E887" s="438" t="b">
        <f>IF('Membership Application List'!J1116 = "Food/Litter Donation", 0, IF('Membership Application List'!J1116 = "$15 Donation, Discord Verification", IF('Membership Application List'!N1116 = TRUE, 15, 0)))</f>
        <v>0</v>
      </c>
      <c r="F887" s="438">
        <f>if('Membership Application List'!K1116=TRUE, 5,0)</f>
        <v>0</v>
      </c>
      <c r="G887" s="438">
        <f t="shared" si="8"/>
        <v>0</v>
      </c>
      <c r="H887" s="479" t="str">
        <f>'Membership Application List'!L1116</f>
        <v/>
      </c>
      <c r="I887" s="345"/>
      <c r="J887" s="441"/>
      <c r="K887" s="345"/>
      <c r="L887" s="478"/>
      <c r="M887" s="345"/>
      <c r="N887" s="345"/>
      <c r="O887" s="345"/>
      <c r="P887" s="414"/>
      <c r="Q887" s="414"/>
      <c r="R887" s="414"/>
      <c r="S887" s="445"/>
      <c r="T887" s="445"/>
      <c r="U887" s="445"/>
      <c r="V887" s="345"/>
      <c r="W887" s="441"/>
      <c r="X887" s="345"/>
      <c r="Y887" s="345"/>
      <c r="Z887" s="345"/>
      <c r="AA887" s="345"/>
      <c r="AB887" s="345"/>
      <c r="AC887" s="345"/>
      <c r="AD887" s="345"/>
      <c r="AE887" s="345"/>
      <c r="AF887" s="345"/>
      <c r="AG887" s="345"/>
      <c r="AH887" s="345"/>
      <c r="AI887" s="345"/>
      <c r="AJ887" s="345"/>
      <c r="AK887" s="345"/>
      <c r="AL887" s="345"/>
      <c r="AM887" s="345"/>
      <c r="AN887" s="345"/>
      <c r="AO887" s="345"/>
      <c r="AP887" s="345"/>
      <c r="AQ887" s="345"/>
      <c r="AR887" s="345"/>
      <c r="AS887" s="345"/>
    </row>
    <row r="888" ht="13.5" customHeight="1">
      <c r="A888" s="424" t="str">
        <f>'Membership Application List'!A1117</f>
        <v/>
      </c>
      <c r="B888" s="443" t="str">
        <f t="shared" si="6"/>
        <v/>
      </c>
      <c r="C888" s="443" t="str">
        <f t="shared" si="7"/>
        <v/>
      </c>
      <c r="D888" s="426" t="str">
        <f>'Membership Application List'!E1117</f>
        <v/>
      </c>
      <c r="E888" s="426" t="b">
        <f>IF('Membership Application List'!J1117 = "Food/Litter Donation", 0, IF('Membership Application List'!J1117 = "$15 Donation, Discord Verification", IF('Membership Application List'!N1117 = TRUE, 15, 0)))</f>
        <v>0</v>
      </c>
      <c r="F888" s="426">
        <f>if('Membership Application List'!K1117=TRUE, 5,0)</f>
        <v>0</v>
      </c>
      <c r="G888" s="426">
        <f t="shared" si="8"/>
        <v>0</v>
      </c>
      <c r="H888" s="480" t="str">
        <f>'Membership Application List'!L1117</f>
        <v/>
      </c>
      <c r="I888" s="345"/>
      <c r="J888" s="441"/>
      <c r="K888" s="345"/>
      <c r="L888" s="478"/>
      <c r="M888" s="345"/>
      <c r="N888" s="345"/>
      <c r="O888" s="345"/>
      <c r="P888" s="414"/>
      <c r="Q888" s="414"/>
      <c r="R888" s="414"/>
      <c r="S888" s="445"/>
      <c r="T888" s="445"/>
      <c r="U888" s="445"/>
      <c r="V888" s="345"/>
      <c r="W888" s="441"/>
      <c r="X888" s="345"/>
      <c r="Y888" s="345"/>
      <c r="Z888" s="345"/>
      <c r="AA888" s="345"/>
      <c r="AB888" s="345"/>
      <c r="AC888" s="345"/>
      <c r="AD888" s="345"/>
      <c r="AE888" s="345"/>
      <c r="AF888" s="345"/>
      <c r="AG888" s="345"/>
      <c r="AH888" s="345"/>
      <c r="AI888" s="345"/>
      <c r="AJ888" s="345"/>
      <c r="AK888" s="345"/>
      <c r="AL888" s="345"/>
      <c r="AM888" s="345"/>
      <c r="AN888" s="345"/>
      <c r="AO888" s="345"/>
      <c r="AP888" s="345"/>
      <c r="AQ888" s="345"/>
      <c r="AR888" s="345"/>
      <c r="AS888" s="345"/>
    </row>
    <row r="889" ht="13.5" customHeight="1">
      <c r="A889" s="436" t="str">
        <f>'Membership Application List'!A1118</f>
        <v/>
      </c>
      <c r="B889" s="437" t="str">
        <f t="shared" si="6"/>
        <v/>
      </c>
      <c r="C889" s="437" t="str">
        <f t="shared" si="7"/>
        <v/>
      </c>
      <c r="D889" s="438" t="str">
        <f>'Membership Application List'!E1118</f>
        <v/>
      </c>
      <c r="E889" s="438" t="b">
        <f>IF('Membership Application List'!J1118 = "Food/Litter Donation", 0, IF('Membership Application List'!J1118 = "$15 Donation, Discord Verification", IF('Membership Application List'!N1118 = TRUE, 15, 0)))</f>
        <v>0</v>
      </c>
      <c r="F889" s="438">
        <f>if('Membership Application List'!K1118=TRUE, 5,0)</f>
        <v>0</v>
      </c>
      <c r="G889" s="438">
        <f t="shared" si="8"/>
        <v>0</v>
      </c>
      <c r="H889" s="479" t="str">
        <f>'Membership Application List'!L1118</f>
        <v/>
      </c>
      <c r="I889" s="345"/>
      <c r="J889" s="441"/>
      <c r="K889" s="345"/>
      <c r="L889" s="478"/>
      <c r="M889" s="345"/>
      <c r="N889" s="345"/>
      <c r="O889" s="345"/>
      <c r="P889" s="414"/>
      <c r="Q889" s="414"/>
      <c r="R889" s="414"/>
      <c r="S889" s="445"/>
      <c r="T889" s="445"/>
      <c r="U889" s="445"/>
      <c r="V889" s="345"/>
      <c r="W889" s="441"/>
      <c r="X889" s="345"/>
      <c r="Y889" s="345"/>
      <c r="Z889" s="345"/>
      <c r="AA889" s="345"/>
      <c r="AB889" s="345"/>
      <c r="AC889" s="345"/>
      <c r="AD889" s="345"/>
      <c r="AE889" s="345"/>
      <c r="AF889" s="345"/>
      <c r="AG889" s="345"/>
      <c r="AH889" s="345"/>
      <c r="AI889" s="345"/>
      <c r="AJ889" s="345"/>
      <c r="AK889" s="345"/>
      <c r="AL889" s="345"/>
      <c r="AM889" s="345"/>
      <c r="AN889" s="345"/>
      <c r="AO889" s="345"/>
      <c r="AP889" s="345"/>
      <c r="AQ889" s="345"/>
      <c r="AR889" s="345"/>
      <c r="AS889" s="345"/>
    </row>
    <row r="890" ht="13.5" customHeight="1">
      <c r="A890" s="424" t="str">
        <f>'Membership Application List'!A1119</f>
        <v/>
      </c>
      <c r="B890" s="443" t="str">
        <f t="shared" si="6"/>
        <v/>
      </c>
      <c r="C890" s="443" t="str">
        <f t="shared" si="7"/>
        <v/>
      </c>
      <c r="D890" s="426" t="str">
        <f>'Membership Application List'!E1119</f>
        <v/>
      </c>
      <c r="E890" s="426" t="b">
        <f>IF('Membership Application List'!J1119 = "Food/Litter Donation", 0, IF('Membership Application List'!J1119 = "$15 Donation, Discord Verification", IF('Membership Application List'!N1119 = TRUE, 15, 0)))</f>
        <v>0</v>
      </c>
      <c r="F890" s="426">
        <f>if('Membership Application List'!K1119=TRUE, 5,0)</f>
        <v>0</v>
      </c>
      <c r="G890" s="426">
        <f t="shared" si="8"/>
        <v>0</v>
      </c>
      <c r="H890" s="480" t="str">
        <f>'Membership Application List'!L1119</f>
        <v/>
      </c>
      <c r="I890" s="345"/>
      <c r="J890" s="441"/>
      <c r="K890" s="345"/>
      <c r="L890" s="478"/>
      <c r="M890" s="345"/>
      <c r="N890" s="345"/>
      <c r="O890" s="345"/>
      <c r="P890" s="414"/>
      <c r="Q890" s="414"/>
      <c r="R890" s="414"/>
      <c r="S890" s="445"/>
      <c r="T890" s="445"/>
      <c r="U890" s="445"/>
      <c r="V890" s="345"/>
      <c r="W890" s="441"/>
      <c r="X890" s="345"/>
      <c r="Y890" s="345"/>
      <c r="Z890" s="345"/>
      <c r="AA890" s="345"/>
      <c r="AB890" s="345"/>
      <c r="AC890" s="345"/>
      <c r="AD890" s="345"/>
      <c r="AE890" s="345"/>
      <c r="AF890" s="345"/>
      <c r="AG890" s="345"/>
      <c r="AH890" s="345"/>
      <c r="AI890" s="345"/>
      <c r="AJ890" s="345"/>
      <c r="AK890" s="345"/>
      <c r="AL890" s="345"/>
      <c r="AM890" s="345"/>
      <c r="AN890" s="345"/>
      <c r="AO890" s="345"/>
      <c r="AP890" s="345"/>
      <c r="AQ890" s="345"/>
      <c r="AR890" s="345"/>
      <c r="AS890" s="345"/>
    </row>
    <row r="891" ht="13.5" customHeight="1">
      <c r="A891" s="436" t="str">
        <f>'Membership Application List'!A1120</f>
        <v/>
      </c>
      <c r="B891" s="437" t="str">
        <f t="shared" si="6"/>
        <v/>
      </c>
      <c r="C891" s="437" t="str">
        <f t="shared" si="7"/>
        <v/>
      </c>
      <c r="D891" s="438" t="str">
        <f>'Membership Application List'!E1120</f>
        <v/>
      </c>
      <c r="E891" s="438" t="b">
        <f>IF('Membership Application List'!J1120 = "Food/Litter Donation", 0, IF('Membership Application List'!J1120 = "$15 Donation, Discord Verification", IF('Membership Application List'!N1120 = TRUE, 15, 0)))</f>
        <v>0</v>
      </c>
      <c r="F891" s="438">
        <f>if('Membership Application List'!K1120=TRUE, 5,0)</f>
        <v>0</v>
      </c>
      <c r="G891" s="438">
        <f t="shared" si="8"/>
        <v>0</v>
      </c>
      <c r="H891" s="479" t="str">
        <f>'Membership Application List'!L1120</f>
        <v/>
      </c>
      <c r="I891" s="345"/>
      <c r="J891" s="441"/>
      <c r="K891" s="345"/>
      <c r="L891" s="478"/>
      <c r="M891" s="345"/>
      <c r="N891" s="345"/>
      <c r="O891" s="345"/>
      <c r="P891" s="414"/>
      <c r="Q891" s="414"/>
      <c r="R891" s="414"/>
      <c r="S891" s="445"/>
      <c r="T891" s="445"/>
      <c r="U891" s="445"/>
      <c r="V891" s="345"/>
      <c r="W891" s="441"/>
      <c r="X891" s="345"/>
      <c r="Y891" s="345"/>
      <c r="Z891" s="345"/>
      <c r="AA891" s="345"/>
      <c r="AB891" s="345"/>
      <c r="AC891" s="345"/>
      <c r="AD891" s="345"/>
      <c r="AE891" s="345"/>
      <c r="AF891" s="345"/>
      <c r="AG891" s="345"/>
      <c r="AH891" s="345"/>
      <c r="AI891" s="345"/>
      <c r="AJ891" s="345"/>
      <c r="AK891" s="345"/>
      <c r="AL891" s="345"/>
      <c r="AM891" s="345"/>
      <c r="AN891" s="345"/>
      <c r="AO891" s="345"/>
      <c r="AP891" s="345"/>
      <c r="AQ891" s="345"/>
      <c r="AR891" s="345"/>
      <c r="AS891" s="345"/>
    </row>
    <row r="892" ht="13.5" customHeight="1">
      <c r="A892" s="424" t="str">
        <f>'Membership Application List'!A1121</f>
        <v/>
      </c>
      <c r="B892" s="443" t="str">
        <f t="shared" si="6"/>
        <v/>
      </c>
      <c r="C892" s="443" t="str">
        <f t="shared" si="7"/>
        <v/>
      </c>
      <c r="D892" s="426" t="str">
        <f>'Membership Application List'!E1121</f>
        <v/>
      </c>
      <c r="E892" s="426" t="b">
        <f>IF('Membership Application List'!J1121 = "Food/Litter Donation", 0, IF('Membership Application List'!J1121 = "$15 Donation, Discord Verification", IF('Membership Application List'!N1121 = TRUE, 15, 0)))</f>
        <v>0</v>
      </c>
      <c r="F892" s="426">
        <f>if('Membership Application List'!K1121=TRUE, 5,0)</f>
        <v>0</v>
      </c>
      <c r="G892" s="426">
        <f t="shared" si="8"/>
        <v>0</v>
      </c>
      <c r="H892" s="480" t="str">
        <f>'Membership Application List'!L1121</f>
        <v/>
      </c>
      <c r="I892" s="345"/>
      <c r="J892" s="441"/>
      <c r="K892" s="345"/>
      <c r="L892" s="478"/>
      <c r="M892" s="345"/>
      <c r="N892" s="345"/>
      <c r="O892" s="345"/>
      <c r="P892" s="414"/>
      <c r="Q892" s="414"/>
      <c r="R892" s="414"/>
      <c r="S892" s="445"/>
      <c r="T892" s="445"/>
      <c r="U892" s="445"/>
      <c r="V892" s="345"/>
      <c r="W892" s="441"/>
      <c r="X892" s="345"/>
      <c r="Y892" s="345"/>
      <c r="Z892" s="345"/>
      <c r="AA892" s="345"/>
      <c r="AB892" s="345"/>
      <c r="AC892" s="345"/>
      <c r="AD892" s="345"/>
      <c r="AE892" s="345"/>
      <c r="AF892" s="345"/>
      <c r="AG892" s="345"/>
      <c r="AH892" s="345"/>
      <c r="AI892" s="345"/>
      <c r="AJ892" s="345"/>
      <c r="AK892" s="345"/>
      <c r="AL892" s="345"/>
      <c r="AM892" s="345"/>
      <c r="AN892" s="345"/>
      <c r="AO892" s="345"/>
      <c r="AP892" s="345"/>
      <c r="AQ892" s="345"/>
      <c r="AR892" s="345"/>
      <c r="AS892" s="345"/>
    </row>
    <row r="893" ht="13.5" customHeight="1">
      <c r="A893" s="436" t="str">
        <f>'Membership Application List'!A1122</f>
        <v/>
      </c>
      <c r="B893" s="437" t="str">
        <f t="shared" si="6"/>
        <v/>
      </c>
      <c r="C893" s="437" t="str">
        <f t="shared" si="7"/>
        <v/>
      </c>
      <c r="D893" s="438" t="str">
        <f>'Membership Application List'!E1122</f>
        <v/>
      </c>
      <c r="E893" s="438" t="b">
        <f>IF('Membership Application List'!J1122 = "Food/Litter Donation", 0, IF('Membership Application List'!J1122 = "$15 Donation, Discord Verification", IF('Membership Application List'!N1122 = TRUE, 15, 0)))</f>
        <v>0</v>
      </c>
      <c r="F893" s="438">
        <f>if('Membership Application List'!K1122=TRUE, 5,0)</f>
        <v>0</v>
      </c>
      <c r="G893" s="438">
        <f t="shared" si="8"/>
        <v>0</v>
      </c>
      <c r="H893" s="479" t="str">
        <f>'Membership Application List'!L1122</f>
        <v/>
      </c>
      <c r="I893" s="345"/>
      <c r="J893" s="441"/>
      <c r="K893" s="345"/>
      <c r="L893" s="478"/>
      <c r="M893" s="345"/>
      <c r="N893" s="345"/>
      <c r="O893" s="345"/>
      <c r="P893" s="414"/>
      <c r="Q893" s="414"/>
      <c r="R893" s="414"/>
      <c r="S893" s="445"/>
      <c r="T893" s="445"/>
      <c r="U893" s="445"/>
      <c r="V893" s="345"/>
      <c r="W893" s="441"/>
      <c r="X893" s="345"/>
      <c r="Y893" s="345"/>
      <c r="Z893" s="345"/>
      <c r="AA893" s="345"/>
      <c r="AB893" s="345"/>
      <c r="AC893" s="345"/>
      <c r="AD893" s="345"/>
      <c r="AE893" s="345"/>
      <c r="AF893" s="345"/>
      <c r="AG893" s="345"/>
      <c r="AH893" s="345"/>
      <c r="AI893" s="345"/>
      <c r="AJ893" s="345"/>
      <c r="AK893" s="345"/>
      <c r="AL893" s="345"/>
      <c r="AM893" s="345"/>
      <c r="AN893" s="345"/>
      <c r="AO893" s="345"/>
      <c r="AP893" s="345"/>
      <c r="AQ893" s="345"/>
      <c r="AR893" s="345"/>
      <c r="AS893" s="345"/>
    </row>
    <row r="894" ht="13.5" customHeight="1">
      <c r="A894" s="424" t="str">
        <f>'Membership Application List'!A1123</f>
        <v/>
      </c>
      <c r="B894" s="443" t="str">
        <f t="shared" si="6"/>
        <v/>
      </c>
      <c r="C894" s="443" t="str">
        <f t="shared" si="7"/>
        <v/>
      </c>
      <c r="D894" s="426" t="str">
        <f>'Membership Application List'!E1123</f>
        <v/>
      </c>
      <c r="E894" s="426" t="b">
        <f>IF('Membership Application List'!J1123 = "Food/Litter Donation", 0, IF('Membership Application List'!J1123 = "$15 Donation, Discord Verification", IF('Membership Application List'!N1123 = TRUE, 15, 0)))</f>
        <v>0</v>
      </c>
      <c r="F894" s="426">
        <f>if('Membership Application List'!K1123=TRUE, 5,0)</f>
        <v>0</v>
      </c>
      <c r="G894" s="426">
        <f t="shared" si="8"/>
        <v>0</v>
      </c>
      <c r="H894" s="480" t="str">
        <f>'Membership Application List'!L1123</f>
        <v/>
      </c>
      <c r="I894" s="345"/>
      <c r="J894" s="441"/>
      <c r="K894" s="345"/>
      <c r="L894" s="478"/>
      <c r="M894" s="345"/>
      <c r="N894" s="345"/>
      <c r="O894" s="345"/>
      <c r="P894" s="414"/>
      <c r="Q894" s="414"/>
      <c r="R894" s="414"/>
      <c r="S894" s="445"/>
      <c r="T894" s="445"/>
      <c r="U894" s="445"/>
      <c r="V894" s="345"/>
      <c r="W894" s="441"/>
      <c r="X894" s="345"/>
      <c r="Y894" s="345"/>
      <c r="Z894" s="345"/>
      <c r="AA894" s="345"/>
      <c r="AB894" s="345"/>
      <c r="AC894" s="345"/>
      <c r="AD894" s="345"/>
      <c r="AE894" s="345"/>
      <c r="AF894" s="345"/>
      <c r="AG894" s="345"/>
      <c r="AH894" s="345"/>
      <c r="AI894" s="345"/>
      <c r="AJ894" s="345"/>
      <c r="AK894" s="345"/>
      <c r="AL894" s="345"/>
      <c r="AM894" s="345"/>
      <c r="AN894" s="345"/>
      <c r="AO894" s="345"/>
      <c r="AP894" s="345"/>
      <c r="AQ894" s="345"/>
      <c r="AR894" s="345"/>
      <c r="AS894" s="345"/>
    </row>
    <row r="895" ht="13.5" customHeight="1">
      <c r="A895" s="436" t="str">
        <f>'Membership Application List'!A1124</f>
        <v/>
      </c>
      <c r="B895" s="437" t="str">
        <f t="shared" si="6"/>
        <v/>
      </c>
      <c r="C895" s="437" t="str">
        <f t="shared" si="7"/>
        <v/>
      </c>
      <c r="D895" s="438" t="str">
        <f>'Membership Application List'!E1124</f>
        <v/>
      </c>
      <c r="E895" s="438" t="b">
        <f>IF('Membership Application List'!J1124 = "Food/Litter Donation", 0, IF('Membership Application List'!J1124 = "$15 Donation, Discord Verification", IF('Membership Application List'!N1124 = TRUE, 15, 0)))</f>
        <v>0</v>
      </c>
      <c r="F895" s="438">
        <f>if('Membership Application List'!K1124=TRUE, 5,0)</f>
        <v>0</v>
      </c>
      <c r="G895" s="438">
        <f t="shared" si="8"/>
        <v>0</v>
      </c>
      <c r="H895" s="479" t="str">
        <f>'Membership Application List'!L1124</f>
        <v/>
      </c>
      <c r="I895" s="345"/>
      <c r="J895" s="441"/>
      <c r="K895" s="345"/>
      <c r="L895" s="478"/>
      <c r="M895" s="345"/>
      <c r="N895" s="345"/>
      <c r="O895" s="345"/>
      <c r="P895" s="414"/>
      <c r="Q895" s="414"/>
      <c r="R895" s="414"/>
      <c r="S895" s="445"/>
      <c r="T895" s="445"/>
      <c r="U895" s="445"/>
      <c r="V895" s="345"/>
      <c r="W895" s="441"/>
      <c r="X895" s="345"/>
      <c r="Y895" s="345"/>
      <c r="Z895" s="345"/>
      <c r="AA895" s="345"/>
      <c r="AB895" s="345"/>
      <c r="AC895" s="345"/>
      <c r="AD895" s="345"/>
      <c r="AE895" s="345"/>
      <c r="AF895" s="345"/>
      <c r="AG895" s="345"/>
      <c r="AH895" s="345"/>
      <c r="AI895" s="345"/>
      <c r="AJ895" s="345"/>
      <c r="AK895" s="345"/>
      <c r="AL895" s="345"/>
      <c r="AM895" s="345"/>
      <c r="AN895" s="345"/>
      <c r="AO895" s="345"/>
      <c r="AP895" s="345"/>
      <c r="AQ895" s="345"/>
      <c r="AR895" s="345"/>
      <c r="AS895" s="345"/>
    </row>
    <row r="896" ht="13.5" customHeight="1">
      <c r="A896" s="424" t="str">
        <f>'Membership Application List'!A1125</f>
        <v/>
      </c>
      <c r="B896" s="443" t="str">
        <f t="shared" si="6"/>
        <v/>
      </c>
      <c r="C896" s="443" t="str">
        <f t="shared" si="7"/>
        <v/>
      </c>
      <c r="D896" s="426" t="str">
        <f>'Membership Application List'!E1125</f>
        <v/>
      </c>
      <c r="E896" s="426" t="b">
        <f>IF('Membership Application List'!J1125 = "Food/Litter Donation", 0, IF('Membership Application List'!J1125 = "$15 Donation, Discord Verification", IF('Membership Application List'!N1125 = TRUE, 15, 0)))</f>
        <v>0</v>
      </c>
      <c r="F896" s="426">
        <f>if('Membership Application List'!K1125=TRUE, 5,0)</f>
        <v>0</v>
      </c>
      <c r="G896" s="426">
        <f t="shared" si="8"/>
        <v>0</v>
      </c>
      <c r="H896" s="480" t="str">
        <f>'Membership Application List'!L1125</f>
        <v/>
      </c>
      <c r="I896" s="345"/>
      <c r="J896" s="441"/>
      <c r="K896" s="345"/>
      <c r="L896" s="478"/>
      <c r="M896" s="345"/>
      <c r="N896" s="345"/>
      <c r="O896" s="345"/>
      <c r="P896" s="414"/>
      <c r="Q896" s="414"/>
      <c r="R896" s="414"/>
      <c r="S896" s="445"/>
      <c r="T896" s="445"/>
      <c r="U896" s="445"/>
      <c r="V896" s="345"/>
      <c r="W896" s="441"/>
      <c r="X896" s="345"/>
      <c r="Y896" s="345"/>
      <c r="Z896" s="345"/>
      <c r="AA896" s="345"/>
      <c r="AB896" s="345"/>
      <c r="AC896" s="345"/>
      <c r="AD896" s="345"/>
      <c r="AE896" s="345"/>
      <c r="AF896" s="345"/>
      <c r="AG896" s="345"/>
      <c r="AH896" s="345"/>
      <c r="AI896" s="345"/>
      <c r="AJ896" s="345"/>
      <c r="AK896" s="345"/>
      <c r="AL896" s="345"/>
      <c r="AM896" s="345"/>
      <c r="AN896" s="345"/>
      <c r="AO896" s="345"/>
      <c r="AP896" s="345"/>
      <c r="AQ896" s="345"/>
      <c r="AR896" s="345"/>
      <c r="AS896" s="345"/>
    </row>
    <row r="897" ht="13.5" customHeight="1">
      <c r="A897" s="436" t="str">
        <f>'Membership Application List'!A1126</f>
        <v/>
      </c>
      <c r="B897" s="437" t="str">
        <f t="shared" si="6"/>
        <v/>
      </c>
      <c r="C897" s="437" t="str">
        <f t="shared" si="7"/>
        <v/>
      </c>
      <c r="D897" s="438" t="str">
        <f>'Membership Application List'!E1126</f>
        <v/>
      </c>
      <c r="E897" s="438" t="b">
        <f>IF('Membership Application List'!J1126 = "Food/Litter Donation", 0, IF('Membership Application List'!J1126 = "$15 Donation, Discord Verification", IF('Membership Application List'!N1126 = TRUE, 15, 0)))</f>
        <v>0</v>
      </c>
      <c r="F897" s="438">
        <f>if('Membership Application List'!K1126=TRUE, 5,0)</f>
        <v>0</v>
      </c>
      <c r="G897" s="438">
        <f t="shared" si="8"/>
        <v>0</v>
      </c>
      <c r="H897" s="479" t="str">
        <f>'Membership Application List'!L1126</f>
        <v/>
      </c>
      <c r="I897" s="345"/>
      <c r="J897" s="441"/>
      <c r="K897" s="345"/>
      <c r="L897" s="478"/>
      <c r="M897" s="345"/>
      <c r="N897" s="345"/>
      <c r="O897" s="345"/>
      <c r="P897" s="414"/>
      <c r="Q897" s="414"/>
      <c r="R897" s="414"/>
      <c r="S897" s="445"/>
      <c r="T897" s="445"/>
      <c r="U897" s="445"/>
      <c r="V897" s="345"/>
      <c r="W897" s="441"/>
      <c r="X897" s="345"/>
      <c r="Y897" s="345"/>
      <c r="Z897" s="345"/>
      <c r="AA897" s="345"/>
      <c r="AB897" s="345"/>
      <c r="AC897" s="345"/>
      <c r="AD897" s="345"/>
      <c r="AE897" s="345"/>
      <c r="AF897" s="345"/>
      <c r="AG897" s="345"/>
      <c r="AH897" s="345"/>
      <c r="AI897" s="345"/>
      <c r="AJ897" s="345"/>
      <c r="AK897" s="345"/>
      <c r="AL897" s="345"/>
      <c r="AM897" s="345"/>
      <c r="AN897" s="345"/>
      <c r="AO897" s="345"/>
      <c r="AP897" s="345"/>
      <c r="AQ897" s="345"/>
      <c r="AR897" s="345"/>
      <c r="AS897" s="345"/>
    </row>
    <row r="898" ht="13.5" customHeight="1">
      <c r="A898" s="424" t="str">
        <f>'Membership Application List'!A1127</f>
        <v/>
      </c>
      <c r="B898" s="443" t="str">
        <f t="shared" si="6"/>
        <v/>
      </c>
      <c r="C898" s="443" t="str">
        <f t="shared" si="7"/>
        <v/>
      </c>
      <c r="D898" s="426" t="str">
        <f>'Membership Application List'!E1127</f>
        <v/>
      </c>
      <c r="E898" s="426" t="b">
        <f>IF('Membership Application List'!J1127 = "Food/Litter Donation", 0, IF('Membership Application List'!J1127 = "$15 Donation, Discord Verification", IF('Membership Application List'!N1127 = TRUE, 15, 0)))</f>
        <v>0</v>
      </c>
      <c r="F898" s="426">
        <f>if('Membership Application List'!K1127=TRUE, 5,0)</f>
        <v>0</v>
      </c>
      <c r="G898" s="426">
        <f t="shared" si="8"/>
        <v>0</v>
      </c>
      <c r="H898" s="480" t="str">
        <f>'Membership Application List'!L1127</f>
        <v/>
      </c>
      <c r="I898" s="345"/>
      <c r="J898" s="441"/>
      <c r="K898" s="345"/>
      <c r="L898" s="478"/>
      <c r="M898" s="345"/>
      <c r="N898" s="345"/>
      <c r="O898" s="345"/>
      <c r="P898" s="414"/>
      <c r="Q898" s="414"/>
      <c r="R898" s="414"/>
      <c r="S898" s="445"/>
      <c r="T898" s="445"/>
      <c r="U898" s="445"/>
      <c r="V898" s="345"/>
      <c r="W898" s="441"/>
      <c r="X898" s="345"/>
      <c r="Y898" s="345"/>
      <c r="Z898" s="345"/>
      <c r="AA898" s="345"/>
      <c r="AB898" s="345"/>
      <c r="AC898" s="345"/>
      <c r="AD898" s="345"/>
      <c r="AE898" s="345"/>
      <c r="AF898" s="345"/>
      <c r="AG898" s="345"/>
      <c r="AH898" s="345"/>
      <c r="AI898" s="345"/>
      <c r="AJ898" s="345"/>
      <c r="AK898" s="345"/>
      <c r="AL898" s="345"/>
      <c r="AM898" s="345"/>
      <c r="AN898" s="345"/>
      <c r="AO898" s="345"/>
      <c r="AP898" s="345"/>
      <c r="AQ898" s="345"/>
      <c r="AR898" s="345"/>
      <c r="AS898" s="345"/>
    </row>
    <row r="899" ht="13.5" customHeight="1">
      <c r="A899" s="436" t="str">
        <f>'Membership Application List'!A1128</f>
        <v/>
      </c>
      <c r="B899" s="437" t="str">
        <f t="shared" si="6"/>
        <v/>
      </c>
      <c r="C899" s="437" t="str">
        <f t="shared" si="7"/>
        <v/>
      </c>
      <c r="D899" s="438" t="str">
        <f>'Membership Application List'!E1128</f>
        <v/>
      </c>
      <c r="E899" s="438" t="b">
        <f>IF('Membership Application List'!J1128 = "Food/Litter Donation", 0, IF('Membership Application List'!J1128 = "$15 Donation, Discord Verification", IF('Membership Application List'!N1128 = TRUE, 15, 0)))</f>
        <v>0</v>
      </c>
      <c r="F899" s="438">
        <f>if('Membership Application List'!K1128=TRUE, 5,0)</f>
        <v>0</v>
      </c>
      <c r="G899" s="438">
        <f t="shared" si="8"/>
        <v>0</v>
      </c>
      <c r="H899" s="479" t="str">
        <f>'Membership Application List'!L1128</f>
        <v/>
      </c>
      <c r="I899" s="345"/>
      <c r="J899" s="441"/>
      <c r="K899" s="345"/>
      <c r="L899" s="478"/>
      <c r="M899" s="345"/>
      <c r="N899" s="345"/>
      <c r="O899" s="345"/>
      <c r="P899" s="414"/>
      <c r="Q899" s="414"/>
      <c r="R899" s="414"/>
      <c r="S899" s="445"/>
      <c r="T899" s="445"/>
      <c r="U899" s="445"/>
      <c r="V899" s="345"/>
      <c r="W899" s="441"/>
      <c r="X899" s="345"/>
      <c r="Y899" s="345"/>
      <c r="Z899" s="345"/>
      <c r="AA899" s="345"/>
      <c r="AB899" s="345"/>
      <c r="AC899" s="345"/>
      <c r="AD899" s="345"/>
      <c r="AE899" s="345"/>
      <c r="AF899" s="345"/>
      <c r="AG899" s="345"/>
      <c r="AH899" s="345"/>
      <c r="AI899" s="345"/>
      <c r="AJ899" s="345"/>
      <c r="AK899" s="345"/>
      <c r="AL899" s="345"/>
      <c r="AM899" s="345"/>
      <c r="AN899" s="345"/>
      <c r="AO899" s="345"/>
      <c r="AP899" s="345"/>
      <c r="AQ899" s="345"/>
      <c r="AR899" s="345"/>
      <c r="AS899" s="345"/>
    </row>
    <row r="900" ht="13.5" customHeight="1">
      <c r="A900" s="424" t="str">
        <f>'Membership Application List'!A1129</f>
        <v/>
      </c>
      <c r="B900" s="443" t="str">
        <f t="shared" si="6"/>
        <v/>
      </c>
      <c r="C900" s="443" t="str">
        <f t="shared" si="7"/>
        <v/>
      </c>
      <c r="D900" s="426" t="str">
        <f>'Membership Application List'!E1129</f>
        <v/>
      </c>
      <c r="E900" s="426" t="b">
        <f>IF('Membership Application List'!J1129 = "Food/Litter Donation", 0, IF('Membership Application List'!J1129 = "$15 Donation, Discord Verification", IF('Membership Application List'!N1129 = TRUE, 15, 0)))</f>
        <v>0</v>
      </c>
      <c r="F900" s="426">
        <f>if('Membership Application List'!K1129=TRUE, 5,0)</f>
        <v>0</v>
      </c>
      <c r="G900" s="426">
        <f t="shared" si="8"/>
        <v>0</v>
      </c>
      <c r="H900" s="480" t="str">
        <f>'Membership Application List'!L1129</f>
        <v/>
      </c>
      <c r="I900" s="345"/>
      <c r="J900" s="441"/>
      <c r="K900" s="345"/>
      <c r="L900" s="478"/>
      <c r="M900" s="345"/>
      <c r="N900" s="345"/>
      <c r="O900" s="345"/>
      <c r="P900" s="414"/>
      <c r="Q900" s="414"/>
      <c r="R900" s="414"/>
      <c r="S900" s="445"/>
      <c r="T900" s="445"/>
      <c r="U900" s="445"/>
      <c r="V900" s="345"/>
      <c r="W900" s="441"/>
      <c r="X900" s="345"/>
      <c r="Y900" s="345"/>
      <c r="Z900" s="345"/>
      <c r="AA900" s="345"/>
      <c r="AB900" s="345"/>
      <c r="AC900" s="345"/>
      <c r="AD900" s="345"/>
      <c r="AE900" s="345"/>
      <c r="AF900" s="345"/>
      <c r="AG900" s="345"/>
      <c r="AH900" s="345"/>
      <c r="AI900" s="345"/>
      <c r="AJ900" s="345"/>
      <c r="AK900" s="345"/>
      <c r="AL900" s="345"/>
      <c r="AM900" s="345"/>
      <c r="AN900" s="345"/>
      <c r="AO900" s="345"/>
      <c r="AP900" s="345"/>
      <c r="AQ900" s="345"/>
      <c r="AR900" s="345"/>
      <c r="AS900" s="345"/>
    </row>
    <row r="901" ht="13.5" customHeight="1">
      <c r="A901" s="436" t="str">
        <f>'Membership Application List'!A1130</f>
        <v/>
      </c>
      <c r="B901" s="437" t="str">
        <f t="shared" si="6"/>
        <v/>
      </c>
      <c r="C901" s="437" t="str">
        <f t="shared" si="7"/>
        <v/>
      </c>
      <c r="D901" s="438" t="str">
        <f>'Membership Application List'!E1130</f>
        <v/>
      </c>
      <c r="E901" s="438" t="b">
        <f>IF('Membership Application List'!J1130 = "Food/Litter Donation", 0, IF('Membership Application List'!J1130 = "$15 Donation, Discord Verification", IF('Membership Application List'!N1130 = TRUE, 15, 0)))</f>
        <v>0</v>
      </c>
      <c r="F901" s="438">
        <f>if('Membership Application List'!K1130=TRUE, 5,0)</f>
        <v>0</v>
      </c>
      <c r="G901" s="438">
        <f t="shared" si="8"/>
        <v>0</v>
      </c>
      <c r="H901" s="479" t="str">
        <f>'Membership Application List'!L1130</f>
        <v/>
      </c>
      <c r="I901" s="345"/>
      <c r="J901" s="441"/>
      <c r="K901" s="345"/>
      <c r="L901" s="478"/>
      <c r="M901" s="345"/>
      <c r="N901" s="345"/>
      <c r="O901" s="345"/>
      <c r="P901" s="414"/>
      <c r="Q901" s="414"/>
      <c r="R901" s="414"/>
      <c r="S901" s="445"/>
      <c r="T901" s="445"/>
      <c r="U901" s="445"/>
      <c r="V901" s="345"/>
      <c r="W901" s="441"/>
      <c r="X901" s="345"/>
      <c r="Y901" s="345"/>
      <c r="Z901" s="345"/>
      <c r="AA901" s="345"/>
      <c r="AB901" s="345"/>
      <c r="AC901" s="345"/>
      <c r="AD901" s="345"/>
      <c r="AE901" s="345"/>
      <c r="AF901" s="345"/>
      <c r="AG901" s="345"/>
      <c r="AH901" s="345"/>
      <c r="AI901" s="345"/>
      <c r="AJ901" s="345"/>
      <c r="AK901" s="345"/>
      <c r="AL901" s="345"/>
      <c r="AM901" s="345"/>
      <c r="AN901" s="345"/>
      <c r="AO901" s="345"/>
      <c r="AP901" s="345"/>
      <c r="AQ901" s="345"/>
      <c r="AR901" s="345"/>
      <c r="AS901" s="345"/>
    </row>
    <row r="902" ht="13.5" customHeight="1">
      <c r="A902" s="424" t="str">
        <f>'Membership Application List'!A1131</f>
        <v/>
      </c>
      <c r="B902" s="443" t="str">
        <f t="shared" si="6"/>
        <v/>
      </c>
      <c r="C902" s="443" t="str">
        <f t="shared" si="7"/>
        <v/>
      </c>
      <c r="D902" s="426" t="str">
        <f>'Membership Application List'!E1131</f>
        <v/>
      </c>
      <c r="E902" s="426" t="b">
        <f>IF('Membership Application List'!J1131 = "Food/Litter Donation", 0, IF('Membership Application List'!J1131 = "$15 Donation, Discord Verification", IF('Membership Application List'!N1131 = TRUE, 15, 0)))</f>
        <v>0</v>
      </c>
      <c r="F902" s="426">
        <f>if('Membership Application List'!K1131=TRUE, 5,0)</f>
        <v>0</v>
      </c>
      <c r="G902" s="426">
        <f t="shared" si="8"/>
        <v>0</v>
      </c>
      <c r="H902" s="480" t="str">
        <f>'Membership Application List'!L1131</f>
        <v/>
      </c>
      <c r="I902" s="345"/>
      <c r="J902" s="441"/>
      <c r="K902" s="345"/>
      <c r="L902" s="478"/>
      <c r="M902" s="345"/>
      <c r="N902" s="345"/>
      <c r="O902" s="345"/>
      <c r="P902" s="414"/>
      <c r="Q902" s="414"/>
      <c r="R902" s="414"/>
      <c r="S902" s="445"/>
      <c r="T902" s="445"/>
      <c r="U902" s="445"/>
      <c r="V902" s="345"/>
      <c r="W902" s="441"/>
      <c r="X902" s="345"/>
      <c r="Y902" s="345"/>
      <c r="Z902" s="345"/>
      <c r="AA902" s="345"/>
      <c r="AB902" s="345"/>
      <c r="AC902" s="345"/>
      <c r="AD902" s="345"/>
      <c r="AE902" s="345"/>
      <c r="AF902" s="345"/>
      <c r="AG902" s="345"/>
      <c r="AH902" s="345"/>
      <c r="AI902" s="345"/>
      <c r="AJ902" s="345"/>
      <c r="AK902" s="345"/>
      <c r="AL902" s="345"/>
      <c r="AM902" s="345"/>
      <c r="AN902" s="345"/>
      <c r="AO902" s="345"/>
      <c r="AP902" s="345"/>
      <c r="AQ902" s="345"/>
      <c r="AR902" s="345"/>
      <c r="AS902" s="345"/>
    </row>
    <row r="903" ht="13.5" customHeight="1">
      <c r="A903" s="436" t="str">
        <f>'Membership Application List'!A1132</f>
        <v/>
      </c>
      <c r="B903" s="437" t="str">
        <f t="shared" si="6"/>
        <v/>
      </c>
      <c r="C903" s="437" t="str">
        <f t="shared" si="7"/>
        <v/>
      </c>
      <c r="D903" s="438" t="str">
        <f>'Membership Application List'!E1132</f>
        <v/>
      </c>
      <c r="E903" s="438" t="b">
        <f>IF('Membership Application List'!J1132 = "Food/Litter Donation", 0, IF('Membership Application List'!J1132 = "$15 Donation, Discord Verification", IF('Membership Application List'!N1132 = TRUE, 15, 0)))</f>
        <v>0</v>
      </c>
      <c r="F903" s="438">
        <f>if('Membership Application List'!K1132=TRUE, 5,0)</f>
        <v>0</v>
      </c>
      <c r="G903" s="438">
        <f t="shared" si="8"/>
        <v>0</v>
      </c>
      <c r="H903" s="479" t="str">
        <f>'Membership Application List'!L1132</f>
        <v/>
      </c>
      <c r="I903" s="345"/>
      <c r="J903" s="441"/>
      <c r="K903" s="345"/>
      <c r="L903" s="478"/>
      <c r="M903" s="345"/>
      <c r="N903" s="345"/>
      <c r="O903" s="345"/>
      <c r="P903" s="414"/>
      <c r="Q903" s="414"/>
      <c r="R903" s="414"/>
      <c r="S903" s="445"/>
      <c r="T903" s="445"/>
      <c r="U903" s="445"/>
      <c r="V903" s="345"/>
      <c r="W903" s="441"/>
      <c r="X903" s="345"/>
      <c r="Y903" s="345"/>
      <c r="Z903" s="345"/>
      <c r="AA903" s="345"/>
      <c r="AB903" s="345"/>
      <c r="AC903" s="345"/>
      <c r="AD903" s="345"/>
      <c r="AE903" s="345"/>
      <c r="AF903" s="345"/>
      <c r="AG903" s="345"/>
      <c r="AH903" s="345"/>
      <c r="AI903" s="345"/>
      <c r="AJ903" s="345"/>
      <c r="AK903" s="345"/>
      <c r="AL903" s="345"/>
      <c r="AM903" s="345"/>
      <c r="AN903" s="345"/>
      <c r="AO903" s="345"/>
      <c r="AP903" s="345"/>
      <c r="AQ903" s="345"/>
      <c r="AR903" s="345"/>
      <c r="AS903" s="345"/>
    </row>
    <row r="904" ht="13.5" customHeight="1">
      <c r="A904" s="424" t="str">
        <f>'Membership Application List'!A1133</f>
        <v/>
      </c>
      <c r="B904" s="443" t="str">
        <f t="shared" si="6"/>
        <v/>
      </c>
      <c r="C904" s="443" t="str">
        <f t="shared" si="7"/>
        <v/>
      </c>
      <c r="D904" s="426" t="str">
        <f>'Membership Application List'!E1133</f>
        <v/>
      </c>
      <c r="E904" s="426" t="b">
        <f>IF('Membership Application List'!J1133 = "Food/Litter Donation", 0, IF('Membership Application List'!J1133 = "$15 Donation, Discord Verification", IF('Membership Application List'!N1133 = TRUE, 15, 0)))</f>
        <v>0</v>
      </c>
      <c r="F904" s="426">
        <f>if('Membership Application List'!K1133=TRUE, 5,0)</f>
        <v>0</v>
      </c>
      <c r="G904" s="426">
        <f t="shared" si="8"/>
        <v>0</v>
      </c>
      <c r="H904" s="480" t="str">
        <f>'Membership Application List'!L1133</f>
        <v/>
      </c>
      <c r="I904" s="345"/>
      <c r="J904" s="441"/>
      <c r="K904" s="345"/>
      <c r="L904" s="478"/>
      <c r="M904" s="345"/>
      <c r="N904" s="345"/>
      <c r="O904" s="345"/>
      <c r="P904" s="414"/>
      <c r="Q904" s="414"/>
      <c r="R904" s="414"/>
      <c r="S904" s="445"/>
      <c r="T904" s="445"/>
      <c r="U904" s="445"/>
      <c r="V904" s="345"/>
      <c r="W904" s="441"/>
      <c r="X904" s="345"/>
      <c r="Y904" s="345"/>
      <c r="Z904" s="345"/>
      <c r="AA904" s="345"/>
      <c r="AB904" s="345"/>
      <c r="AC904" s="345"/>
      <c r="AD904" s="345"/>
      <c r="AE904" s="345"/>
      <c r="AF904" s="345"/>
      <c r="AG904" s="345"/>
      <c r="AH904" s="345"/>
      <c r="AI904" s="345"/>
      <c r="AJ904" s="345"/>
      <c r="AK904" s="345"/>
      <c r="AL904" s="345"/>
      <c r="AM904" s="345"/>
      <c r="AN904" s="345"/>
      <c r="AO904" s="345"/>
      <c r="AP904" s="345"/>
      <c r="AQ904" s="345"/>
      <c r="AR904" s="345"/>
      <c r="AS904" s="345"/>
    </row>
    <row r="905" ht="13.5" customHeight="1">
      <c r="A905" s="436" t="str">
        <f>'Membership Application List'!A1134</f>
        <v/>
      </c>
      <c r="B905" s="437" t="str">
        <f t="shared" si="6"/>
        <v/>
      </c>
      <c r="C905" s="437" t="str">
        <f t="shared" si="7"/>
        <v/>
      </c>
      <c r="D905" s="438" t="str">
        <f>'Membership Application List'!E1134</f>
        <v/>
      </c>
      <c r="E905" s="438" t="b">
        <f>IF('Membership Application List'!J1134 = "Food/Litter Donation", 0, IF('Membership Application List'!J1134 = "$15 Donation, Discord Verification", IF('Membership Application List'!N1134 = TRUE, 15, 0)))</f>
        <v>0</v>
      </c>
      <c r="F905" s="438">
        <f>if('Membership Application List'!K1134=TRUE, 5,0)</f>
        <v>0</v>
      </c>
      <c r="G905" s="438">
        <f t="shared" si="8"/>
        <v>0</v>
      </c>
      <c r="H905" s="479" t="str">
        <f>'Membership Application List'!L1134</f>
        <v/>
      </c>
      <c r="I905" s="345"/>
      <c r="J905" s="441"/>
      <c r="K905" s="345"/>
      <c r="L905" s="478"/>
      <c r="M905" s="345"/>
      <c r="N905" s="345"/>
      <c r="O905" s="345"/>
      <c r="P905" s="414"/>
      <c r="Q905" s="414"/>
      <c r="R905" s="414"/>
      <c r="S905" s="445"/>
      <c r="T905" s="445"/>
      <c r="U905" s="445"/>
      <c r="V905" s="345"/>
      <c r="W905" s="441"/>
      <c r="X905" s="345"/>
      <c r="Y905" s="345"/>
      <c r="Z905" s="345"/>
      <c r="AA905" s="345"/>
      <c r="AB905" s="345"/>
      <c r="AC905" s="345"/>
      <c r="AD905" s="345"/>
      <c r="AE905" s="345"/>
      <c r="AF905" s="345"/>
      <c r="AG905" s="345"/>
      <c r="AH905" s="345"/>
      <c r="AI905" s="345"/>
      <c r="AJ905" s="345"/>
      <c r="AK905" s="345"/>
      <c r="AL905" s="345"/>
      <c r="AM905" s="345"/>
      <c r="AN905" s="345"/>
      <c r="AO905" s="345"/>
      <c r="AP905" s="345"/>
      <c r="AQ905" s="345"/>
      <c r="AR905" s="345"/>
      <c r="AS905" s="345"/>
    </row>
    <row r="906" ht="13.5" customHeight="1">
      <c r="A906" s="424" t="str">
        <f>'Membership Application List'!A1135</f>
        <v/>
      </c>
      <c r="B906" s="443" t="str">
        <f t="shared" si="6"/>
        <v/>
      </c>
      <c r="C906" s="443" t="str">
        <f t="shared" si="7"/>
        <v/>
      </c>
      <c r="D906" s="426" t="str">
        <f>'Membership Application List'!E1135</f>
        <v/>
      </c>
      <c r="E906" s="426" t="b">
        <f>IF('Membership Application List'!J1135 = "Food/Litter Donation", 0, IF('Membership Application List'!J1135 = "$15 Donation, Discord Verification", IF('Membership Application List'!N1135 = TRUE, 15, 0)))</f>
        <v>0</v>
      </c>
      <c r="F906" s="426">
        <f>if('Membership Application List'!K1135=TRUE, 5,0)</f>
        <v>0</v>
      </c>
      <c r="G906" s="426">
        <f t="shared" si="8"/>
        <v>0</v>
      </c>
      <c r="H906" s="480" t="str">
        <f>'Membership Application List'!L1135</f>
        <v/>
      </c>
      <c r="I906" s="345"/>
      <c r="J906" s="441"/>
      <c r="K906" s="345"/>
      <c r="L906" s="478"/>
      <c r="M906" s="345"/>
      <c r="N906" s="345"/>
      <c r="O906" s="345"/>
      <c r="P906" s="414"/>
      <c r="Q906" s="414"/>
      <c r="R906" s="414"/>
      <c r="S906" s="445"/>
      <c r="T906" s="445"/>
      <c r="U906" s="445"/>
      <c r="V906" s="345"/>
      <c r="W906" s="441"/>
      <c r="X906" s="345"/>
      <c r="Y906" s="345"/>
      <c r="Z906" s="345"/>
      <c r="AA906" s="345"/>
      <c r="AB906" s="345"/>
      <c r="AC906" s="345"/>
      <c r="AD906" s="345"/>
      <c r="AE906" s="345"/>
      <c r="AF906" s="345"/>
      <c r="AG906" s="345"/>
      <c r="AH906" s="345"/>
      <c r="AI906" s="345"/>
      <c r="AJ906" s="345"/>
      <c r="AK906" s="345"/>
      <c r="AL906" s="345"/>
      <c r="AM906" s="345"/>
      <c r="AN906" s="345"/>
      <c r="AO906" s="345"/>
      <c r="AP906" s="345"/>
      <c r="AQ906" s="345"/>
      <c r="AR906" s="345"/>
      <c r="AS906" s="345"/>
    </row>
    <row r="907" ht="13.5" customHeight="1">
      <c r="A907" s="436" t="str">
        <f>'Membership Application List'!A1136</f>
        <v/>
      </c>
      <c r="B907" s="437" t="str">
        <f t="shared" si="6"/>
        <v/>
      </c>
      <c r="C907" s="437" t="str">
        <f t="shared" si="7"/>
        <v/>
      </c>
      <c r="D907" s="438" t="str">
        <f>'Membership Application List'!E1136</f>
        <v/>
      </c>
      <c r="E907" s="438" t="b">
        <f>IF('Membership Application List'!J1136 = "Food/Litter Donation", 0, IF('Membership Application List'!J1136 = "$15 Donation, Discord Verification", IF('Membership Application List'!N1136 = TRUE, 15, 0)))</f>
        <v>0</v>
      </c>
      <c r="F907" s="438">
        <f>if('Membership Application List'!K1136=TRUE, 5,0)</f>
        <v>0</v>
      </c>
      <c r="G907" s="438">
        <f t="shared" si="8"/>
        <v>0</v>
      </c>
      <c r="H907" s="479" t="str">
        <f>'Membership Application List'!L1136</f>
        <v/>
      </c>
      <c r="I907" s="345"/>
      <c r="J907" s="441"/>
      <c r="K907" s="345"/>
      <c r="L907" s="478"/>
      <c r="M907" s="345"/>
      <c r="N907" s="345"/>
      <c r="O907" s="345"/>
      <c r="P907" s="414"/>
      <c r="Q907" s="414"/>
      <c r="R907" s="414"/>
      <c r="S907" s="445"/>
      <c r="T907" s="445"/>
      <c r="U907" s="445"/>
      <c r="V907" s="345"/>
      <c r="W907" s="441"/>
      <c r="X907" s="345"/>
      <c r="Y907" s="345"/>
      <c r="Z907" s="345"/>
      <c r="AA907" s="345"/>
      <c r="AB907" s="345"/>
      <c r="AC907" s="345"/>
      <c r="AD907" s="345"/>
      <c r="AE907" s="345"/>
      <c r="AF907" s="345"/>
      <c r="AG907" s="345"/>
      <c r="AH907" s="345"/>
      <c r="AI907" s="345"/>
      <c r="AJ907" s="345"/>
      <c r="AK907" s="345"/>
      <c r="AL907" s="345"/>
      <c r="AM907" s="345"/>
      <c r="AN907" s="345"/>
      <c r="AO907" s="345"/>
      <c r="AP907" s="345"/>
      <c r="AQ907" s="345"/>
      <c r="AR907" s="345"/>
      <c r="AS907" s="345"/>
    </row>
    <row r="908" ht="13.5" customHeight="1">
      <c r="A908" s="424" t="str">
        <f>'Membership Application List'!A1137</f>
        <v/>
      </c>
      <c r="B908" s="443" t="str">
        <f t="shared" si="6"/>
        <v/>
      </c>
      <c r="C908" s="443" t="str">
        <f t="shared" si="7"/>
        <v/>
      </c>
      <c r="D908" s="426" t="str">
        <f>'Membership Application List'!E1137</f>
        <v/>
      </c>
      <c r="E908" s="426" t="b">
        <f>IF('Membership Application List'!J1137 = "Food/Litter Donation", 0, IF('Membership Application List'!J1137 = "$15 Donation, Discord Verification", IF('Membership Application List'!N1137 = TRUE, 15, 0)))</f>
        <v>0</v>
      </c>
      <c r="F908" s="426">
        <f>if('Membership Application List'!K1137=TRUE, 5,0)</f>
        <v>0</v>
      </c>
      <c r="G908" s="426">
        <f t="shared" si="8"/>
        <v>0</v>
      </c>
      <c r="H908" s="480" t="str">
        <f>'Membership Application List'!L1137</f>
        <v/>
      </c>
      <c r="I908" s="345"/>
      <c r="J908" s="441"/>
      <c r="K908" s="345"/>
      <c r="L908" s="478"/>
      <c r="M908" s="345"/>
      <c r="N908" s="345"/>
      <c r="O908" s="345"/>
      <c r="P908" s="414"/>
      <c r="Q908" s="414"/>
      <c r="R908" s="414"/>
      <c r="S908" s="445"/>
      <c r="T908" s="445"/>
      <c r="U908" s="445"/>
      <c r="V908" s="345"/>
      <c r="W908" s="441"/>
      <c r="X908" s="345"/>
      <c r="Y908" s="345"/>
      <c r="Z908" s="345"/>
      <c r="AA908" s="345"/>
      <c r="AB908" s="345"/>
      <c r="AC908" s="345"/>
      <c r="AD908" s="345"/>
      <c r="AE908" s="345"/>
      <c r="AF908" s="345"/>
      <c r="AG908" s="345"/>
      <c r="AH908" s="345"/>
      <c r="AI908" s="345"/>
      <c r="AJ908" s="345"/>
      <c r="AK908" s="345"/>
      <c r="AL908" s="345"/>
      <c r="AM908" s="345"/>
      <c r="AN908" s="345"/>
      <c r="AO908" s="345"/>
      <c r="AP908" s="345"/>
      <c r="AQ908" s="345"/>
      <c r="AR908" s="345"/>
      <c r="AS908" s="345"/>
    </row>
    <row r="909" ht="13.5" customHeight="1">
      <c r="A909" s="436" t="str">
        <f>'Membership Application List'!A1138</f>
        <v/>
      </c>
      <c r="B909" s="437" t="str">
        <f t="shared" si="6"/>
        <v/>
      </c>
      <c r="C909" s="437" t="str">
        <f t="shared" si="7"/>
        <v/>
      </c>
      <c r="D909" s="438" t="str">
        <f>'Membership Application List'!E1138</f>
        <v/>
      </c>
      <c r="E909" s="438" t="b">
        <f>IF('Membership Application List'!J1138 = "Food/Litter Donation", 0, IF('Membership Application List'!J1138 = "$15 Donation, Discord Verification", IF('Membership Application List'!N1138 = TRUE, 15, 0)))</f>
        <v>0</v>
      </c>
      <c r="F909" s="438">
        <f>if('Membership Application List'!K1138=TRUE, 5,0)</f>
        <v>0</v>
      </c>
      <c r="G909" s="438">
        <f t="shared" si="8"/>
        <v>0</v>
      </c>
      <c r="H909" s="479" t="str">
        <f>'Membership Application List'!L1138</f>
        <v/>
      </c>
      <c r="I909" s="345"/>
      <c r="J909" s="441"/>
      <c r="K909" s="345"/>
      <c r="L909" s="478"/>
      <c r="M909" s="345"/>
      <c r="N909" s="345"/>
      <c r="O909" s="345"/>
      <c r="P909" s="414"/>
      <c r="Q909" s="414"/>
      <c r="R909" s="414"/>
      <c r="S909" s="445"/>
      <c r="T909" s="445"/>
      <c r="U909" s="445"/>
      <c r="V909" s="345"/>
      <c r="W909" s="441"/>
      <c r="X909" s="345"/>
      <c r="Y909" s="345"/>
      <c r="Z909" s="345"/>
      <c r="AA909" s="345"/>
      <c r="AB909" s="345"/>
      <c r="AC909" s="345"/>
      <c r="AD909" s="345"/>
      <c r="AE909" s="345"/>
      <c r="AF909" s="345"/>
      <c r="AG909" s="345"/>
      <c r="AH909" s="345"/>
      <c r="AI909" s="345"/>
      <c r="AJ909" s="345"/>
      <c r="AK909" s="345"/>
      <c r="AL909" s="345"/>
      <c r="AM909" s="345"/>
      <c r="AN909" s="345"/>
      <c r="AO909" s="345"/>
      <c r="AP909" s="345"/>
      <c r="AQ909" s="345"/>
      <c r="AR909" s="345"/>
      <c r="AS909" s="345"/>
    </row>
    <row r="910" ht="13.5" customHeight="1">
      <c r="A910" s="424" t="str">
        <f>'Membership Application List'!A1139</f>
        <v/>
      </c>
      <c r="B910" s="443" t="str">
        <f t="shared" si="6"/>
        <v/>
      </c>
      <c r="C910" s="443" t="str">
        <f t="shared" si="7"/>
        <v/>
      </c>
      <c r="D910" s="426" t="str">
        <f>'Membership Application List'!E1139</f>
        <v/>
      </c>
      <c r="E910" s="426" t="b">
        <f>IF('Membership Application List'!J1139 = "Food/Litter Donation", 0, IF('Membership Application List'!J1139 = "$15 Donation, Discord Verification", IF('Membership Application List'!N1139 = TRUE, 15, 0)))</f>
        <v>0</v>
      </c>
      <c r="F910" s="426">
        <f>if('Membership Application List'!K1139=TRUE, 5,0)</f>
        <v>0</v>
      </c>
      <c r="G910" s="426">
        <f t="shared" si="8"/>
        <v>0</v>
      </c>
      <c r="H910" s="480" t="str">
        <f>'Membership Application List'!L1139</f>
        <v/>
      </c>
      <c r="I910" s="345"/>
      <c r="J910" s="441"/>
      <c r="K910" s="345"/>
      <c r="L910" s="478"/>
      <c r="M910" s="345"/>
      <c r="N910" s="345"/>
      <c r="O910" s="345"/>
      <c r="P910" s="414"/>
      <c r="Q910" s="414"/>
      <c r="R910" s="414"/>
      <c r="S910" s="445"/>
      <c r="T910" s="445"/>
      <c r="U910" s="445"/>
      <c r="V910" s="345"/>
      <c r="W910" s="441"/>
      <c r="X910" s="345"/>
      <c r="Y910" s="345"/>
      <c r="Z910" s="345"/>
      <c r="AA910" s="345"/>
      <c r="AB910" s="345"/>
      <c r="AC910" s="345"/>
      <c r="AD910" s="345"/>
      <c r="AE910" s="345"/>
      <c r="AF910" s="345"/>
      <c r="AG910" s="345"/>
      <c r="AH910" s="345"/>
      <c r="AI910" s="345"/>
      <c r="AJ910" s="345"/>
      <c r="AK910" s="345"/>
      <c r="AL910" s="345"/>
      <c r="AM910" s="345"/>
      <c r="AN910" s="345"/>
      <c r="AO910" s="345"/>
      <c r="AP910" s="345"/>
      <c r="AQ910" s="345"/>
      <c r="AR910" s="345"/>
      <c r="AS910" s="345"/>
    </row>
    <row r="911" ht="13.5" customHeight="1">
      <c r="A911" s="436" t="str">
        <f>'Membership Application List'!A1140</f>
        <v/>
      </c>
      <c r="B911" s="437" t="str">
        <f t="shared" si="6"/>
        <v/>
      </c>
      <c r="C911" s="437" t="str">
        <f t="shared" si="7"/>
        <v/>
      </c>
      <c r="D911" s="438" t="str">
        <f>'Membership Application List'!E1140</f>
        <v/>
      </c>
      <c r="E911" s="438" t="b">
        <f>IF('Membership Application List'!J1140 = "Food/Litter Donation", 0, IF('Membership Application List'!J1140 = "$15 Donation, Discord Verification", IF('Membership Application List'!N1140 = TRUE, 15, 0)))</f>
        <v>0</v>
      </c>
      <c r="F911" s="438">
        <f>if('Membership Application List'!K1140=TRUE, 5,0)</f>
        <v>0</v>
      </c>
      <c r="G911" s="438">
        <f t="shared" si="8"/>
        <v>0</v>
      </c>
      <c r="H911" s="479" t="str">
        <f>'Membership Application List'!L1140</f>
        <v/>
      </c>
      <c r="I911" s="345"/>
      <c r="J911" s="441"/>
      <c r="K911" s="345"/>
      <c r="L911" s="478"/>
      <c r="M911" s="345"/>
      <c r="N911" s="345"/>
      <c r="O911" s="345"/>
      <c r="P911" s="414"/>
      <c r="Q911" s="414"/>
      <c r="R911" s="414"/>
      <c r="S911" s="445"/>
      <c r="T911" s="445"/>
      <c r="U911" s="445"/>
      <c r="V911" s="345"/>
      <c r="W911" s="441"/>
      <c r="X911" s="345"/>
      <c r="Y911" s="345"/>
      <c r="Z911" s="345"/>
      <c r="AA911" s="345"/>
      <c r="AB911" s="345"/>
      <c r="AC911" s="345"/>
      <c r="AD911" s="345"/>
      <c r="AE911" s="345"/>
      <c r="AF911" s="345"/>
      <c r="AG911" s="345"/>
      <c r="AH911" s="345"/>
      <c r="AI911" s="345"/>
      <c r="AJ911" s="345"/>
      <c r="AK911" s="345"/>
      <c r="AL911" s="345"/>
      <c r="AM911" s="345"/>
      <c r="AN911" s="345"/>
      <c r="AO911" s="345"/>
      <c r="AP911" s="345"/>
      <c r="AQ911" s="345"/>
      <c r="AR911" s="345"/>
      <c r="AS911" s="345"/>
    </row>
    <row r="912" ht="13.5" customHeight="1">
      <c r="A912" s="424" t="str">
        <f>'Membership Application List'!A1141</f>
        <v/>
      </c>
      <c r="B912" s="443" t="str">
        <f t="shared" si="6"/>
        <v/>
      </c>
      <c r="C912" s="443" t="str">
        <f t="shared" si="7"/>
        <v/>
      </c>
      <c r="D912" s="426" t="str">
        <f>'Membership Application List'!E1141</f>
        <v/>
      </c>
      <c r="E912" s="426" t="b">
        <f>IF('Membership Application List'!J1141 = "Food/Litter Donation", 0, IF('Membership Application List'!J1141 = "$15 Donation, Discord Verification", IF('Membership Application List'!N1141 = TRUE, 15, 0)))</f>
        <v>0</v>
      </c>
      <c r="F912" s="426">
        <f>if('Membership Application List'!K1141=TRUE, 5,0)</f>
        <v>0</v>
      </c>
      <c r="G912" s="426">
        <f t="shared" si="8"/>
        <v>0</v>
      </c>
      <c r="H912" s="480" t="str">
        <f>'Membership Application List'!L1141</f>
        <v/>
      </c>
      <c r="I912" s="345"/>
      <c r="J912" s="441"/>
      <c r="K912" s="345"/>
      <c r="L912" s="478"/>
      <c r="M912" s="345"/>
      <c r="N912" s="345"/>
      <c r="O912" s="345"/>
      <c r="P912" s="414"/>
      <c r="Q912" s="414"/>
      <c r="R912" s="414"/>
      <c r="S912" s="445"/>
      <c r="T912" s="445"/>
      <c r="U912" s="445"/>
      <c r="V912" s="345"/>
      <c r="W912" s="441"/>
      <c r="X912" s="345"/>
      <c r="Y912" s="345"/>
      <c r="Z912" s="345"/>
      <c r="AA912" s="345"/>
      <c r="AB912" s="345"/>
      <c r="AC912" s="345"/>
      <c r="AD912" s="345"/>
      <c r="AE912" s="345"/>
      <c r="AF912" s="345"/>
      <c r="AG912" s="345"/>
      <c r="AH912" s="345"/>
      <c r="AI912" s="345"/>
      <c r="AJ912" s="345"/>
      <c r="AK912" s="345"/>
      <c r="AL912" s="345"/>
      <c r="AM912" s="345"/>
      <c r="AN912" s="345"/>
      <c r="AO912" s="345"/>
      <c r="AP912" s="345"/>
      <c r="AQ912" s="345"/>
      <c r="AR912" s="345"/>
      <c r="AS912" s="345"/>
    </row>
    <row r="913" ht="13.5" customHeight="1">
      <c r="A913" s="436" t="str">
        <f>'Membership Application List'!A1142</f>
        <v/>
      </c>
      <c r="B913" s="437" t="str">
        <f t="shared" si="6"/>
        <v/>
      </c>
      <c r="C913" s="437" t="str">
        <f t="shared" si="7"/>
        <v/>
      </c>
      <c r="D913" s="438" t="str">
        <f>'Membership Application List'!E1142</f>
        <v/>
      </c>
      <c r="E913" s="438" t="b">
        <f>IF('Membership Application List'!J1142 = "Food/Litter Donation", 0, IF('Membership Application List'!J1142 = "$15 Donation, Discord Verification", IF('Membership Application List'!N1142 = TRUE, 15, 0)))</f>
        <v>0</v>
      </c>
      <c r="F913" s="438">
        <f>if('Membership Application List'!K1142=TRUE, 5,0)</f>
        <v>0</v>
      </c>
      <c r="G913" s="438">
        <f t="shared" si="8"/>
        <v>0</v>
      </c>
      <c r="H913" s="479" t="str">
        <f>'Membership Application List'!L1142</f>
        <v/>
      </c>
      <c r="I913" s="345"/>
      <c r="J913" s="441"/>
      <c r="K913" s="345"/>
      <c r="L913" s="478"/>
      <c r="M913" s="345"/>
      <c r="N913" s="345"/>
      <c r="O913" s="345"/>
      <c r="P913" s="414"/>
      <c r="Q913" s="414"/>
      <c r="R913" s="414"/>
      <c r="S913" s="445"/>
      <c r="T913" s="445"/>
      <c r="U913" s="445"/>
      <c r="V913" s="345"/>
      <c r="W913" s="441"/>
      <c r="X913" s="345"/>
      <c r="Y913" s="345"/>
      <c r="Z913" s="345"/>
      <c r="AA913" s="345"/>
      <c r="AB913" s="345"/>
      <c r="AC913" s="345"/>
      <c r="AD913" s="345"/>
      <c r="AE913" s="345"/>
      <c r="AF913" s="345"/>
      <c r="AG913" s="345"/>
      <c r="AH913" s="345"/>
      <c r="AI913" s="345"/>
      <c r="AJ913" s="345"/>
      <c r="AK913" s="345"/>
      <c r="AL913" s="345"/>
      <c r="AM913" s="345"/>
      <c r="AN913" s="345"/>
      <c r="AO913" s="345"/>
      <c r="AP913" s="345"/>
      <c r="AQ913" s="345"/>
      <c r="AR913" s="345"/>
      <c r="AS913" s="345"/>
    </row>
    <row r="914" ht="13.5" customHeight="1">
      <c r="A914" s="424" t="str">
        <f>'Membership Application List'!A1143</f>
        <v/>
      </c>
      <c r="B914" s="443" t="str">
        <f t="shared" si="6"/>
        <v/>
      </c>
      <c r="C914" s="443" t="str">
        <f t="shared" si="7"/>
        <v/>
      </c>
      <c r="D914" s="426" t="str">
        <f>'Membership Application List'!E1143</f>
        <v/>
      </c>
      <c r="E914" s="426" t="b">
        <f>IF('Membership Application List'!J1143 = "Food/Litter Donation", 0, IF('Membership Application List'!J1143 = "$15 Donation, Discord Verification", IF('Membership Application List'!N1143 = TRUE, 15, 0)))</f>
        <v>0</v>
      </c>
      <c r="F914" s="426">
        <f>if('Membership Application List'!K1143=TRUE, 5,0)</f>
        <v>0</v>
      </c>
      <c r="G914" s="426">
        <f t="shared" si="8"/>
        <v>0</v>
      </c>
      <c r="H914" s="480" t="str">
        <f>'Membership Application List'!L1143</f>
        <v/>
      </c>
      <c r="I914" s="345"/>
      <c r="J914" s="441"/>
      <c r="K914" s="345"/>
      <c r="L914" s="478"/>
      <c r="M914" s="345"/>
      <c r="N914" s="345"/>
      <c r="O914" s="345"/>
      <c r="P914" s="414"/>
      <c r="Q914" s="414"/>
      <c r="R914" s="414"/>
      <c r="S914" s="445"/>
      <c r="T914" s="445"/>
      <c r="U914" s="445"/>
      <c r="V914" s="345"/>
      <c r="W914" s="441"/>
      <c r="X914" s="345"/>
      <c r="Y914" s="345"/>
      <c r="Z914" s="345"/>
      <c r="AA914" s="345"/>
      <c r="AB914" s="345"/>
      <c r="AC914" s="345"/>
      <c r="AD914" s="345"/>
      <c r="AE914" s="345"/>
      <c r="AF914" s="345"/>
      <c r="AG914" s="345"/>
      <c r="AH914" s="345"/>
      <c r="AI914" s="345"/>
      <c r="AJ914" s="345"/>
      <c r="AK914" s="345"/>
      <c r="AL914" s="345"/>
      <c r="AM914" s="345"/>
      <c r="AN914" s="345"/>
      <c r="AO914" s="345"/>
      <c r="AP914" s="345"/>
      <c r="AQ914" s="345"/>
      <c r="AR914" s="345"/>
      <c r="AS914" s="345"/>
    </row>
    <row r="915" ht="13.5" customHeight="1">
      <c r="A915" s="436" t="str">
        <f>'Membership Application List'!A1144</f>
        <v/>
      </c>
      <c r="B915" s="437" t="str">
        <f t="shared" si="6"/>
        <v/>
      </c>
      <c r="C915" s="437" t="str">
        <f t="shared" si="7"/>
        <v/>
      </c>
      <c r="D915" s="438" t="str">
        <f>'Membership Application List'!E1144</f>
        <v/>
      </c>
      <c r="E915" s="438" t="b">
        <f>IF('Membership Application List'!J1144 = "Food/Litter Donation", 0, IF('Membership Application List'!J1144 = "$15 Donation, Discord Verification", IF('Membership Application List'!N1144 = TRUE, 15, 0)))</f>
        <v>0</v>
      </c>
      <c r="F915" s="438">
        <f>if('Membership Application List'!K1144=TRUE, 5,0)</f>
        <v>0</v>
      </c>
      <c r="G915" s="438">
        <f t="shared" si="8"/>
        <v>0</v>
      </c>
      <c r="H915" s="479" t="str">
        <f>'Membership Application List'!L1144</f>
        <v/>
      </c>
      <c r="I915" s="345"/>
      <c r="J915" s="441"/>
      <c r="K915" s="345"/>
      <c r="L915" s="478"/>
      <c r="M915" s="345"/>
      <c r="N915" s="345"/>
      <c r="O915" s="345"/>
      <c r="P915" s="414"/>
      <c r="Q915" s="414"/>
      <c r="R915" s="414"/>
      <c r="S915" s="445"/>
      <c r="T915" s="445"/>
      <c r="U915" s="445"/>
      <c r="V915" s="345"/>
      <c r="W915" s="441"/>
      <c r="X915" s="345"/>
      <c r="Y915" s="345"/>
      <c r="Z915" s="345"/>
      <c r="AA915" s="345"/>
      <c r="AB915" s="345"/>
      <c r="AC915" s="345"/>
      <c r="AD915" s="345"/>
      <c r="AE915" s="345"/>
      <c r="AF915" s="345"/>
      <c r="AG915" s="345"/>
      <c r="AH915" s="345"/>
      <c r="AI915" s="345"/>
      <c r="AJ915" s="345"/>
      <c r="AK915" s="345"/>
      <c r="AL915" s="345"/>
      <c r="AM915" s="345"/>
      <c r="AN915" s="345"/>
      <c r="AO915" s="345"/>
      <c r="AP915" s="345"/>
      <c r="AQ915" s="345"/>
      <c r="AR915" s="345"/>
      <c r="AS915" s="345"/>
    </row>
    <row r="916" ht="13.5" customHeight="1">
      <c r="A916" s="424" t="str">
        <f>'Membership Application List'!A1145</f>
        <v/>
      </c>
      <c r="B916" s="443" t="str">
        <f t="shared" si="6"/>
        <v/>
      </c>
      <c r="C916" s="443" t="str">
        <f t="shared" si="7"/>
        <v/>
      </c>
      <c r="D916" s="426" t="str">
        <f>'Membership Application List'!E1145</f>
        <v/>
      </c>
      <c r="E916" s="426" t="b">
        <f>IF('Membership Application List'!J1145 = "Food/Litter Donation", 0, IF('Membership Application List'!J1145 = "$15 Donation, Discord Verification", IF('Membership Application List'!N1145 = TRUE, 15, 0)))</f>
        <v>0</v>
      </c>
      <c r="F916" s="426">
        <f>if('Membership Application List'!K1145=TRUE, 5,0)</f>
        <v>0</v>
      </c>
      <c r="G916" s="426">
        <f t="shared" si="8"/>
        <v>0</v>
      </c>
      <c r="H916" s="480" t="str">
        <f>'Membership Application List'!L1145</f>
        <v/>
      </c>
      <c r="I916" s="345"/>
      <c r="J916" s="441"/>
      <c r="K916" s="345"/>
      <c r="L916" s="478"/>
      <c r="M916" s="345"/>
      <c r="N916" s="345"/>
      <c r="O916" s="345"/>
      <c r="P916" s="414"/>
      <c r="Q916" s="414"/>
      <c r="R916" s="414"/>
      <c r="S916" s="445"/>
      <c r="T916" s="445"/>
      <c r="U916" s="445"/>
      <c r="V916" s="345"/>
      <c r="W916" s="441"/>
      <c r="X916" s="345"/>
      <c r="Y916" s="345"/>
      <c r="Z916" s="345"/>
      <c r="AA916" s="345"/>
      <c r="AB916" s="345"/>
      <c r="AC916" s="345"/>
      <c r="AD916" s="345"/>
      <c r="AE916" s="345"/>
      <c r="AF916" s="345"/>
      <c r="AG916" s="345"/>
      <c r="AH916" s="345"/>
      <c r="AI916" s="345"/>
      <c r="AJ916" s="345"/>
      <c r="AK916" s="345"/>
      <c r="AL916" s="345"/>
      <c r="AM916" s="345"/>
      <c r="AN916" s="345"/>
      <c r="AO916" s="345"/>
      <c r="AP916" s="345"/>
      <c r="AQ916" s="345"/>
      <c r="AR916" s="345"/>
      <c r="AS916" s="345"/>
    </row>
    <row r="917" ht="13.5" customHeight="1">
      <c r="A917" s="436" t="str">
        <f>'Membership Application List'!A1146</f>
        <v/>
      </c>
      <c r="B917" s="437" t="str">
        <f t="shared" si="6"/>
        <v/>
      </c>
      <c r="C917" s="437" t="str">
        <f t="shared" si="7"/>
        <v/>
      </c>
      <c r="D917" s="438" t="str">
        <f>'Membership Application List'!E1146</f>
        <v/>
      </c>
      <c r="E917" s="438" t="b">
        <f>IF('Membership Application List'!J1146 = "Food/Litter Donation", 0, IF('Membership Application List'!J1146 = "$15 Donation, Discord Verification", IF('Membership Application List'!N1146 = TRUE, 15, 0)))</f>
        <v>0</v>
      </c>
      <c r="F917" s="438">
        <f>if('Membership Application List'!K1146=TRUE, 5,0)</f>
        <v>0</v>
      </c>
      <c r="G917" s="438">
        <f t="shared" si="8"/>
        <v>0</v>
      </c>
      <c r="H917" s="479" t="str">
        <f>'Membership Application List'!L1146</f>
        <v/>
      </c>
      <c r="I917" s="345"/>
      <c r="J917" s="441"/>
      <c r="K917" s="345"/>
      <c r="L917" s="478"/>
      <c r="M917" s="345"/>
      <c r="N917" s="345"/>
      <c r="O917" s="345"/>
      <c r="P917" s="414"/>
      <c r="Q917" s="414"/>
      <c r="R917" s="414"/>
      <c r="S917" s="445"/>
      <c r="T917" s="445"/>
      <c r="U917" s="445"/>
      <c r="V917" s="345"/>
      <c r="W917" s="441"/>
      <c r="X917" s="345"/>
      <c r="Y917" s="345"/>
      <c r="Z917" s="345"/>
      <c r="AA917" s="345"/>
      <c r="AB917" s="345"/>
      <c r="AC917" s="345"/>
      <c r="AD917" s="345"/>
      <c r="AE917" s="345"/>
      <c r="AF917" s="345"/>
      <c r="AG917" s="345"/>
      <c r="AH917" s="345"/>
      <c r="AI917" s="345"/>
      <c r="AJ917" s="345"/>
      <c r="AK917" s="345"/>
      <c r="AL917" s="345"/>
      <c r="AM917" s="345"/>
      <c r="AN917" s="345"/>
      <c r="AO917" s="345"/>
      <c r="AP917" s="345"/>
      <c r="AQ917" s="345"/>
      <c r="AR917" s="345"/>
      <c r="AS917" s="345"/>
    </row>
    <row r="918" ht="13.5" customHeight="1">
      <c r="A918" s="424" t="str">
        <f>'Membership Application List'!A1147</f>
        <v/>
      </c>
      <c r="B918" s="443" t="str">
        <f t="shared" si="6"/>
        <v/>
      </c>
      <c r="C918" s="443" t="str">
        <f t="shared" si="7"/>
        <v/>
      </c>
      <c r="D918" s="426" t="str">
        <f>'Membership Application List'!E1147</f>
        <v/>
      </c>
      <c r="E918" s="426" t="b">
        <f>IF('Membership Application List'!J1147 = "Food/Litter Donation", 0, IF('Membership Application List'!J1147 = "$15 Donation, Discord Verification", IF('Membership Application List'!N1147 = TRUE, 15, 0)))</f>
        <v>0</v>
      </c>
      <c r="F918" s="426">
        <f>if('Membership Application List'!K1147=TRUE, 5,0)</f>
        <v>0</v>
      </c>
      <c r="G918" s="426">
        <f t="shared" si="8"/>
        <v>0</v>
      </c>
      <c r="H918" s="480" t="str">
        <f>'Membership Application List'!L1147</f>
        <v/>
      </c>
      <c r="I918" s="345"/>
      <c r="J918" s="441"/>
      <c r="K918" s="345"/>
      <c r="L918" s="478"/>
      <c r="M918" s="345"/>
      <c r="N918" s="345"/>
      <c r="O918" s="345"/>
      <c r="P918" s="414"/>
      <c r="Q918" s="414"/>
      <c r="R918" s="414"/>
      <c r="S918" s="445"/>
      <c r="T918" s="445"/>
      <c r="U918" s="445"/>
      <c r="V918" s="345"/>
      <c r="W918" s="441"/>
      <c r="X918" s="345"/>
      <c r="Y918" s="345"/>
      <c r="Z918" s="345"/>
      <c r="AA918" s="345"/>
      <c r="AB918" s="345"/>
      <c r="AC918" s="345"/>
      <c r="AD918" s="345"/>
      <c r="AE918" s="345"/>
      <c r="AF918" s="345"/>
      <c r="AG918" s="345"/>
      <c r="AH918" s="345"/>
      <c r="AI918" s="345"/>
      <c r="AJ918" s="345"/>
      <c r="AK918" s="345"/>
      <c r="AL918" s="345"/>
      <c r="AM918" s="345"/>
      <c r="AN918" s="345"/>
      <c r="AO918" s="345"/>
      <c r="AP918" s="345"/>
      <c r="AQ918" s="345"/>
      <c r="AR918" s="345"/>
      <c r="AS918" s="345"/>
    </row>
    <row r="919" ht="13.5" customHeight="1">
      <c r="A919" s="436" t="str">
        <f>'Membership Application List'!A1148</f>
        <v/>
      </c>
      <c r="B919" s="437" t="str">
        <f t="shared" si="6"/>
        <v/>
      </c>
      <c r="C919" s="437" t="str">
        <f t="shared" si="7"/>
        <v/>
      </c>
      <c r="D919" s="438" t="str">
        <f>'Membership Application List'!E1148</f>
        <v/>
      </c>
      <c r="E919" s="438" t="b">
        <f>IF('Membership Application List'!J1148 = "Food/Litter Donation", 0, IF('Membership Application List'!J1148 = "$15 Donation, Discord Verification", IF('Membership Application List'!N1148 = TRUE, 15, 0)))</f>
        <v>0</v>
      </c>
      <c r="F919" s="438">
        <f>if('Membership Application List'!K1148=TRUE, 5,0)</f>
        <v>0</v>
      </c>
      <c r="G919" s="438">
        <f t="shared" si="8"/>
        <v>0</v>
      </c>
      <c r="H919" s="479" t="str">
        <f>'Membership Application List'!L1148</f>
        <v/>
      </c>
      <c r="I919" s="345"/>
      <c r="J919" s="441"/>
      <c r="K919" s="345"/>
      <c r="L919" s="478"/>
      <c r="M919" s="345"/>
      <c r="N919" s="345"/>
      <c r="O919" s="345"/>
      <c r="P919" s="414"/>
      <c r="Q919" s="414"/>
      <c r="R919" s="414"/>
      <c r="S919" s="445"/>
      <c r="T919" s="445"/>
      <c r="U919" s="445"/>
      <c r="V919" s="345"/>
      <c r="W919" s="441"/>
      <c r="X919" s="345"/>
      <c r="Y919" s="345"/>
      <c r="Z919" s="345"/>
      <c r="AA919" s="345"/>
      <c r="AB919" s="345"/>
      <c r="AC919" s="345"/>
      <c r="AD919" s="345"/>
      <c r="AE919" s="345"/>
      <c r="AF919" s="345"/>
      <c r="AG919" s="345"/>
      <c r="AH919" s="345"/>
      <c r="AI919" s="345"/>
      <c r="AJ919" s="345"/>
      <c r="AK919" s="345"/>
      <c r="AL919" s="345"/>
      <c r="AM919" s="345"/>
      <c r="AN919" s="345"/>
      <c r="AO919" s="345"/>
      <c r="AP919" s="345"/>
      <c r="AQ919" s="345"/>
      <c r="AR919" s="345"/>
      <c r="AS919" s="345"/>
    </row>
    <row r="920" ht="13.5" customHeight="1">
      <c r="A920" s="424" t="str">
        <f>'Membership Application List'!A1149</f>
        <v/>
      </c>
      <c r="B920" s="443" t="str">
        <f t="shared" si="6"/>
        <v/>
      </c>
      <c r="C920" s="443" t="str">
        <f t="shared" si="7"/>
        <v/>
      </c>
      <c r="D920" s="426" t="str">
        <f>'Membership Application List'!E1149</f>
        <v/>
      </c>
      <c r="E920" s="426" t="b">
        <f>IF('Membership Application List'!J1149 = "Food/Litter Donation", 0, IF('Membership Application List'!J1149 = "$15 Donation, Discord Verification", IF('Membership Application List'!N1149 = TRUE, 15, 0)))</f>
        <v>0</v>
      </c>
      <c r="F920" s="426">
        <f>if('Membership Application List'!K1149=TRUE, 5,0)</f>
        <v>0</v>
      </c>
      <c r="G920" s="426">
        <f t="shared" si="8"/>
        <v>0</v>
      </c>
      <c r="H920" s="480" t="str">
        <f>'Membership Application List'!L1149</f>
        <v/>
      </c>
      <c r="I920" s="345"/>
      <c r="J920" s="441"/>
      <c r="K920" s="345"/>
      <c r="L920" s="478"/>
      <c r="M920" s="345"/>
      <c r="N920" s="345"/>
      <c r="O920" s="345"/>
      <c r="P920" s="414"/>
      <c r="Q920" s="414"/>
      <c r="R920" s="414"/>
      <c r="S920" s="445"/>
      <c r="T920" s="445"/>
      <c r="U920" s="445"/>
      <c r="V920" s="345"/>
      <c r="W920" s="441"/>
      <c r="X920" s="345"/>
      <c r="Y920" s="345"/>
      <c r="Z920" s="345"/>
      <c r="AA920" s="345"/>
      <c r="AB920" s="345"/>
      <c r="AC920" s="345"/>
      <c r="AD920" s="345"/>
      <c r="AE920" s="345"/>
      <c r="AF920" s="345"/>
      <c r="AG920" s="345"/>
      <c r="AH920" s="345"/>
      <c r="AI920" s="345"/>
      <c r="AJ920" s="345"/>
      <c r="AK920" s="345"/>
      <c r="AL920" s="345"/>
      <c r="AM920" s="345"/>
      <c r="AN920" s="345"/>
      <c r="AO920" s="345"/>
      <c r="AP920" s="345"/>
      <c r="AQ920" s="345"/>
      <c r="AR920" s="345"/>
      <c r="AS920" s="345"/>
    </row>
    <row r="921" ht="13.5" customHeight="1">
      <c r="A921" s="436" t="str">
        <f>'Membership Application List'!A1150</f>
        <v/>
      </c>
      <c r="B921" s="437" t="str">
        <f t="shared" si="6"/>
        <v/>
      </c>
      <c r="C921" s="437" t="str">
        <f t="shared" si="7"/>
        <v/>
      </c>
      <c r="D921" s="438" t="str">
        <f>'Membership Application List'!E1150</f>
        <v/>
      </c>
      <c r="E921" s="438" t="b">
        <f>IF('Membership Application List'!J1150 = "Food/Litter Donation", 0, IF('Membership Application List'!J1150 = "$15 Donation, Discord Verification", IF('Membership Application List'!N1150 = TRUE, 15, 0)))</f>
        <v>0</v>
      </c>
      <c r="F921" s="438">
        <f>if('Membership Application List'!K1150=TRUE, 5,0)</f>
        <v>0</v>
      </c>
      <c r="G921" s="438">
        <f t="shared" si="8"/>
        <v>0</v>
      </c>
      <c r="H921" s="479" t="str">
        <f>'Membership Application List'!L1150</f>
        <v/>
      </c>
      <c r="I921" s="345"/>
      <c r="J921" s="441"/>
      <c r="K921" s="345"/>
      <c r="L921" s="478"/>
      <c r="M921" s="345"/>
      <c r="N921" s="345"/>
      <c r="O921" s="345"/>
      <c r="P921" s="414"/>
      <c r="Q921" s="414"/>
      <c r="R921" s="414"/>
      <c r="S921" s="445"/>
      <c r="T921" s="445"/>
      <c r="U921" s="445"/>
      <c r="V921" s="345"/>
      <c r="W921" s="441"/>
      <c r="X921" s="345"/>
      <c r="Y921" s="345"/>
      <c r="Z921" s="345"/>
      <c r="AA921" s="345"/>
      <c r="AB921" s="345"/>
      <c r="AC921" s="345"/>
      <c r="AD921" s="345"/>
      <c r="AE921" s="345"/>
      <c r="AF921" s="345"/>
      <c r="AG921" s="345"/>
      <c r="AH921" s="345"/>
      <c r="AI921" s="345"/>
      <c r="AJ921" s="345"/>
      <c r="AK921" s="345"/>
      <c r="AL921" s="345"/>
      <c r="AM921" s="345"/>
      <c r="AN921" s="345"/>
      <c r="AO921" s="345"/>
      <c r="AP921" s="345"/>
      <c r="AQ921" s="345"/>
      <c r="AR921" s="345"/>
      <c r="AS921" s="345"/>
    </row>
    <row r="922" ht="13.5" customHeight="1">
      <c r="A922" s="424" t="str">
        <f>'Membership Application List'!A1151</f>
        <v/>
      </c>
      <c r="B922" s="443" t="str">
        <f t="shared" si="6"/>
        <v/>
      </c>
      <c r="C922" s="443" t="str">
        <f t="shared" si="7"/>
        <v/>
      </c>
      <c r="D922" s="426" t="str">
        <f>'Membership Application List'!E1151</f>
        <v/>
      </c>
      <c r="E922" s="426" t="b">
        <f>IF('Membership Application List'!J1151 = "Food/Litter Donation", 0, IF('Membership Application List'!J1151 = "$15 Donation, Discord Verification", IF('Membership Application List'!N1151 = TRUE, 15, 0)))</f>
        <v>0</v>
      </c>
      <c r="F922" s="426">
        <f>if('Membership Application List'!K1151=TRUE, 5,0)</f>
        <v>0</v>
      </c>
      <c r="G922" s="426">
        <f t="shared" si="8"/>
        <v>0</v>
      </c>
      <c r="H922" s="480" t="str">
        <f>'Membership Application List'!L1151</f>
        <v/>
      </c>
      <c r="I922" s="345"/>
      <c r="J922" s="441"/>
      <c r="K922" s="345"/>
      <c r="L922" s="478"/>
      <c r="M922" s="345"/>
      <c r="N922" s="345"/>
      <c r="O922" s="345"/>
      <c r="P922" s="414"/>
      <c r="Q922" s="414"/>
      <c r="R922" s="414"/>
      <c r="S922" s="445"/>
      <c r="T922" s="445"/>
      <c r="U922" s="445"/>
      <c r="V922" s="345"/>
      <c r="W922" s="441"/>
      <c r="X922" s="345"/>
      <c r="Y922" s="345"/>
      <c r="Z922" s="345"/>
      <c r="AA922" s="345"/>
      <c r="AB922" s="345"/>
      <c r="AC922" s="345"/>
      <c r="AD922" s="345"/>
      <c r="AE922" s="345"/>
      <c r="AF922" s="345"/>
      <c r="AG922" s="345"/>
      <c r="AH922" s="345"/>
      <c r="AI922" s="345"/>
      <c r="AJ922" s="345"/>
      <c r="AK922" s="345"/>
      <c r="AL922" s="345"/>
      <c r="AM922" s="345"/>
      <c r="AN922" s="345"/>
      <c r="AO922" s="345"/>
      <c r="AP922" s="345"/>
      <c r="AQ922" s="345"/>
      <c r="AR922" s="345"/>
      <c r="AS922" s="345"/>
    </row>
    <row r="923" ht="13.5" customHeight="1">
      <c r="A923" s="436" t="str">
        <f>'Membership Application List'!A1152</f>
        <v/>
      </c>
      <c r="B923" s="437" t="str">
        <f t="shared" si="6"/>
        <v/>
      </c>
      <c r="C923" s="437" t="str">
        <f t="shared" si="7"/>
        <v/>
      </c>
      <c r="D923" s="438" t="str">
        <f>'Membership Application List'!E1152</f>
        <v/>
      </c>
      <c r="E923" s="438" t="b">
        <f>IF('Membership Application List'!J1152 = "Food/Litter Donation", 0, IF('Membership Application List'!J1152 = "$15 Donation, Discord Verification", IF('Membership Application List'!N1152 = TRUE, 15, 0)))</f>
        <v>0</v>
      </c>
      <c r="F923" s="438">
        <f>if('Membership Application List'!K1152=TRUE, 5,0)</f>
        <v>0</v>
      </c>
      <c r="G923" s="438">
        <f t="shared" si="8"/>
        <v>0</v>
      </c>
      <c r="H923" s="479" t="str">
        <f>'Membership Application List'!L1152</f>
        <v/>
      </c>
      <c r="I923" s="345"/>
      <c r="J923" s="441"/>
      <c r="K923" s="345"/>
      <c r="L923" s="478"/>
      <c r="M923" s="345"/>
      <c r="N923" s="345"/>
      <c r="O923" s="345"/>
      <c r="P923" s="414"/>
      <c r="Q923" s="414"/>
      <c r="R923" s="414"/>
      <c r="S923" s="445"/>
      <c r="T923" s="445"/>
      <c r="U923" s="445"/>
      <c r="V923" s="345"/>
      <c r="W923" s="441"/>
      <c r="X923" s="345"/>
      <c r="Y923" s="345"/>
      <c r="Z923" s="345"/>
      <c r="AA923" s="345"/>
      <c r="AB923" s="345"/>
      <c r="AC923" s="345"/>
      <c r="AD923" s="345"/>
      <c r="AE923" s="345"/>
      <c r="AF923" s="345"/>
      <c r="AG923" s="345"/>
      <c r="AH923" s="345"/>
      <c r="AI923" s="345"/>
      <c r="AJ923" s="345"/>
      <c r="AK923" s="345"/>
      <c r="AL923" s="345"/>
      <c r="AM923" s="345"/>
      <c r="AN923" s="345"/>
      <c r="AO923" s="345"/>
      <c r="AP923" s="345"/>
      <c r="AQ923" s="345"/>
      <c r="AR923" s="345"/>
      <c r="AS923" s="345"/>
    </row>
    <row r="924" ht="13.5" customHeight="1">
      <c r="A924" s="424" t="str">
        <f>'Membership Application List'!A1153</f>
        <v/>
      </c>
      <c r="B924" s="443" t="str">
        <f t="shared" si="6"/>
        <v/>
      </c>
      <c r="C924" s="443" t="str">
        <f t="shared" si="7"/>
        <v/>
      </c>
      <c r="D924" s="426" t="str">
        <f>'Membership Application List'!E1153</f>
        <v/>
      </c>
      <c r="E924" s="426" t="b">
        <f>IF('Membership Application List'!J1153 = "Food/Litter Donation", 0, IF('Membership Application List'!J1153 = "$15 Donation, Discord Verification", IF('Membership Application List'!N1153 = TRUE, 15, 0)))</f>
        <v>0</v>
      </c>
      <c r="F924" s="426">
        <f>if('Membership Application List'!K1153=TRUE, 5,0)</f>
        <v>0</v>
      </c>
      <c r="G924" s="426">
        <f t="shared" si="8"/>
        <v>0</v>
      </c>
      <c r="H924" s="480" t="str">
        <f>'Membership Application List'!L1153</f>
        <v/>
      </c>
      <c r="I924" s="345"/>
      <c r="J924" s="441"/>
      <c r="K924" s="345"/>
      <c r="L924" s="478"/>
      <c r="M924" s="345"/>
      <c r="N924" s="345"/>
      <c r="O924" s="345"/>
      <c r="P924" s="414"/>
      <c r="Q924" s="414"/>
      <c r="R924" s="414"/>
      <c r="S924" s="445"/>
      <c r="T924" s="445"/>
      <c r="U924" s="445"/>
      <c r="V924" s="345"/>
      <c r="W924" s="441"/>
      <c r="X924" s="345"/>
      <c r="Y924" s="345"/>
      <c r="Z924" s="345"/>
      <c r="AA924" s="345"/>
      <c r="AB924" s="345"/>
      <c r="AC924" s="345"/>
      <c r="AD924" s="345"/>
      <c r="AE924" s="345"/>
      <c r="AF924" s="345"/>
      <c r="AG924" s="345"/>
      <c r="AH924" s="345"/>
      <c r="AI924" s="345"/>
      <c r="AJ924" s="345"/>
      <c r="AK924" s="345"/>
      <c r="AL924" s="345"/>
      <c r="AM924" s="345"/>
      <c r="AN924" s="345"/>
      <c r="AO924" s="345"/>
      <c r="AP924" s="345"/>
      <c r="AQ924" s="345"/>
      <c r="AR924" s="345"/>
      <c r="AS924" s="345"/>
    </row>
    <row r="925" ht="13.5" customHeight="1">
      <c r="A925" s="436" t="str">
        <f>'Membership Application List'!A1154</f>
        <v/>
      </c>
      <c r="B925" s="437" t="str">
        <f t="shared" si="6"/>
        <v/>
      </c>
      <c r="C925" s="437" t="str">
        <f t="shared" si="7"/>
        <v/>
      </c>
      <c r="D925" s="438" t="str">
        <f>'Membership Application List'!E1154</f>
        <v/>
      </c>
      <c r="E925" s="438" t="b">
        <f>IF('Membership Application List'!J1154 = "Food/Litter Donation", 0, IF('Membership Application List'!J1154 = "$15 Donation, Discord Verification", IF('Membership Application List'!N1154 = TRUE, 15, 0)))</f>
        <v>0</v>
      </c>
      <c r="F925" s="438">
        <f>if('Membership Application List'!K1154=TRUE, 5,0)</f>
        <v>0</v>
      </c>
      <c r="G925" s="438">
        <f t="shared" si="8"/>
        <v>0</v>
      </c>
      <c r="H925" s="479" t="str">
        <f>'Membership Application List'!L1154</f>
        <v/>
      </c>
      <c r="I925" s="345"/>
      <c r="J925" s="441"/>
      <c r="K925" s="345"/>
      <c r="L925" s="478"/>
      <c r="M925" s="345"/>
      <c r="N925" s="345"/>
      <c r="O925" s="345"/>
      <c r="P925" s="414"/>
      <c r="Q925" s="414"/>
      <c r="R925" s="414"/>
      <c r="S925" s="445"/>
      <c r="T925" s="445"/>
      <c r="U925" s="445"/>
      <c r="V925" s="345"/>
      <c r="W925" s="441"/>
      <c r="X925" s="345"/>
      <c r="Y925" s="345"/>
      <c r="Z925" s="345"/>
      <c r="AA925" s="345"/>
      <c r="AB925" s="345"/>
      <c r="AC925" s="345"/>
      <c r="AD925" s="345"/>
      <c r="AE925" s="345"/>
      <c r="AF925" s="345"/>
      <c r="AG925" s="345"/>
      <c r="AH925" s="345"/>
      <c r="AI925" s="345"/>
      <c r="AJ925" s="345"/>
      <c r="AK925" s="345"/>
      <c r="AL925" s="345"/>
      <c r="AM925" s="345"/>
      <c r="AN925" s="345"/>
      <c r="AO925" s="345"/>
      <c r="AP925" s="345"/>
      <c r="AQ925" s="345"/>
      <c r="AR925" s="345"/>
      <c r="AS925" s="345"/>
    </row>
    <row r="926" ht="13.5" customHeight="1">
      <c r="A926" s="424" t="str">
        <f>'Membership Application List'!A1155</f>
        <v/>
      </c>
      <c r="B926" s="443" t="str">
        <f t="shared" si="6"/>
        <v/>
      </c>
      <c r="C926" s="443" t="str">
        <f t="shared" si="7"/>
        <v/>
      </c>
      <c r="D926" s="426" t="str">
        <f>'Membership Application List'!E1155</f>
        <v/>
      </c>
      <c r="E926" s="426" t="b">
        <f>IF('Membership Application List'!J1155 = "Food/Litter Donation", 0, IF('Membership Application List'!J1155 = "$15 Donation, Discord Verification", IF('Membership Application List'!N1155 = TRUE, 15, 0)))</f>
        <v>0</v>
      </c>
      <c r="F926" s="426">
        <f>if('Membership Application List'!K1155=TRUE, 5,0)</f>
        <v>0</v>
      </c>
      <c r="G926" s="426">
        <f t="shared" si="8"/>
        <v>0</v>
      </c>
      <c r="H926" s="480" t="str">
        <f>'Membership Application List'!L1155</f>
        <v/>
      </c>
      <c r="I926" s="345"/>
      <c r="J926" s="441"/>
      <c r="K926" s="345"/>
      <c r="L926" s="478"/>
      <c r="M926" s="345"/>
      <c r="N926" s="345"/>
      <c r="O926" s="345"/>
      <c r="P926" s="414"/>
      <c r="Q926" s="414"/>
      <c r="R926" s="414"/>
      <c r="S926" s="445"/>
      <c r="T926" s="445"/>
      <c r="U926" s="445"/>
      <c r="V926" s="345"/>
      <c r="W926" s="441"/>
      <c r="X926" s="345"/>
      <c r="Y926" s="345"/>
      <c r="Z926" s="345"/>
      <c r="AA926" s="345"/>
      <c r="AB926" s="345"/>
      <c r="AC926" s="345"/>
      <c r="AD926" s="345"/>
      <c r="AE926" s="345"/>
      <c r="AF926" s="345"/>
      <c r="AG926" s="345"/>
      <c r="AH926" s="345"/>
      <c r="AI926" s="345"/>
      <c r="AJ926" s="345"/>
      <c r="AK926" s="345"/>
      <c r="AL926" s="345"/>
      <c r="AM926" s="345"/>
      <c r="AN926" s="345"/>
      <c r="AO926" s="345"/>
      <c r="AP926" s="345"/>
      <c r="AQ926" s="345"/>
      <c r="AR926" s="345"/>
      <c r="AS926" s="345"/>
    </row>
    <row r="927" ht="13.5" customHeight="1">
      <c r="A927" s="436" t="str">
        <f>'Membership Application List'!A1156</f>
        <v/>
      </c>
      <c r="B927" s="437" t="str">
        <f t="shared" si="6"/>
        <v/>
      </c>
      <c r="C927" s="437" t="str">
        <f t="shared" si="7"/>
        <v/>
      </c>
      <c r="D927" s="438" t="str">
        <f>'Membership Application List'!E1156</f>
        <v/>
      </c>
      <c r="E927" s="438" t="b">
        <f>IF('Membership Application List'!J1156 = "Food/Litter Donation", 0, IF('Membership Application List'!J1156 = "$15 Donation, Discord Verification", IF('Membership Application List'!N1156 = TRUE, 15, 0)))</f>
        <v>0</v>
      </c>
      <c r="F927" s="438">
        <f>if('Membership Application List'!K1156=TRUE, 5,0)</f>
        <v>0</v>
      </c>
      <c r="G927" s="438">
        <f t="shared" si="8"/>
        <v>0</v>
      </c>
      <c r="H927" s="479" t="str">
        <f>'Membership Application List'!L1156</f>
        <v/>
      </c>
      <c r="I927" s="345"/>
      <c r="J927" s="441"/>
      <c r="K927" s="345"/>
      <c r="L927" s="478"/>
      <c r="M927" s="345"/>
      <c r="N927" s="345"/>
      <c r="O927" s="345"/>
      <c r="P927" s="414"/>
      <c r="Q927" s="414"/>
      <c r="R927" s="414"/>
      <c r="S927" s="445"/>
      <c r="T927" s="445"/>
      <c r="U927" s="445"/>
      <c r="V927" s="345"/>
      <c r="W927" s="441"/>
      <c r="X927" s="345"/>
      <c r="Y927" s="345"/>
      <c r="Z927" s="345"/>
      <c r="AA927" s="345"/>
      <c r="AB927" s="345"/>
      <c r="AC927" s="345"/>
      <c r="AD927" s="345"/>
      <c r="AE927" s="345"/>
      <c r="AF927" s="345"/>
      <c r="AG927" s="345"/>
      <c r="AH927" s="345"/>
      <c r="AI927" s="345"/>
      <c r="AJ927" s="345"/>
      <c r="AK927" s="345"/>
      <c r="AL927" s="345"/>
      <c r="AM927" s="345"/>
      <c r="AN927" s="345"/>
      <c r="AO927" s="345"/>
      <c r="AP927" s="345"/>
      <c r="AQ927" s="345"/>
      <c r="AR927" s="345"/>
      <c r="AS927" s="345"/>
    </row>
    <row r="928" ht="13.5" customHeight="1">
      <c r="A928" s="424" t="str">
        <f>'Membership Application List'!A1157</f>
        <v/>
      </c>
      <c r="B928" s="443" t="str">
        <f t="shared" si="6"/>
        <v/>
      </c>
      <c r="C928" s="443" t="str">
        <f t="shared" si="7"/>
        <v/>
      </c>
      <c r="D928" s="426" t="str">
        <f>'Membership Application List'!E1157</f>
        <v/>
      </c>
      <c r="E928" s="426" t="b">
        <f>IF('Membership Application List'!J1157 = "Food/Litter Donation", 0, IF('Membership Application List'!J1157 = "$15 Donation, Discord Verification", IF('Membership Application List'!N1157 = TRUE, 15, 0)))</f>
        <v>0</v>
      </c>
      <c r="F928" s="426">
        <f>if('Membership Application List'!K1157=TRUE, 5,0)</f>
        <v>0</v>
      </c>
      <c r="G928" s="426">
        <f t="shared" si="8"/>
        <v>0</v>
      </c>
      <c r="H928" s="480" t="str">
        <f>'Membership Application List'!L1157</f>
        <v/>
      </c>
      <c r="I928" s="345"/>
      <c r="J928" s="441"/>
      <c r="K928" s="345"/>
      <c r="L928" s="478"/>
      <c r="M928" s="345"/>
      <c r="N928" s="345"/>
      <c r="O928" s="345"/>
      <c r="P928" s="414"/>
      <c r="Q928" s="414"/>
      <c r="R928" s="414"/>
      <c r="S928" s="445"/>
      <c r="T928" s="445"/>
      <c r="U928" s="445"/>
      <c r="V928" s="345"/>
      <c r="W928" s="441"/>
      <c r="X928" s="345"/>
      <c r="Y928" s="345"/>
      <c r="Z928" s="345"/>
      <c r="AA928" s="345"/>
      <c r="AB928" s="345"/>
      <c r="AC928" s="345"/>
      <c r="AD928" s="345"/>
      <c r="AE928" s="345"/>
      <c r="AF928" s="345"/>
      <c r="AG928" s="345"/>
      <c r="AH928" s="345"/>
      <c r="AI928" s="345"/>
      <c r="AJ928" s="345"/>
      <c r="AK928" s="345"/>
      <c r="AL928" s="345"/>
      <c r="AM928" s="345"/>
      <c r="AN928" s="345"/>
      <c r="AO928" s="345"/>
      <c r="AP928" s="345"/>
      <c r="AQ928" s="345"/>
      <c r="AR928" s="345"/>
      <c r="AS928" s="345"/>
    </row>
    <row r="929" ht="13.5" customHeight="1">
      <c r="A929" s="436" t="str">
        <f>'Membership Application List'!A1158</f>
        <v/>
      </c>
      <c r="B929" s="437" t="str">
        <f t="shared" si="6"/>
        <v/>
      </c>
      <c r="C929" s="437" t="str">
        <f t="shared" si="7"/>
        <v/>
      </c>
      <c r="D929" s="438" t="str">
        <f>'Membership Application List'!E1158</f>
        <v/>
      </c>
      <c r="E929" s="438" t="b">
        <f>IF('Membership Application List'!J1158 = "Food/Litter Donation", 0, IF('Membership Application List'!J1158 = "$15 Donation, Discord Verification", IF('Membership Application List'!N1158 = TRUE, 15, 0)))</f>
        <v>0</v>
      </c>
      <c r="F929" s="438">
        <f>if('Membership Application List'!K1158=TRUE, 5,0)</f>
        <v>0</v>
      </c>
      <c r="G929" s="438">
        <f t="shared" si="8"/>
        <v>0</v>
      </c>
      <c r="H929" s="479" t="str">
        <f>'Membership Application List'!L1158</f>
        <v/>
      </c>
      <c r="I929" s="345"/>
      <c r="J929" s="441"/>
      <c r="K929" s="345"/>
      <c r="L929" s="478"/>
      <c r="M929" s="345"/>
      <c r="N929" s="345"/>
      <c r="O929" s="345"/>
      <c r="P929" s="414"/>
      <c r="Q929" s="414"/>
      <c r="R929" s="414"/>
      <c r="S929" s="445"/>
      <c r="T929" s="445"/>
      <c r="U929" s="445"/>
      <c r="V929" s="345"/>
      <c r="W929" s="441"/>
      <c r="X929" s="345"/>
      <c r="Y929" s="345"/>
      <c r="Z929" s="345"/>
      <c r="AA929" s="345"/>
      <c r="AB929" s="345"/>
      <c r="AC929" s="345"/>
      <c r="AD929" s="345"/>
      <c r="AE929" s="345"/>
      <c r="AF929" s="345"/>
      <c r="AG929" s="345"/>
      <c r="AH929" s="345"/>
      <c r="AI929" s="345"/>
      <c r="AJ929" s="345"/>
      <c r="AK929" s="345"/>
      <c r="AL929" s="345"/>
      <c r="AM929" s="345"/>
      <c r="AN929" s="345"/>
      <c r="AO929" s="345"/>
      <c r="AP929" s="345"/>
      <c r="AQ929" s="345"/>
      <c r="AR929" s="345"/>
      <c r="AS929" s="345"/>
    </row>
    <row r="930" ht="13.5" customHeight="1">
      <c r="A930" s="424" t="str">
        <f>'Membership Application List'!A1159</f>
        <v/>
      </c>
      <c r="B930" s="443" t="str">
        <f t="shared" si="6"/>
        <v/>
      </c>
      <c r="C930" s="443" t="str">
        <f t="shared" si="7"/>
        <v/>
      </c>
      <c r="D930" s="426" t="str">
        <f>'Membership Application List'!E1159</f>
        <v/>
      </c>
      <c r="E930" s="426" t="b">
        <f>IF('Membership Application List'!J1159 = "Food/Litter Donation", 0, IF('Membership Application List'!J1159 = "$15 Donation, Discord Verification", IF('Membership Application List'!N1159 = TRUE, 15, 0)))</f>
        <v>0</v>
      </c>
      <c r="F930" s="426">
        <f>if('Membership Application List'!K1159=TRUE, 5,0)</f>
        <v>0</v>
      </c>
      <c r="G930" s="426">
        <f t="shared" si="8"/>
        <v>0</v>
      </c>
      <c r="H930" s="480" t="str">
        <f>'Membership Application List'!L1159</f>
        <v/>
      </c>
      <c r="I930" s="345"/>
      <c r="J930" s="441"/>
      <c r="K930" s="345"/>
      <c r="L930" s="478"/>
      <c r="M930" s="345"/>
      <c r="N930" s="345"/>
      <c r="O930" s="345"/>
      <c r="P930" s="414"/>
      <c r="Q930" s="414"/>
      <c r="R930" s="414"/>
      <c r="S930" s="445"/>
      <c r="T930" s="445"/>
      <c r="U930" s="445"/>
      <c r="V930" s="345"/>
      <c r="W930" s="441"/>
      <c r="X930" s="345"/>
      <c r="Y930" s="345"/>
      <c r="Z930" s="345"/>
      <c r="AA930" s="345"/>
      <c r="AB930" s="345"/>
      <c r="AC930" s="345"/>
      <c r="AD930" s="345"/>
      <c r="AE930" s="345"/>
      <c r="AF930" s="345"/>
      <c r="AG930" s="345"/>
      <c r="AH930" s="345"/>
      <c r="AI930" s="345"/>
      <c r="AJ930" s="345"/>
      <c r="AK930" s="345"/>
      <c r="AL930" s="345"/>
      <c r="AM930" s="345"/>
      <c r="AN930" s="345"/>
      <c r="AO930" s="345"/>
      <c r="AP930" s="345"/>
      <c r="AQ930" s="345"/>
      <c r="AR930" s="345"/>
      <c r="AS930" s="345"/>
    </row>
    <row r="931" ht="13.5" customHeight="1">
      <c r="A931" s="436" t="str">
        <f>'Membership Application List'!A1160</f>
        <v/>
      </c>
      <c r="B931" s="437" t="str">
        <f t="shared" si="6"/>
        <v/>
      </c>
      <c r="C931" s="437" t="str">
        <f t="shared" si="7"/>
        <v/>
      </c>
      <c r="D931" s="438" t="str">
        <f>'Membership Application List'!E1160</f>
        <v/>
      </c>
      <c r="E931" s="438" t="b">
        <f>IF('Membership Application List'!J1160 = "Food/Litter Donation", 0, IF('Membership Application List'!J1160 = "$15 Donation, Discord Verification", IF('Membership Application List'!N1160 = TRUE, 15, 0)))</f>
        <v>0</v>
      </c>
      <c r="F931" s="438">
        <f>if('Membership Application List'!K1160=TRUE, 5,0)</f>
        <v>0</v>
      </c>
      <c r="G931" s="438">
        <f t="shared" si="8"/>
        <v>0</v>
      </c>
      <c r="H931" s="479" t="str">
        <f>'Membership Application List'!L1160</f>
        <v/>
      </c>
      <c r="I931" s="345"/>
      <c r="J931" s="441"/>
      <c r="K931" s="345"/>
      <c r="L931" s="478"/>
      <c r="M931" s="345"/>
      <c r="N931" s="345"/>
      <c r="O931" s="345"/>
      <c r="P931" s="414"/>
      <c r="Q931" s="414"/>
      <c r="R931" s="414"/>
      <c r="S931" s="445"/>
      <c r="T931" s="445"/>
      <c r="U931" s="445"/>
      <c r="V931" s="345"/>
      <c r="W931" s="441"/>
      <c r="X931" s="345"/>
      <c r="Y931" s="345"/>
      <c r="Z931" s="345"/>
      <c r="AA931" s="345"/>
      <c r="AB931" s="345"/>
      <c r="AC931" s="345"/>
      <c r="AD931" s="345"/>
      <c r="AE931" s="345"/>
      <c r="AF931" s="345"/>
      <c r="AG931" s="345"/>
      <c r="AH931" s="345"/>
      <c r="AI931" s="345"/>
      <c r="AJ931" s="345"/>
      <c r="AK931" s="345"/>
      <c r="AL931" s="345"/>
      <c r="AM931" s="345"/>
      <c r="AN931" s="345"/>
      <c r="AO931" s="345"/>
      <c r="AP931" s="345"/>
      <c r="AQ931" s="345"/>
      <c r="AR931" s="345"/>
      <c r="AS931" s="345"/>
    </row>
    <row r="932" ht="13.5" customHeight="1">
      <c r="A932" s="424" t="str">
        <f>'Membership Application List'!A1161</f>
        <v/>
      </c>
      <c r="B932" s="443" t="str">
        <f t="shared" si="6"/>
        <v/>
      </c>
      <c r="C932" s="443" t="str">
        <f t="shared" si="7"/>
        <v/>
      </c>
      <c r="D932" s="426" t="str">
        <f>'Membership Application List'!E1161</f>
        <v/>
      </c>
      <c r="E932" s="426" t="b">
        <f>IF('Membership Application List'!J1161 = "Food/Litter Donation", 0, IF('Membership Application List'!J1161 = "$15 Donation, Discord Verification", IF('Membership Application List'!N1161 = TRUE, 15, 0)))</f>
        <v>0</v>
      </c>
      <c r="F932" s="426">
        <f>if('Membership Application List'!K1161=TRUE, 5,0)</f>
        <v>0</v>
      </c>
      <c r="G932" s="426">
        <f t="shared" si="8"/>
        <v>0</v>
      </c>
      <c r="H932" s="480" t="str">
        <f>'Membership Application List'!L1161</f>
        <v/>
      </c>
      <c r="I932" s="345"/>
      <c r="J932" s="441"/>
      <c r="K932" s="345"/>
      <c r="L932" s="478"/>
      <c r="M932" s="345"/>
      <c r="N932" s="345"/>
      <c r="O932" s="345"/>
      <c r="P932" s="414"/>
      <c r="Q932" s="414"/>
      <c r="R932" s="414"/>
      <c r="S932" s="445"/>
      <c r="T932" s="445"/>
      <c r="U932" s="445"/>
      <c r="V932" s="345"/>
      <c r="W932" s="441"/>
      <c r="X932" s="345"/>
      <c r="Y932" s="345"/>
      <c r="Z932" s="345"/>
      <c r="AA932" s="345"/>
      <c r="AB932" s="345"/>
      <c r="AC932" s="345"/>
      <c r="AD932" s="345"/>
      <c r="AE932" s="345"/>
      <c r="AF932" s="345"/>
      <c r="AG932" s="345"/>
      <c r="AH932" s="345"/>
      <c r="AI932" s="345"/>
      <c r="AJ932" s="345"/>
      <c r="AK932" s="345"/>
      <c r="AL932" s="345"/>
      <c r="AM932" s="345"/>
      <c r="AN932" s="345"/>
      <c r="AO932" s="345"/>
      <c r="AP932" s="345"/>
      <c r="AQ932" s="345"/>
      <c r="AR932" s="345"/>
      <c r="AS932" s="345"/>
    </row>
    <row r="933" ht="13.5" customHeight="1">
      <c r="A933" s="436" t="str">
        <f>'Membership Application List'!A1162</f>
        <v/>
      </c>
      <c r="B933" s="437" t="str">
        <f t="shared" si="6"/>
        <v/>
      </c>
      <c r="C933" s="437" t="str">
        <f t="shared" si="7"/>
        <v/>
      </c>
      <c r="D933" s="438" t="str">
        <f>'Membership Application List'!E1162</f>
        <v/>
      </c>
      <c r="E933" s="438" t="b">
        <f>IF('Membership Application List'!J1162 = "Food/Litter Donation", 0, IF('Membership Application List'!J1162 = "$15 Donation, Discord Verification", IF('Membership Application List'!N1162 = TRUE, 15, 0)))</f>
        <v>0</v>
      </c>
      <c r="F933" s="438">
        <f>if('Membership Application List'!K1162=TRUE, 5,0)</f>
        <v>0</v>
      </c>
      <c r="G933" s="438">
        <f t="shared" si="8"/>
        <v>0</v>
      </c>
      <c r="H933" s="479" t="str">
        <f>'Membership Application List'!L1162</f>
        <v/>
      </c>
      <c r="I933" s="345"/>
      <c r="J933" s="441"/>
      <c r="K933" s="345"/>
      <c r="L933" s="478"/>
      <c r="M933" s="345"/>
      <c r="N933" s="345"/>
      <c r="O933" s="345"/>
      <c r="P933" s="414"/>
      <c r="Q933" s="414"/>
      <c r="R933" s="414"/>
      <c r="S933" s="445"/>
      <c r="T933" s="445"/>
      <c r="U933" s="445"/>
      <c r="V933" s="345"/>
      <c r="W933" s="441"/>
      <c r="X933" s="345"/>
      <c r="Y933" s="345"/>
      <c r="Z933" s="345"/>
      <c r="AA933" s="345"/>
      <c r="AB933" s="345"/>
      <c r="AC933" s="345"/>
      <c r="AD933" s="345"/>
      <c r="AE933" s="345"/>
      <c r="AF933" s="345"/>
      <c r="AG933" s="345"/>
      <c r="AH933" s="345"/>
      <c r="AI933" s="345"/>
      <c r="AJ933" s="345"/>
      <c r="AK933" s="345"/>
      <c r="AL933" s="345"/>
      <c r="AM933" s="345"/>
      <c r="AN933" s="345"/>
      <c r="AO933" s="345"/>
      <c r="AP933" s="345"/>
      <c r="AQ933" s="345"/>
      <c r="AR933" s="345"/>
      <c r="AS933" s="345"/>
    </row>
    <row r="934" ht="13.5" customHeight="1">
      <c r="A934" s="424" t="str">
        <f>'Membership Application List'!A1163</f>
        <v/>
      </c>
      <c r="B934" s="443" t="str">
        <f t="shared" si="6"/>
        <v/>
      </c>
      <c r="C934" s="443" t="str">
        <f t="shared" si="7"/>
        <v/>
      </c>
      <c r="D934" s="426" t="str">
        <f>'Membership Application List'!E1163</f>
        <v/>
      </c>
      <c r="E934" s="426" t="b">
        <f>IF('Membership Application List'!J1163 = "Food/Litter Donation", 0, IF('Membership Application List'!J1163 = "$15 Donation, Discord Verification", IF('Membership Application List'!N1163 = TRUE, 15, 0)))</f>
        <v>0</v>
      </c>
      <c r="F934" s="426">
        <f>if('Membership Application List'!K1163=TRUE, 5,0)</f>
        <v>0</v>
      </c>
      <c r="G934" s="426">
        <f t="shared" si="8"/>
        <v>0</v>
      </c>
      <c r="H934" s="480" t="str">
        <f>'Membership Application List'!L1163</f>
        <v/>
      </c>
      <c r="I934" s="345"/>
      <c r="J934" s="441"/>
      <c r="K934" s="345"/>
      <c r="L934" s="478"/>
      <c r="M934" s="345"/>
      <c r="N934" s="345"/>
      <c r="O934" s="345"/>
      <c r="P934" s="414"/>
      <c r="Q934" s="414"/>
      <c r="R934" s="414"/>
      <c r="S934" s="445"/>
      <c r="T934" s="445"/>
      <c r="U934" s="445"/>
      <c r="V934" s="345"/>
      <c r="W934" s="441"/>
      <c r="X934" s="345"/>
      <c r="Y934" s="345"/>
      <c r="Z934" s="345"/>
      <c r="AA934" s="345"/>
      <c r="AB934" s="345"/>
      <c r="AC934" s="345"/>
      <c r="AD934" s="345"/>
      <c r="AE934" s="345"/>
      <c r="AF934" s="345"/>
      <c r="AG934" s="345"/>
      <c r="AH934" s="345"/>
      <c r="AI934" s="345"/>
      <c r="AJ934" s="345"/>
      <c r="AK934" s="345"/>
      <c r="AL934" s="345"/>
      <c r="AM934" s="345"/>
      <c r="AN934" s="345"/>
      <c r="AO934" s="345"/>
      <c r="AP934" s="345"/>
      <c r="AQ934" s="345"/>
      <c r="AR934" s="345"/>
      <c r="AS934" s="345"/>
    </row>
    <row r="935" ht="13.5" customHeight="1">
      <c r="A935" s="436" t="str">
        <f>'Membership Application List'!A1164</f>
        <v/>
      </c>
      <c r="B935" s="437" t="str">
        <f t="shared" si="6"/>
        <v/>
      </c>
      <c r="C935" s="437" t="str">
        <f t="shared" si="7"/>
        <v/>
      </c>
      <c r="D935" s="438" t="str">
        <f>'Membership Application List'!E1164</f>
        <v/>
      </c>
      <c r="E935" s="438" t="b">
        <f>IF('Membership Application List'!J1164 = "Food/Litter Donation", 0, IF('Membership Application List'!J1164 = "$15 Donation, Discord Verification", IF('Membership Application List'!N1164 = TRUE, 15, 0)))</f>
        <v>0</v>
      </c>
      <c r="F935" s="438">
        <f>if('Membership Application List'!K1164=TRUE, 5,0)</f>
        <v>0</v>
      </c>
      <c r="G935" s="438">
        <f t="shared" si="8"/>
        <v>0</v>
      </c>
      <c r="H935" s="479" t="str">
        <f>'Membership Application List'!L1164</f>
        <v/>
      </c>
      <c r="I935" s="345"/>
      <c r="J935" s="441"/>
      <c r="K935" s="345"/>
      <c r="L935" s="478"/>
      <c r="M935" s="345"/>
      <c r="N935" s="345"/>
      <c r="O935" s="345"/>
      <c r="P935" s="414"/>
      <c r="Q935" s="414"/>
      <c r="R935" s="414"/>
      <c r="S935" s="445"/>
      <c r="T935" s="445"/>
      <c r="U935" s="445"/>
      <c r="V935" s="345"/>
      <c r="W935" s="441"/>
      <c r="X935" s="345"/>
      <c r="Y935" s="345"/>
      <c r="Z935" s="345"/>
      <c r="AA935" s="345"/>
      <c r="AB935" s="345"/>
      <c r="AC935" s="345"/>
      <c r="AD935" s="345"/>
      <c r="AE935" s="345"/>
      <c r="AF935" s="345"/>
      <c r="AG935" s="345"/>
      <c r="AH935" s="345"/>
      <c r="AI935" s="345"/>
      <c r="AJ935" s="345"/>
      <c r="AK935" s="345"/>
      <c r="AL935" s="345"/>
      <c r="AM935" s="345"/>
      <c r="AN935" s="345"/>
      <c r="AO935" s="345"/>
      <c r="AP935" s="345"/>
      <c r="AQ935" s="345"/>
      <c r="AR935" s="345"/>
      <c r="AS935" s="345"/>
    </row>
    <row r="936" ht="13.5" customHeight="1">
      <c r="A936" s="424" t="str">
        <f>'Membership Application List'!A1165</f>
        <v/>
      </c>
      <c r="B936" s="443" t="str">
        <f t="shared" si="6"/>
        <v/>
      </c>
      <c r="C936" s="443" t="str">
        <f t="shared" si="7"/>
        <v/>
      </c>
      <c r="D936" s="426" t="str">
        <f>'Membership Application List'!E1165</f>
        <v/>
      </c>
      <c r="E936" s="426" t="b">
        <f>IF('Membership Application List'!J1165 = "Food/Litter Donation", 0, IF('Membership Application List'!J1165 = "$15 Donation, Discord Verification", IF('Membership Application List'!N1165 = TRUE, 15, 0)))</f>
        <v>0</v>
      </c>
      <c r="F936" s="426">
        <f>if('Membership Application List'!K1165=TRUE, 5,0)</f>
        <v>0</v>
      </c>
      <c r="G936" s="426">
        <f t="shared" si="8"/>
        <v>0</v>
      </c>
      <c r="H936" s="480" t="str">
        <f>'Membership Application List'!L1165</f>
        <v/>
      </c>
      <c r="I936" s="345"/>
      <c r="J936" s="441"/>
      <c r="K936" s="345"/>
      <c r="L936" s="478"/>
      <c r="M936" s="345"/>
      <c r="N936" s="345"/>
      <c r="O936" s="345"/>
      <c r="P936" s="414"/>
      <c r="Q936" s="414"/>
      <c r="R936" s="414"/>
      <c r="S936" s="445"/>
      <c r="T936" s="445"/>
      <c r="U936" s="445"/>
      <c r="V936" s="345"/>
      <c r="W936" s="441"/>
      <c r="X936" s="345"/>
      <c r="Y936" s="345"/>
      <c r="Z936" s="345"/>
      <c r="AA936" s="345"/>
      <c r="AB936" s="345"/>
      <c r="AC936" s="345"/>
      <c r="AD936" s="345"/>
      <c r="AE936" s="345"/>
      <c r="AF936" s="345"/>
      <c r="AG936" s="345"/>
      <c r="AH936" s="345"/>
      <c r="AI936" s="345"/>
      <c r="AJ936" s="345"/>
      <c r="AK936" s="345"/>
      <c r="AL936" s="345"/>
      <c r="AM936" s="345"/>
      <c r="AN936" s="345"/>
      <c r="AO936" s="345"/>
      <c r="AP936" s="345"/>
      <c r="AQ936" s="345"/>
      <c r="AR936" s="345"/>
      <c r="AS936" s="345"/>
    </row>
    <row r="937" ht="13.5" customHeight="1">
      <c r="A937" s="436" t="str">
        <f>'Membership Application List'!A1166</f>
        <v/>
      </c>
      <c r="B937" s="437" t="str">
        <f t="shared" si="6"/>
        <v/>
      </c>
      <c r="C937" s="437" t="str">
        <f t="shared" si="7"/>
        <v/>
      </c>
      <c r="D937" s="438" t="str">
        <f>'Membership Application List'!E1166</f>
        <v/>
      </c>
      <c r="E937" s="438" t="b">
        <f>IF('Membership Application List'!J1166 = "Food/Litter Donation", 0, IF('Membership Application List'!J1166 = "$15 Donation, Discord Verification", IF('Membership Application List'!N1166 = TRUE, 15, 0)))</f>
        <v>0</v>
      </c>
      <c r="F937" s="438">
        <f>if('Membership Application List'!K1166=TRUE, 5,0)</f>
        <v>0</v>
      </c>
      <c r="G937" s="438">
        <f t="shared" si="8"/>
        <v>0</v>
      </c>
      <c r="H937" s="479" t="str">
        <f>'Membership Application List'!L1166</f>
        <v/>
      </c>
      <c r="I937" s="345"/>
      <c r="J937" s="441"/>
      <c r="K937" s="345"/>
      <c r="L937" s="478"/>
      <c r="M937" s="345"/>
      <c r="N937" s="345"/>
      <c r="O937" s="345"/>
      <c r="P937" s="414"/>
      <c r="Q937" s="414"/>
      <c r="R937" s="414"/>
      <c r="S937" s="445"/>
      <c r="T937" s="445"/>
      <c r="U937" s="445"/>
      <c r="V937" s="345"/>
      <c r="W937" s="441"/>
      <c r="X937" s="345"/>
      <c r="Y937" s="345"/>
      <c r="Z937" s="345"/>
      <c r="AA937" s="345"/>
      <c r="AB937" s="345"/>
      <c r="AC937" s="345"/>
      <c r="AD937" s="345"/>
      <c r="AE937" s="345"/>
      <c r="AF937" s="345"/>
      <c r="AG937" s="345"/>
      <c r="AH937" s="345"/>
      <c r="AI937" s="345"/>
      <c r="AJ937" s="345"/>
      <c r="AK937" s="345"/>
      <c r="AL937" s="345"/>
      <c r="AM937" s="345"/>
      <c r="AN937" s="345"/>
      <c r="AO937" s="345"/>
      <c r="AP937" s="345"/>
      <c r="AQ937" s="345"/>
      <c r="AR937" s="345"/>
      <c r="AS937" s="345"/>
    </row>
    <row r="938" ht="13.5" customHeight="1">
      <c r="A938" s="424" t="str">
        <f>'Membership Application List'!A1167</f>
        <v/>
      </c>
      <c r="B938" s="443" t="str">
        <f t="shared" si="6"/>
        <v/>
      </c>
      <c r="C938" s="443" t="str">
        <f t="shared" si="7"/>
        <v/>
      </c>
      <c r="D938" s="426" t="str">
        <f>'Membership Application List'!E1167</f>
        <v/>
      </c>
      <c r="E938" s="426" t="b">
        <f>IF('Membership Application List'!J1167 = "Food/Litter Donation", 0, IF('Membership Application List'!J1167 = "$15 Donation, Discord Verification", IF('Membership Application List'!N1167 = TRUE, 15, 0)))</f>
        <v>0</v>
      </c>
      <c r="F938" s="426">
        <f>if('Membership Application List'!K1167=TRUE, 5,0)</f>
        <v>0</v>
      </c>
      <c r="G938" s="426">
        <f t="shared" si="8"/>
        <v>0</v>
      </c>
      <c r="H938" s="480" t="str">
        <f>'Membership Application List'!L1167</f>
        <v/>
      </c>
      <c r="I938" s="345"/>
      <c r="J938" s="441"/>
      <c r="K938" s="345"/>
      <c r="L938" s="478"/>
      <c r="M938" s="345"/>
      <c r="N938" s="345"/>
      <c r="O938" s="345"/>
      <c r="P938" s="414"/>
      <c r="Q938" s="414"/>
      <c r="R938" s="414"/>
      <c r="S938" s="445"/>
      <c r="T938" s="445"/>
      <c r="U938" s="445"/>
      <c r="V938" s="345"/>
      <c r="W938" s="441"/>
      <c r="X938" s="345"/>
      <c r="Y938" s="345"/>
      <c r="Z938" s="345"/>
      <c r="AA938" s="345"/>
      <c r="AB938" s="345"/>
      <c r="AC938" s="345"/>
      <c r="AD938" s="345"/>
      <c r="AE938" s="345"/>
      <c r="AF938" s="345"/>
      <c r="AG938" s="345"/>
      <c r="AH938" s="345"/>
      <c r="AI938" s="345"/>
      <c r="AJ938" s="345"/>
      <c r="AK938" s="345"/>
      <c r="AL938" s="345"/>
      <c r="AM938" s="345"/>
      <c r="AN938" s="345"/>
      <c r="AO938" s="345"/>
      <c r="AP938" s="345"/>
      <c r="AQ938" s="345"/>
      <c r="AR938" s="345"/>
      <c r="AS938" s="345"/>
    </row>
    <row r="939" ht="13.5" customHeight="1">
      <c r="A939" s="436" t="str">
        <f>'Membership Application List'!A1168</f>
        <v/>
      </c>
      <c r="B939" s="437" t="str">
        <f t="shared" si="6"/>
        <v/>
      </c>
      <c r="C939" s="437" t="str">
        <f t="shared" si="7"/>
        <v/>
      </c>
      <c r="D939" s="438" t="str">
        <f>'Membership Application List'!E1168</f>
        <v/>
      </c>
      <c r="E939" s="438" t="b">
        <f>IF('Membership Application List'!J1168 = "Food/Litter Donation", 0, IF('Membership Application List'!J1168 = "$15 Donation, Discord Verification", IF('Membership Application List'!N1168 = TRUE, 15, 0)))</f>
        <v>0</v>
      </c>
      <c r="F939" s="438">
        <f>if('Membership Application List'!K1168=TRUE, 5,0)</f>
        <v>0</v>
      </c>
      <c r="G939" s="438">
        <f t="shared" si="8"/>
        <v>0</v>
      </c>
      <c r="H939" s="479" t="str">
        <f>'Membership Application List'!L1168</f>
        <v/>
      </c>
      <c r="I939" s="345"/>
      <c r="J939" s="441"/>
      <c r="K939" s="345"/>
      <c r="L939" s="478"/>
      <c r="M939" s="345"/>
      <c r="N939" s="345"/>
      <c r="O939" s="345"/>
      <c r="P939" s="414"/>
      <c r="Q939" s="414"/>
      <c r="R939" s="414"/>
      <c r="S939" s="445"/>
      <c r="T939" s="445"/>
      <c r="U939" s="445"/>
      <c r="V939" s="345"/>
      <c r="W939" s="441"/>
      <c r="X939" s="345"/>
      <c r="Y939" s="345"/>
      <c r="Z939" s="345"/>
      <c r="AA939" s="345"/>
      <c r="AB939" s="345"/>
      <c r="AC939" s="345"/>
      <c r="AD939" s="345"/>
      <c r="AE939" s="345"/>
      <c r="AF939" s="345"/>
      <c r="AG939" s="345"/>
      <c r="AH939" s="345"/>
      <c r="AI939" s="345"/>
      <c r="AJ939" s="345"/>
      <c r="AK939" s="345"/>
      <c r="AL939" s="345"/>
      <c r="AM939" s="345"/>
      <c r="AN939" s="345"/>
      <c r="AO939" s="345"/>
      <c r="AP939" s="345"/>
      <c r="AQ939" s="345"/>
      <c r="AR939" s="345"/>
      <c r="AS939" s="345"/>
    </row>
    <row r="940" ht="13.5" customHeight="1">
      <c r="A940" s="424" t="str">
        <f>'Membership Application List'!A1169</f>
        <v/>
      </c>
      <c r="B940" s="443" t="str">
        <f t="shared" si="6"/>
        <v/>
      </c>
      <c r="C940" s="443" t="str">
        <f t="shared" si="7"/>
        <v/>
      </c>
      <c r="D940" s="426" t="str">
        <f>'Membership Application List'!E1169</f>
        <v/>
      </c>
      <c r="E940" s="426" t="b">
        <f>IF('Membership Application List'!J1169 = "Food/Litter Donation", 0, IF('Membership Application List'!J1169 = "$15 Donation, Discord Verification", IF('Membership Application List'!N1169 = TRUE, 15, 0)))</f>
        <v>0</v>
      </c>
      <c r="F940" s="426">
        <f>if('Membership Application List'!K1169=TRUE, 5,0)</f>
        <v>0</v>
      </c>
      <c r="G940" s="426">
        <f t="shared" si="8"/>
        <v>0</v>
      </c>
      <c r="H940" s="480" t="str">
        <f>'Membership Application List'!L1169</f>
        <v/>
      </c>
      <c r="I940" s="345"/>
      <c r="J940" s="441"/>
      <c r="K940" s="345"/>
      <c r="L940" s="478"/>
      <c r="M940" s="345"/>
      <c r="N940" s="345"/>
      <c r="O940" s="345"/>
      <c r="P940" s="414"/>
      <c r="Q940" s="414"/>
      <c r="R940" s="414"/>
      <c r="S940" s="445"/>
      <c r="T940" s="445"/>
      <c r="U940" s="445"/>
      <c r="V940" s="345"/>
      <c r="W940" s="441"/>
      <c r="X940" s="345"/>
      <c r="Y940" s="345"/>
      <c r="Z940" s="345"/>
      <c r="AA940" s="345"/>
      <c r="AB940" s="345"/>
      <c r="AC940" s="345"/>
      <c r="AD940" s="345"/>
      <c r="AE940" s="345"/>
      <c r="AF940" s="345"/>
      <c r="AG940" s="345"/>
      <c r="AH940" s="345"/>
      <c r="AI940" s="345"/>
      <c r="AJ940" s="345"/>
      <c r="AK940" s="345"/>
      <c r="AL940" s="345"/>
      <c r="AM940" s="345"/>
      <c r="AN940" s="345"/>
      <c r="AO940" s="345"/>
      <c r="AP940" s="345"/>
      <c r="AQ940" s="345"/>
      <c r="AR940" s="345"/>
      <c r="AS940" s="345"/>
    </row>
    <row r="941" ht="13.5" customHeight="1">
      <c r="A941" s="436" t="str">
        <f>'Membership Application List'!A1170</f>
        <v/>
      </c>
      <c r="B941" s="437" t="str">
        <f t="shared" si="6"/>
        <v/>
      </c>
      <c r="C941" s="437" t="str">
        <f t="shared" si="7"/>
        <v/>
      </c>
      <c r="D941" s="438" t="str">
        <f>'Membership Application List'!E1170</f>
        <v/>
      </c>
      <c r="E941" s="438" t="b">
        <f>IF('Membership Application List'!J1170 = "Food/Litter Donation", 0, IF('Membership Application List'!J1170 = "$15 Donation, Discord Verification", IF('Membership Application List'!N1170 = TRUE, 15, 0)))</f>
        <v>0</v>
      </c>
      <c r="F941" s="438">
        <f>if('Membership Application List'!K1170=TRUE, 5,0)</f>
        <v>0</v>
      </c>
      <c r="G941" s="438">
        <f t="shared" si="8"/>
        <v>0</v>
      </c>
      <c r="H941" s="479" t="str">
        <f>'Membership Application List'!L1170</f>
        <v/>
      </c>
      <c r="I941" s="345"/>
      <c r="J941" s="441"/>
      <c r="K941" s="345"/>
      <c r="L941" s="478"/>
      <c r="M941" s="345"/>
      <c r="N941" s="345"/>
      <c r="O941" s="345"/>
      <c r="P941" s="414"/>
      <c r="Q941" s="414"/>
      <c r="R941" s="414"/>
      <c r="S941" s="445"/>
      <c r="T941" s="445"/>
      <c r="U941" s="445"/>
      <c r="V941" s="345"/>
      <c r="W941" s="441"/>
      <c r="X941" s="345"/>
      <c r="Y941" s="345"/>
      <c r="Z941" s="345"/>
      <c r="AA941" s="345"/>
      <c r="AB941" s="345"/>
      <c r="AC941" s="345"/>
      <c r="AD941" s="345"/>
      <c r="AE941" s="345"/>
      <c r="AF941" s="345"/>
      <c r="AG941" s="345"/>
      <c r="AH941" s="345"/>
      <c r="AI941" s="345"/>
      <c r="AJ941" s="345"/>
      <c r="AK941" s="345"/>
      <c r="AL941" s="345"/>
      <c r="AM941" s="345"/>
      <c r="AN941" s="345"/>
      <c r="AO941" s="345"/>
      <c r="AP941" s="345"/>
      <c r="AQ941" s="345"/>
      <c r="AR941" s="345"/>
      <c r="AS941" s="345"/>
    </row>
    <row r="942" ht="13.5" customHeight="1">
      <c r="A942" s="424" t="str">
        <f>'Membership Application List'!A1171</f>
        <v/>
      </c>
      <c r="B942" s="443" t="str">
        <f t="shared" si="6"/>
        <v/>
      </c>
      <c r="C942" s="443" t="str">
        <f t="shared" si="7"/>
        <v/>
      </c>
      <c r="D942" s="426" t="str">
        <f>'Membership Application List'!E1171</f>
        <v/>
      </c>
      <c r="E942" s="426" t="b">
        <f>IF('Membership Application List'!J1171 = "Food/Litter Donation", 0, IF('Membership Application List'!J1171 = "$15 Donation, Discord Verification", IF('Membership Application List'!N1171 = TRUE, 15, 0)))</f>
        <v>0</v>
      </c>
      <c r="F942" s="426">
        <f>if('Membership Application List'!K1171=TRUE, 5,0)</f>
        <v>0</v>
      </c>
      <c r="G942" s="426">
        <f t="shared" si="8"/>
        <v>0</v>
      </c>
      <c r="H942" s="480" t="str">
        <f>'Membership Application List'!L1171</f>
        <v/>
      </c>
      <c r="I942" s="345"/>
      <c r="J942" s="441"/>
      <c r="K942" s="345"/>
      <c r="L942" s="478"/>
      <c r="M942" s="345"/>
      <c r="N942" s="345"/>
      <c r="O942" s="345"/>
      <c r="P942" s="414"/>
      <c r="Q942" s="414"/>
      <c r="R942" s="414"/>
      <c r="S942" s="445"/>
      <c r="T942" s="445"/>
      <c r="U942" s="445"/>
      <c r="V942" s="345"/>
      <c r="W942" s="441"/>
      <c r="X942" s="345"/>
      <c r="Y942" s="345"/>
      <c r="Z942" s="345"/>
      <c r="AA942" s="345"/>
      <c r="AB942" s="345"/>
      <c r="AC942" s="345"/>
      <c r="AD942" s="345"/>
      <c r="AE942" s="345"/>
      <c r="AF942" s="345"/>
      <c r="AG942" s="345"/>
      <c r="AH942" s="345"/>
      <c r="AI942" s="345"/>
      <c r="AJ942" s="345"/>
      <c r="AK942" s="345"/>
      <c r="AL942" s="345"/>
      <c r="AM942" s="345"/>
      <c r="AN942" s="345"/>
      <c r="AO942" s="345"/>
      <c r="AP942" s="345"/>
      <c r="AQ942" s="345"/>
      <c r="AR942" s="345"/>
      <c r="AS942" s="345"/>
    </row>
    <row r="943" ht="13.5" customHeight="1">
      <c r="A943" s="436" t="str">
        <f>'Membership Application List'!A1172</f>
        <v/>
      </c>
      <c r="B943" s="437" t="str">
        <f t="shared" si="6"/>
        <v/>
      </c>
      <c r="C943" s="437" t="str">
        <f t="shared" si="7"/>
        <v/>
      </c>
      <c r="D943" s="438" t="str">
        <f>'Membership Application List'!E1172</f>
        <v/>
      </c>
      <c r="E943" s="438" t="b">
        <f>IF('Membership Application List'!J1172 = "Food/Litter Donation", 0, IF('Membership Application List'!J1172 = "$15 Donation, Discord Verification", IF('Membership Application List'!N1172 = TRUE, 15, 0)))</f>
        <v>0</v>
      </c>
      <c r="F943" s="438">
        <f>if('Membership Application List'!K1172=TRUE, 5,0)</f>
        <v>0</v>
      </c>
      <c r="G943" s="438">
        <f t="shared" si="8"/>
        <v>0</v>
      </c>
      <c r="H943" s="479" t="str">
        <f>'Membership Application List'!L1172</f>
        <v/>
      </c>
      <c r="I943" s="345"/>
      <c r="J943" s="441"/>
      <c r="K943" s="345"/>
      <c r="L943" s="478"/>
      <c r="M943" s="345"/>
      <c r="N943" s="345"/>
      <c r="O943" s="345"/>
      <c r="P943" s="414"/>
      <c r="Q943" s="414"/>
      <c r="R943" s="414"/>
      <c r="S943" s="445"/>
      <c r="T943" s="445"/>
      <c r="U943" s="445"/>
      <c r="V943" s="345"/>
      <c r="W943" s="441"/>
      <c r="X943" s="345"/>
      <c r="Y943" s="345"/>
      <c r="Z943" s="345"/>
      <c r="AA943" s="345"/>
      <c r="AB943" s="345"/>
      <c r="AC943" s="345"/>
      <c r="AD943" s="345"/>
      <c r="AE943" s="345"/>
      <c r="AF943" s="345"/>
      <c r="AG943" s="345"/>
      <c r="AH943" s="345"/>
      <c r="AI943" s="345"/>
      <c r="AJ943" s="345"/>
      <c r="AK943" s="345"/>
      <c r="AL943" s="345"/>
      <c r="AM943" s="345"/>
      <c r="AN943" s="345"/>
      <c r="AO943" s="345"/>
      <c r="AP943" s="345"/>
      <c r="AQ943" s="345"/>
      <c r="AR943" s="345"/>
      <c r="AS943" s="345"/>
    </row>
    <row r="944" ht="13.5" customHeight="1">
      <c r="A944" s="424" t="str">
        <f>'Membership Application List'!A1173</f>
        <v/>
      </c>
      <c r="B944" s="443" t="str">
        <f t="shared" si="6"/>
        <v/>
      </c>
      <c r="C944" s="443" t="str">
        <f t="shared" si="7"/>
        <v/>
      </c>
      <c r="D944" s="426" t="str">
        <f>'Membership Application List'!E1173</f>
        <v/>
      </c>
      <c r="E944" s="426" t="b">
        <f>IF('Membership Application List'!J1173 = "Food/Litter Donation", 0, IF('Membership Application List'!J1173 = "$15 Donation, Discord Verification", IF('Membership Application List'!N1173 = TRUE, 15, 0)))</f>
        <v>0</v>
      </c>
      <c r="F944" s="426">
        <f>if('Membership Application List'!K1173=TRUE, 5,0)</f>
        <v>0</v>
      </c>
      <c r="G944" s="426">
        <f t="shared" si="8"/>
        <v>0</v>
      </c>
      <c r="H944" s="480" t="str">
        <f>'Membership Application List'!L1173</f>
        <v/>
      </c>
      <c r="I944" s="345"/>
      <c r="J944" s="441"/>
      <c r="K944" s="345"/>
      <c r="L944" s="478"/>
      <c r="M944" s="345"/>
      <c r="N944" s="345"/>
      <c r="O944" s="345"/>
      <c r="P944" s="414"/>
      <c r="Q944" s="414"/>
      <c r="R944" s="414"/>
      <c r="S944" s="445"/>
      <c r="T944" s="445"/>
      <c r="U944" s="445"/>
      <c r="V944" s="345"/>
      <c r="W944" s="441"/>
      <c r="X944" s="345"/>
      <c r="Y944" s="345"/>
      <c r="Z944" s="345"/>
      <c r="AA944" s="345"/>
      <c r="AB944" s="345"/>
      <c r="AC944" s="345"/>
      <c r="AD944" s="345"/>
      <c r="AE944" s="345"/>
      <c r="AF944" s="345"/>
      <c r="AG944" s="345"/>
      <c r="AH944" s="345"/>
      <c r="AI944" s="345"/>
      <c r="AJ944" s="345"/>
      <c r="AK944" s="345"/>
      <c r="AL944" s="345"/>
      <c r="AM944" s="345"/>
      <c r="AN944" s="345"/>
      <c r="AO944" s="345"/>
      <c r="AP944" s="345"/>
      <c r="AQ944" s="345"/>
      <c r="AR944" s="345"/>
      <c r="AS944" s="345"/>
    </row>
    <row r="945" ht="13.5" customHeight="1">
      <c r="A945" s="436" t="str">
        <f>'Membership Application List'!A1174</f>
        <v/>
      </c>
      <c r="B945" s="437" t="str">
        <f t="shared" si="6"/>
        <v/>
      </c>
      <c r="C945" s="437" t="str">
        <f t="shared" si="7"/>
        <v/>
      </c>
      <c r="D945" s="438" t="str">
        <f>'Membership Application List'!E1174</f>
        <v/>
      </c>
      <c r="E945" s="438" t="b">
        <f>IF('Membership Application List'!J1174 = "Food/Litter Donation", 0, IF('Membership Application List'!J1174 = "$15 Donation, Discord Verification", IF('Membership Application List'!N1174 = TRUE, 15, 0)))</f>
        <v>0</v>
      </c>
      <c r="F945" s="438">
        <f>if('Membership Application List'!K1174=TRUE, 5,0)</f>
        <v>0</v>
      </c>
      <c r="G945" s="438">
        <f t="shared" si="8"/>
        <v>0</v>
      </c>
      <c r="H945" s="479" t="str">
        <f>'Membership Application List'!L1174</f>
        <v/>
      </c>
      <c r="I945" s="345"/>
      <c r="J945" s="441"/>
      <c r="K945" s="345"/>
      <c r="L945" s="478"/>
      <c r="M945" s="345"/>
      <c r="N945" s="345"/>
      <c r="O945" s="345"/>
      <c r="P945" s="414"/>
      <c r="Q945" s="414"/>
      <c r="R945" s="414"/>
      <c r="S945" s="445"/>
      <c r="T945" s="445"/>
      <c r="U945" s="445"/>
      <c r="V945" s="345"/>
      <c r="W945" s="441"/>
      <c r="X945" s="345"/>
      <c r="Y945" s="345"/>
      <c r="Z945" s="345"/>
      <c r="AA945" s="345"/>
      <c r="AB945" s="345"/>
      <c r="AC945" s="345"/>
      <c r="AD945" s="345"/>
      <c r="AE945" s="345"/>
      <c r="AF945" s="345"/>
      <c r="AG945" s="345"/>
      <c r="AH945" s="345"/>
      <c r="AI945" s="345"/>
      <c r="AJ945" s="345"/>
      <c r="AK945" s="345"/>
      <c r="AL945" s="345"/>
      <c r="AM945" s="345"/>
      <c r="AN945" s="345"/>
      <c r="AO945" s="345"/>
      <c r="AP945" s="345"/>
      <c r="AQ945" s="345"/>
      <c r="AR945" s="345"/>
      <c r="AS945" s="345"/>
    </row>
    <row r="946" ht="13.5" customHeight="1">
      <c r="A946" s="424" t="str">
        <f>'Membership Application List'!A1175</f>
        <v/>
      </c>
      <c r="B946" s="443" t="str">
        <f t="shared" si="6"/>
        <v/>
      </c>
      <c r="C946" s="443" t="str">
        <f t="shared" si="7"/>
        <v/>
      </c>
      <c r="D946" s="426" t="str">
        <f>'Membership Application List'!E1175</f>
        <v/>
      </c>
      <c r="E946" s="426" t="b">
        <f>IF('Membership Application List'!J1175 = "Food/Litter Donation", 0, IF('Membership Application List'!J1175 = "$15 Donation, Discord Verification", IF('Membership Application List'!N1175 = TRUE, 15, 0)))</f>
        <v>0</v>
      </c>
      <c r="F946" s="426">
        <f>if('Membership Application List'!K1175=TRUE, 5,0)</f>
        <v>0</v>
      </c>
      <c r="G946" s="426">
        <f t="shared" si="8"/>
        <v>0</v>
      </c>
      <c r="H946" s="480" t="str">
        <f>'Membership Application List'!L1175</f>
        <v/>
      </c>
      <c r="I946" s="345"/>
      <c r="J946" s="441"/>
      <c r="K946" s="345"/>
      <c r="L946" s="478"/>
      <c r="M946" s="345"/>
      <c r="N946" s="345"/>
      <c r="O946" s="345"/>
      <c r="P946" s="414"/>
      <c r="Q946" s="414"/>
      <c r="R946" s="414"/>
      <c r="S946" s="445"/>
      <c r="T946" s="445"/>
      <c r="U946" s="445"/>
      <c r="V946" s="345"/>
      <c r="W946" s="441"/>
      <c r="X946" s="345"/>
      <c r="Y946" s="345"/>
      <c r="Z946" s="345"/>
      <c r="AA946" s="345"/>
      <c r="AB946" s="345"/>
      <c r="AC946" s="345"/>
      <c r="AD946" s="345"/>
      <c r="AE946" s="345"/>
      <c r="AF946" s="345"/>
      <c r="AG946" s="345"/>
      <c r="AH946" s="345"/>
      <c r="AI946" s="345"/>
      <c r="AJ946" s="345"/>
      <c r="AK946" s="345"/>
      <c r="AL946" s="345"/>
      <c r="AM946" s="345"/>
      <c r="AN946" s="345"/>
      <c r="AO946" s="345"/>
      <c r="AP946" s="345"/>
      <c r="AQ946" s="345"/>
      <c r="AR946" s="345"/>
      <c r="AS946" s="345"/>
    </row>
    <row r="947" ht="13.5" customHeight="1">
      <c r="A947" s="436" t="str">
        <f>'Membership Application List'!A1176</f>
        <v/>
      </c>
      <c r="B947" s="437" t="str">
        <f t="shared" si="6"/>
        <v/>
      </c>
      <c r="C947" s="437" t="str">
        <f t="shared" si="7"/>
        <v/>
      </c>
      <c r="D947" s="438" t="str">
        <f>'Membership Application List'!E1176</f>
        <v/>
      </c>
      <c r="E947" s="438" t="b">
        <f>IF('Membership Application List'!J1176 = "Food/Litter Donation", 0, IF('Membership Application List'!J1176 = "$15 Donation, Discord Verification", IF('Membership Application List'!N1176 = TRUE, 15, 0)))</f>
        <v>0</v>
      </c>
      <c r="F947" s="438">
        <f>if('Membership Application List'!K1176=TRUE, 5,0)</f>
        <v>0</v>
      </c>
      <c r="G947" s="438">
        <f t="shared" si="8"/>
        <v>0</v>
      </c>
      <c r="H947" s="479" t="str">
        <f>'Membership Application List'!L1176</f>
        <v/>
      </c>
      <c r="I947" s="345"/>
      <c r="J947" s="441"/>
      <c r="K947" s="345"/>
      <c r="L947" s="478"/>
      <c r="M947" s="345"/>
      <c r="N947" s="345"/>
      <c r="O947" s="345"/>
      <c r="P947" s="414"/>
      <c r="Q947" s="414"/>
      <c r="R947" s="414"/>
      <c r="S947" s="445"/>
      <c r="T947" s="445"/>
      <c r="U947" s="445"/>
      <c r="V947" s="345"/>
      <c r="W947" s="441"/>
      <c r="X947" s="345"/>
      <c r="Y947" s="345"/>
      <c r="Z947" s="345"/>
      <c r="AA947" s="345"/>
      <c r="AB947" s="345"/>
      <c r="AC947" s="345"/>
      <c r="AD947" s="345"/>
      <c r="AE947" s="345"/>
      <c r="AF947" s="345"/>
      <c r="AG947" s="345"/>
      <c r="AH947" s="345"/>
      <c r="AI947" s="345"/>
      <c r="AJ947" s="345"/>
      <c r="AK947" s="345"/>
      <c r="AL947" s="345"/>
      <c r="AM947" s="345"/>
      <c r="AN947" s="345"/>
      <c r="AO947" s="345"/>
      <c r="AP947" s="345"/>
      <c r="AQ947" s="345"/>
      <c r="AR947" s="345"/>
      <c r="AS947" s="345"/>
    </row>
    <row r="948" ht="13.5" customHeight="1">
      <c r="A948" s="424" t="str">
        <f>'Membership Application List'!A1177</f>
        <v/>
      </c>
      <c r="B948" s="443" t="str">
        <f t="shared" si="6"/>
        <v/>
      </c>
      <c r="C948" s="443" t="str">
        <f t="shared" si="7"/>
        <v/>
      </c>
      <c r="D948" s="426" t="str">
        <f>'Membership Application List'!E1177</f>
        <v/>
      </c>
      <c r="E948" s="426" t="b">
        <f>IF('Membership Application List'!J1177 = "Food/Litter Donation", 0, IF('Membership Application List'!J1177 = "$15 Donation, Discord Verification", IF('Membership Application List'!N1177 = TRUE, 15, 0)))</f>
        <v>0</v>
      </c>
      <c r="F948" s="426">
        <f>if('Membership Application List'!K1177=TRUE, 5,0)</f>
        <v>0</v>
      </c>
      <c r="G948" s="426">
        <f t="shared" si="8"/>
        <v>0</v>
      </c>
      <c r="H948" s="480" t="str">
        <f>'Membership Application List'!L1177</f>
        <v/>
      </c>
      <c r="I948" s="345"/>
      <c r="J948" s="441"/>
      <c r="K948" s="345"/>
      <c r="L948" s="478"/>
      <c r="M948" s="345"/>
      <c r="N948" s="345"/>
      <c r="O948" s="345"/>
      <c r="P948" s="414"/>
      <c r="Q948" s="414"/>
      <c r="R948" s="414"/>
      <c r="S948" s="445"/>
      <c r="T948" s="445"/>
      <c r="U948" s="445"/>
      <c r="V948" s="345"/>
      <c r="W948" s="441"/>
      <c r="X948" s="345"/>
      <c r="Y948" s="345"/>
      <c r="Z948" s="345"/>
      <c r="AA948" s="345"/>
      <c r="AB948" s="345"/>
      <c r="AC948" s="345"/>
      <c r="AD948" s="345"/>
      <c r="AE948" s="345"/>
      <c r="AF948" s="345"/>
      <c r="AG948" s="345"/>
      <c r="AH948" s="345"/>
      <c r="AI948" s="345"/>
      <c r="AJ948" s="345"/>
      <c r="AK948" s="345"/>
      <c r="AL948" s="345"/>
      <c r="AM948" s="345"/>
      <c r="AN948" s="345"/>
      <c r="AO948" s="345"/>
      <c r="AP948" s="345"/>
      <c r="AQ948" s="345"/>
      <c r="AR948" s="345"/>
      <c r="AS948" s="345"/>
    </row>
    <row r="949" ht="13.5" customHeight="1">
      <c r="A949" s="436" t="str">
        <f>'Membership Application List'!A1178</f>
        <v/>
      </c>
      <c r="B949" s="437" t="str">
        <f t="shared" si="6"/>
        <v/>
      </c>
      <c r="C949" s="437" t="str">
        <f t="shared" si="7"/>
        <v/>
      </c>
      <c r="D949" s="438" t="str">
        <f>'Membership Application List'!E1178</f>
        <v/>
      </c>
      <c r="E949" s="438" t="b">
        <f>IF('Membership Application List'!J1178 = "Food/Litter Donation", 0, IF('Membership Application List'!J1178 = "$15 Donation, Discord Verification", IF('Membership Application List'!N1178 = TRUE, 15, 0)))</f>
        <v>0</v>
      </c>
      <c r="F949" s="438">
        <f>if('Membership Application List'!K1178=TRUE, 5,0)</f>
        <v>0</v>
      </c>
      <c r="G949" s="438">
        <f t="shared" si="8"/>
        <v>0</v>
      </c>
      <c r="H949" s="479" t="str">
        <f>'Membership Application List'!L1178</f>
        <v/>
      </c>
      <c r="I949" s="345"/>
      <c r="J949" s="441"/>
      <c r="K949" s="345"/>
      <c r="L949" s="478"/>
      <c r="M949" s="345"/>
      <c r="N949" s="345"/>
      <c r="O949" s="345"/>
      <c r="P949" s="414"/>
      <c r="Q949" s="414"/>
      <c r="R949" s="414"/>
      <c r="S949" s="445"/>
      <c r="T949" s="445"/>
      <c r="U949" s="445"/>
      <c r="V949" s="345"/>
      <c r="W949" s="441"/>
      <c r="X949" s="345"/>
      <c r="Y949" s="345"/>
      <c r="Z949" s="345"/>
      <c r="AA949" s="345"/>
      <c r="AB949" s="345"/>
      <c r="AC949" s="345"/>
      <c r="AD949" s="345"/>
      <c r="AE949" s="345"/>
      <c r="AF949" s="345"/>
      <c r="AG949" s="345"/>
      <c r="AH949" s="345"/>
      <c r="AI949" s="345"/>
      <c r="AJ949" s="345"/>
      <c r="AK949" s="345"/>
      <c r="AL949" s="345"/>
      <c r="AM949" s="345"/>
      <c r="AN949" s="345"/>
      <c r="AO949" s="345"/>
      <c r="AP949" s="345"/>
      <c r="AQ949" s="345"/>
      <c r="AR949" s="345"/>
      <c r="AS949" s="345"/>
    </row>
    <row r="950" ht="13.5" customHeight="1">
      <c r="A950" s="424" t="str">
        <f>'Membership Application List'!A1179</f>
        <v/>
      </c>
      <c r="B950" s="443" t="str">
        <f t="shared" si="6"/>
        <v/>
      </c>
      <c r="C950" s="443" t="str">
        <f t="shared" si="7"/>
        <v/>
      </c>
      <c r="D950" s="426" t="str">
        <f>'Membership Application List'!E1179</f>
        <v/>
      </c>
      <c r="E950" s="426" t="b">
        <f>IF('Membership Application List'!J1179 = "Food/Litter Donation", 0, IF('Membership Application List'!J1179 = "$15 Donation, Discord Verification", IF('Membership Application List'!N1179 = TRUE, 15, 0)))</f>
        <v>0</v>
      </c>
      <c r="F950" s="426">
        <f>if('Membership Application List'!K1179=TRUE, 5,0)</f>
        <v>0</v>
      </c>
      <c r="G950" s="426">
        <f t="shared" si="8"/>
        <v>0</v>
      </c>
      <c r="H950" s="480" t="str">
        <f>'Membership Application List'!L1179</f>
        <v/>
      </c>
      <c r="I950" s="345"/>
      <c r="J950" s="441"/>
      <c r="K950" s="345"/>
      <c r="L950" s="478"/>
      <c r="M950" s="345"/>
      <c r="N950" s="345"/>
      <c r="O950" s="345"/>
      <c r="P950" s="414"/>
      <c r="Q950" s="414"/>
      <c r="R950" s="414"/>
      <c r="S950" s="445"/>
      <c r="T950" s="445"/>
      <c r="U950" s="445"/>
      <c r="V950" s="345"/>
      <c r="W950" s="441"/>
      <c r="X950" s="345"/>
      <c r="Y950" s="345"/>
      <c r="Z950" s="345"/>
      <c r="AA950" s="345"/>
      <c r="AB950" s="345"/>
      <c r="AC950" s="345"/>
      <c r="AD950" s="345"/>
      <c r="AE950" s="345"/>
      <c r="AF950" s="345"/>
      <c r="AG950" s="345"/>
      <c r="AH950" s="345"/>
      <c r="AI950" s="345"/>
      <c r="AJ950" s="345"/>
      <c r="AK950" s="345"/>
      <c r="AL950" s="345"/>
      <c r="AM950" s="345"/>
      <c r="AN950" s="345"/>
      <c r="AO950" s="345"/>
      <c r="AP950" s="345"/>
      <c r="AQ950" s="345"/>
      <c r="AR950" s="345"/>
      <c r="AS950" s="345"/>
    </row>
    <row r="951" ht="13.5" customHeight="1">
      <c r="A951" s="436" t="str">
        <f>'Membership Application List'!A1180</f>
        <v/>
      </c>
      <c r="B951" s="437" t="str">
        <f t="shared" si="6"/>
        <v/>
      </c>
      <c r="C951" s="437" t="str">
        <f t="shared" si="7"/>
        <v/>
      </c>
      <c r="D951" s="438" t="str">
        <f>'Membership Application List'!E1180</f>
        <v/>
      </c>
      <c r="E951" s="438" t="b">
        <f>IF('Membership Application List'!J1180 = "Food/Litter Donation", 0, IF('Membership Application List'!J1180 = "$15 Donation, Discord Verification", IF('Membership Application List'!N1180 = TRUE, 15, 0)))</f>
        <v>0</v>
      </c>
      <c r="F951" s="438">
        <f>if('Membership Application List'!K1180=TRUE, 5,0)</f>
        <v>0</v>
      </c>
      <c r="G951" s="438">
        <f t="shared" si="8"/>
        <v>0</v>
      </c>
      <c r="H951" s="479" t="str">
        <f>'Membership Application List'!L1180</f>
        <v/>
      </c>
      <c r="I951" s="345"/>
      <c r="J951" s="441"/>
      <c r="K951" s="345"/>
      <c r="L951" s="478"/>
      <c r="M951" s="345"/>
      <c r="N951" s="345"/>
      <c r="O951" s="345"/>
      <c r="P951" s="414"/>
      <c r="Q951" s="414"/>
      <c r="R951" s="414"/>
      <c r="S951" s="445"/>
      <c r="T951" s="445"/>
      <c r="U951" s="445"/>
      <c r="V951" s="345"/>
      <c r="W951" s="441"/>
      <c r="X951" s="345"/>
      <c r="Y951" s="345"/>
      <c r="Z951" s="345"/>
      <c r="AA951" s="345"/>
      <c r="AB951" s="345"/>
      <c r="AC951" s="345"/>
      <c r="AD951" s="345"/>
      <c r="AE951" s="345"/>
      <c r="AF951" s="345"/>
      <c r="AG951" s="345"/>
      <c r="AH951" s="345"/>
      <c r="AI951" s="345"/>
      <c r="AJ951" s="345"/>
      <c r="AK951" s="345"/>
      <c r="AL951" s="345"/>
      <c r="AM951" s="345"/>
      <c r="AN951" s="345"/>
      <c r="AO951" s="345"/>
      <c r="AP951" s="345"/>
      <c r="AQ951" s="345"/>
      <c r="AR951" s="345"/>
      <c r="AS951" s="345"/>
    </row>
    <row r="952" ht="13.5" customHeight="1">
      <c r="A952" s="424" t="str">
        <f>'Membership Application List'!A1181</f>
        <v/>
      </c>
      <c r="B952" s="443" t="str">
        <f t="shared" si="6"/>
        <v/>
      </c>
      <c r="C952" s="443" t="str">
        <f t="shared" si="7"/>
        <v/>
      </c>
      <c r="D952" s="426" t="str">
        <f>'Membership Application List'!E1181</f>
        <v/>
      </c>
      <c r="E952" s="426" t="b">
        <f>IF('Membership Application List'!J1181 = "Food/Litter Donation", 0, IF('Membership Application List'!J1181 = "$15 Donation, Discord Verification", IF('Membership Application List'!N1181 = TRUE, 15, 0)))</f>
        <v>0</v>
      </c>
      <c r="F952" s="426">
        <f>if('Membership Application List'!K1181=TRUE, 5,0)</f>
        <v>0</v>
      </c>
      <c r="G952" s="426">
        <f t="shared" si="8"/>
        <v>0</v>
      </c>
      <c r="H952" s="480" t="str">
        <f>'Membership Application List'!L1181</f>
        <v/>
      </c>
      <c r="I952" s="345"/>
      <c r="J952" s="441"/>
      <c r="K952" s="345"/>
      <c r="L952" s="478"/>
      <c r="M952" s="345"/>
      <c r="N952" s="345"/>
      <c r="O952" s="345"/>
      <c r="P952" s="414"/>
      <c r="Q952" s="414"/>
      <c r="R952" s="414"/>
      <c r="S952" s="445"/>
      <c r="T952" s="445"/>
      <c r="U952" s="445"/>
      <c r="V952" s="345"/>
      <c r="W952" s="441"/>
      <c r="X952" s="345"/>
      <c r="Y952" s="345"/>
      <c r="Z952" s="345"/>
      <c r="AA952" s="345"/>
      <c r="AB952" s="345"/>
      <c r="AC952" s="345"/>
      <c r="AD952" s="345"/>
      <c r="AE952" s="345"/>
      <c r="AF952" s="345"/>
      <c r="AG952" s="345"/>
      <c r="AH952" s="345"/>
      <c r="AI952" s="345"/>
      <c r="AJ952" s="345"/>
      <c r="AK952" s="345"/>
      <c r="AL952" s="345"/>
      <c r="AM952" s="345"/>
      <c r="AN952" s="345"/>
      <c r="AO952" s="345"/>
      <c r="AP952" s="345"/>
      <c r="AQ952" s="345"/>
      <c r="AR952" s="345"/>
      <c r="AS952" s="345"/>
    </row>
    <row r="953" ht="13.5" customHeight="1">
      <c r="A953" s="436" t="str">
        <f>'Membership Application List'!A1182</f>
        <v/>
      </c>
      <c r="B953" s="437" t="str">
        <f t="shared" si="6"/>
        <v/>
      </c>
      <c r="C953" s="437" t="str">
        <f t="shared" si="7"/>
        <v/>
      </c>
      <c r="D953" s="438" t="str">
        <f>'Membership Application List'!E1182</f>
        <v/>
      </c>
      <c r="E953" s="438" t="b">
        <f>IF('Membership Application List'!J1182 = "Food/Litter Donation", 0, IF('Membership Application List'!J1182 = "$15 Donation, Discord Verification", IF('Membership Application List'!N1182 = TRUE, 15, 0)))</f>
        <v>0</v>
      </c>
      <c r="F953" s="438">
        <f>if('Membership Application List'!K1182=TRUE, 5,0)</f>
        <v>0</v>
      </c>
      <c r="G953" s="438">
        <f t="shared" si="8"/>
        <v>0</v>
      </c>
      <c r="H953" s="479" t="str">
        <f>'Membership Application List'!L1182</f>
        <v/>
      </c>
      <c r="I953" s="345"/>
      <c r="J953" s="441"/>
      <c r="K953" s="345"/>
      <c r="L953" s="478"/>
      <c r="M953" s="345"/>
      <c r="N953" s="345"/>
      <c r="O953" s="345"/>
      <c r="P953" s="414"/>
      <c r="Q953" s="414"/>
      <c r="R953" s="414"/>
      <c r="S953" s="445"/>
      <c r="T953" s="445"/>
      <c r="U953" s="445"/>
      <c r="V953" s="345"/>
      <c r="W953" s="441"/>
      <c r="X953" s="345"/>
      <c r="Y953" s="345"/>
      <c r="Z953" s="345"/>
      <c r="AA953" s="345"/>
      <c r="AB953" s="345"/>
      <c r="AC953" s="345"/>
      <c r="AD953" s="345"/>
      <c r="AE953" s="345"/>
      <c r="AF953" s="345"/>
      <c r="AG953" s="345"/>
      <c r="AH953" s="345"/>
      <c r="AI953" s="345"/>
      <c r="AJ953" s="345"/>
      <c r="AK953" s="345"/>
      <c r="AL953" s="345"/>
      <c r="AM953" s="345"/>
      <c r="AN953" s="345"/>
      <c r="AO953" s="345"/>
      <c r="AP953" s="345"/>
      <c r="AQ953" s="345"/>
      <c r="AR953" s="345"/>
      <c r="AS953" s="345"/>
    </row>
    <row r="954" ht="13.5" customHeight="1">
      <c r="A954" s="424" t="str">
        <f>'Membership Application List'!A1183</f>
        <v/>
      </c>
      <c r="B954" s="443" t="str">
        <f t="shared" si="6"/>
        <v/>
      </c>
      <c r="C954" s="443" t="str">
        <f t="shared" si="7"/>
        <v/>
      </c>
      <c r="D954" s="426" t="str">
        <f>'Membership Application List'!E1183</f>
        <v/>
      </c>
      <c r="E954" s="426" t="b">
        <f>IF('Membership Application List'!J1183 = "Food/Litter Donation", 0, IF('Membership Application List'!J1183 = "$15 Donation, Discord Verification", IF('Membership Application List'!N1183 = TRUE, 15, 0)))</f>
        <v>0</v>
      </c>
      <c r="F954" s="426">
        <f>if('Membership Application List'!K1183=TRUE, 5,0)</f>
        <v>0</v>
      </c>
      <c r="G954" s="426">
        <f t="shared" si="8"/>
        <v>0</v>
      </c>
      <c r="H954" s="480" t="str">
        <f>'Membership Application List'!L1183</f>
        <v/>
      </c>
      <c r="I954" s="345"/>
      <c r="J954" s="441"/>
      <c r="K954" s="345"/>
      <c r="L954" s="478"/>
      <c r="M954" s="345"/>
      <c r="N954" s="345"/>
      <c r="O954" s="345"/>
      <c r="P954" s="414"/>
      <c r="Q954" s="414"/>
      <c r="R954" s="414"/>
      <c r="S954" s="445"/>
      <c r="T954" s="445"/>
      <c r="U954" s="445"/>
      <c r="V954" s="345"/>
      <c r="W954" s="441"/>
      <c r="X954" s="345"/>
      <c r="Y954" s="345"/>
      <c r="Z954" s="345"/>
      <c r="AA954" s="345"/>
      <c r="AB954" s="345"/>
      <c r="AC954" s="345"/>
      <c r="AD954" s="345"/>
      <c r="AE954" s="345"/>
      <c r="AF954" s="345"/>
      <c r="AG954" s="345"/>
      <c r="AH954" s="345"/>
      <c r="AI954" s="345"/>
      <c r="AJ954" s="345"/>
      <c r="AK954" s="345"/>
      <c r="AL954" s="345"/>
      <c r="AM954" s="345"/>
      <c r="AN954" s="345"/>
      <c r="AO954" s="345"/>
      <c r="AP954" s="345"/>
      <c r="AQ954" s="345"/>
      <c r="AR954" s="345"/>
      <c r="AS954" s="345"/>
    </row>
    <row r="955" ht="13.5" customHeight="1">
      <c r="A955" s="436" t="str">
        <f>'Membership Application List'!A1184</f>
        <v/>
      </c>
      <c r="B955" s="437" t="str">
        <f t="shared" si="6"/>
        <v/>
      </c>
      <c r="C955" s="437" t="str">
        <f t="shared" si="7"/>
        <v/>
      </c>
      <c r="D955" s="438" t="str">
        <f>'Membership Application List'!E1184</f>
        <v/>
      </c>
      <c r="E955" s="438" t="b">
        <f>IF('Membership Application List'!J1184 = "Food/Litter Donation", 0, IF('Membership Application List'!J1184 = "$15 Donation, Discord Verification", IF('Membership Application List'!N1184 = TRUE, 15, 0)))</f>
        <v>0</v>
      </c>
      <c r="F955" s="438">
        <f>if('Membership Application List'!K1184=TRUE, 5,0)</f>
        <v>0</v>
      </c>
      <c r="G955" s="438">
        <f t="shared" si="8"/>
        <v>0</v>
      </c>
      <c r="H955" s="479" t="str">
        <f>'Membership Application List'!L1184</f>
        <v/>
      </c>
      <c r="I955" s="345"/>
      <c r="J955" s="441"/>
      <c r="K955" s="345"/>
      <c r="L955" s="478"/>
      <c r="M955" s="345"/>
      <c r="N955" s="345"/>
      <c r="O955" s="345"/>
      <c r="P955" s="414"/>
      <c r="Q955" s="414"/>
      <c r="R955" s="414"/>
      <c r="S955" s="445"/>
      <c r="T955" s="445"/>
      <c r="U955" s="445"/>
      <c r="V955" s="345"/>
      <c r="W955" s="441"/>
      <c r="X955" s="345"/>
      <c r="Y955" s="345"/>
      <c r="Z955" s="345"/>
      <c r="AA955" s="345"/>
      <c r="AB955" s="345"/>
      <c r="AC955" s="345"/>
      <c r="AD955" s="345"/>
      <c r="AE955" s="345"/>
      <c r="AF955" s="345"/>
      <c r="AG955" s="345"/>
      <c r="AH955" s="345"/>
      <c r="AI955" s="345"/>
      <c r="AJ955" s="345"/>
      <c r="AK955" s="345"/>
      <c r="AL955" s="345"/>
      <c r="AM955" s="345"/>
      <c r="AN955" s="345"/>
      <c r="AO955" s="345"/>
      <c r="AP955" s="345"/>
      <c r="AQ955" s="345"/>
      <c r="AR955" s="345"/>
      <c r="AS955" s="345"/>
    </row>
    <row r="956" ht="13.5" customHeight="1">
      <c r="A956" s="424" t="str">
        <f>'Membership Application List'!A1185</f>
        <v/>
      </c>
      <c r="B956" s="443" t="str">
        <f t="shared" si="6"/>
        <v/>
      </c>
      <c r="C956" s="443" t="str">
        <f t="shared" si="7"/>
        <v/>
      </c>
      <c r="D956" s="426" t="str">
        <f>'Membership Application List'!E1185</f>
        <v/>
      </c>
      <c r="E956" s="426" t="b">
        <f>IF('Membership Application List'!J1185 = "Food/Litter Donation", 0, IF('Membership Application List'!J1185 = "$15 Donation, Discord Verification", IF('Membership Application List'!N1185 = TRUE, 15, 0)))</f>
        <v>0</v>
      </c>
      <c r="F956" s="426">
        <f>if('Membership Application List'!K1185=TRUE, 5,0)</f>
        <v>0</v>
      </c>
      <c r="G956" s="426">
        <f t="shared" si="8"/>
        <v>0</v>
      </c>
      <c r="H956" s="480" t="str">
        <f>'Membership Application List'!L1185</f>
        <v/>
      </c>
      <c r="I956" s="345"/>
      <c r="J956" s="441"/>
      <c r="K956" s="345"/>
      <c r="L956" s="478"/>
      <c r="M956" s="345"/>
      <c r="N956" s="345"/>
      <c r="O956" s="345"/>
      <c r="P956" s="414"/>
      <c r="Q956" s="414"/>
      <c r="R956" s="414"/>
      <c r="S956" s="445"/>
      <c r="T956" s="445"/>
      <c r="U956" s="445"/>
      <c r="V956" s="345"/>
      <c r="W956" s="441"/>
      <c r="X956" s="345"/>
      <c r="Y956" s="345"/>
      <c r="Z956" s="345"/>
      <c r="AA956" s="345"/>
      <c r="AB956" s="345"/>
      <c r="AC956" s="345"/>
      <c r="AD956" s="345"/>
      <c r="AE956" s="345"/>
      <c r="AF956" s="345"/>
      <c r="AG956" s="345"/>
      <c r="AH956" s="345"/>
      <c r="AI956" s="345"/>
      <c r="AJ956" s="345"/>
      <c r="AK956" s="345"/>
      <c r="AL956" s="345"/>
      <c r="AM956" s="345"/>
      <c r="AN956" s="345"/>
      <c r="AO956" s="345"/>
      <c r="AP956" s="345"/>
      <c r="AQ956" s="345"/>
      <c r="AR956" s="345"/>
      <c r="AS956" s="345"/>
    </row>
    <row r="957" ht="13.5" customHeight="1">
      <c r="A957" s="436" t="str">
        <f>'Membership Application List'!A1186</f>
        <v/>
      </c>
      <c r="B957" s="437" t="str">
        <f t="shared" si="6"/>
        <v/>
      </c>
      <c r="C957" s="437" t="str">
        <f t="shared" si="7"/>
        <v/>
      </c>
      <c r="D957" s="438" t="str">
        <f>'Membership Application List'!E1186</f>
        <v/>
      </c>
      <c r="E957" s="438" t="b">
        <f>IF('Membership Application List'!J1186 = "Food/Litter Donation", 0, IF('Membership Application List'!J1186 = "$15 Donation, Discord Verification", IF('Membership Application List'!N1186 = TRUE, 15, 0)))</f>
        <v>0</v>
      </c>
      <c r="F957" s="438">
        <f>if('Membership Application List'!K1186=TRUE, 5,0)</f>
        <v>0</v>
      </c>
      <c r="G957" s="438">
        <f t="shared" si="8"/>
        <v>0</v>
      </c>
      <c r="H957" s="479" t="str">
        <f>'Membership Application List'!L1186</f>
        <v/>
      </c>
      <c r="I957" s="345"/>
      <c r="J957" s="441"/>
      <c r="K957" s="345"/>
      <c r="L957" s="478"/>
      <c r="M957" s="345"/>
      <c r="N957" s="345"/>
      <c r="O957" s="345"/>
      <c r="P957" s="414"/>
      <c r="Q957" s="414"/>
      <c r="R957" s="414"/>
      <c r="S957" s="445"/>
      <c r="T957" s="445"/>
      <c r="U957" s="445"/>
      <c r="V957" s="345"/>
      <c r="W957" s="441"/>
      <c r="X957" s="345"/>
      <c r="Y957" s="345"/>
      <c r="Z957" s="345"/>
      <c r="AA957" s="345"/>
      <c r="AB957" s="345"/>
      <c r="AC957" s="345"/>
      <c r="AD957" s="345"/>
      <c r="AE957" s="345"/>
      <c r="AF957" s="345"/>
      <c r="AG957" s="345"/>
      <c r="AH957" s="345"/>
      <c r="AI957" s="345"/>
      <c r="AJ957" s="345"/>
      <c r="AK957" s="345"/>
      <c r="AL957" s="345"/>
      <c r="AM957" s="345"/>
      <c r="AN957" s="345"/>
      <c r="AO957" s="345"/>
      <c r="AP957" s="345"/>
      <c r="AQ957" s="345"/>
      <c r="AR957" s="345"/>
      <c r="AS957" s="345"/>
    </row>
    <row r="958" ht="13.5" customHeight="1">
      <c r="A958" s="424" t="str">
        <f>'Membership Application List'!A1187</f>
        <v/>
      </c>
      <c r="B958" s="443" t="str">
        <f t="shared" si="6"/>
        <v/>
      </c>
      <c r="C958" s="443" t="str">
        <f t="shared" si="7"/>
        <v/>
      </c>
      <c r="D958" s="426" t="str">
        <f>'Membership Application List'!E1187</f>
        <v/>
      </c>
      <c r="E958" s="426" t="b">
        <f>IF('Membership Application List'!J1187 = "Food/Litter Donation", 0, IF('Membership Application List'!J1187 = "$15 Donation, Discord Verification", IF('Membership Application List'!N1187 = TRUE, 15, 0)))</f>
        <v>0</v>
      </c>
      <c r="F958" s="426">
        <f>if('Membership Application List'!K1187=TRUE, 5,0)</f>
        <v>0</v>
      </c>
      <c r="G958" s="426">
        <f t="shared" si="8"/>
        <v>0</v>
      </c>
      <c r="H958" s="480" t="str">
        <f>'Membership Application List'!L1187</f>
        <v/>
      </c>
      <c r="I958" s="345"/>
      <c r="J958" s="441"/>
      <c r="K958" s="345"/>
      <c r="L958" s="478"/>
      <c r="M958" s="345"/>
      <c r="N958" s="345"/>
      <c r="O958" s="345"/>
      <c r="P958" s="414"/>
      <c r="Q958" s="414"/>
      <c r="R958" s="414"/>
      <c r="S958" s="445"/>
      <c r="T958" s="445"/>
      <c r="U958" s="445"/>
      <c r="V958" s="345"/>
      <c r="W958" s="441"/>
      <c r="X958" s="345"/>
      <c r="Y958" s="345"/>
      <c r="Z958" s="345"/>
      <c r="AA958" s="345"/>
      <c r="AB958" s="345"/>
      <c r="AC958" s="345"/>
      <c r="AD958" s="345"/>
      <c r="AE958" s="345"/>
      <c r="AF958" s="345"/>
      <c r="AG958" s="345"/>
      <c r="AH958" s="345"/>
      <c r="AI958" s="345"/>
      <c r="AJ958" s="345"/>
      <c r="AK958" s="345"/>
      <c r="AL958" s="345"/>
      <c r="AM958" s="345"/>
      <c r="AN958" s="345"/>
      <c r="AO958" s="345"/>
      <c r="AP958" s="345"/>
      <c r="AQ958" s="345"/>
      <c r="AR958" s="345"/>
      <c r="AS958" s="345"/>
    </row>
    <row r="959" ht="13.5" customHeight="1">
      <c r="A959" s="436" t="str">
        <f>'Membership Application List'!A1188</f>
        <v/>
      </c>
      <c r="B959" s="437" t="str">
        <f t="shared" si="6"/>
        <v/>
      </c>
      <c r="C959" s="437" t="str">
        <f t="shared" si="7"/>
        <v/>
      </c>
      <c r="D959" s="438" t="str">
        <f>'Membership Application List'!E1188</f>
        <v/>
      </c>
      <c r="E959" s="438" t="b">
        <f>IF('Membership Application List'!J1188 = "Food/Litter Donation", 0, IF('Membership Application List'!J1188 = "$15 Donation, Discord Verification", IF('Membership Application List'!N1188 = TRUE, 15, 0)))</f>
        <v>0</v>
      </c>
      <c r="F959" s="438">
        <f>if('Membership Application List'!K1188=TRUE, 5,0)</f>
        <v>0</v>
      </c>
      <c r="G959" s="438">
        <f t="shared" si="8"/>
        <v>0</v>
      </c>
      <c r="H959" s="479" t="str">
        <f>'Membership Application List'!L1188</f>
        <v/>
      </c>
      <c r="I959" s="345"/>
      <c r="J959" s="441"/>
      <c r="K959" s="345"/>
      <c r="L959" s="478"/>
      <c r="M959" s="345"/>
      <c r="N959" s="345"/>
      <c r="O959" s="345"/>
      <c r="P959" s="414"/>
      <c r="Q959" s="414"/>
      <c r="R959" s="414"/>
      <c r="S959" s="445"/>
      <c r="T959" s="445"/>
      <c r="U959" s="445"/>
      <c r="V959" s="345"/>
      <c r="W959" s="441"/>
      <c r="X959" s="345"/>
      <c r="Y959" s="345"/>
      <c r="Z959" s="345"/>
      <c r="AA959" s="345"/>
      <c r="AB959" s="345"/>
      <c r="AC959" s="345"/>
      <c r="AD959" s="345"/>
      <c r="AE959" s="345"/>
      <c r="AF959" s="345"/>
      <c r="AG959" s="345"/>
      <c r="AH959" s="345"/>
      <c r="AI959" s="345"/>
      <c r="AJ959" s="345"/>
      <c r="AK959" s="345"/>
      <c r="AL959" s="345"/>
      <c r="AM959" s="345"/>
      <c r="AN959" s="345"/>
      <c r="AO959" s="345"/>
      <c r="AP959" s="345"/>
      <c r="AQ959" s="345"/>
      <c r="AR959" s="345"/>
      <c r="AS959" s="345"/>
    </row>
    <row r="960" ht="13.5" customHeight="1">
      <c r="A960" s="424" t="str">
        <f>'Membership Application List'!A1189</f>
        <v/>
      </c>
      <c r="B960" s="443" t="str">
        <f t="shared" si="6"/>
        <v/>
      </c>
      <c r="C960" s="443" t="str">
        <f t="shared" si="7"/>
        <v/>
      </c>
      <c r="D960" s="426" t="str">
        <f>'Membership Application List'!E1189</f>
        <v/>
      </c>
      <c r="E960" s="426" t="b">
        <f>IF('Membership Application List'!J1189 = "Food/Litter Donation", 0, IF('Membership Application List'!J1189 = "$15 Donation, Discord Verification", IF('Membership Application List'!N1189 = TRUE, 15, 0)))</f>
        <v>0</v>
      </c>
      <c r="F960" s="426">
        <f>if('Membership Application List'!K1189=TRUE, 5,0)</f>
        <v>0</v>
      </c>
      <c r="G960" s="426">
        <f t="shared" si="8"/>
        <v>0</v>
      </c>
      <c r="H960" s="480" t="str">
        <f>'Membership Application List'!L1189</f>
        <v/>
      </c>
      <c r="I960" s="345"/>
      <c r="J960" s="441"/>
      <c r="K960" s="345"/>
      <c r="L960" s="478"/>
      <c r="M960" s="345"/>
      <c r="N960" s="345"/>
      <c r="O960" s="345"/>
      <c r="P960" s="414"/>
      <c r="Q960" s="414"/>
      <c r="R960" s="414"/>
      <c r="S960" s="445"/>
      <c r="T960" s="445"/>
      <c r="U960" s="445"/>
      <c r="V960" s="345"/>
      <c r="W960" s="441"/>
      <c r="X960" s="345"/>
      <c r="Y960" s="345"/>
      <c r="Z960" s="345"/>
      <c r="AA960" s="345"/>
      <c r="AB960" s="345"/>
      <c r="AC960" s="345"/>
      <c r="AD960" s="345"/>
      <c r="AE960" s="345"/>
      <c r="AF960" s="345"/>
      <c r="AG960" s="345"/>
      <c r="AH960" s="345"/>
      <c r="AI960" s="345"/>
      <c r="AJ960" s="345"/>
      <c r="AK960" s="345"/>
      <c r="AL960" s="345"/>
      <c r="AM960" s="345"/>
      <c r="AN960" s="345"/>
      <c r="AO960" s="345"/>
      <c r="AP960" s="345"/>
      <c r="AQ960" s="345"/>
      <c r="AR960" s="345"/>
      <c r="AS960" s="345"/>
    </row>
    <row r="961" ht="13.5" customHeight="1">
      <c r="A961" s="436" t="str">
        <f>'Membership Application List'!A1190</f>
        <v/>
      </c>
      <c r="B961" s="437" t="str">
        <f t="shared" si="6"/>
        <v/>
      </c>
      <c r="C961" s="437" t="str">
        <f t="shared" si="7"/>
        <v/>
      </c>
      <c r="D961" s="438" t="str">
        <f>'Membership Application List'!E1190</f>
        <v/>
      </c>
      <c r="E961" s="438" t="b">
        <f>IF('Membership Application List'!J1190 = "Food/Litter Donation", 0, IF('Membership Application List'!J1190 = "$15 Donation, Discord Verification", IF('Membership Application List'!N1190 = TRUE, 15, 0)))</f>
        <v>0</v>
      </c>
      <c r="F961" s="438">
        <f>if('Membership Application List'!K1190=TRUE, 5,0)</f>
        <v>0</v>
      </c>
      <c r="G961" s="438">
        <f t="shared" si="8"/>
        <v>0</v>
      </c>
      <c r="H961" s="479" t="str">
        <f>'Membership Application List'!L1190</f>
        <v/>
      </c>
      <c r="I961" s="345"/>
      <c r="J961" s="441"/>
      <c r="K961" s="345"/>
      <c r="L961" s="478"/>
      <c r="M961" s="345"/>
      <c r="N961" s="345"/>
      <c r="O961" s="345"/>
      <c r="P961" s="414"/>
      <c r="Q961" s="414"/>
      <c r="R961" s="414"/>
      <c r="S961" s="445"/>
      <c r="T961" s="445"/>
      <c r="U961" s="445"/>
      <c r="V961" s="345"/>
      <c r="W961" s="441"/>
      <c r="X961" s="345"/>
      <c r="Y961" s="345"/>
      <c r="Z961" s="345"/>
      <c r="AA961" s="345"/>
      <c r="AB961" s="345"/>
      <c r="AC961" s="345"/>
      <c r="AD961" s="345"/>
      <c r="AE961" s="345"/>
      <c r="AF961" s="345"/>
      <c r="AG961" s="345"/>
      <c r="AH961" s="345"/>
      <c r="AI961" s="345"/>
      <c r="AJ961" s="345"/>
      <c r="AK961" s="345"/>
      <c r="AL961" s="345"/>
      <c r="AM961" s="345"/>
      <c r="AN961" s="345"/>
      <c r="AO961" s="345"/>
      <c r="AP961" s="345"/>
      <c r="AQ961" s="345"/>
      <c r="AR961" s="345"/>
      <c r="AS961" s="345"/>
    </row>
    <row r="962" ht="13.5" customHeight="1">
      <c r="A962" s="424" t="str">
        <f>'Membership Application List'!A1191</f>
        <v/>
      </c>
      <c r="B962" s="443" t="str">
        <f t="shared" si="6"/>
        <v/>
      </c>
      <c r="C962" s="443" t="str">
        <f t="shared" si="7"/>
        <v/>
      </c>
      <c r="D962" s="426" t="str">
        <f>'Membership Application List'!E1191</f>
        <v/>
      </c>
      <c r="E962" s="426" t="b">
        <f>IF('Membership Application List'!J1191 = "Food/Litter Donation", 0, IF('Membership Application List'!J1191 = "$15 Donation, Discord Verification", IF('Membership Application List'!N1191 = TRUE, 15, 0)))</f>
        <v>0</v>
      </c>
      <c r="F962" s="426">
        <f>if('Membership Application List'!K1191=TRUE, 5,0)</f>
        <v>0</v>
      </c>
      <c r="G962" s="426">
        <f t="shared" si="8"/>
        <v>0</v>
      </c>
      <c r="H962" s="480" t="str">
        <f>'Membership Application List'!L1191</f>
        <v/>
      </c>
      <c r="I962" s="345"/>
      <c r="J962" s="441"/>
      <c r="K962" s="345"/>
      <c r="L962" s="478"/>
      <c r="M962" s="345"/>
      <c r="N962" s="345"/>
      <c r="O962" s="345"/>
      <c r="P962" s="414"/>
      <c r="Q962" s="414"/>
      <c r="R962" s="414"/>
      <c r="S962" s="445"/>
      <c r="T962" s="445"/>
      <c r="U962" s="445"/>
      <c r="V962" s="345"/>
      <c r="W962" s="441"/>
      <c r="X962" s="345"/>
      <c r="Y962" s="345"/>
      <c r="Z962" s="345"/>
      <c r="AA962" s="345"/>
      <c r="AB962" s="345"/>
      <c r="AC962" s="345"/>
      <c r="AD962" s="345"/>
      <c r="AE962" s="345"/>
      <c r="AF962" s="345"/>
      <c r="AG962" s="345"/>
      <c r="AH962" s="345"/>
      <c r="AI962" s="345"/>
      <c r="AJ962" s="345"/>
      <c r="AK962" s="345"/>
      <c r="AL962" s="345"/>
      <c r="AM962" s="345"/>
      <c r="AN962" s="345"/>
      <c r="AO962" s="345"/>
      <c r="AP962" s="345"/>
      <c r="AQ962" s="345"/>
      <c r="AR962" s="345"/>
      <c r="AS962" s="345"/>
    </row>
    <row r="963" ht="13.5" customHeight="1">
      <c r="A963" s="436" t="str">
        <f>'Membership Application List'!A1192</f>
        <v/>
      </c>
      <c r="B963" s="437" t="str">
        <f t="shared" si="6"/>
        <v/>
      </c>
      <c r="C963" s="437" t="str">
        <f t="shared" si="7"/>
        <v/>
      </c>
      <c r="D963" s="438" t="str">
        <f>'Membership Application List'!E1192</f>
        <v/>
      </c>
      <c r="E963" s="438" t="b">
        <f>IF('Membership Application List'!J1192 = "Food/Litter Donation", 0, IF('Membership Application List'!J1192 = "$15 Donation, Discord Verification", IF('Membership Application List'!N1192 = TRUE, 15, 0)))</f>
        <v>0</v>
      </c>
      <c r="F963" s="438">
        <f>if('Membership Application List'!K1192=TRUE, 5,0)</f>
        <v>0</v>
      </c>
      <c r="G963" s="438">
        <f t="shared" si="8"/>
        <v>0</v>
      </c>
      <c r="H963" s="479" t="str">
        <f>'Membership Application List'!L1192</f>
        <v/>
      </c>
      <c r="I963" s="345"/>
      <c r="J963" s="441"/>
      <c r="K963" s="345"/>
      <c r="L963" s="478"/>
      <c r="M963" s="345"/>
      <c r="N963" s="345"/>
      <c r="O963" s="345"/>
      <c r="P963" s="414"/>
      <c r="Q963" s="414"/>
      <c r="R963" s="414"/>
      <c r="S963" s="445"/>
      <c r="T963" s="445"/>
      <c r="U963" s="445"/>
      <c r="V963" s="345"/>
      <c r="W963" s="441"/>
      <c r="X963" s="345"/>
      <c r="Y963" s="345"/>
      <c r="Z963" s="345"/>
      <c r="AA963" s="345"/>
      <c r="AB963" s="345"/>
      <c r="AC963" s="345"/>
      <c r="AD963" s="345"/>
      <c r="AE963" s="345"/>
      <c r="AF963" s="345"/>
      <c r="AG963" s="345"/>
      <c r="AH963" s="345"/>
      <c r="AI963" s="345"/>
      <c r="AJ963" s="345"/>
      <c r="AK963" s="345"/>
      <c r="AL963" s="345"/>
      <c r="AM963" s="345"/>
      <c r="AN963" s="345"/>
      <c r="AO963" s="345"/>
      <c r="AP963" s="345"/>
      <c r="AQ963" s="345"/>
      <c r="AR963" s="345"/>
      <c r="AS963" s="345"/>
    </row>
    <row r="964" ht="13.5" customHeight="1">
      <c r="A964" s="424" t="str">
        <f>'Membership Application List'!A1193</f>
        <v/>
      </c>
      <c r="B964" s="443" t="str">
        <f t="shared" si="6"/>
        <v/>
      </c>
      <c r="C964" s="443" t="str">
        <f t="shared" si="7"/>
        <v/>
      </c>
      <c r="D964" s="426" t="str">
        <f>'Membership Application List'!E1193</f>
        <v/>
      </c>
      <c r="E964" s="426" t="b">
        <f>IF('Membership Application List'!J1193 = "Food/Litter Donation", 0, IF('Membership Application List'!J1193 = "$15 Donation, Discord Verification", IF('Membership Application List'!N1193 = TRUE, 15, 0)))</f>
        <v>0</v>
      </c>
      <c r="F964" s="426">
        <f>if('Membership Application List'!K1193=TRUE, 5,0)</f>
        <v>0</v>
      </c>
      <c r="G964" s="426">
        <f t="shared" si="8"/>
        <v>0</v>
      </c>
      <c r="H964" s="480" t="str">
        <f>'Membership Application List'!L1193</f>
        <v/>
      </c>
      <c r="I964" s="345"/>
      <c r="J964" s="441"/>
      <c r="K964" s="345"/>
      <c r="L964" s="478"/>
      <c r="M964" s="345"/>
      <c r="N964" s="345"/>
      <c r="O964" s="345"/>
      <c r="P964" s="414"/>
      <c r="Q964" s="414"/>
      <c r="R964" s="414"/>
      <c r="S964" s="445"/>
      <c r="T964" s="445"/>
      <c r="U964" s="445"/>
      <c r="V964" s="345"/>
      <c r="W964" s="441"/>
      <c r="X964" s="345"/>
      <c r="Y964" s="345"/>
      <c r="Z964" s="345"/>
      <c r="AA964" s="345"/>
      <c r="AB964" s="345"/>
      <c r="AC964" s="345"/>
      <c r="AD964" s="345"/>
      <c r="AE964" s="345"/>
      <c r="AF964" s="345"/>
      <c r="AG964" s="345"/>
      <c r="AH964" s="345"/>
      <c r="AI964" s="345"/>
      <c r="AJ964" s="345"/>
      <c r="AK964" s="345"/>
      <c r="AL964" s="345"/>
      <c r="AM964" s="345"/>
      <c r="AN964" s="345"/>
      <c r="AO964" s="345"/>
      <c r="AP964" s="345"/>
      <c r="AQ964" s="345"/>
      <c r="AR964" s="345"/>
      <c r="AS964" s="345"/>
    </row>
    <row r="965" ht="13.5" customHeight="1">
      <c r="A965" s="436" t="str">
        <f>'Membership Application List'!A1194</f>
        <v/>
      </c>
      <c r="B965" s="437" t="str">
        <f t="shared" si="6"/>
        <v/>
      </c>
      <c r="C965" s="437" t="str">
        <f t="shared" si="7"/>
        <v/>
      </c>
      <c r="D965" s="438" t="str">
        <f>'Membership Application List'!E1194</f>
        <v/>
      </c>
      <c r="E965" s="438" t="b">
        <f>IF('Membership Application List'!J1194 = "Food/Litter Donation", 0, IF('Membership Application List'!J1194 = "$15 Donation, Discord Verification", IF('Membership Application List'!N1194 = TRUE, 15, 0)))</f>
        <v>0</v>
      </c>
      <c r="F965" s="438">
        <f>if('Membership Application List'!K1194=TRUE, 5,0)</f>
        <v>0</v>
      </c>
      <c r="G965" s="438">
        <f t="shared" si="8"/>
        <v>0</v>
      </c>
      <c r="H965" s="479" t="str">
        <f>'Membership Application List'!L1194</f>
        <v/>
      </c>
      <c r="I965" s="345"/>
      <c r="J965" s="441"/>
      <c r="K965" s="345"/>
      <c r="L965" s="478"/>
      <c r="M965" s="345"/>
      <c r="N965" s="345"/>
      <c r="O965" s="345"/>
      <c r="P965" s="414"/>
      <c r="Q965" s="414"/>
      <c r="R965" s="414"/>
      <c r="S965" s="445"/>
      <c r="T965" s="445"/>
      <c r="U965" s="445"/>
      <c r="V965" s="345"/>
      <c r="W965" s="441"/>
      <c r="X965" s="345"/>
      <c r="Y965" s="345"/>
      <c r="Z965" s="345"/>
      <c r="AA965" s="345"/>
      <c r="AB965" s="345"/>
      <c r="AC965" s="345"/>
      <c r="AD965" s="345"/>
      <c r="AE965" s="345"/>
      <c r="AF965" s="345"/>
      <c r="AG965" s="345"/>
      <c r="AH965" s="345"/>
      <c r="AI965" s="345"/>
      <c r="AJ965" s="345"/>
      <c r="AK965" s="345"/>
      <c r="AL965" s="345"/>
      <c r="AM965" s="345"/>
      <c r="AN965" s="345"/>
      <c r="AO965" s="345"/>
      <c r="AP965" s="345"/>
      <c r="AQ965" s="345"/>
      <c r="AR965" s="345"/>
      <c r="AS965" s="345"/>
    </row>
    <row r="966" ht="13.5" customHeight="1">
      <c r="A966" s="424" t="str">
        <f>'Membership Application List'!A1195</f>
        <v/>
      </c>
      <c r="B966" s="443" t="str">
        <f t="shared" si="6"/>
        <v/>
      </c>
      <c r="C966" s="443" t="str">
        <f t="shared" si="7"/>
        <v/>
      </c>
      <c r="D966" s="426" t="str">
        <f>'Membership Application List'!E1195</f>
        <v/>
      </c>
      <c r="E966" s="426" t="b">
        <f>IF('Membership Application List'!J1195 = "Food/Litter Donation", 0, IF('Membership Application List'!J1195 = "$15 Donation, Discord Verification", IF('Membership Application List'!N1195 = TRUE, 15, 0)))</f>
        <v>0</v>
      </c>
      <c r="F966" s="426">
        <f>if('Membership Application List'!K1195=TRUE, 5,0)</f>
        <v>0</v>
      </c>
      <c r="G966" s="426">
        <f t="shared" si="8"/>
        <v>0</v>
      </c>
      <c r="H966" s="480" t="str">
        <f>'Membership Application List'!L1195</f>
        <v/>
      </c>
      <c r="I966" s="345"/>
      <c r="J966" s="441"/>
      <c r="K966" s="345"/>
      <c r="L966" s="478"/>
      <c r="M966" s="345"/>
      <c r="N966" s="345"/>
      <c r="O966" s="345"/>
      <c r="P966" s="414"/>
      <c r="Q966" s="414"/>
      <c r="R966" s="414"/>
      <c r="S966" s="445"/>
      <c r="T966" s="445"/>
      <c r="U966" s="445"/>
      <c r="V966" s="345"/>
      <c r="W966" s="441"/>
      <c r="X966" s="345"/>
      <c r="Y966" s="345"/>
      <c r="Z966" s="345"/>
      <c r="AA966" s="345"/>
      <c r="AB966" s="345"/>
      <c r="AC966" s="345"/>
      <c r="AD966" s="345"/>
      <c r="AE966" s="345"/>
      <c r="AF966" s="345"/>
      <c r="AG966" s="345"/>
      <c r="AH966" s="345"/>
      <c r="AI966" s="345"/>
      <c r="AJ966" s="345"/>
      <c r="AK966" s="345"/>
      <c r="AL966" s="345"/>
      <c r="AM966" s="345"/>
      <c r="AN966" s="345"/>
      <c r="AO966" s="345"/>
      <c r="AP966" s="345"/>
      <c r="AQ966" s="345"/>
      <c r="AR966" s="345"/>
      <c r="AS966" s="345"/>
    </row>
    <row r="967" ht="13.5" customHeight="1">
      <c r="A967" s="436" t="str">
        <f>'Membership Application List'!A1196</f>
        <v/>
      </c>
      <c r="B967" s="437" t="str">
        <f t="shared" si="6"/>
        <v/>
      </c>
      <c r="C967" s="437" t="str">
        <f t="shared" si="7"/>
        <v/>
      </c>
      <c r="D967" s="438" t="str">
        <f>'Membership Application List'!E1196</f>
        <v/>
      </c>
      <c r="E967" s="438" t="b">
        <f>IF('Membership Application List'!J1196 = "Food/Litter Donation", 0, IF('Membership Application List'!J1196 = "$15 Donation, Discord Verification", IF('Membership Application List'!N1196 = TRUE, 15, 0)))</f>
        <v>0</v>
      </c>
      <c r="F967" s="438">
        <f>if('Membership Application List'!K1196=TRUE, 5,0)</f>
        <v>0</v>
      </c>
      <c r="G967" s="438">
        <f t="shared" si="8"/>
        <v>0</v>
      </c>
      <c r="H967" s="479" t="str">
        <f>'Membership Application List'!L1196</f>
        <v/>
      </c>
      <c r="I967" s="345"/>
      <c r="J967" s="441"/>
      <c r="K967" s="345"/>
      <c r="L967" s="478"/>
      <c r="M967" s="345"/>
      <c r="N967" s="345"/>
      <c r="O967" s="345"/>
      <c r="P967" s="414"/>
      <c r="Q967" s="414"/>
      <c r="R967" s="414"/>
      <c r="S967" s="445"/>
      <c r="T967" s="445"/>
      <c r="U967" s="445"/>
      <c r="V967" s="345"/>
      <c r="W967" s="441"/>
      <c r="X967" s="345"/>
      <c r="Y967" s="345"/>
      <c r="Z967" s="345"/>
      <c r="AA967" s="345"/>
      <c r="AB967" s="345"/>
      <c r="AC967" s="345"/>
      <c r="AD967" s="345"/>
      <c r="AE967" s="345"/>
      <c r="AF967" s="345"/>
      <c r="AG967" s="345"/>
      <c r="AH967" s="345"/>
      <c r="AI967" s="345"/>
      <c r="AJ967" s="345"/>
      <c r="AK967" s="345"/>
      <c r="AL967" s="345"/>
      <c r="AM967" s="345"/>
      <c r="AN967" s="345"/>
      <c r="AO967" s="345"/>
      <c r="AP967" s="345"/>
      <c r="AQ967" s="345"/>
      <c r="AR967" s="345"/>
      <c r="AS967" s="345"/>
    </row>
    <row r="968" ht="13.5" customHeight="1">
      <c r="A968" s="424" t="str">
        <f>'Membership Application List'!A1197</f>
        <v/>
      </c>
      <c r="B968" s="443" t="str">
        <f t="shared" si="6"/>
        <v/>
      </c>
      <c r="C968" s="443" t="str">
        <f t="shared" si="7"/>
        <v/>
      </c>
      <c r="D968" s="426" t="str">
        <f>'Membership Application List'!E1197</f>
        <v/>
      </c>
      <c r="E968" s="426" t="b">
        <f>IF('Membership Application List'!J1197 = "Food/Litter Donation", 0, IF('Membership Application List'!J1197 = "$15 Donation, Discord Verification", IF('Membership Application List'!N1197 = TRUE, 15, 0)))</f>
        <v>0</v>
      </c>
      <c r="F968" s="426">
        <f>if('Membership Application List'!K1197=TRUE, 5,0)</f>
        <v>0</v>
      </c>
      <c r="G968" s="426">
        <f t="shared" si="8"/>
        <v>0</v>
      </c>
      <c r="H968" s="480" t="str">
        <f>'Membership Application List'!L1197</f>
        <v/>
      </c>
      <c r="I968" s="345"/>
      <c r="J968" s="441"/>
      <c r="K968" s="345"/>
      <c r="L968" s="478"/>
      <c r="M968" s="345"/>
      <c r="N968" s="345"/>
      <c r="O968" s="345"/>
      <c r="P968" s="414"/>
      <c r="Q968" s="414"/>
      <c r="R968" s="414"/>
      <c r="S968" s="445"/>
      <c r="T968" s="445"/>
      <c r="U968" s="445"/>
      <c r="V968" s="345"/>
      <c r="W968" s="441"/>
      <c r="X968" s="345"/>
      <c r="Y968" s="345"/>
      <c r="Z968" s="345"/>
      <c r="AA968" s="345"/>
      <c r="AB968" s="345"/>
      <c r="AC968" s="345"/>
      <c r="AD968" s="345"/>
      <c r="AE968" s="345"/>
      <c r="AF968" s="345"/>
      <c r="AG968" s="345"/>
      <c r="AH968" s="345"/>
      <c r="AI968" s="345"/>
      <c r="AJ968" s="345"/>
      <c r="AK968" s="345"/>
      <c r="AL968" s="345"/>
      <c r="AM968" s="345"/>
      <c r="AN968" s="345"/>
      <c r="AO968" s="345"/>
      <c r="AP968" s="345"/>
      <c r="AQ968" s="345"/>
      <c r="AR968" s="345"/>
      <c r="AS968" s="345"/>
    </row>
    <row r="969" ht="13.5" customHeight="1">
      <c r="A969" s="436" t="str">
        <f>'Membership Application List'!A1198</f>
        <v/>
      </c>
      <c r="B969" s="437" t="str">
        <f t="shared" si="6"/>
        <v/>
      </c>
      <c r="C969" s="437" t="str">
        <f t="shared" si="7"/>
        <v/>
      </c>
      <c r="D969" s="438" t="str">
        <f>'Membership Application List'!E1198</f>
        <v/>
      </c>
      <c r="E969" s="438" t="b">
        <f>IF('Membership Application List'!J1198 = "Food/Litter Donation", 0, IF('Membership Application List'!J1198 = "$15 Donation, Discord Verification", IF('Membership Application List'!N1198 = TRUE, 15, 0)))</f>
        <v>0</v>
      </c>
      <c r="F969" s="438">
        <f>if('Membership Application List'!K1198=TRUE, 5,0)</f>
        <v>0</v>
      </c>
      <c r="G969" s="438">
        <f t="shared" si="8"/>
        <v>0</v>
      </c>
      <c r="H969" s="479" t="str">
        <f>'Membership Application List'!L1198</f>
        <v/>
      </c>
      <c r="I969" s="345"/>
      <c r="J969" s="441"/>
      <c r="K969" s="345"/>
      <c r="L969" s="478"/>
      <c r="M969" s="345"/>
      <c r="N969" s="345"/>
      <c r="O969" s="345"/>
      <c r="P969" s="414"/>
      <c r="Q969" s="414"/>
      <c r="R969" s="414"/>
      <c r="S969" s="445"/>
      <c r="T969" s="445"/>
      <c r="U969" s="445"/>
      <c r="V969" s="345"/>
      <c r="W969" s="441"/>
      <c r="X969" s="345"/>
      <c r="Y969" s="345"/>
      <c r="Z969" s="345"/>
      <c r="AA969" s="345"/>
      <c r="AB969" s="345"/>
      <c r="AC969" s="345"/>
      <c r="AD969" s="345"/>
      <c r="AE969" s="345"/>
      <c r="AF969" s="345"/>
      <c r="AG969" s="345"/>
      <c r="AH969" s="345"/>
      <c r="AI969" s="345"/>
      <c r="AJ969" s="345"/>
      <c r="AK969" s="345"/>
      <c r="AL969" s="345"/>
      <c r="AM969" s="345"/>
      <c r="AN969" s="345"/>
      <c r="AO969" s="345"/>
      <c r="AP969" s="345"/>
      <c r="AQ969" s="345"/>
      <c r="AR969" s="345"/>
      <c r="AS969" s="345"/>
    </row>
    <row r="970" ht="13.5" customHeight="1">
      <c r="A970" s="424" t="str">
        <f>'Membership Application List'!A1199</f>
        <v/>
      </c>
      <c r="B970" s="443" t="str">
        <f t="shared" si="6"/>
        <v/>
      </c>
      <c r="C970" s="443" t="str">
        <f t="shared" si="7"/>
        <v/>
      </c>
      <c r="D970" s="426" t="str">
        <f>'Membership Application List'!E1199</f>
        <v/>
      </c>
      <c r="E970" s="426" t="b">
        <f>IF('Membership Application List'!J1199 = "Food/Litter Donation", 0, IF('Membership Application List'!J1199 = "$15 Donation, Discord Verification", IF('Membership Application List'!N1199 = TRUE, 15, 0)))</f>
        <v>0</v>
      </c>
      <c r="F970" s="426">
        <f>if('Membership Application List'!K1199=TRUE, 5,0)</f>
        <v>0</v>
      </c>
      <c r="G970" s="426">
        <f t="shared" si="8"/>
        <v>0</v>
      </c>
      <c r="H970" s="480" t="str">
        <f>'Membership Application List'!L1199</f>
        <v/>
      </c>
      <c r="I970" s="345"/>
      <c r="J970" s="441"/>
      <c r="K970" s="345"/>
      <c r="L970" s="478"/>
      <c r="M970" s="345"/>
      <c r="N970" s="345"/>
      <c r="O970" s="345"/>
      <c r="P970" s="414"/>
      <c r="Q970" s="414"/>
      <c r="R970" s="414"/>
      <c r="S970" s="445"/>
      <c r="T970" s="445"/>
      <c r="U970" s="445"/>
      <c r="V970" s="345"/>
      <c r="W970" s="441"/>
      <c r="X970" s="345"/>
      <c r="Y970" s="345"/>
      <c r="Z970" s="345"/>
      <c r="AA970" s="345"/>
      <c r="AB970" s="345"/>
      <c r="AC970" s="345"/>
      <c r="AD970" s="345"/>
      <c r="AE970" s="345"/>
      <c r="AF970" s="345"/>
      <c r="AG970" s="345"/>
      <c r="AH970" s="345"/>
      <c r="AI970" s="345"/>
      <c r="AJ970" s="345"/>
      <c r="AK970" s="345"/>
      <c r="AL970" s="345"/>
      <c r="AM970" s="345"/>
      <c r="AN970" s="345"/>
      <c r="AO970" s="345"/>
      <c r="AP970" s="345"/>
      <c r="AQ970" s="345"/>
      <c r="AR970" s="345"/>
      <c r="AS970" s="345"/>
    </row>
    <row r="971" ht="13.5" customHeight="1">
      <c r="A971" s="436" t="str">
        <f>'Membership Application List'!A1200</f>
        <v/>
      </c>
      <c r="B971" s="437" t="str">
        <f t="shared" si="6"/>
        <v/>
      </c>
      <c r="C971" s="437" t="str">
        <f t="shared" si="7"/>
        <v/>
      </c>
      <c r="D971" s="438" t="str">
        <f>'Membership Application List'!E1200</f>
        <v/>
      </c>
      <c r="E971" s="438" t="b">
        <f>IF('Membership Application List'!J1200 = "Food/Litter Donation", 0, IF('Membership Application List'!J1200 = "$15 Donation, Discord Verification", IF('Membership Application List'!N1200 = TRUE, 15, 0)))</f>
        <v>0</v>
      </c>
      <c r="F971" s="438">
        <f>if('Membership Application List'!K1200=TRUE, 5,0)</f>
        <v>0</v>
      </c>
      <c r="G971" s="438">
        <f t="shared" si="8"/>
        <v>0</v>
      </c>
      <c r="H971" s="479" t="str">
        <f>'Membership Application List'!L1200</f>
        <v/>
      </c>
      <c r="I971" s="345"/>
      <c r="J971" s="441"/>
      <c r="K971" s="345"/>
      <c r="L971" s="478"/>
      <c r="M971" s="345"/>
      <c r="N971" s="345"/>
      <c r="O971" s="345"/>
      <c r="P971" s="414"/>
      <c r="Q971" s="414"/>
      <c r="R971" s="414"/>
      <c r="S971" s="445"/>
      <c r="T971" s="445"/>
      <c r="U971" s="445"/>
      <c r="V971" s="345"/>
      <c r="W971" s="441"/>
      <c r="X971" s="345"/>
      <c r="Y971" s="345"/>
      <c r="Z971" s="345"/>
      <c r="AA971" s="345"/>
      <c r="AB971" s="345"/>
      <c r="AC971" s="345"/>
      <c r="AD971" s="345"/>
      <c r="AE971" s="345"/>
      <c r="AF971" s="345"/>
      <c r="AG971" s="345"/>
      <c r="AH971" s="345"/>
      <c r="AI971" s="345"/>
      <c r="AJ971" s="345"/>
      <c r="AK971" s="345"/>
      <c r="AL971" s="345"/>
      <c r="AM971" s="345"/>
      <c r="AN971" s="345"/>
      <c r="AO971" s="345"/>
      <c r="AP971" s="345"/>
      <c r="AQ971" s="345"/>
      <c r="AR971" s="345"/>
      <c r="AS971" s="345"/>
    </row>
    <row r="972" ht="13.5" customHeight="1">
      <c r="A972" s="424" t="str">
        <f>'Membership Application List'!A1201</f>
        <v/>
      </c>
      <c r="B972" s="443" t="str">
        <f t="shared" si="6"/>
        <v/>
      </c>
      <c r="C972" s="443" t="str">
        <f t="shared" si="7"/>
        <v/>
      </c>
      <c r="D972" s="426" t="str">
        <f>'Membership Application List'!E1201</f>
        <v/>
      </c>
      <c r="E972" s="426" t="b">
        <f>IF('Membership Application List'!J1201 = "Food/Litter Donation", 0, IF('Membership Application List'!J1201 = "$15 Donation, Discord Verification", IF('Membership Application List'!N1201 = TRUE, 15, 0)))</f>
        <v>0</v>
      </c>
      <c r="F972" s="426">
        <f>if('Membership Application List'!K1201=TRUE, 5,0)</f>
        <v>0</v>
      </c>
      <c r="G972" s="426">
        <f t="shared" si="8"/>
        <v>0</v>
      </c>
      <c r="H972" s="480" t="str">
        <f>'Membership Application List'!L1201</f>
        <v/>
      </c>
      <c r="I972" s="345"/>
      <c r="J972" s="441"/>
      <c r="K972" s="345"/>
      <c r="L972" s="478"/>
      <c r="M972" s="345"/>
      <c r="N972" s="345"/>
      <c r="O972" s="345"/>
      <c r="P972" s="414"/>
      <c r="Q972" s="414"/>
      <c r="R972" s="414"/>
      <c r="S972" s="445"/>
      <c r="T972" s="445"/>
      <c r="U972" s="445"/>
      <c r="V972" s="345"/>
      <c r="W972" s="441"/>
      <c r="X972" s="345"/>
      <c r="Y972" s="345"/>
      <c r="Z972" s="345"/>
      <c r="AA972" s="345"/>
      <c r="AB972" s="345"/>
      <c r="AC972" s="345"/>
      <c r="AD972" s="345"/>
      <c r="AE972" s="345"/>
      <c r="AF972" s="345"/>
      <c r="AG972" s="345"/>
      <c r="AH972" s="345"/>
      <c r="AI972" s="345"/>
      <c r="AJ972" s="345"/>
      <c r="AK972" s="345"/>
      <c r="AL972" s="345"/>
      <c r="AM972" s="345"/>
      <c r="AN972" s="345"/>
      <c r="AO972" s="345"/>
      <c r="AP972" s="345"/>
      <c r="AQ972" s="345"/>
      <c r="AR972" s="345"/>
      <c r="AS972" s="345"/>
    </row>
    <row r="973" ht="13.5" customHeight="1">
      <c r="A973" s="436" t="str">
        <f>'Membership Application List'!A1202</f>
        <v/>
      </c>
      <c r="B973" s="437" t="str">
        <f t="shared" si="6"/>
        <v/>
      </c>
      <c r="C973" s="437" t="str">
        <f t="shared" si="7"/>
        <v/>
      </c>
      <c r="D973" s="438" t="str">
        <f>'Membership Application List'!E1202</f>
        <v/>
      </c>
      <c r="E973" s="438" t="b">
        <f>IF('Membership Application List'!J1202 = "Food/Litter Donation", 0, IF('Membership Application List'!J1202 = "$15 Donation, Discord Verification", IF('Membership Application List'!N1202 = TRUE, 15, 0)))</f>
        <v>0</v>
      </c>
      <c r="F973" s="438">
        <f>if('Membership Application List'!K1202=TRUE, 5,0)</f>
        <v>0</v>
      </c>
      <c r="G973" s="438">
        <f t="shared" si="8"/>
        <v>0</v>
      </c>
      <c r="H973" s="479" t="str">
        <f>'Membership Application List'!L1202</f>
        <v/>
      </c>
      <c r="I973" s="345"/>
      <c r="J973" s="441"/>
      <c r="K973" s="345"/>
      <c r="L973" s="478"/>
      <c r="M973" s="345"/>
      <c r="N973" s="345"/>
      <c r="O973" s="345"/>
      <c r="P973" s="414"/>
      <c r="Q973" s="414"/>
      <c r="R973" s="414"/>
      <c r="S973" s="445"/>
      <c r="T973" s="445"/>
      <c r="U973" s="445"/>
      <c r="V973" s="345"/>
      <c r="W973" s="441"/>
      <c r="X973" s="345"/>
      <c r="Y973" s="345"/>
      <c r="Z973" s="345"/>
      <c r="AA973" s="345"/>
      <c r="AB973" s="345"/>
      <c r="AC973" s="345"/>
      <c r="AD973" s="345"/>
      <c r="AE973" s="345"/>
      <c r="AF973" s="345"/>
      <c r="AG973" s="345"/>
      <c r="AH973" s="345"/>
      <c r="AI973" s="345"/>
      <c r="AJ973" s="345"/>
      <c r="AK973" s="345"/>
      <c r="AL973" s="345"/>
      <c r="AM973" s="345"/>
      <c r="AN973" s="345"/>
      <c r="AO973" s="345"/>
      <c r="AP973" s="345"/>
      <c r="AQ973" s="345"/>
      <c r="AR973" s="345"/>
      <c r="AS973" s="345"/>
    </row>
    <row r="974" ht="13.5" customHeight="1">
      <c r="A974" s="424" t="str">
        <f>'Membership Application List'!A1203</f>
        <v/>
      </c>
      <c r="B974" s="443" t="str">
        <f t="shared" si="6"/>
        <v/>
      </c>
      <c r="C974" s="443" t="str">
        <f t="shared" si="7"/>
        <v/>
      </c>
      <c r="D974" s="426" t="str">
        <f>'Membership Application List'!E1203</f>
        <v/>
      </c>
      <c r="E974" s="426" t="b">
        <f>IF('Membership Application List'!J1203 = "Food/Litter Donation", 0, IF('Membership Application List'!J1203 = "$15 Donation, Discord Verification", IF('Membership Application List'!N1203 = TRUE, 15, 0)))</f>
        <v>0</v>
      </c>
      <c r="F974" s="426">
        <f>if('Membership Application List'!K1203=TRUE, 5,0)</f>
        <v>0</v>
      </c>
      <c r="G974" s="426">
        <f t="shared" si="8"/>
        <v>0</v>
      </c>
      <c r="H974" s="480" t="str">
        <f>'Membership Application List'!L1203</f>
        <v/>
      </c>
      <c r="I974" s="345"/>
      <c r="J974" s="441"/>
      <c r="K974" s="345"/>
      <c r="L974" s="478"/>
      <c r="M974" s="345"/>
      <c r="N974" s="345"/>
      <c r="O974" s="345"/>
      <c r="P974" s="414"/>
      <c r="Q974" s="414"/>
      <c r="R974" s="414"/>
      <c r="S974" s="445"/>
      <c r="T974" s="445"/>
      <c r="U974" s="445"/>
      <c r="V974" s="345"/>
      <c r="W974" s="441"/>
      <c r="X974" s="345"/>
      <c r="Y974" s="345"/>
      <c r="Z974" s="345"/>
      <c r="AA974" s="345"/>
      <c r="AB974" s="345"/>
      <c r="AC974" s="345"/>
      <c r="AD974" s="345"/>
      <c r="AE974" s="345"/>
      <c r="AF974" s="345"/>
      <c r="AG974" s="345"/>
      <c r="AH974" s="345"/>
      <c r="AI974" s="345"/>
      <c r="AJ974" s="345"/>
      <c r="AK974" s="345"/>
      <c r="AL974" s="345"/>
      <c r="AM974" s="345"/>
      <c r="AN974" s="345"/>
      <c r="AO974" s="345"/>
      <c r="AP974" s="345"/>
      <c r="AQ974" s="345"/>
      <c r="AR974" s="345"/>
      <c r="AS974" s="345"/>
    </row>
    <row r="975" ht="13.5" customHeight="1">
      <c r="A975" s="436" t="str">
        <f>'Membership Application List'!A1204</f>
        <v/>
      </c>
      <c r="B975" s="437" t="str">
        <f t="shared" si="6"/>
        <v/>
      </c>
      <c r="C975" s="437" t="str">
        <f t="shared" si="7"/>
        <v/>
      </c>
      <c r="D975" s="438" t="str">
        <f>'Membership Application List'!E1204</f>
        <v/>
      </c>
      <c r="E975" s="438" t="b">
        <f>IF('Membership Application List'!J1204 = "Food/Litter Donation", 0, IF('Membership Application List'!J1204 = "$15 Donation, Discord Verification", IF('Membership Application List'!N1204 = TRUE, 15, 0)))</f>
        <v>0</v>
      </c>
      <c r="F975" s="438">
        <f>if('Membership Application List'!K1204=TRUE, 5,0)</f>
        <v>0</v>
      </c>
      <c r="G975" s="438">
        <f t="shared" si="8"/>
        <v>0</v>
      </c>
      <c r="H975" s="479" t="str">
        <f>'Membership Application List'!L1204</f>
        <v/>
      </c>
      <c r="I975" s="345"/>
      <c r="J975" s="441"/>
      <c r="K975" s="345"/>
      <c r="L975" s="478"/>
      <c r="M975" s="345"/>
      <c r="N975" s="345"/>
      <c r="O975" s="345"/>
      <c r="P975" s="414"/>
      <c r="Q975" s="414"/>
      <c r="R975" s="414"/>
      <c r="S975" s="445"/>
      <c r="T975" s="445"/>
      <c r="U975" s="445"/>
      <c r="V975" s="345"/>
      <c r="W975" s="441"/>
      <c r="X975" s="345"/>
      <c r="Y975" s="345"/>
      <c r="Z975" s="345"/>
      <c r="AA975" s="345"/>
      <c r="AB975" s="345"/>
      <c r="AC975" s="345"/>
      <c r="AD975" s="345"/>
      <c r="AE975" s="345"/>
      <c r="AF975" s="345"/>
      <c r="AG975" s="345"/>
      <c r="AH975" s="345"/>
      <c r="AI975" s="345"/>
      <c r="AJ975" s="345"/>
      <c r="AK975" s="345"/>
      <c r="AL975" s="345"/>
      <c r="AM975" s="345"/>
      <c r="AN975" s="345"/>
      <c r="AO975" s="345"/>
      <c r="AP975" s="345"/>
      <c r="AQ975" s="345"/>
      <c r="AR975" s="345"/>
      <c r="AS975" s="345"/>
    </row>
    <row r="976" ht="13.5" customHeight="1">
      <c r="A976" s="424" t="str">
        <f>'Membership Application List'!A1205</f>
        <v/>
      </c>
      <c r="B976" s="443" t="str">
        <f t="shared" si="6"/>
        <v/>
      </c>
      <c r="C976" s="443" t="str">
        <f t="shared" si="7"/>
        <v/>
      </c>
      <c r="D976" s="426" t="str">
        <f>'Membership Application List'!E1205</f>
        <v/>
      </c>
      <c r="E976" s="426" t="b">
        <f>IF('Membership Application List'!J1205 = "Food/Litter Donation", 0, IF('Membership Application List'!J1205 = "$15 Donation, Discord Verification", IF('Membership Application List'!N1205 = TRUE, 15, 0)))</f>
        <v>0</v>
      </c>
      <c r="F976" s="426">
        <f>if('Membership Application List'!K1205=TRUE, 5,0)</f>
        <v>0</v>
      </c>
      <c r="G976" s="426">
        <f t="shared" si="8"/>
        <v>0</v>
      </c>
      <c r="H976" s="480" t="str">
        <f>'Membership Application List'!L1205</f>
        <v/>
      </c>
      <c r="I976" s="345"/>
      <c r="J976" s="441"/>
      <c r="K976" s="345"/>
      <c r="L976" s="478"/>
      <c r="M976" s="345"/>
      <c r="N976" s="345"/>
      <c r="O976" s="345"/>
      <c r="P976" s="414"/>
      <c r="Q976" s="414"/>
      <c r="R976" s="414"/>
      <c r="S976" s="445"/>
      <c r="T976" s="445"/>
      <c r="U976" s="445"/>
      <c r="V976" s="345"/>
      <c r="W976" s="441"/>
      <c r="X976" s="345"/>
      <c r="Y976" s="345"/>
      <c r="Z976" s="345"/>
      <c r="AA976" s="345"/>
      <c r="AB976" s="345"/>
      <c r="AC976" s="345"/>
      <c r="AD976" s="345"/>
      <c r="AE976" s="345"/>
      <c r="AF976" s="345"/>
      <c r="AG976" s="345"/>
      <c r="AH976" s="345"/>
      <c r="AI976" s="345"/>
      <c r="AJ976" s="345"/>
      <c r="AK976" s="345"/>
      <c r="AL976" s="345"/>
      <c r="AM976" s="345"/>
      <c r="AN976" s="345"/>
      <c r="AO976" s="345"/>
      <c r="AP976" s="345"/>
      <c r="AQ976" s="345"/>
      <c r="AR976" s="345"/>
      <c r="AS976" s="345"/>
    </row>
    <row r="977" ht="13.5" customHeight="1">
      <c r="A977" s="436" t="str">
        <f>'Membership Application List'!A1206</f>
        <v/>
      </c>
      <c r="B977" s="437" t="str">
        <f t="shared" si="6"/>
        <v/>
      </c>
      <c r="C977" s="437" t="str">
        <f t="shared" si="7"/>
        <v/>
      </c>
      <c r="D977" s="438" t="str">
        <f>'Membership Application List'!E1206</f>
        <v/>
      </c>
      <c r="E977" s="438" t="b">
        <f>IF('Membership Application List'!J1206 = "Food/Litter Donation", 0, IF('Membership Application List'!J1206 = "$15 Donation, Discord Verification", IF('Membership Application List'!N1206 = TRUE, 15, 0)))</f>
        <v>0</v>
      </c>
      <c r="F977" s="438">
        <f>if('Membership Application List'!K1206=TRUE, 5,0)</f>
        <v>0</v>
      </c>
      <c r="G977" s="438">
        <f t="shared" si="8"/>
        <v>0</v>
      </c>
      <c r="H977" s="479" t="str">
        <f>'Membership Application List'!L1206</f>
        <v/>
      </c>
      <c r="I977" s="345"/>
      <c r="J977" s="441"/>
      <c r="K977" s="345"/>
      <c r="L977" s="478"/>
      <c r="M977" s="345"/>
      <c r="N977" s="345"/>
      <c r="O977" s="345"/>
      <c r="P977" s="414"/>
      <c r="Q977" s="414"/>
      <c r="R977" s="414"/>
      <c r="S977" s="445"/>
      <c r="T977" s="445"/>
      <c r="U977" s="445"/>
      <c r="V977" s="345"/>
      <c r="W977" s="441"/>
      <c r="X977" s="345"/>
      <c r="Y977" s="345"/>
      <c r="Z977" s="345"/>
      <c r="AA977" s="345"/>
      <c r="AB977" s="345"/>
      <c r="AC977" s="345"/>
      <c r="AD977" s="345"/>
      <c r="AE977" s="345"/>
      <c r="AF977" s="345"/>
      <c r="AG977" s="345"/>
      <c r="AH977" s="345"/>
      <c r="AI977" s="345"/>
      <c r="AJ977" s="345"/>
      <c r="AK977" s="345"/>
      <c r="AL977" s="345"/>
      <c r="AM977" s="345"/>
      <c r="AN977" s="345"/>
      <c r="AO977" s="345"/>
      <c r="AP977" s="345"/>
      <c r="AQ977" s="345"/>
      <c r="AR977" s="345"/>
      <c r="AS977" s="345"/>
    </row>
    <row r="978" ht="13.5" customHeight="1">
      <c r="A978" s="424" t="str">
        <f>'Membership Application List'!A1207</f>
        <v/>
      </c>
      <c r="B978" s="443" t="str">
        <f t="shared" si="6"/>
        <v/>
      </c>
      <c r="C978" s="443" t="str">
        <f t="shared" si="7"/>
        <v/>
      </c>
      <c r="D978" s="426" t="str">
        <f>'Membership Application List'!E1207</f>
        <v/>
      </c>
      <c r="E978" s="426" t="b">
        <f>IF('Membership Application List'!J1207 = "Food/Litter Donation", 0, IF('Membership Application List'!J1207 = "$15 Donation, Discord Verification", IF('Membership Application List'!N1207 = TRUE, 15, 0)))</f>
        <v>0</v>
      </c>
      <c r="F978" s="426">
        <f>if('Membership Application List'!K1207=TRUE, 5,0)</f>
        <v>0</v>
      </c>
      <c r="G978" s="426">
        <f t="shared" si="8"/>
        <v>0</v>
      </c>
      <c r="H978" s="480" t="str">
        <f>'Membership Application List'!L1207</f>
        <v/>
      </c>
      <c r="I978" s="345"/>
      <c r="J978" s="441"/>
      <c r="K978" s="345"/>
      <c r="L978" s="478"/>
      <c r="M978" s="345"/>
      <c r="N978" s="345"/>
      <c r="O978" s="345"/>
      <c r="P978" s="414"/>
      <c r="Q978" s="414"/>
      <c r="R978" s="414"/>
      <c r="S978" s="445"/>
      <c r="T978" s="445"/>
      <c r="U978" s="445"/>
      <c r="V978" s="345"/>
      <c r="W978" s="441"/>
      <c r="X978" s="345"/>
      <c r="Y978" s="345"/>
      <c r="Z978" s="345"/>
      <c r="AA978" s="345"/>
      <c r="AB978" s="345"/>
      <c r="AC978" s="345"/>
      <c r="AD978" s="345"/>
      <c r="AE978" s="345"/>
      <c r="AF978" s="345"/>
      <c r="AG978" s="345"/>
      <c r="AH978" s="345"/>
      <c r="AI978" s="345"/>
      <c r="AJ978" s="345"/>
      <c r="AK978" s="345"/>
      <c r="AL978" s="345"/>
      <c r="AM978" s="345"/>
      <c r="AN978" s="345"/>
      <c r="AO978" s="345"/>
      <c r="AP978" s="345"/>
      <c r="AQ978" s="345"/>
      <c r="AR978" s="345"/>
      <c r="AS978" s="345"/>
    </row>
    <row r="979" ht="13.5" customHeight="1">
      <c r="A979" s="436" t="str">
        <f>'Membership Application List'!A1208</f>
        <v/>
      </c>
      <c r="B979" s="437" t="str">
        <f t="shared" si="6"/>
        <v/>
      </c>
      <c r="C979" s="437" t="str">
        <f t="shared" si="7"/>
        <v/>
      </c>
      <c r="D979" s="438" t="str">
        <f>'Membership Application List'!E1208</f>
        <v/>
      </c>
      <c r="E979" s="438" t="b">
        <f>IF('Membership Application List'!J1208 = "Food/Litter Donation", 0, IF('Membership Application List'!J1208 = "$15 Donation, Discord Verification", IF('Membership Application List'!N1208 = TRUE, 15, 0)))</f>
        <v>0</v>
      </c>
      <c r="F979" s="438">
        <f>if('Membership Application List'!K1208=TRUE, 5,0)</f>
        <v>0</v>
      </c>
      <c r="G979" s="438">
        <f t="shared" si="8"/>
        <v>0</v>
      </c>
      <c r="H979" s="479" t="str">
        <f>'Membership Application List'!L1208</f>
        <v/>
      </c>
      <c r="I979" s="345"/>
      <c r="J979" s="441"/>
      <c r="K979" s="345"/>
      <c r="L979" s="478"/>
      <c r="M979" s="345"/>
      <c r="N979" s="345"/>
      <c r="O979" s="345"/>
      <c r="P979" s="414"/>
      <c r="Q979" s="414"/>
      <c r="R979" s="414"/>
      <c r="S979" s="445"/>
      <c r="T979" s="445"/>
      <c r="U979" s="445"/>
      <c r="V979" s="345"/>
      <c r="W979" s="441"/>
      <c r="X979" s="345"/>
      <c r="Y979" s="345"/>
      <c r="Z979" s="345"/>
      <c r="AA979" s="345"/>
      <c r="AB979" s="345"/>
      <c r="AC979" s="345"/>
      <c r="AD979" s="345"/>
      <c r="AE979" s="345"/>
      <c r="AF979" s="345"/>
      <c r="AG979" s="345"/>
      <c r="AH979" s="345"/>
      <c r="AI979" s="345"/>
      <c r="AJ979" s="345"/>
      <c r="AK979" s="345"/>
      <c r="AL979" s="345"/>
      <c r="AM979" s="345"/>
      <c r="AN979" s="345"/>
      <c r="AO979" s="345"/>
      <c r="AP979" s="345"/>
      <c r="AQ979" s="345"/>
      <c r="AR979" s="345"/>
      <c r="AS979" s="345"/>
    </row>
    <row r="980" ht="13.5" customHeight="1">
      <c r="A980" s="424" t="str">
        <f>'Membership Application List'!A1209</f>
        <v/>
      </c>
      <c r="B980" s="443" t="str">
        <f t="shared" si="6"/>
        <v/>
      </c>
      <c r="C980" s="443" t="str">
        <f t="shared" si="7"/>
        <v/>
      </c>
      <c r="D980" s="426" t="str">
        <f>'Membership Application List'!E1209</f>
        <v/>
      </c>
      <c r="E980" s="426" t="b">
        <f>IF('Membership Application List'!J1209 = "Food/Litter Donation", 0, IF('Membership Application List'!J1209 = "$15 Donation, Discord Verification", IF('Membership Application List'!N1209 = TRUE, 15, 0)))</f>
        <v>0</v>
      </c>
      <c r="F980" s="426">
        <f>if('Membership Application List'!K1209=TRUE, 5,0)</f>
        <v>0</v>
      </c>
      <c r="G980" s="426">
        <f t="shared" si="8"/>
        <v>0</v>
      </c>
      <c r="H980" s="480" t="str">
        <f>'Membership Application List'!L1209</f>
        <v/>
      </c>
      <c r="I980" s="345"/>
      <c r="J980" s="441"/>
      <c r="K980" s="345"/>
      <c r="L980" s="478"/>
      <c r="M980" s="345"/>
      <c r="N980" s="345"/>
      <c r="O980" s="345"/>
      <c r="P980" s="414"/>
      <c r="Q980" s="414"/>
      <c r="R980" s="414"/>
      <c r="S980" s="445"/>
      <c r="T980" s="445"/>
      <c r="U980" s="445"/>
      <c r="V980" s="345"/>
      <c r="W980" s="441"/>
      <c r="X980" s="345"/>
      <c r="Y980" s="345"/>
      <c r="Z980" s="345"/>
      <c r="AA980" s="345"/>
      <c r="AB980" s="345"/>
      <c r="AC980" s="345"/>
      <c r="AD980" s="345"/>
      <c r="AE980" s="345"/>
      <c r="AF980" s="345"/>
      <c r="AG980" s="345"/>
      <c r="AH980" s="345"/>
      <c r="AI980" s="345"/>
      <c r="AJ980" s="345"/>
      <c r="AK980" s="345"/>
      <c r="AL980" s="345"/>
      <c r="AM980" s="345"/>
      <c r="AN980" s="345"/>
      <c r="AO980" s="345"/>
      <c r="AP980" s="345"/>
      <c r="AQ980" s="345"/>
      <c r="AR980" s="345"/>
      <c r="AS980" s="345"/>
    </row>
    <row r="981" ht="13.5" customHeight="1">
      <c r="A981" s="436" t="str">
        <f>'Membership Application List'!A1210</f>
        <v/>
      </c>
      <c r="B981" s="437" t="str">
        <f t="shared" si="6"/>
        <v/>
      </c>
      <c r="C981" s="437" t="str">
        <f t="shared" si="7"/>
        <v/>
      </c>
      <c r="D981" s="438" t="str">
        <f>'Membership Application List'!E1210</f>
        <v/>
      </c>
      <c r="E981" s="438" t="b">
        <f>IF('Membership Application List'!J1210 = "Food/Litter Donation", 0, IF('Membership Application List'!J1210 = "$15 Donation, Discord Verification", IF('Membership Application List'!N1210 = TRUE, 15, 0)))</f>
        <v>0</v>
      </c>
      <c r="F981" s="438">
        <f>if('Membership Application List'!K1210=TRUE, 5,0)</f>
        <v>0</v>
      </c>
      <c r="G981" s="438">
        <f t="shared" si="8"/>
        <v>0</v>
      </c>
      <c r="H981" s="479" t="str">
        <f>'Membership Application List'!L1210</f>
        <v/>
      </c>
      <c r="I981" s="345"/>
      <c r="J981" s="441"/>
      <c r="K981" s="345"/>
      <c r="L981" s="478"/>
      <c r="M981" s="345"/>
      <c r="N981" s="345"/>
      <c r="O981" s="345"/>
      <c r="P981" s="414"/>
      <c r="Q981" s="414"/>
      <c r="R981" s="414"/>
      <c r="S981" s="445"/>
      <c r="T981" s="445"/>
      <c r="U981" s="445"/>
      <c r="V981" s="345"/>
      <c r="W981" s="441"/>
      <c r="X981" s="345"/>
      <c r="Y981" s="345"/>
      <c r="Z981" s="345"/>
      <c r="AA981" s="345"/>
      <c r="AB981" s="345"/>
      <c r="AC981" s="345"/>
      <c r="AD981" s="345"/>
      <c r="AE981" s="345"/>
      <c r="AF981" s="345"/>
      <c r="AG981" s="345"/>
      <c r="AH981" s="345"/>
      <c r="AI981" s="345"/>
      <c r="AJ981" s="345"/>
      <c r="AK981" s="345"/>
      <c r="AL981" s="345"/>
      <c r="AM981" s="345"/>
      <c r="AN981" s="345"/>
      <c r="AO981" s="345"/>
      <c r="AP981" s="345"/>
      <c r="AQ981" s="345"/>
      <c r="AR981" s="345"/>
      <c r="AS981" s="345"/>
    </row>
    <row r="982" ht="13.5" customHeight="1">
      <c r="A982" s="424" t="str">
        <f>'Membership Application List'!A1211</f>
        <v/>
      </c>
      <c r="B982" s="443" t="str">
        <f t="shared" si="6"/>
        <v/>
      </c>
      <c r="C982" s="443" t="str">
        <f t="shared" si="7"/>
        <v/>
      </c>
      <c r="D982" s="426" t="str">
        <f>'Membership Application List'!E1211</f>
        <v/>
      </c>
      <c r="E982" s="426" t="b">
        <f>IF('Membership Application List'!J1211 = "Food/Litter Donation", 0, IF('Membership Application List'!J1211 = "$15 Donation, Discord Verification", IF('Membership Application List'!N1211 = TRUE, 15, 0)))</f>
        <v>0</v>
      </c>
      <c r="F982" s="426">
        <f>if('Membership Application List'!K1211=TRUE, 5,0)</f>
        <v>0</v>
      </c>
      <c r="G982" s="426">
        <f t="shared" si="8"/>
        <v>0</v>
      </c>
      <c r="H982" s="480" t="str">
        <f>'Membership Application List'!L1211</f>
        <v/>
      </c>
      <c r="I982" s="345"/>
      <c r="J982" s="441"/>
      <c r="K982" s="345"/>
      <c r="L982" s="478"/>
      <c r="M982" s="345"/>
      <c r="N982" s="345"/>
      <c r="O982" s="345"/>
      <c r="P982" s="414"/>
      <c r="Q982" s="414"/>
      <c r="R982" s="414"/>
      <c r="S982" s="445"/>
      <c r="T982" s="445"/>
      <c r="U982" s="445"/>
      <c r="V982" s="345"/>
      <c r="W982" s="441"/>
      <c r="X982" s="345"/>
      <c r="Y982" s="345"/>
      <c r="Z982" s="345"/>
      <c r="AA982" s="345"/>
      <c r="AB982" s="345"/>
      <c r="AC982" s="345"/>
      <c r="AD982" s="345"/>
      <c r="AE982" s="345"/>
      <c r="AF982" s="345"/>
      <c r="AG982" s="345"/>
      <c r="AH982" s="345"/>
      <c r="AI982" s="345"/>
      <c r="AJ982" s="345"/>
      <c r="AK982" s="345"/>
      <c r="AL982" s="345"/>
      <c r="AM982" s="345"/>
      <c r="AN982" s="345"/>
      <c r="AO982" s="345"/>
      <c r="AP982" s="345"/>
      <c r="AQ982" s="345"/>
      <c r="AR982" s="345"/>
      <c r="AS982" s="345"/>
    </row>
    <row r="983" ht="13.5" customHeight="1">
      <c r="A983" s="436" t="str">
        <f>'Membership Application List'!A1212</f>
        <v/>
      </c>
      <c r="B983" s="437" t="str">
        <f t="shared" si="6"/>
        <v/>
      </c>
      <c r="C983" s="437" t="str">
        <f t="shared" si="7"/>
        <v/>
      </c>
      <c r="D983" s="438" t="str">
        <f>'Membership Application List'!E1212</f>
        <v/>
      </c>
      <c r="E983" s="438" t="b">
        <f>IF('Membership Application List'!J1212 = "Food/Litter Donation", 0, IF('Membership Application List'!J1212 = "$15 Donation, Discord Verification", IF('Membership Application List'!N1212 = TRUE, 15, 0)))</f>
        <v>0</v>
      </c>
      <c r="F983" s="438">
        <f>if('Membership Application List'!K1212=TRUE, 5,0)</f>
        <v>0</v>
      </c>
      <c r="G983" s="438">
        <f t="shared" si="8"/>
        <v>0</v>
      </c>
      <c r="H983" s="479" t="str">
        <f>'Membership Application List'!L1212</f>
        <v/>
      </c>
      <c r="I983" s="345"/>
      <c r="J983" s="441"/>
      <c r="K983" s="345"/>
      <c r="L983" s="478"/>
      <c r="M983" s="345"/>
      <c r="N983" s="345"/>
      <c r="O983" s="345"/>
      <c r="P983" s="414"/>
      <c r="Q983" s="414"/>
      <c r="R983" s="414"/>
      <c r="S983" s="445"/>
      <c r="T983" s="445"/>
      <c r="U983" s="445"/>
      <c r="V983" s="345"/>
      <c r="W983" s="441"/>
      <c r="X983" s="345"/>
      <c r="Y983" s="345"/>
      <c r="Z983" s="345"/>
      <c r="AA983" s="345"/>
      <c r="AB983" s="345"/>
      <c r="AC983" s="345"/>
      <c r="AD983" s="345"/>
      <c r="AE983" s="345"/>
      <c r="AF983" s="345"/>
      <c r="AG983" s="345"/>
      <c r="AH983" s="345"/>
      <c r="AI983" s="345"/>
      <c r="AJ983" s="345"/>
      <c r="AK983" s="345"/>
      <c r="AL983" s="345"/>
      <c r="AM983" s="345"/>
      <c r="AN983" s="345"/>
      <c r="AO983" s="345"/>
      <c r="AP983" s="345"/>
      <c r="AQ983" s="345"/>
      <c r="AR983" s="345"/>
      <c r="AS983" s="345"/>
    </row>
    <row r="984" ht="13.5" customHeight="1">
      <c r="A984" s="424" t="str">
        <f>'Membership Application List'!A1213</f>
        <v/>
      </c>
      <c r="B984" s="443" t="str">
        <f t="shared" si="6"/>
        <v/>
      </c>
      <c r="C984" s="443" t="str">
        <f t="shared" si="7"/>
        <v/>
      </c>
      <c r="D984" s="426" t="str">
        <f>'Membership Application List'!E1213</f>
        <v/>
      </c>
      <c r="E984" s="426" t="b">
        <f>IF('Membership Application List'!J1213 = "Food/Litter Donation", 0, IF('Membership Application List'!J1213 = "$15 Donation, Discord Verification", IF('Membership Application List'!N1213 = TRUE, 15, 0)))</f>
        <v>0</v>
      </c>
      <c r="F984" s="426">
        <f>if('Membership Application List'!K1213=TRUE, 5,0)</f>
        <v>0</v>
      </c>
      <c r="G984" s="426">
        <f t="shared" si="8"/>
        <v>0</v>
      </c>
      <c r="H984" s="480" t="str">
        <f>'Membership Application List'!L1213</f>
        <v/>
      </c>
      <c r="I984" s="345"/>
      <c r="J984" s="441"/>
      <c r="K984" s="345"/>
      <c r="L984" s="478"/>
      <c r="M984" s="345"/>
      <c r="N984" s="345"/>
      <c r="O984" s="345"/>
      <c r="P984" s="414"/>
      <c r="Q984" s="414"/>
      <c r="R984" s="414"/>
      <c r="S984" s="445"/>
      <c r="T984" s="445"/>
      <c r="U984" s="445"/>
      <c r="V984" s="345"/>
      <c r="W984" s="441"/>
      <c r="X984" s="345"/>
      <c r="Y984" s="345"/>
      <c r="Z984" s="345"/>
      <c r="AA984" s="345"/>
      <c r="AB984" s="345"/>
      <c r="AC984" s="345"/>
      <c r="AD984" s="345"/>
      <c r="AE984" s="345"/>
      <c r="AF984" s="345"/>
      <c r="AG984" s="345"/>
      <c r="AH984" s="345"/>
      <c r="AI984" s="345"/>
      <c r="AJ984" s="345"/>
      <c r="AK984" s="345"/>
      <c r="AL984" s="345"/>
      <c r="AM984" s="345"/>
      <c r="AN984" s="345"/>
      <c r="AO984" s="345"/>
      <c r="AP984" s="345"/>
      <c r="AQ984" s="345"/>
      <c r="AR984" s="345"/>
      <c r="AS984" s="345"/>
    </row>
    <row r="985" ht="13.5" customHeight="1">
      <c r="A985" s="436" t="str">
        <f>'Membership Application List'!A1214</f>
        <v/>
      </c>
      <c r="B985" s="437" t="str">
        <f t="shared" si="6"/>
        <v/>
      </c>
      <c r="C985" s="437" t="str">
        <f t="shared" si="7"/>
        <v/>
      </c>
      <c r="D985" s="438" t="str">
        <f>'Membership Application List'!E1214</f>
        <v/>
      </c>
      <c r="E985" s="438" t="b">
        <f>IF('Membership Application List'!J1214 = "Food/Litter Donation", 0, IF('Membership Application List'!J1214 = "$15 Donation, Discord Verification", IF('Membership Application List'!N1214 = TRUE, 15, 0)))</f>
        <v>0</v>
      </c>
      <c r="F985" s="438">
        <f>if('Membership Application List'!K1214=TRUE, 5,0)</f>
        <v>0</v>
      </c>
      <c r="G985" s="438">
        <f t="shared" si="8"/>
        <v>0</v>
      </c>
      <c r="H985" s="479" t="str">
        <f>'Membership Application List'!L1214</f>
        <v/>
      </c>
      <c r="I985" s="345"/>
      <c r="J985" s="441"/>
      <c r="K985" s="345"/>
      <c r="L985" s="478"/>
      <c r="M985" s="345"/>
      <c r="N985" s="345"/>
      <c r="O985" s="345"/>
      <c r="P985" s="414"/>
      <c r="Q985" s="414"/>
      <c r="R985" s="414"/>
      <c r="S985" s="445"/>
      <c r="T985" s="445"/>
      <c r="U985" s="445"/>
      <c r="V985" s="345"/>
      <c r="W985" s="441"/>
      <c r="X985" s="345"/>
      <c r="Y985" s="345"/>
      <c r="Z985" s="345"/>
      <c r="AA985" s="345"/>
      <c r="AB985" s="345"/>
      <c r="AC985" s="345"/>
      <c r="AD985" s="345"/>
      <c r="AE985" s="345"/>
      <c r="AF985" s="345"/>
      <c r="AG985" s="345"/>
      <c r="AH985" s="345"/>
      <c r="AI985" s="345"/>
      <c r="AJ985" s="345"/>
      <c r="AK985" s="345"/>
      <c r="AL985" s="345"/>
      <c r="AM985" s="345"/>
      <c r="AN985" s="345"/>
      <c r="AO985" s="345"/>
      <c r="AP985" s="345"/>
      <c r="AQ985" s="345"/>
      <c r="AR985" s="345"/>
      <c r="AS985" s="345"/>
    </row>
    <row r="986" ht="13.5" customHeight="1">
      <c r="A986" s="424" t="str">
        <f>'Membership Application List'!A1215</f>
        <v/>
      </c>
      <c r="B986" s="443" t="str">
        <f t="shared" si="6"/>
        <v/>
      </c>
      <c r="C986" s="443" t="str">
        <f t="shared" si="7"/>
        <v/>
      </c>
      <c r="D986" s="426" t="str">
        <f>'Membership Application List'!E1215</f>
        <v/>
      </c>
      <c r="E986" s="426" t="b">
        <f>IF('Membership Application List'!J1215 = "Food/Litter Donation", 0, IF('Membership Application List'!J1215 = "$15 Donation, Discord Verification", IF('Membership Application List'!N1215 = TRUE, 15, 0)))</f>
        <v>0</v>
      </c>
      <c r="F986" s="426">
        <f>if('Membership Application List'!K1215=TRUE, 5,0)</f>
        <v>0</v>
      </c>
      <c r="G986" s="426">
        <f t="shared" si="8"/>
        <v>0</v>
      </c>
      <c r="H986" s="480" t="str">
        <f>'Membership Application List'!L1215</f>
        <v/>
      </c>
      <c r="I986" s="345"/>
      <c r="J986" s="441"/>
      <c r="K986" s="345"/>
      <c r="L986" s="478"/>
      <c r="M986" s="345"/>
      <c r="N986" s="345"/>
      <c r="O986" s="345"/>
      <c r="P986" s="414"/>
      <c r="Q986" s="414"/>
      <c r="R986" s="414"/>
      <c r="S986" s="445"/>
      <c r="T986" s="445"/>
      <c r="U986" s="445"/>
      <c r="V986" s="345"/>
      <c r="W986" s="441"/>
      <c r="X986" s="345"/>
      <c r="Y986" s="345"/>
      <c r="Z986" s="345"/>
      <c r="AA986" s="345"/>
      <c r="AB986" s="345"/>
      <c r="AC986" s="345"/>
      <c r="AD986" s="345"/>
      <c r="AE986" s="345"/>
      <c r="AF986" s="345"/>
      <c r="AG986" s="345"/>
      <c r="AH986" s="345"/>
      <c r="AI986" s="345"/>
      <c r="AJ986" s="345"/>
      <c r="AK986" s="345"/>
      <c r="AL986" s="345"/>
      <c r="AM986" s="345"/>
      <c r="AN986" s="345"/>
      <c r="AO986" s="345"/>
      <c r="AP986" s="345"/>
      <c r="AQ986" s="345"/>
      <c r="AR986" s="345"/>
      <c r="AS986" s="345"/>
    </row>
    <row r="987" ht="13.5" customHeight="1">
      <c r="A987" s="436" t="str">
        <f>'Membership Application List'!A1216</f>
        <v/>
      </c>
      <c r="B987" s="437" t="str">
        <f t="shared" si="6"/>
        <v/>
      </c>
      <c r="C987" s="437" t="str">
        <f t="shared" si="7"/>
        <v/>
      </c>
      <c r="D987" s="438" t="str">
        <f>'Membership Application List'!E1216</f>
        <v/>
      </c>
      <c r="E987" s="438" t="b">
        <f>IF('Membership Application List'!J1216 = "Food/Litter Donation", 0, IF('Membership Application List'!J1216 = "$15 Donation, Discord Verification", IF('Membership Application List'!N1216 = TRUE, 15, 0)))</f>
        <v>0</v>
      </c>
      <c r="F987" s="438">
        <f>if('Membership Application List'!K1216=TRUE, 5,0)</f>
        <v>0</v>
      </c>
      <c r="G987" s="438">
        <f t="shared" si="8"/>
        <v>0</v>
      </c>
      <c r="H987" s="479" t="str">
        <f>'Membership Application List'!L1216</f>
        <v/>
      </c>
      <c r="I987" s="345"/>
      <c r="J987" s="441"/>
      <c r="K987" s="345"/>
      <c r="L987" s="478"/>
      <c r="M987" s="345"/>
      <c r="N987" s="345"/>
      <c r="O987" s="345"/>
      <c r="P987" s="414"/>
      <c r="Q987" s="414"/>
      <c r="R987" s="414"/>
      <c r="S987" s="445"/>
      <c r="T987" s="445"/>
      <c r="U987" s="445"/>
      <c r="V987" s="345"/>
      <c r="W987" s="441"/>
      <c r="X987" s="345"/>
      <c r="Y987" s="345"/>
      <c r="Z987" s="345"/>
      <c r="AA987" s="345"/>
      <c r="AB987" s="345"/>
      <c r="AC987" s="345"/>
      <c r="AD987" s="345"/>
      <c r="AE987" s="345"/>
      <c r="AF987" s="345"/>
      <c r="AG987" s="345"/>
      <c r="AH987" s="345"/>
      <c r="AI987" s="345"/>
      <c r="AJ987" s="345"/>
      <c r="AK987" s="345"/>
      <c r="AL987" s="345"/>
      <c r="AM987" s="345"/>
      <c r="AN987" s="345"/>
      <c r="AO987" s="345"/>
      <c r="AP987" s="345"/>
      <c r="AQ987" s="345"/>
      <c r="AR987" s="345"/>
      <c r="AS987" s="345"/>
    </row>
    <row r="988" ht="13.5" customHeight="1">
      <c r="A988" s="424" t="str">
        <f>'Membership Application List'!A1217</f>
        <v/>
      </c>
      <c r="B988" s="443" t="str">
        <f t="shared" si="6"/>
        <v/>
      </c>
      <c r="C988" s="443" t="str">
        <f t="shared" si="7"/>
        <v/>
      </c>
      <c r="D988" s="426" t="str">
        <f>'Membership Application List'!E1217</f>
        <v/>
      </c>
      <c r="E988" s="426" t="b">
        <f>IF('Membership Application List'!J1217 = "Food/Litter Donation", 0, IF('Membership Application List'!J1217 = "$15 Donation, Discord Verification", IF('Membership Application List'!N1217 = TRUE, 15, 0)))</f>
        <v>0</v>
      </c>
      <c r="F988" s="426">
        <f>if('Membership Application List'!K1217=TRUE, 5,0)</f>
        <v>0</v>
      </c>
      <c r="G988" s="426">
        <f t="shared" si="8"/>
        <v>0</v>
      </c>
      <c r="H988" s="480" t="str">
        <f>'Membership Application List'!L1217</f>
        <v/>
      </c>
      <c r="I988" s="345"/>
      <c r="J988" s="441"/>
      <c r="K988" s="345"/>
      <c r="L988" s="478"/>
      <c r="M988" s="345"/>
      <c r="N988" s="345"/>
      <c r="O988" s="345"/>
      <c r="P988" s="414"/>
      <c r="Q988" s="414"/>
      <c r="R988" s="414"/>
      <c r="S988" s="445"/>
      <c r="T988" s="445"/>
      <c r="U988" s="445"/>
      <c r="V988" s="345"/>
      <c r="W988" s="441"/>
      <c r="X988" s="345"/>
      <c r="Y988" s="345"/>
      <c r="Z988" s="345"/>
      <c r="AA988" s="345"/>
      <c r="AB988" s="345"/>
      <c r="AC988" s="345"/>
      <c r="AD988" s="345"/>
      <c r="AE988" s="345"/>
      <c r="AF988" s="345"/>
      <c r="AG988" s="345"/>
      <c r="AH988" s="345"/>
      <c r="AI988" s="345"/>
      <c r="AJ988" s="345"/>
      <c r="AK988" s="345"/>
      <c r="AL988" s="345"/>
      <c r="AM988" s="345"/>
      <c r="AN988" s="345"/>
      <c r="AO988" s="345"/>
      <c r="AP988" s="345"/>
      <c r="AQ988" s="345"/>
      <c r="AR988" s="345"/>
      <c r="AS988" s="345"/>
    </row>
    <row r="989" ht="13.5" customHeight="1">
      <c r="A989" s="436" t="str">
        <f>'Membership Application List'!A1218</f>
        <v/>
      </c>
      <c r="B989" s="437" t="str">
        <f t="shared" si="6"/>
        <v/>
      </c>
      <c r="C989" s="437" t="str">
        <f t="shared" si="7"/>
        <v/>
      </c>
      <c r="D989" s="438" t="str">
        <f>'Membership Application List'!E1218</f>
        <v/>
      </c>
      <c r="E989" s="438" t="b">
        <f>IF('Membership Application List'!J1218 = "Food/Litter Donation", 0, IF('Membership Application List'!J1218 = "$15 Donation, Discord Verification", IF('Membership Application List'!N1218 = TRUE, 15, 0)))</f>
        <v>0</v>
      </c>
      <c r="F989" s="438">
        <f>if('Membership Application List'!K1218=TRUE, 5,0)</f>
        <v>0</v>
      </c>
      <c r="G989" s="438">
        <f t="shared" si="8"/>
        <v>0</v>
      </c>
      <c r="H989" s="479" t="str">
        <f>'Membership Application List'!L1218</f>
        <v/>
      </c>
      <c r="I989" s="345"/>
      <c r="J989" s="441"/>
      <c r="K989" s="345"/>
      <c r="L989" s="478"/>
      <c r="M989" s="345"/>
      <c r="N989" s="345"/>
      <c r="O989" s="345"/>
      <c r="P989" s="414"/>
      <c r="Q989" s="414"/>
      <c r="R989" s="414"/>
      <c r="S989" s="445"/>
      <c r="T989" s="445"/>
      <c r="U989" s="445"/>
      <c r="V989" s="345"/>
      <c r="W989" s="441"/>
      <c r="X989" s="345"/>
      <c r="Y989" s="345"/>
      <c r="Z989" s="345"/>
      <c r="AA989" s="345"/>
      <c r="AB989" s="345"/>
      <c r="AC989" s="345"/>
      <c r="AD989" s="345"/>
      <c r="AE989" s="345"/>
      <c r="AF989" s="345"/>
      <c r="AG989" s="345"/>
      <c r="AH989" s="345"/>
      <c r="AI989" s="345"/>
      <c r="AJ989" s="345"/>
      <c r="AK989" s="345"/>
      <c r="AL989" s="345"/>
      <c r="AM989" s="345"/>
      <c r="AN989" s="345"/>
      <c r="AO989" s="345"/>
      <c r="AP989" s="345"/>
      <c r="AQ989" s="345"/>
      <c r="AR989" s="345"/>
      <c r="AS989" s="345"/>
    </row>
    <row r="990" ht="13.5" customHeight="1">
      <c r="A990" s="424" t="str">
        <f>'Membership Application List'!A1219</f>
        <v/>
      </c>
      <c r="B990" s="443" t="str">
        <f t="shared" si="6"/>
        <v/>
      </c>
      <c r="C990" s="443" t="str">
        <f t="shared" si="7"/>
        <v/>
      </c>
      <c r="D990" s="426" t="str">
        <f>'Membership Application List'!E1219</f>
        <v/>
      </c>
      <c r="E990" s="426" t="b">
        <f>IF('Membership Application List'!J1219 = "Food/Litter Donation", 0, IF('Membership Application List'!J1219 = "$15 Donation, Discord Verification", IF('Membership Application List'!N1219 = TRUE, 15, 0)))</f>
        <v>0</v>
      </c>
      <c r="F990" s="426">
        <f>if('Membership Application List'!K1219=TRUE, 5,0)</f>
        <v>0</v>
      </c>
      <c r="G990" s="426">
        <f t="shared" si="8"/>
        <v>0</v>
      </c>
      <c r="H990" s="480" t="str">
        <f>'Membership Application List'!L1219</f>
        <v/>
      </c>
      <c r="I990" s="345"/>
      <c r="J990" s="441"/>
      <c r="K990" s="345"/>
      <c r="L990" s="478"/>
      <c r="M990" s="345"/>
      <c r="N990" s="345"/>
      <c r="O990" s="345"/>
      <c r="P990" s="414"/>
      <c r="Q990" s="414"/>
      <c r="R990" s="414"/>
      <c r="S990" s="445"/>
      <c r="T990" s="445"/>
      <c r="U990" s="445"/>
      <c r="V990" s="345"/>
      <c r="W990" s="441"/>
      <c r="X990" s="345"/>
      <c r="Y990" s="345"/>
      <c r="Z990" s="345"/>
      <c r="AA990" s="345"/>
      <c r="AB990" s="345"/>
      <c r="AC990" s="345"/>
      <c r="AD990" s="345"/>
      <c r="AE990" s="345"/>
      <c r="AF990" s="345"/>
      <c r="AG990" s="345"/>
      <c r="AH990" s="345"/>
      <c r="AI990" s="345"/>
      <c r="AJ990" s="345"/>
      <c r="AK990" s="345"/>
      <c r="AL990" s="345"/>
      <c r="AM990" s="345"/>
      <c r="AN990" s="345"/>
      <c r="AO990" s="345"/>
      <c r="AP990" s="345"/>
      <c r="AQ990" s="345"/>
      <c r="AR990" s="345"/>
      <c r="AS990" s="345"/>
    </row>
    <row r="991" ht="13.5" customHeight="1">
      <c r="A991" s="436" t="str">
        <f>'Membership Application List'!A1220</f>
        <v/>
      </c>
      <c r="B991" s="437" t="str">
        <f t="shared" si="6"/>
        <v/>
      </c>
      <c r="C991" s="437" t="str">
        <f t="shared" si="7"/>
        <v/>
      </c>
      <c r="D991" s="438" t="str">
        <f>'Membership Application List'!E1220</f>
        <v/>
      </c>
      <c r="E991" s="438" t="b">
        <f>IF('Membership Application List'!J1220 = "Food/Litter Donation", 0, IF('Membership Application List'!J1220 = "$15 Donation, Discord Verification", IF('Membership Application List'!N1220 = TRUE, 15, 0)))</f>
        <v>0</v>
      </c>
      <c r="F991" s="438">
        <f>if('Membership Application List'!K1220=TRUE, 5,0)</f>
        <v>0</v>
      </c>
      <c r="G991" s="438">
        <f t="shared" si="8"/>
        <v>0</v>
      </c>
      <c r="H991" s="479" t="str">
        <f>'Membership Application List'!L1220</f>
        <v/>
      </c>
      <c r="I991" s="345"/>
      <c r="J991" s="441"/>
      <c r="K991" s="345"/>
      <c r="L991" s="478"/>
      <c r="M991" s="345"/>
      <c r="N991" s="345"/>
      <c r="O991" s="345"/>
      <c r="P991" s="414"/>
      <c r="Q991" s="414"/>
      <c r="R991" s="414"/>
      <c r="S991" s="445"/>
      <c r="T991" s="445"/>
      <c r="U991" s="445"/>
      <c r="V991" s="345"/>
      <c r="W991" s="441"/>
      <c r="X991" s="345"/>
      <c r="Y991" s="345"/>
      <c r="Z991" s="345"/>
      <c r="AA991" s="345"/>
      <c r="AB991" s="345"/>
      <c r="AC991" s="345"/>
      <c r="AD991" s="345"/>
      <c r="AE991" s="345"/>
      <c r="AF991" s="345"/>
      <c r="AG991" s="345"/>
      <c r="AH991" s="345"/>
      <c r="AI991" s="345"/>
      <c r="AJ991" s="345"/>
      <c r="AK991" s="345"/>
      <c r="AL991" s="345"/>
      <c r="AM991" s="345"/>
      <c r="AN991" s="345"/>
      <c r="AO991" s="345"/>
      <c r="AP991" s="345"/>
      <c r="AQ991" s="345"/>
      <c r="AR991" s="345"/>
      <c r="AS991" s="345"/>
    </row>
    <row r="992" ht="13.5" customHeight="1">
      <c r="A992" s="424" t="str">
        <f>'Membership Application List'!A1221</f>
        <v/>
      </c>
      <c r="B992" s="443" t="str">
        <f t="shared" si="6"/>
        <v/>
      </c>
      <c r="C992" s="443" t="str">
        <f t="shared" si="7"/>
        <v/>
      </c>
      <c r="D992" s="426" t="str">
        <f>'Membership Application List'!E1221</f>
        <v/>
      </c>
      <c r="E992" s="426" t="b">
        <f>IF('Membership Application List'!J1221 = "Food/Litter Donation", 0, IF('Membership Application List'!J1221 = "$15 Donation, Discord Verification", IF('Membership Application List'!N1221 = TRUE, 15, 0)))</f>
        <v>0</v>
      </c>
      <c r="F992" s="426">
        <f>if('Membership Application List'!K1221=TRUE, 5,0)</f>
        <v>0</v>
      </c>
      <c r="G992" s="426">
        <f t="shared" si="8"/>
        <v>0</v>
      </c>
      <c r="H992" s="480" t="str">
        <f>'Membership Application List'!L1221</f>
        <v/>
      </c>
      <c r="I992" s="345"/>
      <c r="J992" s="441"/>
      <c r="K992" s="345"/>
      <c r="L992" s="478"/>
      <c r="M992" s="345"/>
      <c r="N992" s="345"/>
      <c r="O992" s="345"/>
      <c r="P992" s="414"/>
      <c r="Q992" s="414"/>
      <c r="R992" s="414"/>
      <c r="S992" s="445"/>
      <c r="T992" s="445"/>
      <c r="U992" s="445"/>
      <c r="V992" s="345"/>
      <c r="W992" s="441"/>
      <c r="X992" s="345"/>
      <c r="Y992" s="345"/>
      <c r="Z992" s="345"/>
      <c r="AA992" s="345"/>
      <c r="AB992" s="345"/>
      <c r="AC992" s="345"/>
      <c r="AD992" s="345"/>
      <c r="AE992" s="345"/>
      <c r="AF992" s="345"/>
      <c r="AG992" s="345"/>
      <c r="AH992" s="345"/>
      <c r="AI992" s="345"/>
      <c r="AJ992" s="345"/>
      <c r="AK992" s="345"/>
      <c r="AL992" s="345"/>
      <c r="AM992" s="345"/>
      <c r="AN992" s="345"/>
      <c r="AO992" s="345"/>
      <c r="AP992" s="345"/>
      <c r="AQ992" s="345"/>
      <c r="AR992" s="345"/>
      <c r="AS992" s="345"/>
    </row>
    <row r="993" ht="13.5" customHeight="1">
      <c r="A993" s="436" t="str">
        <f>'Membership Application List'!A1222</f>
        <v/>
      </c>
      <c r="B993" s="437" t="str">
        <f t="shared" si="6"/>
        <v/>
      </c>
      <c r="C993" s="437" t="str">
        <f t="shared" si="7"/>
        <v/>
      </c>
      <c r="D993" s="438" t="str">
        <f>'Membership Application List'!E1222</f>
        <v/>
      </c>
      <c r="E993" s="438" t="b">
        <f>IF('Membership Application List'!J1222 = "Food/Litter Donation", 0, IF('Membership Application List'!J1222 = "$15 Donation, Discord Verification", IF('Membership Application List'!N1222 = TRUE, 15, 0)))</f>
        <v>0</v>
      </c>
      <c r="F993" s="438">
        <f>if('Membership Application List'!K1222=TRUE, 5,0)</f>
        <v>0</v>
      </c>
      <c r="G993" s="438">
        <f t="shared" si="8"/>
        <v>0</v>
      </c>
      <c r="H993" s="479" t="str">
        <f>'Membership Application List'!L1222</f>
        <v/>
      </c>
      <c r="I993" s="345"/>
      <c r="J993" s="441"/>
      <c r="K993" s="345"/>
      <c r="L993" s="478"/>
      <c r="M993" s="345"/>
      <c r="N993" s="345"/>
      <c r="O993" s="345"/>
      <c r="P993" s="414"/>
      <c r="Q993" s="414"/>
      <c r="R993" s="414"/>
      <c r="S993" s="445"/>
      <c r="T993" s="445"/>
      <c r="U993" s="445"/>
      <c r="V993" s="345"/>
      <c r="W993" s="441"/>
      <c r="X993" s="345"/>
      <c r="Y993" s="345"/>
      <c r="Z993" s="345"/>
      <c r="AA993" s="345"/>
      <c r="AB993" s="345"/>
      <c r="AC993" s="345"/>
      <c r="AD993" s="345"/>
      <c r="AE993" s="345"/>
      <c r="AF993" s="345"/>
      <c r="AG993" s="345"/>
      <c r="AH993" s="345"/>
      <c r="AI993" s="345"/>
      <c r="AJ993" s="345"/>
      <c r="AK993" s="345"/>
      <c r="AL993" s="345"/>
      <c r="AM993" s="345"/>
      <c r="AN993" s="345"/>
      <c r="AO993" s="345"/>
      <c r="AP993" s="345"/>
      <c r="AQ993" s="345"/>
      <c r="AR993" s="345"/>
      <c r="AS993" s="345"/>
    </row>
    <row r="994" ht="13.5" customHeight="1">
      <c r="A994" s="424" t="str">
        <f>'Membership Application List'!A1223</f>
        <v/>
      </c>
      <c r="B994" s="443" t="str">
        <f t="shared" si="6"/>
        <v/>
      </c>
      <c r="C994" s="443" t="str">
        <f t="shared" si="7"/>
        <v/>
      </c>
      <c r="D994" s="426" t="str">
        <f>'Membership Application List'!E1223</f>
        <v/>
      </c>
      <c r="E994" s="426" t="b">
        <f>IF('Membership Application List'!J1223 = "Food/Litter Donation", 0, IF('Membership Application List'!J1223 = "$15 Donation, Discord Verification", IF('Membership Application List'!N1223 = TRUE, 15, 0)))</f>
        <v>0</v>
      </c>
      <c r="F994" s="426">
        <f>if('Membership Application List'!K1223=TRUE, 5,0)</f>
        <v>0</v>
      </c>
      <c r="G994" s="426">
        <f t="shared" si="8"/>
        <v>0</v>
      </c>
      <c r="H994" s="480" t="str">
        <f>'Membership Application List'!L1223</f>
        <v/>
      </c>
      <c r="I994" s="345"/>
      <c r="J994" s="441"/>
      <c r="K994" s="345"/>
      <c r="L994" s="478"/>
      <c r="M994" s="345"/>
      <c r="N994" s="345"/>
      <c r="O994" s="345"/>
      <c r="P994" s="414"/>
      <c r="Q994" s="414"/>
      <c r="R994" s="414"/>
      <c r="S994" s="445"/>
      <c r="T994" s="445"/>
      <c r="U994" s="445"/>
      <c r="V994" s="345"/>
      <c r="W994" s="441"/>
      <c r="X994" s="345"/>
      <c r="Y994" s="345"/>
      <c r="Z994" s="345"/>
      <c r="AA994" s="345"/>
      <c r="AB994" s="345"/>
      <c r="AC994" s="345"/>
      <c r="AD994" s="345"/>
      <c r="AE994" s="345"/>
      <c r="AF994" s="345"/>
      <c r="AG994" s="345"/>
      <c r="AH994" s="345"/>
      <c r="AI994" s="345"/>
      <c r="AJ994" s="345"/>
      <c r="AK994" s="345"/>
      <c r="AL994" s="345"/>
      <c r="AM994" s="345"/>
      <c r="AN994" s="345"/>
      <c r="AO994" s="345"/>
      <c r="AP994" s="345"/>
      <c r="AQ994" s="345"/>
      <c r="AR994" s="345"/>
      <c r="AS994" s="345"/>
    </row>
    <row r="995" ht="13.5" customHeight="1">
      <c r="A995" s="436" t="str">
        <f>'Membership Application List'!A1224</f>
        <v/>
      </c>
      <c r="B995" s="437" t="str">
        <f t="shared" si="6"/>
        <v/>
      </c>
      <c r="C995" s="437" t="str">
        <f t="shared" si="7"/>
        <v/>
      </c>
      <c r="D995" s="438" t="str">
        <f>'Membership Application List'!E1224</f>
        <v/>
      </c>
      <c r="E995" s="438" t="b">
        <f>IF('Membership Application List'!J1224 = "Food/Litter Donation", 0, IF('Membership Application List'!J1224 = "$15 Donation, Discord Verification", IF('Membership Application List'!N1224 = TRUE, 15, 0)))</f>
        <v>0</v>
      </c>
      <c r="F995" s="438">
        <f>if('Membership Application List'!K1224=TRUE, 5,0)</f>
        <v>0</v>
      </c>
      <c r="G995" s="438">
        <f t="shared" si="8"/>
        <v>0</v>
      </c>
      <c r="H995" s="479" t="str">
        <f>'Membership Application List'!L1224</f>
        <v/>
      </c>
      <c r="I995" s="345"/>
      <c r="J995" s="441"/>
      <c r="K995" s="345"/>
      <c r="L995" s="478"/>
      <c r="M995" s="345"/>
      <c r="N995" s="345"/>
      <c r="O995" s="345"/>
      <c r="P995" s="414"/>
      <c r="Q995" s="414"/>
      <c r="R995" s="414"/>
      <c r="S995" s="445"/>
      <c r="T995" s="445"/>
      <c r="U995" s="445"/>
      <c r="V995" s="345"/>
      <c r="W995" s="441"/>
      <c r="X995" s="345"/>
      <c r="Y995" s="345"/>
      <c r="Z995" s="345"/>
      <c r="AA995" s="345"/>
      <c r="AB995" s="345"/>
      <c r="AC995" s="345"/>
      <c r="AD995" s="345"/>
      <c r="AE995" s="345"/>
      <c r="AF995" s="345"/>
      <c r="AG995" s="345"/>
      <c r="AH995" s="345"/>
      <c r="AI995" s="345"/>
      <c r="AJ995" s="345"/>
      <c r="AK995" s="345"/>
      <c r="AL995" s="345"/>
      <c r="AM995" s="345"/>
      <c r="AN995" s="345"/>
      <c r="AO995" s="345"/>
      <c r="AP995" s="345"/>
      <c r="AQ995" s="345"/>
      <c r="AR995" s="345"/>
      <c r="AS995" s="345"/>
    </row>
    <row r="996" ht="13.5" customHeight="1">
      <c r="A996" s="424" t="str">
        <f>'Membership Application List'!A1225</f>
        <v/>
      </c>
      <c r="B996" s="443" t="str">
        <f t="shared" si="6"/>
        <v/>
      </c>
      <c r="C996" s="443" t="str">
        <f t="shared" si="7"/>
        <v/>
      </c>
      <c r="D996" s="426" t="str">
        <f>'Membership Application List'!E1225</f>
        <v/>
      </c>
      <c r="E996" s="426" t="b">
        <f>IF('Membership Application List'!J1225 = "Food/Litter Donation", 0, IF('Membership Application List'!J1225 = "$15 Donation, Discord Verification", IF('Membership Application List'!N1225 = TRUE, 15, 0)))</f>
        <v>0</v>
      </c>
      <c r="F996" s="426">
        <f>if('Membership Application List'!K1225=TRUE, 5,0)</f>
        <v>0</v>
      </c>
      <c r="G996" s="426">
        <f t="shared" si="8"/>
        <v>0</v>
      </c>
      <c r="H996" s="480" t="str">
        <f>'Membership Application List'!L1225</f>
        <v/>
      </c>
      <c r="I996" s="345"/>
      <c r="J996" s="441"/>
      <c r="K996" s="345"/>
      <c r="L996" s="478"/>
      <c r="M996" s="345"/>
      <c r="N996" s="345"/>
      <c r="O996" s="345"/>
      <c r="P996" s="414"/>
      <c r="Q996" s="414"/>
      <c r="R996" s="414"/>
      <c r="S996" s="445"/>
      <c r="T996" s="445"/>
      <c r="U996" s="445"/>
      <c r="V996" s="345"/>
      <c r="W996" s="441"/>
      <c r="X996" s="345"/>
      <c r="Y996" s="345"/>
      <c r="Z996" s="345"/>
      <c r="AA996" s="345"/>
      <c r="AB996" s="345"/>
      <c r="AC996" s="345"/>
      <c r="AD996" s="345"/>
      <c r="AE996" s="345"/>
      <c r="AF996" s="345"/>
      <c r="AG996" s="345"/>
      <c r="AH996" s="345"/>
      <c r="AI996" s="345"/>
      <c r="AJ996" s="345"/>
      <c r="AK996" s="345"/>
      <c r="AL996" s="345"/>
      <c r="AM996" s="345"/>
      <c r="AN996" s="345"/>
      <c r="AO996" s="345"/>
      <c r="AP996" s="345"/>
      <c r="AQ996" s="345"/>
      <c r="AR996" s="345"/>
      <c r="AS996" s="345"/>
    </row>
    <row r="997" ht="13.5" customHeight="1">
      <c r="A997" s="436" t="str">
        <f>'Membership Application List'!A1226</f>
        <v/>
      </c>
      <c r="B997" s="437" t="str">
        <f t="shared" si="6"/>
        <v/>
      </c>
      <c r="C997" s="437" t="str">
        <f t="shared" si="7"/>
        <v/>
      </c>
      <c r="D997" s="438" t="str">
        <f>'Membership Application List'!E1226</f>
        <v/>
      </c>
      <c r="E997" s="438" t="b">
        <f>IF('Membership Application List'!J1226 = "Food/Litter Donation", 0, IF('Membership Application List'!J1226 = "$15 Donation, Discord Verification", IF('Membership Application List'!N1226 = TRUE, 15, 0)))</f>
        <v>0</v>
      </c>
      <c r="F997" s="438">
        <f>if('Membership Application List'!K1226=TRUE, 5,0)</f>
        <v>0</v>
      </c>
      <c r="G997" s="438">
        <f t="shared" si="8"/>
        <v>0</v>
      </c>
      <c r="H997" s="479" t="str">
        <f>'Membership Application List'!L1226</f>
        <v/>
      </c>
      <c r="I997" s="345"/>
      <c r="J997" s="441"/>
      <c r="K997" s="345"/>
      <c r="L997" s="478"/>
      <c r="M997" s="345"/>
      <c r="N997" s="345"/>
      <c r="O997" s="345"/>
      <c r="P997" s="414"/>
      <c r="Q997" s="414"/>
      <c r="R997" s="414"/>
      <c r="S997" s="445"/>
      <c r="T997" s="445"/>
      <c r="U997" s="445"/>
      <c r="V997" s="345"/>
      <c r="W997" s="441"/>
      <c r="X997" s="345"/>
      <c r="Y997" s="345"/>
      <c r="Z997" s="345"/>
      <c r="AA997" s="345"/>
      <c r="AB997" s="345"/>
      <c r="AC997" s="345"/>
      <c r="AD997" s="345"/>
      <c r="AE997" s="345"/>
      <c r="AF997" s="345"/>
      <c r="AG997" s="345"/>
      <c r="AH997" s="345"/>
      <c r="AI997" s="345"/>
      <c r="AJ997" s="345"/>
      <c r="AK997" s="345"/>
      <c r="AL997" s="345"/>
      <c r="AM997" s="345"/>
      <c r="AN997" s="345"/>
      <c r="AO997" s="345"/>
      <c r="AP997" s="345"/>
      <c r="AQ997" s="345"/>
      <c r="AR997" s="345"/>
      <c r="AS997" s="345"/>
    </row>
    <row r="998" ht="13.5" customHeight="1">
      <c r="A998" s="424" t="str">
        <f>'Membership Application List'!A1227</f>
        <v/>
      </c>
      <c r="B998" s="443" t="str">
        <f t="shared" si="6"/>
        <v/>
      </c>
      <c r="C998" s="443" t="str">
        <f t="shared" si="7"/>
        <v/>
      </c>
      <c r="D998" s="426" t="str">
        <f>'Membership Application List'!E1227</f>
        <v/>
      </c>
      <c r="E998" s="426" t="b">
        <f>IF('Membership Application List'!J1227 = "Food/Litter Donation", 0, IF('Membership Application List'!J1227 = "$15 Donation, Discord Verification", IF('Membership Application List'!N1227 = TRUE, 15, 0)))</f>
        <v>0</v>
      </c>
      <c r="F998" s="426">
        <f>if('Membership Application List'!K1227=TRUE, 5,0)</f>
        <v>0</v>
      </c>
      <c r="G998" s="426">
        <f t="shared" si="8"/>
        <v>0</v>
      </c>
      <c r="H998" s="480" t="str">
        <f>'Membership Application List'!L1227</f>
        <v/>
      </c>
      <c r="I998" s="345"/>
      <c r="J998" s="441"/>
      <c r="K998" s="345"/>
      <c r="L998" s="478"/>
      <c r="M998" s="345"/>
      <c r="N998" s="345"/>
      <c r="O998" s="345"/>
      <c r="P998" s="414"/>
      <c r="Q998" s="414"/>
      <c r="R998" s="414"/>
      <c r="S998" s="445"/>
      <c r="T998" s="445"/>
      <c r="U998" s="445"/>
      <c r="V998" s="345"/>
      <c r="W998" s="441"/>
      <c r="X998" s="345"/>
      <c r="Y998" s="345"/>
      <c r="Z998" s="345"/>
      <c r="AA998" s="345"/>
      <c r="AB998" s="345"/>
      <c r="AC998" s="345"/>
      <c r="AD998" s="345"/>
      <c r="AE998" s="345"/>
      <c r="AF998" s="345"/>
      <c r="AG998" s="345"/>
      <c r="AH998" s="345"/>
      <c r="AI998" s="345"/>
      <c r="AJ998" s="345"/>
      <c r="AK998" s="345"/>
      <c r="AL998" s="345"/>
      <c r="AM998" s="345"/>
      <c r="AN998" s="345"/>
      <c r="AO998" s="345"/>
      <c r="AP998" s="345"/>
      <c r="AQ998" s="345"/>
      <c r="AR998" s="345"/>
      <c r="AS998" s="345"/>
    </row>
    <row r="999" ht="13.5" customHeight="1">
      <c r="A999" s="436" t="str">
        <f>'Membership Application List'!A1228</f>
        <v/>
      </c>
      <c r="B999" s="437" t="str">
        <f t="shared" si="6"/>
        <v/>
      </c>
      <c r="C999" s="437" t="str">
        <f t="shared" si="7"/>
        <v/>
      </c>
      <c r="D999" s="438" t="str">
        <f>'Membership Application List'!E1228</f>
        <v/>
      </c>
      <c r="E999" s="438" t="b">
        <f>IF('Membership Application List'!J1228 = "Food/Litter Donation", 0, IF('Membership Application List'!J1228 = "$15 Donation, Discord Verification", IF('Membership Application List'!N1228 = TRUE, 15, 0)))</f>
        <v>0</v>
      </c>
      <c r="F999" s="438">
        <f>if('Membership Application List'!K1228=TRUE, 5,0)</f>
        <v>0</v>
      </c>
      <c r="G999" s="438">
        <f t="shared" si="8"/>
        <v>0</v>
      </c>
      <c r="H999" s="479" t="str">
        <f>'Membership Application List'!L1228</f>
        <v/>
      </c>
      <c r="I999" s="345"/>
      <c r="J999" s="441"/>
      <c r="K999" s="345"/>
      <c r="L999" s="478"/>
      <c r="M999" s="345"/>
      <c r="N999" s="345"/>
      <c r="O999" s="345"/>
      <c r="P999" s="414"/>
      <c r="Q999" s="414"/>
      <c r="R999" s="414"/>
      <c r="S999" s="445"/>
      <c r="T999" s="445"/>
      <c r="U999" s="445"/>
      <c r="V999" s="345"/>
      <c r="W999" s="441"/>
      <c r="X999" s="345"/>
      <c r="Y999" s="345"/>
      <c r="Z999" s="345"/>
      <c r="AA999" s="345"/>
      <c r="AB999" s="345"/>
      <c r="AC999" s="345"/>
      <c r="AD999" s="345"/>
      <c r="AE999" s="345"/>
      <c r="AF999" s="345"/>
      <c r="AG999" s="345"/>
      <c r="AH999" s="345"/>
      <c r="AI999" s="345"/>
      <c r="AJ999" s="345"/>
      <c r="AK999" s="345"/>
      <c r="AL999" s="345"/>
      <c r="AM999" s="345"/>
      <c r="AN999" s="345"/>
      <c r="AO999" s="345"/>
      <c r="AP999" s="345"/>
      <c r="AQ999" s="345"/>
      <c r="AR999" s="345"/>
      <c r="AS999" s="345"/>
    </row>
    <row r="1000" ht="13.5" customHeight="1">
      <c r="A1000" s="424" t="str">
        <f>'Membership Application List'!A1229</f>
        <v/>
      </c>
      <c r="B1000" s="443" t="str">
        <f t="shared" si="6"/>
        <v/>
      </c>
      <c r="C1000" s="443" t="str">
        <f t="shared" si="7"/>
        <v/>
      </c>
      <c r="D1000" s="426" t="str">
        <f>'Membership Application List'!E1229</f>
        <v/>
      </c>
      <c r="E1000" s="426" t="b">
        <f>IF('Membership Application List'!J1229 = "Food/Litter Donation", 0, IF('Membership Application List'!J1229 = "$15 Donation, Discord Verification", IF('Membership Application List'!N1229 = TRUE, 15, 0)))</f>
        <v>0</v>
      </c>
      <c r="F1000" s="426">
        <f>if('Membership Application List'!K1229=TRUE, 5,0)</f>
        <v>0</v>
      </c>
      <c r="G1000" s="426">
        <f t="shared" si="8"/>
        <v>0</v>
      </c>
      <c r="H1000" s="480" t="str">
        <f>'Membership Application List'!L1229</f>
        <v/>
      </c>
      <c r="I1000" s="345"/>
      <c r="J1000" s="441"/>
      <c r="K1000" s="345"/>
      <c r="L1000" s="478"/>
      <c r="M1000" s="345"/>
      <c r="N1000" s="345"/>
      <c r="O1000" s="345"/>
      <c r="P1000" s="414"/>
      <c r="Q1000" s="414"/>
      <c r="R1000" s="414"/>
      <c r="S1000" s="445"/>
      <c r="T1000" s="445"/>
      <c r="U1000" s="445"/>
      <c r="V1000" s="345"/>
      <c r="W1000" s="441"/>
      <c r="X1000" s="345"/>
      <c r="Y1000" s="345"/>
      <c r="Z1000" s="345"/>
      <c r="AA1000" s="345"/>
      <c r="AB1000" s="345"/>
      <c r="AC1000" s="345"/>
      <c r="AD1000" s="345"/>
      <c r="AE1000" s="345"/>
      <c r="AF1000" s="345"/>
      <c r="AG1000" s="345"/>
      <c r="AH1000" s="345"/>
      <c r="AI1000" s="345"/>
      <c r="AJ1000" s="345"/>
      <c r="AK1000" s="345"/>
      <c r="AL1000" s="345"/>
      <c r="AM1000" s="345"/>
      <c r="AN1000" s="345"/>
      <c r="AO1000" s="345"/>
      <c r="AP1000" s="345"/>
      <c r="AQ1000" s="345"/>
      <c r="AR1000" s="345"/>
      <c r="AS1000" s="345"/>
    </row>
    <row r="1001" ht="13.5" customHeight="1">
      <c r="A1001" s="436" t="str">
        <f>'Membership Application List'!A1230</f>
        <v/>
      </c>
      <c r="B1001" s="437" t="str">
        <f t="shared" si="6"/>
        <v/>
      </c>
      <c r="C1001" s="437" t="str">
        <f t="shared" si="7"/>
        <v/>
      </c>
      <c r="D1001" s="438" t="str">
        <f>'Membership Application List'!E1230</f>
        <v/>
      </c>
      <c r="E1001" s="438" t="b">
        <f>IF('Membership Application List'!J1230 = "Food/Litter Donation", 0, IF('Membership Application List'!J1230 = "$15 Donation, Discord Verification", IF('Membership Application List'!N1230 = TRUE, 15, 0)))</f>
        <v>0</v>
      </c>
      <c r="F1001" s="438">
        <f>if('Membership Application List'!K1230=TRUE, 5,0)</f>
        <v>0</v>
      </c>
      <c r="G1001" s="438">
        <f t="shared" si="8"/>
        <v>0</v>
      </c>
      <c r="H1001" s="479" t="str">
        <f>'Membership Application List'!L1230</f>
        <v/>
      </c>
      <c r="I1001" s="345"/>
      <c r="J1001" s="441"/>
      <c r="K1001" s="345"/>
      <c r="L1001" s="478"/>
      <c r="M1001" s="345"/>
      <c r="N1001" s="345"/>
      <c r="O1001" s="345"/>
      <c r="P1001" s="414"/>
      <c r="Q1001" s="414"/>
      <c r="R1001" s="414"/>
      <c r="S1001" s="445"/>
      <c r="T1001" s="445"/>
      <c r="U1001" s="445"/>
      <c r="V1001" s="345"/>
      <c r="W1001" s="441"/>
      <c r="X1001" s="345"/>
      <c r="Y1001" s="345"/>
      <c r="Z1001" s="345"/>
      <c r="AA1001" s="345"/>
      <c r="AB1001" s="345"/>
      <c r="AC1001" s="345"/>
      <c r="AD1001" s="345"/>
      <c r="AE1001" s="345"/>
      <c r="AF1001" s="345"/>
      <c r="AG1001" s="345"/>
      <c r="AH1001" s="345"/>
      <c r="AI1001" s="345"/>
      <c r="AJ1001" s="345"/>
      <c r="AK1001" s="345"/>
      <c r="AL1001" s="345"/>
      <c r="AM1001" s="345"/>
      <c r="AN1001" s="345"/>
      <c r="AO1001" s="345"/>
      <c r="AP1001" s="345"/>
      <c r="AQ1001" s="345"/>
      <c r="AR1001" s="345"/>
      <c r="AS1001" s="345"/>
    </row>
    <row r="1002" ht="13.5" customHeight="1">
      <c r="A1002" s="424" t="str">
        <f>'Membership Application List'!A1231</f>
        <v/>
      </c>
      <c r="B1002" s="443" t="str">
        <f t="shared" si="6"/>
        <v/>
      </c>
      <c r="C1002" s="443" t="str">
        <f t="shared" si="7"/>
        <v/>
      </c>
      <c r="D1002" s="426" t="str">
        <f>'Membership Application List'!E1231</f>
        <v/>
      </c>
      <c r="E1002" s="426" t="b">
        <f>IF('Membership Application List'!J1231 = "Food/Litter Donation", 0, IF('Membership Application List'!J1231 = "$15 Donation, Discord Verification", IF('Membership Application List'!N1231 = TRUE, 15, 0)))</f>
        <v>0</v>
      </c>
      <c r="F1002" s="426">
        <f>if('Membership Application List'!K1231=TRUE, 5,0)</f>
        <v>0</v>
      </c>
      <c r="G1002" s="426">
        <f t="shared" si="8"/>
        <v>0</v>
      </c>
      <c r="H1002" s="480" t="str">
        <f>'Membership Application List'!L1231</f>
        <v/>
      </c>
      <c r="I1002" s="345"/>
      <c r="J1002" s="441"/>
      <c r="K1002" s="345"/>
      <c r="L1002" s="478"/>
      <c r="M1002" s="345"/>
      <c r="N1002" s="345"/>
      <c r="O1002" s="345"/>
      <c r="P1002" s="414"/>
      <c r="Q1002" s="414"/>
      <c r="R1002" s="414"/>
      <c r="S1002" s="445"/>
      <c r="T1002" s="445"/>
      <c r="U1002" s="445"/>
      <c r="V1002" s="345"/>
      <c r="W1002" s="441"/>
      <c r="X1002" s="345"/>
      <c r="Y1002" s="345"/>
      <c r="Z1002" s="345"/>
      <c r="AA1002" s="345"/>
      <c r="AB1002" s="345"/>
      <c r="AC1002" s="345"/>
      <c r="AD1002" s="345"/>
      <c r="AE1002" s="345"/>
      <c r="AF1002" s="345"/>
      <c r="AG1002" s="345"/>
      <c r="AH1002" s="345"/>
      <c r="AI1002" s="345"/>
      <c r="AJ1002" s="345"/>
      <c r="AK1002" s="345"/>
      <c r="AL1002" s="345"/>
      <c r="AM1002" s="345"/>
      <c r="AN1002" s="345"/>
      <c r="AO1002" s="345"/>
      <c r="AP1002" s="345"/>
      <c r="AQ1002" s="345"/>
      <c r="AR1002" s="345"/>
      <c r="AS1002" s="345"/>
    </row>
    <row r="1003" ht="13.5" customHeight="1">
      <c r="A1003" s="481"/>
      <c r="B1003" s="482"/>
      <c r="C1003" s="482"/>
      <c r="D1003" s="483"/>
      <c r="E1003" s="483"/>
      <c r="F1003" s="483"/>
      <c r="G1003" s="483"/>
      <c r="H1003" s="484"/>
      <c r="I1003" s="345"/>
      <c r="J1003" s="441"/>
      <c r="K1003" s="345"/>
      <c r="L1003" s="478"/>
      <c r="M1003" s="345"/>
      <c r="N1003" s="345"/>
      <c r="O1003" s="345"/>
      <c r="P1003" s="414"/>
      <c r="Q1003" s="414"/>
      <c r="R1003" s="414"/>
      <c r="S1003" s="445"/>
      <c r="T1003" s="445"/>
      <c r="U1003" s="445"/>
      <c r="V1003" s="345"/>
      <c r="W1003" s="441"/>
      <c r="X1003" s="345"/>
      <c r="Y1003" s="345"/>
      <c r="Z1003" s="345"/>
      <c r="AA1003" s="345"/>
      <c r="AB1003" s="345"/>
      <c r="AC1003" s="345"/>
      <c r="AD1003" s="345"/>
      <c r="AE1003" s="345"/>
      <c r="AF1003" s="345"/>
      <c r="AG1003" s="345"/>
      <c r="AH1003" s="345"/>
      <c r="AI1003" s="345"/>
      <c r="AJ1003" s="345"/>
      <c r="AK1003" s="345"/>
      <c r="AL1003" s="345"/>
      <c r="AM1003" s="345"/>
      <c r="AN1003" s="345"/>
      <c r="AO1003" s="345"/>
      <c r="AP1003" s="345"/>
      <c r="AQ1003" s="345"/>
      <c r="AR1003" s="345"/>
      <c r="AS1003" s="345"/>
    </row>
    <row r="1004" ht="13.5" customHeight="1">
      <c r="A1004" s="485"/>
      <c r="B1004" s="486"/>
      <c r="C1004" s="486"/>
      <c r="D1004" s="487"/>
      <c r="E1004" s="487"/>
      <c r="F1004" s="487"/>
      <c r="G1004" s="487"/>
      <c r="H1004" s="488"/>
      <c r="I1004" s="345"/>
      <c r="J1004" s="441"/>
      <c r="K1004" s="345"/>
      <c r="L1004" s="478"/>
      <c r="M1004" s="345"/>
      <c r="N1004" s="345"/>
      <c r="O1004" s="345"/>
      <c r="P1004" s="489"/>
      <c r="Q1004" s="489"/>
      <c r="R1004" s="489"/>
      <c r="S1004" s="345"/>
      <c r="T1004" s="345"/>
      <c r="U1004" s="345"/>
      <c r="V1004" s="345"/>
      <c r="W1004" s="441"/>
      <c r="X1004" s="345"/>
      <c r="Y1004" s="345"/>
      <c r="Z1004" s="345"/>
      <c r="AA1004" s="345"/>
      <c r="AB1004" s="345"/>
      <c r="AC1004" s="345"/>
      <c r="AD1004" s="345"/>
      <c r="AE1004" s="345"/>
      <c r="AF1004" s="345"/>
      <c r="AG1004" s="345"/>
      <c r="AH1004" s="345"/>
      <c r="AI1004" s="345"/>
      <c r="AJ1004" s="345"/>
      <c r="AK1004" s="345"/>
      <c r="AL1004" s="345"/>
      <c r="AM1004" s="345"/>
      <c r="AN1004" s="345"/>
      <c r="AO1004" s="345"/>
      <c r="AP1004" s="345"/>
      <c r="AQ1004" s="345"/>
      <c r="AR1004" s="345"/>
      <c r="AS1004" s="345"/>
    </row>
  </sheetData>
  <mergeCells count="222">
    <mergeCell ref="I9:I14"/>
    <mergeCell ref="I15:I20"/>
    <mergeCell ref="I21:I26"/>
    <mergeCell ref="A26:H26"/>
    <mergeCell ref="I27:I31"/>
    <mergeCell ref="I32:I38"/>
    <mergeCell ref="I39:I43"/>
    <mergeCell ref="I44:I50"/>
    <mergeCell ref="I51:I55"/>
    <mergeCell ref="I56:I62"/>
    <mergeCell ref="I63:I67"/>
    <mergeCell ref="I68:I74"/>
    <mergeCell ref="I75:I79"/>
    <mergeCell ref="I80:I86"/>
    <mergeCell ref="I87:I91"/>
    <mergeCell ref="I92:I98"/>
    <mergeCell ref="I99:I103"/>
    <mergeCell ref="I104:I110"/>
    <mergeCell ref="I111:I115"/>
    <mergeCell ref="I116:I122"/>
    <mergeCell ref="I123:I127"/>
    <mergeCell ref="I128:I134"/>
    <mergeCell ref="I135:I139"/>
    <mergeCell ref="I140:I146"/>
    <mergeCell ref="I147:I151"/>
    <mergeCell ref="I152:I158"/>
    <mergeCell ref="I159:I163"/>
    <mergeCell ref="I164:I170"/>
    <mergeCell ref="I212:I218"/>
    <mergeCell ref="I219:I223"/>
    <mergeCell ref="I224:I230"/>
    <mergeCell ref="I231:I235"/>
    <mergeCell ref="I236:I242"/>
    <mergeCell ref="I243:I247"/>
    <mergeCell ref="I248:I254"/>
    <mergeCell ref="I171:I175"/>
    <mergeCell ref="I176:I182"/>
    <mergeCell ref="I183:I187"/>
    <mergeCell ref="I188:I194"/>
    <mergeCell ref="I195:I199"/>
    <mergeCell ref="I200:I206"/>
    <mergeCell ref="I207:I211"/>
    <mergeCell ref="AT75:AT79"/>
    <mergeCell ref="AT80:AT86"/>
    <mergeCell ref="AT32:AT38"/>
    <mergeCell ref="AT39:AT43"/>
    <mergeCell ref="AT44:AT50"/>
    <mergeCell ref="AT51:AT55"/>
    <mergeCell ref="AT56:AT62"/>
    <mergeCell ref="AT63:AT67"/>
    <mergeCell ref="AT68:AT74"/>
    <mergeCell ref="AL2:AM2"/>
    <mergeCell ref="AT2:AU2"/>
    <mergeCell ref="B1:O1"/>
    <mergeCell ref="P1:U1"/>
    <mergeCell ref="V1:AC1"/>
    <mergeCell ref="AD1:AK1"/>
    <mergeCell ref="AL1:AS1"/>
    <mergeCell ref="AT1:BA1"/>
    <mergeCell ref="I2:J2"/>
    <mergeCell ref="V2:W2"/>
    <mergeCell ref="AD2:AE2"/>
    <mergeCell ref="I3:I8"/>
    <mergeCell ref="AD3:AD8"/>
    <mergeCell ref="AT3:AT8"/>
    <mergeCell ref="AD9:AD14"/>
    <mergeCell ref="AT9:AT14"/>
    <mergeCell ref="AD32:AD38"/>
    <mergeCell ref="AD39:AD43"/>
    <mergeCell ref="V44:V50"/>
    <mergeCell ref="AD44:AD50"/>
    <mergeCell ref="AL3:AL8"/>
    <mergeCell ref="AL9:AL14"/>
    <mergeCell ref="AL15:AL20"/>
    <mergeCell ref="AT15:AT20"/>
    <mergeCell ref="AL21:AL26"/>
    <mergeCell ref="AT21:AT26"/>
    <mergeCell ref="AT27:AT31"/>
    <mergeCell ref="AL27:AL31"/>
    <mergeCell ref="AL32:AL38"/>
    <mergeCell ref="AL39:AL43"/>
    <mergeCell ref="AL44:AL50"/>
    <mergeCell ref="AL51:AL55"/>
    <mergeCell ref="AL56:AL62"/>
    <mergeCell ref="AL63:AL67"/>
    <mergeCell ref="AT104:AT110"/>
    <mergeCell ref="AT111:AT115"/>
    <mergeCell ref="AD135:AD139"/>
    <mergeCell ref="AD140:AD146"/>
    <mergeCell ref="AD147:AD151"/>
    <mergeCell ref="AD152:AD158"/>
    <mergeCell ref="AD159:AD163"/>
    <mergeCell ref="AD164:AD170"/>
    <mergeCell ref="AD171:AD175"/>
    <mergeCell ref="AD236:AD242"/>
    <mergeCell ref="AD243:AD247"/>
    <mergeCell ref="AD248:AD254"/>
    <mergeCell ref="AD176:AD182"/>
    <mergeCell ref="AD183:AD187"/>
    <mergeCell ref="AD207:AD211"/>
    <mergeCell ref="AD212:AD218"/>
    <mergeCell ref="AD219:AD223"/>
    <mergeCell ref="AD224:AD230"/>
    <mergeCell ref="AD231:AD235"/>
    <mergeCell ref="V159:V163"/>
    <mergeCell ref="V164:V170"/>
    <mergeCell ref="V171:V175"/>
    <mergeCell ref="V176:V182"/>
    <mergeCell ref="V183:V187"/>
    <mergeCell ref="V188:V194"/>
    <mergeCell ref="V195:V199"/>
    <mergeCell ref="V243:V247"/>
    <mergeCell ref="V248:V254"/>
    <mergeCell ref="V200:V206"/>
    <mergeCell ref="V207:V211"/>
    <mergeCell ref="V212:V218"/>
    <mergeCell ref="V219:V223"/>
    <mergeCell ref="V224:V230"/>
    <mergeCell ref="V231:V235"/>
    <mergeCell ref="V236:V242"/>
    <mergeCell ref="V3:V8"/>
    <mergeCell ref="V9:V14"/>
    <mergeCell ref="V15:V20"/>
    <mergeCell ref="AD15:AD20"/>
    <mergeCell ref="V21:V26"/>
    <mergeCell ref="AD21:AD26"/>
    <mergeCell ref="AD27:AD31"/>
    <mergeCell ref="V27:V31"/>
    <mergeCell ref="V32:V38"/>
    <mergeCell ref="V39:V43"/>
    <mergeCell ref="V51:V55"/>
    <mergeCell ref="V56:V62"/>
    <mergeCell ref="V63:V67"/>
    <mergeCell ref="V68:V74"/>
    <mergeCell ref="AD51:AD55"/>
    <mergeCell ref="AD56:AD62"/>
    <mergeCell ref="AD63:AD67"/>
    <mergeCell ref="AD68:AD74"/>
    <mergeCell ref="AD75:AD79"/>
    <mergeCell ref="AD80:AD86"/>
    <mergeCell ref="AD87:AD91"/>
    <mergeCell ref="V75:V79"/>
    <mergeCell ref="V80:V86"/>
    <mergeCell ref="V87:V91"/>
    <mergeCell ref="V92:V98"/>
    <mergeCell ref="V99:V103"/>
    <mergeCell ref="V104:V110"/>
    <mergeCell ref="V111:V115"/>
    <mergeCell ref="V116:V122"/>
    <mergeCell ref="V123:V127"/>
    <mergeCell ref="V128:V134"/>
    <mergeCell ref="V135:V139"/>
    <mergeCell ref="V140:V146"/>
    <mergeCell ref="V147:V151"/>
    <mergeCell ref="V152:V158"/>
    <mergeCell ref="AD188:AD194"/>
    <mergeCell ref="AD195:AD199"/>
    <mergeCell ref="AD200:AD206"/>
    <mergeCell ref="AD92:AD98"/>
    <mergeCell ref="AD99:AD103"/>
    <mergeCell ref="AD104:AD110"/>
    <mergeCell ref="AD111:AD115"/>
    <mergeCell ref="AD116:AD122"/>
    <mergeCell ref="AD123:AD127"/>
    <mergeCell ref="AD128:AD134"/>
    <mergeCell ref="AT243:AT247"/>
    <mergeCell ref="AT248:AT254"/>
    <mergeCell ref="AT200:AT206"/>
    <mergeCell ref="AT207:AT211"/>
    <mergeCell ref="AT212:AT218"/>
    <mergeCell ref="AT219:AT223"/>
    <mergeCell ref="AT224:AT230"/>
    <mergeCell ref="AT231:AT235"/>
    <mergeCell ref="AT236:AT242"/>
    <mergeCell ref="AL68:AL74"/>
    <mergeCell ref="AL75:AL79"/>
    <mergeCell ref="AL80:AL86"/>
    <mergeCell ref="AL87:AL91"/>
    <mergeCell ref="AT87:AT91"/>
    <mergeCell ref="AT92:AT98"/>
    <mergeCell ref="AT99:AT103"/>
    <mergeCell ref="AL92:AL98"/>
    <mergeCell ref="AL99:AL103"/>
    <mergeCell ref="AL104:AL110"/>
    <mergeCell ref="AL111:AL115"/>
    <mergeCell ref="AL116:AL122"/>
    <mergeCell ref="AL123:AL127"/>
    <mergeCell ref="AL128:AL134"/>
    <mergeCell ref="AT116:AT122"/>
    <mergeCell ref="AT123:AT127"/>
    <mergeCell ref="AT128:AT134"/>
    <mergeCell ref="AT135:AT139"/>
    <mergeCell ref="AT140:AT146"/>
    <mergeCell ref="AT147:AT151"/>
    <mergeCell ref="AT152:AT158"/>
    <mergeCell ref="AL135:AL139"/>
    <mergeCell ref="AL140:AL146"/>
    <mergeCell ref="AL147:AL151"/>
    <mergeCell ref="AL152:AL158"/>
    <mergeCell ref="AL159:AL163"/>
    <mergeCell ref="AL164:AL170"/>
    <mergeCell ref="AL171:AL175"/>
    <mergeCell ref="AT159:AT163"/>
    <mergeCell ref="AT164:AT170"/>
    <mergeCell ref="AT171:AT175"/>
    <mergeCell ref="AT176:AT182"/>
    <mergeCell ref="AT183:AT187"/>
    <mergeCell ref="AT188:AT194"/>
    <mergeCell ref="AT195:AT199"/>
    <mergeCell ref="AL219:AL223"/>
    <mergeCell ref="AL224:AL230"/>
    <mergeCell ref="AL231:AL235"/>
    <mergeCell ref="AL236:AL242"/>
    <mergeCell ref="AL243:AL247"/>
    <mergeCell ref="AL248:AL254"/>
    <mergeCell ref="AL176:AL182"/>
    <mergeCell ref="AL183:AL187"/>
    <mergeCell ref="AL188:AL194"/>
    <mergeCell ref="AL195:AL199"/>
    <mergeCell ref="AL200:AL206"/>
    <mergeCell ref="AL207:AL211"/>
    <mergeCell ref="AL212:AL218"/>
  </mergeCells>
  <drawing r:id="rId1"/>
</worksheet>
</file>